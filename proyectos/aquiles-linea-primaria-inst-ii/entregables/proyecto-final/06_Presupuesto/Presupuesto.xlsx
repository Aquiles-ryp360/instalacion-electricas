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esupuesto" sheetId="1" state="visible" r:id="rId3"/>
    <sheet name="Resumen" sheetId="2" state="visible" r:id="rId4"/>
    <sheet name="Postes" sheetId="3" state="visible" r:id="rId5"/>
    <sheet name="Vanos" sheetId="4" state="visible" r:id="rId6"/>
    <sheet name="Parametros" sheetId="5" state="visible" r:id="rId7"/>
    <sheet name="Criterios_M01" sheetId="6" state="visible" r:id="rId8"/>
  </sheets>
  <definedNames>
    <definedName function="false" hidden="false" localSheetId="4" name="_xlnm.Print_Area" vbProcedure="false">Parametros!$A$1:$F$25</definedName>
    <definedName function="false" hidden="false" localSheetId="4" name="_xlnm.Print_Titles" vbProcedure="false">Parametros!$1:$6</definedName>
    <definedName function="false" hidden="false" localSheetId="2" name="_xlnm.Print_Area" vbProcedure="false">Postes!$A$1:$M$140</definedName>
    <definedName function="false" hidden="false" localSheetId="2" name="_xlnm.Print_Titles" vbProcedure="false">Postes!$1:$6</definedName>
    <definedName function="false" hidden="false" localSheetId="0" name="_xlnm.Print_Area" vbProcedure="false">Presupuesto!$A$1:$F$34</definedName>
    <definedName function="false" hidden="false" localSheetId="1" name="_xlnm.Print_Area" vbProcedure="false">Resumen!$A$1:$E$35</definedName>
    <definedName function="false" hidden="false" localSheetId="1" name="_xlnm.Print_Titles" vbProcedure="false">Resumen!$1:$6</definedName>
    <definedName function="false" hidden="false" localSheetId="3" name="_xlnm.Print_Area" vbProcedure="false">Vanos!$A$1:$N$140</definedName>
    <definedName function="false" hidden="false" localSheetId="3" name="_xlnm.Print_Titles" vbProcedure="false">Vanos!$1:$6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<sst xmlns="http://schemas.openxmlformats.org/spreadsheetml/2006/main" count="797" uniqueCount="402">
  <si>
    <t xml:space="preserve">PRESUPUESTO REFERENCIAL ACADÉMICO</t>
  </si>
  <si>
    <t xml:space="preserve">Partida</t>
  </si>
  <si>
    <t xml:space="preserve">Descripción</t>
  </si>
  <si>
    <t xml:space="preserve">Unidad</t>
  </si>
  <si>
    <t xml:space="preserve">Cantidad</t>
  </si>
  <si>
    <t xml:space="preserve">Precio unitario (S/)</t>
  </si>
  <si>
    <t xml:space="preserve">Parcial (S/)</t>
  </si>
  <si>
    <t xml:space="preserve">01.01</t>
  </si>
  <si>
    <t xml:space="preserve">Conductor AAAC 50 mm²</t>
  </si>
  <si>
    <t xml:space="preserve">m</t>
  </si>
  <si>
    <t xml:space="preserve">01.02</t>
  </si>
  <si>
    <t xml:space="preserve">Poste CAC 13 m instalado</t>
  </si>
  <si>
    <t xml:space="preserve">ud</t>
  </si>
  <si>
    <t xml:space="preserve">01.03</t>
  </si>
  <si>
    <t xml:space="preserve">Poste CAC 15 m instalado</t>
  </si>
  <si>
    <t xml:space="preserve">01.04</t>
  </si>
  <si>
    <t xml:space="preserve">Poste CAC 17 m instalado</t>
  </si>
  <si>
    <t xml:space="preserve">02.01</t>
  </si>
  <si>
    <t xml:space="preserve">Armado de suspensión</t>
  </si>
  <si>
    <t xml:space="preserve">jgo</t>
  </si>
  <si>
    <t xml:space="preserve">02.02</t>
  </si>
  <si>
    <t xml:space="preserve">Armado de ángulo</t>
  </si>
  <si>
    <t xml:space="preserve">02.03</t>
  </si>
  <si>
    <t xml:space="preserve">Armado de anclaje y retención adicional</t>
  </si>
  <si>
    <t xml:space="preserve">02.04</t>
  </si>
  <si>
    <t xml:space="preserve">Armado terminal</t>
  </si>
  <si>
    <t xml:space="preserve">03.01</t>
  </si>
  <si>
    <t xml:space="preserve">Retenida y anclaje por ramal</t>
  </si>
  <si>
    <t xml:space="preserve">03.02</t>
  </si>
  <si>
    <t xml:space="preserve">Puesta a tierra de apoyo</t>
  </si>
  <si>
    <t xml:space="preserve">04.01</t>
  </si>
  <si>
    <t xml:space="preserve">Transformador 250 kVA netos en sitio</t>
  </si>
  <si>
    <t xml:space="preserve">04.02</t>
  </si>
  <si>
    <t xml:space="preserve">Celda de protección y maniobra</t>
  </si>
  <si>
    <t xml:space="preserve">04.03</t>
  </si>
  <si>
    <t xml:space="preserve">Conjunto neutro artificial / NGR</t>
  </si>
  <si>
    <t xml:space="preserve">04.04</t>
  </si>
  <si>
    <t xml:space="preserve">Malla de tierra de subestación</t>
  </si>
  <si>
    <t xml:space="preserve">COSTO DIRECTO</t>
  </si>
  <si>
    <t xml:space="preserve">Logística y transporte</t>
  </si>
  <si>
    <t xml:space="preserve">Ingeniería y supervisión</t>
  </si>
  <si>
    <t xml:space="preserve">Contingencia académica</t>
  </si>
  <si>
    <t xml:space="preserve">TOTAL REFERENCIAL</t>
  </si>
  <si>
    <t xml:space="preserve">Moneda: PEN. Precios estimados de octubre de 2026.</t>
  </si>
  <si>
    <t xml:space="preserve">No son cotizaciones. Total sin IGV desagregado.</t>
  </si>
  <si>
    <t xml:space="preserve">Poste instalado: incluye montaje y cimentación tipo.</t>
  </si>
  <si>
    <t xml:space="preserve">Precios 15/17 m: escalamiento por longitud respecto a 13 m.</t>
  </si>
  <si>
    <t xml:space="preserve">METRADOS DE LA LÍNEA PRIMARIA</t>
  </si>
  <si>
    <t xml:space="preserve">Limbani – Huancasayani · Sistema aislado</t>
  </si>
  <si>
    <t xml:space="preserve">Ítem</t>
  </si>
  <si>
    <t xml:space="preserve">Desarrollo</t>
  </si>
  <si>
    <t xml:space="preserve">Poste CAC 13 m / 600 daN</t>
  </si>
  <si>
    <t xml:space="preserve">Conteo por altura</t>
  </si>
  <si>
    <t xml:space="preserve">Poste CAC 15 m / 600 daN</t>
  </si>
  <si>
    <t xml:space="preserve">Poste CAC 17 m / 600 daN</t>
  </si>
  <si>
    <t xml:space="preserve">TOTAL DE POSTES</t>
  </si>
  <si>
    <t xml:space="preserve">72 + 30 + 9</t>
  </si>
  <si>
    <t xml:space="preserve">Conteo por función</t>
  </si>
  <si>
    <t xml:space="preserve">Armado de anclaje</t>
  </si>
  <si>
    <t xml:space="preserve">Retención adicional</t>
  </si>
  <si>
    <t xml:space="preserve">02.05</t>
  </si>
  <si>
    <t xml:space="preserve">TOTAL DE ARMADOS</t>
  </si>
  <si>
    <t xml:space="preserve">30 + 41 + 22 + 16 + 2</t>
  </si>
  <si>
    <t xml:space="preserve">Suma de ramales retenidos</t>
  </si>
  <si>
    <t xml:space="preserve">Transformación de salida y llegada</t>
  </si>
  <si>
    <t xml:space="preserve">1 de salida + 1 de llegada</t>
  </si>
  <si>
    <t xml:space="preserve">Longitud horizontal del eje</t>
  </si>
  <si>
    <t xml:space="preserve">Suma de longitudes XY de los 110 vanos</t>
  </si>
  <si>
    <t xml:space="preserve">Conductor por fase (EDS)</t>
  </si>
  <si>
    <t xml:space="preserve">Suma de longitudes de catenaria</t>
  </si>
  <si>
    <t xml:space="preserve">Terna tendida</t>
  </si>
  <si>
    <t xml:space="preserve">3 × longitud por fase</t>
  </si>
  <si>
    <t xml:space="preserve">Puentes y colas</t>
  </si>
  <si>
    <t xml:space="preserve">3 fases × (38 retenciones + 2 terminales) × 2 m</t>
  </si>
  <si>
    <t xml:space="preserve">04.05</t>
  </si>
  <si>
    <t xml:space="preserve">Reserva adicional</t>
  </si>
  <si>
    <t xml:space="preserve">Redondeo superior de 3% de tendido + puentes</t>
  </si>
  <si>
    <t xml:space="preserve">CONDUCTOR PARA SUMINISTRO</t>
  </si>
  <si>
    <t xml:space="preserve">Redondeo superior de tendido + puentes + reserva</t>
  </si>
  <si>
    <t xml:space="preserve">Cantidades del corredor de gabinete EPSG:32719.</t>
  </si>
  <si>
    <t xml:space="preserve">Puentes por interrupción del conductor; retenidas se miden por separado.</t>
  </si>
  <si>
    <t xml:space="preserve">PLANILLA DE POSTES Y ARMADOS</t>
  </si>
  <si>
    <t xml:space="preserve">Poste</t>
  </si>
  <si>
    <t xml:space="preserve">Este (m)</t>
  </si>
  <si>
    <t xml:space="preserve">Norte (m)</t>
  </si>
  <si>
    <t xml:space="preserve">Cota DEM (m)</t>
  </si>
  <si>
    <t xml:space="preserve">Altura (m)</t>
  </si>
  <si>
    <t xml:space="preserve">Empotr. (m)</t>
  </si>
  <si>
    <t xml:space="preserve">Amarre (m)</t>
  </si>
  <si>
    <t xml:space="preserve">Ángulo (°)</t>
  </si>
  <si>
    <t xml:space="preserve">Función</t>
  </si>
  <si>
    <t xml:space="preserve">Ramales</t>
  </si>
  <si>
    <t xml:space="preserve">Postes (ud)</t>
  </si>
  <si>
    <t xml:space="preserve">Armados (jgo)</t>
  </si>
  <si>
    <t xml:space="preserve">Puentes (m)</t>
  </si>
  <si>
    <t xml:space="preserve">Armado M01</t>
  </si>
  <si>
    <t xml:space="preserve">Puentes/colas (ud)</t>
  </si>
  <si>
    <t xml:space="preserve">Cable RI/ramal (m)</t>
  </si>
  <si>
    <t xml:space="preserve">Cu PAT/apoyo (m)</t>
  </si>
  <si>
    <t xml:space="preserve">Fijaciones PAT (jgo)</t>
  </si>
  <si>
    <t xml:space="preserve">Tendido asignado (m)</t>
  </si>
  <si>
    <t xml:space="preserve">P001</t>
  </si>
  <si>
    <t xml:space="preserve">TERMINAL</t>
  </si>
  <si>
    <t xml:space="preserve">P002</t>
  </si>
  <si>
    <t xml:space="preserve">SUSPENSION</t>
  </si>
  <si>
    <t xml:space="preserve">P003</t>
  </si>
  <si>
    <t xml:space="preserve">ANCLAJE</t>
  </si>
  <si>
    <t xml:space="preserve">P004</t>
  </si>
  <si>
    <t xml:space="preserve">P005</t>
  </si>
  <si>
    <t xml:space="preserve">ANGULO</t>
  </si>
  <si>
    <t xml:space="preserve">P006</t>
  </si>
  <si>
    <t xml:space="preserve">P007</t>
  </si>
  <si>
    <t xml:space="preserve">P008</t>
  </si>
  <si>
    <t xml:space="preserve">P009</t>
  </si>
  <si>
    <t xml:space="preserve">ANCLAJE_PROPUESTO</t>
  </si>
  <si>
    <t xml:space="preserve">P010</t>
  </si>
  <si>
    <t xml:space="preserve">P011</t>
  </si>
  <si>
    <t xml:space="preserve">P012</t>
  </si>
  <si>
    <t xml:space="preserve">P013</t>
  </si>
  <si>
    <t xml:space="preserve">P014</t>
  </si>
  <si>
    <t xml:space="preserve">P015</t>
  </si>
  <si>
    <t xml:space="preserve">P016</t>
  </si>
  <si>
    <t xml:space="preserve">P017</t>
  </si>
  <si>
    <t xml:space="preserve">P018</t>
  </si>
  <si>
    <t xml:space="preserve">P019</t>
  </si>
  <si>
    <t xml:space="preserve">P020</t>
  </si>
  <si>
    <t xml:space="preserve">P021</t>
  </si>
  <si>
    <t xml:space="preserve">P022</t>
  </si>
  <si>
    <t xml:space="preserve">P023</t>
  </si>
  <si>
    <t xml:space="preserve">P024</t>
  </si>
  <si>
    <t xml:space="preserve">P025</t>
  </si>
  <si>
    <t xml:space="preserve">P026</t>
  </si>
  <si>
    <t xml:space="preserve">P027</t>
  </si>
  <si>
    <t xml:space="preserve">P028</t>
  </si>
  <si>
    <t xml:space="preserve">P029</t>
  </si>
  <si>
    <t xml:space="preserve">P030</t>
  </si>
  <si>
    <t xml:space="preserve">P031</t>
  </si>
  <si>
    <t xml:space="preserve">P032</t>
  </si>
  <si>
    <t xml:space="preserve">P033</t>
  </si>
  <si>
    <t xml:space="preserve">P034</t>
  </si>
  <si>
    <t xml:space="preserve">P035</t>
  </si>
  <si>
    <t xml:space="preserve">P036</t>
  </si>
  <si>
    <t xml:space="preserve">P037</t>
  </si>
  <si>
    <t xml:space="preserve">P038</t>
  </si>
  <si>
    <t xml:space="preserve">P039</t>
  </si>
  <si>
    <t xml:space="preserve">P040</t>
  </si>
  <si>
    <t xml:space="preserve">P041</t>
  </si>
  <si>
    <t xml:space="preserve">P042</t>
  </si>
  <si>
    <t xml:space="preserve">P043</t>
  </si>
  <si>
    <t xml:space="preserve">P044</t>
  </si>
  <si>
    <t xml:space="preserve">P045</t>
  </si>
  <si>
    <t xml:space="preserve">P046</t>
  </si>
  <si>
    <t xml:space="preserve">P047</t>
  </si>
  <si>
    <t xml:space="preserve">P048</t>
  </si>
  <si>
    <t xml:space="preserve">P049</t>
  </si>
  <si>
    <t xml:space="preserve">P050</t>
  </si>
  <si>
    <t xml:space="preserve">P051</t>
  </si>
  <si>
    <t xml:space="preserve">P052</t>
  </si>
  <si>
    <t xml:space="preserve">P053</t>
  </si>
  <si>
    <t xml:space="preserve">P054</t>
  </si>
  <si>
    <t xml:space="preserve">P055</t>
  </si>
  <si>
    <t xml:space="preserve">P056</t>
  </si>
  <si>
    <t xml:space="preserve">P057</t>
  </si>
  <si>
    <t xml:space="preserve">P058</t>
  </si>
  <si>
    <t xml:space="preserve">P059</t>
  </si>
  <si>
    <t xml:space="preserve">P060</t>
  </si>
  <si>
    <t xml:space="preserve">P061</t>
  </si>
  <si>
    <t xml:space="preserve">P062</t>
  </si>
  <si>
    <t xml:space="preserve">P063</t>
  </si>
  <si>
    <t xml:space="preserve">P064</t>
  </si>
  <si>
    <t xml:space="preserve">P065</t>
  </si>
  <si>
    <t xml:space="preserve">P066</t>
  </si>
  <si>
    <t xml:space="preserve">P067</t>
  </si>
  <si>
    <t xml:space="preserve">P068</t>
  </si>
  <si>
    <t xml:space="preserve">P069</t>
  </si>
  <si>
    <t xml:space="preserve">P070</t>
  </si>
  <si>
    <t xml:space="preserve">P071</t>
  </si>
  <si>
    <t xml:space="preserve">P072</t>
  </si>
  <si>
    <t xml:space="preserve">P073</t>
  </si>
  <si>
    <t xml:space="preserve">P074</t>
  </si>
  <si>
    <t xml:space="preserve">P075</t>
  </si>
  <si>
    <t xml:space="preserve">P076</t>
  </si>
  <si>
    <t xml:space="preserve">P077</t>
  </si>
  <si>
    <t xml:space="preserve">P078</t>
  </si>
  <si>
    <t xml:space="preserve">P079</t>
  </si>
  <si>
    <t xml:space="preserve">P080</t>
  </si>
  <si>
    <t xml:space="preserve">P081</t>
  </si>
  <si>
    <t xml:space="preserve">P082</t>
  </si>
  <si>
    <t xml:space="preserve">P083</t>
  </si>
  <si>
    <t xml:space="preserve">P084</t>
  </si>
  <si>
    <t xml:space="preserve">P085</t>
  </si>
  <si>
    <t xml:space="preserve">P086</t>
  </si>
  <si>
    <t xml:space="preserve">P087</t>
  </si>
  <si>
    <t xml:space="preserve">P088</t>
  </si>
  <si>
    <t xml:space="preserve">P089</t>
  </si>
  <si>
    <t xml:space="preserve">P090</t>
  </si>
  <si>
    <t xml:space="preserve">P091</t>
  </si>
  <si>
    <t xml:space="preserve">P092</t>
  </si>
  <si>
    <t xml:space="preserve">P093</t>
  </si>
  <si>
    <t xml:space="preserve">P094</t>
  </si>
  <si>
    <t xml:space="preserve">P095</t>
  </si>
  <si>
    <t xml:space="preserve">P096</t>
  </si>
  <si>
    <t xml:space="preserve">P097</t>
  </si>
  <si>
    <t xml:space="preserve">P098</t>
  </si>
  <si>
    <t xml:space="preserve">P099</t>
  </si>
  <si>
    <t xml:space="preserve">P100</t>
  </si>
  <si>
    <t xml:space="preserve">P101</t>
  </si>
  <si>
    <t xml:space="preserve">P102</t>
  </si>
  <si>
    <t xml:space="preserve">P103</t>
  </si>
  <si>
    <t xml:space="preserve">P104</t>
  </si>
  <si>
    <t xml:space="preserve">P105</t>
  </si>
  <si>
    <t xml:space="preserve">P106</t>
  </si>
  <si>
    <t xml:space="preserve">P107</t>
  </si>
  <si>
    <t xml:space="preserve">P108</t>
  </si>
  <si>
    <t xml:space="preserve">P109</t>
  </si>
  <si>
    <t xml:space="preserve">P110</t>
  </si>
  <si>
    <t xml:space="preserve">P111</t>
  </si>
  <si>
    <t xml:space="preserve">LONGITUD DE CONDUCTOR POR CATENARIA EDS</t>
  </si>
  <si>
    <t xml:space="preserve">Vano</t>
  </si>
  <si>
    <t xml:space="preserve">Inicial</t>
  </si>
  <si>
    <t xml:space="preserve">Final</t>
  </si>
  <si>
    <t xml:space="preserve">L horiz. (m)</t>
  </si>
  <si>
    <t xml:space="preserve">Δz amarre (m)</t>
  </si>
  <si>
    <t xml:space="preserve">H EDS (N)</t>
  </si>
  <si>
    <t xml:space="preserve">q (N/m)</t>
  </si>
  <si>
    <t xml:space="preserve">a = H/q (m)</t>
  </si>
  <si>
    <t xml:space="preserve">u (–)</t>
  </si>
  <si>
    <t xml:space="preserve">x0 (m)</t>
  </si>
  <si>
    <t xml:space="preserve">u0 (–)</t>
  </si>
  <si>
    <t xml:space="preserve">u1 (–)</t>
  </si>
  <si>
    <t xml:space="preserve">Cable/fase (m)</t>
  </si>
  <si>
    <t xml:space="preserve">Terna (m)</t>
  </si>
  <si>
    <t xml:space="preserve">V001</t>
  </si>
  <si>
    <t xml:space="preserve">V002</t>
  </si>
  <si>
    <t xml:space="preserve">V003</t>
  </si>
  <si>
    <t xml:space="preserve">V004</t>
  </si>
  <si>
    <t xml:space="preserve">V005</t>
  </si>
  <si>
    <t xml:space="preserve">V006</t>
  </si>
  <si>
    <t xml:space="preserve">V007</t>
  </si>
  <si>
    <t xml:space="preserve">V008</t>
  </si>
  <si>
    <t xml:space="preserve">V009</t>
  </si>
  <si>
    <t xml:space="preserve">V010</t>
  </si>
  <si>
    <t xml:space="preserve">V011</t>
  </si>
  <si>
    <t xml:space="preserve">V012</t>
  </si>
  <si>
    <t xml:space="preserve">V013</t>
  </si>
  <si>
    <t xml:space="preserve">V014</t>
  </si>
  <si>
    <t xml:space="preserve">V015</t>
  </si>
  <si>
    <t xml:space="preserve">V016</t>
  </si>
  <si>
    <t xml:space="preserve">V017</t>
  </si>
  <si>
    <t xml:space="preserve">V018</t>
  </si>
  <si>
    <t xml:space="preserve">V019</t>
  </si>
  <si>
    <t xml:space="preserve">V020</t>
  </si>
  <si>
    <t xml:space="preserve">V021</t>
  </si>
  <si>
    <t xml:space="preserve">V022</t>
  </si>
  <si>
    <t xml:space="preserve">V023</t>
  </si>
  <si>
    <t xml:space="preserve">V024</t>
  </si>
  <si>
    <t xml:space="preserve">V025</t>
  </si>
  <si>
    <t xml:space="preserve">V026</t>
  </si>
  <si>
    <t xml:space="preserve">V027</t>
  </si>
  <si>
    <t xml:space="preserve">V028</t>
  </si>
  <si>
    <t xml:space="preserve">V029</t>
  </si>
  <si>
    <t xml:space="preserve">V030</t>
  </si>
  <si>
    <t xml:space="preserve">V031</t>
  </si>
  <si>
    <t xml:space="preserve">V032</t>
  </si>
  <si>
    <t xml:space="preserve">V033</t>
  </si>
  <si>
    <t xml:space="preserve">V034</t>
  </si>
  <si>
    <t xml:space="preserve">V035</t>
  </si>
  <si>
    <t xml:space="preserve">V036</t>
  </si>
  <si>
    <t xml:space="preserve">V037</t>
  </si>
  <si>
    <t xml:space="preserve">V038</t>
  </si>
  <si>
    <t xml:space="preserve">V039</t>
  </si>
  <si>
    <t xml:space="preserve">V040</t>
  </si>
  <si>
    <t xml:space="preserve">V041</t>
  </si>
  <si>
    <t xml:space="preserve">V042</t>
  </si>
  <si>
    <t xml:space="preserve">V043</t>
  </si>
  <si>
    <t xml:space="preserve">V044</t>
  </si>
  <si>
    <t xml:space="preserve">V045</t>
  </si>
  <si>
    <t xml:space="preserve">V046</t>
  </si>
  <si>
    <t xml:space="preserve">V047</t>
  </si>
  <si>
    <t xml:space="preserve">V048</t>
  </si>
  <si>
    <t xml:space="preserve">V049</t>
  </si>
  <si>
    <t xml:space="preserve">V050</t>
  </si>
  <si>
    <t xml:space="preserve">V051</t>
  </si>
  <si>
    <t xml:space="preserve">V052</t>
  </si>
  <si>
    <t xml:space="preserve">V053</t>
  </si>
  <si>
    <t xml:space="preserve">V054</t>
  </si>
  <si>
    <t xml:space="preserve">V055</t>
  </si>
  <si>
    <t xml:space="preserve">V056</t>
  </si>
  <si>
    <t xml:space="preserve">V057</t>
  </si>
  <si>
    <t xml:space="preserve">V058</t>
  </si>
  <si>
    <t xml:space="preserve">V059</t>
  </si>
  <si>
    <t xml:space="preserve">V060</t>
  </si>
  <si>
    <t xml:space="preserve">V061</t>
  </si>
  <si>
    <t xml:space="preserve">V062</t>
  </si>
  <si>
    <t xml:space="preserve">V063</t>
  </si>
  <si>
    <t xml:space="preserve">V064</t>
  </si>
  <si>
    <t xml:space="preserve">V065</t>
  </si>
  <si>
    <t xml:space="preserve">V066</t>
  </si>
  <si>
    <t xml:space="preserve">V067</t>
  </si>
  <si>
    <t xml:space="preserve">V068</t>
  </si>
  <si>
    <t xml:space="preserve">V069</t>
  </si>
  <si>
    <t xml:space="preserve">V070</t>
  </si>
  <si>
    <t xml:space="preserve">V071</t>
  </si>
  <si>
    <t xml:space="preserve">V072</t>
  </si>
  <si>
    <t xml:space="preserve">V073</t>
  </si>
  <si>
    <t xml:space="preserve">V074</t>
  </si>
  <si>
    <t xml:space="preserve">V075</t>
  </si>
  <si>
    <t xml:space="preserve">V076</t>
  </si>
  <si>
    <t xml:space="preserve">V077</t>
  </si>
  <si>
    <t xml:space="preserve">V078</t>
  </si>
  <si>
    <t xml:space="preserve">V079</t>
  </si>
  <si>
    <t xml:space="preserve">V080</t>
  </si>
  <si>
    <t xml:space="preserve">V081</t>
  </si>
  <si>
    <t xml:space="preserve">V082</t>
  </si>
  <si>
    <t xml:space="preserve">V083</t>
  </si>
  <si>
    <t xml:space="preserve">V084</t>
  </si>
  <si>
    <t xml:space="preserve">V085</t>
  </si>
  <si>
    <t xml:space="preserve">V086</t>
  </si>
  <si>
    <t xml:space="preserve">V087</t>
  </si>
  <si>
    <t xml:space="preserve">V088</t>
  </si>
  <si>
    <t xml:space="preserve">V089</t>
  </si>
  <si>
    <t xml:space="preserve">V090</t>
  </si>
  <si>
    <t xml:space="preserve">V091</t>
  </si>
  <si>
    <t xml:space="preserve">V092</t>
  </si>
  <si>
    <t xml:space="preserve">V093</t>
  </si>
  <si>
    <t xml:space="preserve">V094</t>
  </si>
  <si>
    <t xml:space="preserve">V095</t>
  </si>
  <si>
    <t xml:space="preserve">V096</t>
  </si>
  <si>
    <t xml:space="preserve">V097</t>
  </si>
  <si>
    <t xml:space="preserve">V098</t>
  </si>
  <si>
    <t xml:space="preserve">V099</t>
  </si>
  <si>
    <t xml:space="preserve">V100</t>
  </si>
  <si>
    <t xml:space="preserve">V101</t>
  </si>
  <si>
    <t xml:space="preserve">V102</t>
  </si>
  <si>
    <t xml:space="preserve">V103</t>
  </si>
  <si>
    <t xml:space="preserve">V104</t>
  </si>
  <si>
    <t xml:space="preserve">V105</t>
  </si>
  <si>
    <t xml:space="preserve">V106</t>
  </si>
  <si>
    <t xml:space="preserve">V107</t>
  </si>
  <si>
    <t xml:space="preserve">V108</t>
  </si>
  <si>
    <t xml:space="preserve">V109</t>
  </si>
  <si>
    <t xml:space="preserve">V110</t>
  </si>
  <si>
    <t xml:space="preserve">PARÁMETROS DE DISEÑO</t>
  </si>
  <si>
    <t xml:space="preserve">Limbani – Huancasayani · 2026</t>
  </si>
  <si>
    <t xml:space="preserve">n</t>
  </si>
  <si>
    <t xml:space="preserve">Número de fases</t>
  </si>
  <si>
    <t xml:space="preserve">Terna AAAC 50 mm²</t>
  </si>
  <si>
    <t xml:space="preserve">lp</t>
  </si>
  <si>
    <t xml:space="preserve">Longitud por puente y ramal</t>
  </si>
  <si>
    <t xml:space="preserve">Asignación geométrica académica por fase</t>
  </si>
  <si>
    <t xml:space="preserve">s</t>
  </si>
  <si>
    <t xml:space="preserve">Reserva de conductor</t>
  </si>
  <si>
    <t xml:space="preserve">%</t>
  </si>
  <si>
    <t xml:space="preserve">Reserva adicional sobre tendido y puentes</t>
  </si>
  <si>
    <t xml:space="preserve">RTS</t>
  </si>
  <si>
    <t xml:space="preserve">Carga de rotura del conductor</t>
  </si>
  <si>
    <t xml:space="preserve">N</t>
  </si>
  <si>
    <t xml:space="preserve">Dato tipo AAAC del modelo de diseño</t>
  </si>
  <si>
    <t xml:space="preserve">fEDS</t>
  </si>
  <si>
    <t xml:space="preserve">Fracción de tracción inicial</t>
  </si>
  <si>
    <t xml:space="preserve">Estado EDS, 15 °C</t>
  </si>
  <si>
    <t xml:space="preserve">Masa lineal</t>
  </si>
  <si>
    <t xml:space="preserve">kg/km</t>
  </si>
  <si>
    <t xml:space="preserve">Dato tipo AAAC 6201-T81</t>
  </si>
  <si>
    <t xml:space="preserve">g</t>
  </si>
  <si>
    <t xml:space="preserve">Aceleración de gravedad</t>
  </si>
  <si>
    <t xml:space="preserve">m/s²</t>
  </si>
  <si>
    <t xml:space="preserve">Constante de cálculo</t>
  </si>
  <si>
    <t xml:space="preserve">W</t>
  </si>
  <si>
    <t xml:space="preserve">Carga transversal de poste</t>
  </si>
  <si>
    <t xml:space="preserve">daN</t>
  </si>
  <si>
    <t xml:space="preserve">Capacidad tipo para verificación de flexión</t>
  </si>
  <si>
    <t xml:space="preserve">kr</t>
  </si>
  <si>
    <t xml:space="preserve">Relación rotura/trabajo</t>
  </si>
  <si>
    <t xml:space="preserve">-</t>
  </si>
  <si>
    <t xml:space="preserve">Hipótesis resistente del estudio</t>
  </si>
  <si>
    <t xml:space="preserve">phi</t>
  </si>
  <si>
    <t xml:space="preserve">Factor de resistencia</t>
  </si>
  <si>
    <t xml:space="preserve">e</t>
  </si>
  <si>
    <t xml:space="preserve">Punto de ensayo bajo cima</t>
  </si>
  <si>
    <t xml:space="preserve">Brazo de ensayo del poste tipo</t>
  </si>
  <si>
    <t xml:space="preserve">Tu</t>
  </si>
  <si>
    <t xml:space="preserve">Rotura mínima de retenida</t>
  </si>
  <si>
    <t xml:space="preserve">kN</t>
  </si>
  <si>
    <t xml:space="preserve">Especificación de retenida de la línea</t>
  </si>
  <si>
    <t xml:space="preserve">phiR</t>
  </si>
  <si>
    <t xml:space="preserve">Factor resistente de retenida</t>
  </si>
  <si>
    <t xml:space="preserve">theta</t>
  </si>
  <si>
    <t xml:space="preserve">Ángulo vertical de retenida</t>
  </si>
  <si>
    <t xml:space="preserve">°</t>
  </si>
  <si>
    <t xml:space="preserve">Geometría ideal del cálculo</t>
  </si>
  <si>
    <t xml:space="preserve">Criterio M01</t>
  </si>
  <si>
    <t xml:space="preserve">Valor</t>
  </si>
  <si>
    <t xml:space="preserve">Estado</t>
  </si>
  <si>
    <t xml:space="preserve">Ángulo ideal de retenida</t>
  </si>
  <si>
    <t xml:space="preserve">Modelo ideal LP-R02</t>
  </si>
  <si>
    <t xml:space="preserve">Colas de cable por ramal</t>
  </si>
  <si>
    <t xml:space="preserve">Hipótesis académica explícita</t>
  </si>
  <si>
    <t xml:space="preserve">Conexión enterrada y colas PAT</t>
  </si>
  <si>
    <t xml:space="preserve">Hipótesis de metrado, sin Wenner</t>
  </si>
  <si>
    <t xml:space="preserve">Paso nominal de fijación PAT</t>
  </si>
  <si>
    <t xml:space="preserve">Hipótesis de montaje para metrado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</si>
</sst>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0"/>
    <numFmt numFmtId="166" formatCode="#,##0.00"/>
    <numFmt numFmtId="167" formatCode="0.0%"/>
    <numFmt numFmtId="168" formatCode="#,##0"/>
    <numFmt numFmtId="169" formatCode="0"/>
    <numFmt numFmtId="170" formatCode="0.00"/>
    <numFmt numFmtId="171" formatCode="0.000"/>
  </numFmts>
  <fonts count="9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0252B"/>
      <name val="Arial"/>
      <family val="0"/>
      <charset val="1"/>
    </font>
    <font>
      <b val="true"/>
      <sz val="16"/>
      <color rgb="FF254D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225DA8"/>
      <name val="Arial"/>
      <family val="0"/>
      <charset val="1"/>
    </font>
    <font>
      <b val="true"/>
      <sz val="11"/>
      <color rgb="FF254D7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54D73"/>
        <bgColor rgb="FF225DA8"/>
      </patternFill>
    </fill>
    <fill>
      <patternFill patternType="solid">
        <fgColor rgb="FFF3F7FC"/>
        <bgColor rgb="FFEEF4FA"/>
      </patternFill>
    </fill>
    <fill>
      <patternFill patternType="solid">
        <fgColor rgb="FFEEF4FA"/>
        <bgColor rgb="FFF3F7FC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5B9BD5"/>
      </bottom>
      <diagonal/>
    </border>
    <border diagonalUp="false" diagonalDown="false">
      <left/>
      <right/>
      <top style="thin">
        <color rgb="FF5B9BD5"/>
      </top>
      <bottom style="thin">
        <color rgb="FF5B9B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3F7FC"/>
      <rgbColor rgb="FFEEF4FA"/>
      <rgbColor rgb="FF660066"/>
      <rgbColor rgb="FFFF8080"/>
      <rgbColor rgb="FF225DA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54D73"/>
      <rgbColor rgb="FF2025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4D73"/>
    <pageSetUpPr fitToPage="true"/>
  </sheetPr>
  <dimension ref="A1:F40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21"/>
    <col collapsed="false" customWidth="true" hidden="false" outlineLevel="0" max="6" min="6" style="0" width="22"/>
  </cols>
  <sheetData>
    <row r="1" customFormat="false" ht="21" hidden="false" customHeight="true" outlineLevel="0" collapsed="false">
      <c r="A1" s="1"/>
      <c r="B1" s="1"/>
      <c r="C1" s="1"/>
      <c r="D1" s="1"/>
      <c r="E1" s="1"/>
      <c r="F1" s="1"/>
    </row>
    <row r="2" customFormat="false" ht="21" hidden="false" customHeight="true" outlineLevel="0" collapsed="false">
      <c r="A2" s="2" t="s">
        <v>0</v>
      </c>
      <c r="B2" s="2"/>
      <c r="C2" s="2"/>
      <c r="D2" s="2"/>
      <c r="E2" s="2"/>
      <c r="F2" s="2"/>
    </row>
    <row r="3" customFormat="false" ht="21" hidden="false" customHeight="true" outlineLevel="0" collapsed="false">
      <c r="A3" s="1"/>
      <c r="B3" s="1"/>
      <c r="C3" s="1"/>
      <c r="D3" s="1"/>
      <c r="E3" s="1"/>
      <c r="F3" s="1"/>
    </row>
    <row r="4" customFormat="false" ht="21" hidden="false" customHeight="true" outlineLevel="0" collapsed="false">
      <c r="A4" s="3"/>
      <c r="B4" s="3"/>
      <c r="C4" s="3"/>
      <c r="D4" s="3"/>
      <c r="E4" s="3"/>
      <c r="F4" s="3"/>
    </row>
    <row r="5" customFormat="false" ht="21" hidden="false" customHeight="true" outlineLevel="0" collapsed="false">
      <c r="A5" s="1"/>
      <c r="B5" s="1"/>
      <c r="C5" s="1"/>
      <c r="D5" s="1"/>
      <c r="E5" s="1"/>
      <c r="F5" s="1"/>
    </row>
    <row r="6" customFormat="false" ht="36" hidden="false" customHeight="true" outlineLevel="0" collapsed="false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</row>
    <row r="7" customFormat="false" ht="21" hidden="false" customHeight="true" outlineLevel="0" collapsed="false">
      <c r="A7" s="1" t="s">
        <v>7</v>
      </c>
      <c r="B7" s="1" t="s">
        <v>8</v>
      </c>
      <c r="C7" s="1" t="s">
        <v>9</v>
      </c>
      <c r="D7" s="5" t="n">
        <f aca="false">Resumen!E27</f>
        <v>21131</v>
      </c>
      <c r="E7" s="6" t="n">
        <v>5.8</v>
      </c>
      <c r="F7" s="7" t="n">
        <f aca="false">ROUND(D7*E7,2)</f>
        <v>122559.8</v>
      </c>
    </row>
    <row r="8" customFormat="false" ht="21" hidden="false" customHeight="true" outlineLevel="0" collapsed="false">
      <c r="A8" s="1" t="s">
        <v>10</v>
      </c>
      <c r="B8" s="1" t="s">
        <v>11</v>
      </c>
      <c r="C8" s="1" t="s">
        <v>12</v>
      </c>
      <c r="D8" s="5" t="n">
        <f aca="false">Resumen!E7</f>
        <v>72</v>
      </c>
      <c r="E8" s="6" t="n">
        <v>3800</v>
      </c>
      <c r="F8" s="7" t="n">
        <f aca="false">ROUND(D8*E8,2)</f>
        <v>273600</v>
      </c>
    </row>
    <row r="9" customFormat="false" ht="21" hidden="false" customHeight="true" outlineLevel="0" collapsed="false">
      <c r="A9" s="1" t="s">
        <v>13</v>
      </c>
      <c r="B9" s="1" t="s">
        <v>14</v>
      </c>
      <c r="C9" s="1" t="s">
        <v>12</v>
      </c>
      <c r="D9" s="5" t="n">
        <f aca="false">Resumen!E8</f>
        <v>30</v>
      </c>
      <c r="E9" s="6" t="n">
        <v>4384.62</v>
      </c>
      <c r="F9" s="7" t="n">
        <f aca="false">ROUND(D9*E9,2)</f>
        <v>131538.6</v>
      </c>
    </row>
    <row r="10" customFormat="false" ht="21" hidden="false" customHeight="true" outlineLevel="0" collapsed="false">
      <c r="A10" s="1" t="s">
        <v>15</v>
      </c>
      <c r="B10" s="1" t="s">
        <v>16</v>
      </c>
      <c r="C10" s="1" t="s">
        <v>12</v>
      </c>
      <c r="D10" s="5" t="n">
        <f aca="false">Resumen!E9</f>
        <v>9</v>
      </c>
      <c r="E10" s="6" t="n">
        <v>4969.23</v>
      </c>
      <c r="F10" s="7" t="n">
        <f aca="false">ROUND(D10*E10,2)</f>
        <v>44723.07</v>
      </c>
    </row>
    <row r="11" customFormat="false" ht="21" hidden="false" customHeight="true" outlineLevel="0" collapsed="false">
      <c r="A11" s="1" t="s">
        <v>17</v>
      </c>
      <c r="B11" s="1" t="s">
        <v>18</v>
      </c>
      <c r="C11" s="1" t="s">
        <v>19</v>
      </c>
      <c r="D11" s="5" t="n">
        <f aca="false">Resumen!E12</f>
        <v>30</v>
      </c>
      <c r="E11" s="6" t="n">
        <v>1200</v>
      </c>
      <c r="F11" s="7" t="n">
        <f aca="false">ROUND(D11*E11,2)</f>
        <v>36000</v>
      </c>
    </row>
    <row r="12" customFormat="false" ht="21" hidden="false" customHeight="true" outlineLevel="0" collapsed="false">
      <c r="A12" s="1" t="s">
        <v>20</v>
      </c>
      <c r="B12" s="1" t="s">
        <v>21</v>
      </c>
      <c r="C12" s="1" t="s">
        <v>19</v>
      </c>
      <c r="D12" s="5" t="n">
        <f aca="false">Resumen!E13</f>
        <v>41</v>
      </c>
      <c r="E12" s="6" t="n">
        <v>1800</v>
      </c>
      <c r="F12" s="7" t="n">
        <f aca="false">ROUND(D12*E12,2)</f>
        <v>73800</v>
      </c>
    </row>
    <row r="13" customFormat="false" ht="21" hidden="false" customHeight="true" outlineLevel="0" collapsed="false">
      <c r="A13" s="1" t="s">
        <v>22</v>
      </c>
      <c r="B13" s="1" t="s">
        <v>23</v>
      </c>
      <c r="C13" s="1" t="s">
        <v>19</v>
      </c>
      <c r="D13" s="5" t="n">
        <f aca="false">SUM(Resumen!E14:E15)</f>
        <v>38</v>
      </c>
      <c r="E13" s="6" t="n">
        <v>2800</v>
      </c>
      <c r="F13" s="7" t="n">
        <f aca="false">ROUND(D13*E13,2)</f>
        <v>106400</v>
      </c>
    </row>
    <row r="14" customFormat="false" ht="21" hidden="false" customHeight="true" outlineLevel="0" collapsed="false">
      <c r="A14" s="1" t="s">
        <v>24</v>
      </c>
      <c r="B14" s="1" t="s">
        <v>25</v>
      </c>
      <c r="C14" s="1" t="s">
        <v>19</v>
      </c>
      <c r="D14" s="5" t="n">
        <f aca="false">Resumen!E16</f>
        <v>2</v>
      </c>
      <c r="E14" s="6" t="n">
        <v>2800</v>
      </c>
      <c r="F14" s="7" t="n">
        <f aca="false">ROUND(D14*E14,2)</f>
        <v>5600</v>
      </c>
    </row>
    <row r="15" customFormat="false" ht="21" hidden="false" customHeight="true" outlineLevel="0" collapsed="false">
      <c r="A15" s="1" t="s">
        <v>26</v>
      </c>
      <c r="B15" s="1" t="s">
        <v>27</v>
      </c>
      <c r="C15" s="1" t="s">
        <v>12</v>
      </c>
      <c r="D15" s="5" t="n">
        <f aca="false">Resumen!E19</f>
        <v>160</v>
      </c>
      <c r="E15" s="6" t="n">
        <v>2600</v>
      </c>
      <c r="F15" s="7" t="n">
        <f aca="false">ROUND(D15*E15,2)</f>
        <v>416000</v>
      </c>
    </row>
    <row r="16" customFormat="false" ht="21" hidden="false" customHeight="true" outlineLevel="0" collapsed="false">
      <c r="A16" s="1" t="s">
        <v>28</v>
      </c>
      <c r="B16" s="1" t="s">
        <v>29</v>
      </c>
      <c r="C16" s="1" t="s">
        <v>12</v>
      </c>
      <c r="D16" s="5" t="n">
        <f aca="false">Resumen!E10</f>
        <v>111</v>
      </c>
      <c r="E16" s="6" t="n">
        <v>1200</v>
      </c>
      <c r="F16" s="7" t="n">
        <f aca="false">ROUND(D16*E16,2)</f>
        <v>133200</v>
      </c>
    </row>
    <row r="17" customFormat="false" ht="21" hidden="false" customHeight="true" outlineLevel="0" collapsed="false">
      <c r="A17" s="1" t="s">
        <v>30</v>
      </c>
      <c r="B17" s="1" t="s">
        <v>31</v>
      </c>
      <c r="C17" s="1" t="s">
        <v>12</v>
      </c>
      <c r="D17" s="5" t="n">
        <f aca="false">Resumen!E20</f>
        <v>2</v>
      </c>
      <c r="E17" s="6" t="n">
        <v>105000</v>
      </c>
      <c r="F17" s="7" t="n">
        <f aca="false">ROUND(D17*E17,2)</f>
        <v>210000</v>
      </c>
    </row>
    <row r="18" customFormat="false" ht="21" hidden="false" customHeight="true" outlineLevel="0" collapsed="false">
      <c r="A18" s="1" t="s">
        <v>32</v>
      </c>
      <c r="B18" s="1" t="s">
        <v>33</v>
      </c>
      <c r="C18" s="1" t="s">
        <v>12</v>
      </c>
      <c r="D18" s="5" t="n">
        <f aca="false">2</f>
        <v>2</v>
      </c>
      <c r="E18" s="6" t="n">
        <v>55000</v>
      </c>
      <c r="F18" s="7" t="n">
        <f aca="false">ROUND(D18*E18,2)</f>
        <v>110000</v>
      </c>
    </row>
    <row r="19" customFormat="false" ht="21" hidden="false" customHeight="true" outlineLevel="0" collapsed="false">
      <c r="A19" s="1" t="s">
        <v>34</v>
      </c>
      <c r="B19" s="1" t="s">
        <v>35</v>
      </c>
      <c r="C19" s="1" t="s">
        <v>19</v>
      </c>
      <c r="D19" s="5" t="n">
        <f aca="false">1</f>
        <v>1</v>
      </c>
      <c r="E19" s="6" t="n">
        <v>60000</v>
      </c>
      <c r="F19" s="7" t="n">
        <f aca="false">ROUND(D19*E19,2)</f>
        <v>60000</v>
      </c>
    </row>
    <row r="20" customFormat="false" ht="21" hidden="false" customHeight="true" outlineLevel="0" collapsed="false">
      <c r="A20" s="1" t="s">
        <v>36</v>
      </c>
      <c r="B20" s="1" t="s">
        <v>37</v>
      </c>
      <c r="C20" s="1" t="s">
        <v>12</v>
      </c>
      <c r="D20" s="5" t="n">
        <f aca="false">2</f>
        <v>2</v>
      </c>
      <c r="E20" s="6" t="n">
        <v>25000</v>
      </c>
      <c r="F20" s="7" t="n">
        <f aca="false">ROUND(D20*E20,2)</f>
        <v>50000</v>
      </c>
    </row>
    <row r="21" customFormat="false" ht="21" hidden="false" customHeight="true" outlineLevel="0" collapsed="false">
      <c r="A21" s="1"/>
      <c r="B21" s="1"/>
      <c r="C21" s="1"/>
      <c r="D21" s="1"/>
      <c r="E21" s="7"/>
      <c r="F21" s="7"/>
    </row>
    <row r="22" customFormat="false" ht="21" hidden="false" customHeight="true" outlineLevel="0" collapsed="false">
      <c r="A22" s="8"/>
      <c r="B22" s="8" t="s">
        <v>38</v>
      </c>
      <c r="C22" s="8"/>
      <c r="D22" s="8"/>
      <c r="E22" s="9"/>
      <c r="F22" s="9" t="n">
        <f aca="false">SUM(F7:F20)</f>
        <v>1773421.47</v>
      </c>
    </row>
    <row r="23" customFormat="false" ht="21" hidden="false" customHeight="true" outlineLevel="0" collapsed="false">
      <c r="A23" s="1"/>
      <c r="B23" s="1"/>
      <c r="C23" s="1"/>
      <c r="D23" s="1"/>
      <c r="E23" s="7"/>
      <c r="F23" s="7"/>
    </row>
    <row r="24" customFormat="false" ht="21" hidden="false" customHeight="true" outlineLevel="0" collapsed="false">
      <c r="A24" s="1"/>
      <c r="B24" s="1" t="s">
        <v>39</v>
      </c>
      <c r="C24" s="1"/>
      <c r="D24" s="1"/>
      <c r="E24" s="10" t="n">
        <v>0.12</v>
      </c>
      <c r="F24" s="7" t="n">
        <f aca="false">ROUND(F22*E24,2)</f>
        <v>212810.58</v>
      </c>
    </row>
    <row r="25" customFormat="false" ht="21" hidden="false" customHeight="true" outlineLevel="0" collapsed="false">
      <c r="A25" s="1"/>
      <c r="B25" s="1" t="s">
        <v>40</v>
      </c>
      <c r="C25" s="1"/>
      <c r="D25" s="1"/>
      <c r="E25" s="10" t="n">
        <v>0.08</v>
      </c>
      <c r="F25" s="7" t="n">
        <f aca="false">ROUND(F22*E25,2)</f>
        <v>141873.72</v>
      </c>
    </row>
    <row r="26" customFormat="false" ht="21" hidden="false" customHeight="true" outlineLevel="0" collapsed="false">
      <c r="A26" s="1"/>
      <c r="B26" s="1" t="s">
        <v>41</v>
      </c>
      <c r="C26" s="1"/>
      <c r="D26" s="1"/>
      <c r="E26" s="10" t="n">
        <v>0.2</v>
      </c>
      <c r="F26" s="7" t="n">
        <f aca="false">ROUND(SUM(F22,F24:F25)*E26,2)</f>
        <v>425621.15</v>
      </c>
    </row>
    <row r="27" customFormat="false" ht="21" hidden="false" customHeight="true" outlineLevel="0" collapsed="false">
      <c r="A27" s="1"/>
      <c r="B27" s="1"/>
      <c r="C27" s="1"/>
      <c r="D27" s="1"/>
      <c r="E27" s="7"/>
      <c r="F27" s="7"/>
    </row>
    <row r="28" customFormat="false" ht="21" hidden="false" customHeight="true" outlineLevel="0" collapsed="false">
      <c r="A28" s="8"/>
      <c r="B28" s="8" t="s">
        <v>42</v>
      </c>
      <c r="C28" s="8"/>
      <c r="D28" s="8"/>
      <c r="E28" s="9"/>
      <c r="F28" s="9" t="n">
        <f aca="false">SUM(F22,F24:F26)</f>
        <v>2553726.92</v>
      </c>
    </row>
    <row r="29" customFormat="false" ht="21" hidden="false" customHeight="true" outlineLevel="0" collapsed="false">
      <c r="A29" s="1"/>
      <c r="B29" s="1"/>
      <c r="C29" s="1"/>
      <c r="D29" s="1"/>
      <c r="E29" s="1"/>
      <c r="F29" s="1"/>
    </row>
    <row r="30" customFormat="false" ht="21" hidden="false" customHeight="true" outlineLevel="0" collapsed="false">
      <c r="A30" s="1"/>
      <c r="B30" s="1"/>
      <c r="C30" s="1"/>
      <c r="D30" s="1"/>
      <c r="E30" s="1"/>
      <c r="F30" s="1"/>
    </row>
    <row r="31" customFormat="false" ht="21" hidden="false" customHeight="true" outlineLevel="0" collapsed="false">
      <c r="A31" s="1"/>
      <c r="B31" s="1" t="s">
        <v>43</v>
      </c>
      <c r="C31" s="1"/>
      <c r="D31" s="1"/>
      <c r="E31" s="1"/>
      <c r="F31" s="1"/>
    </row>
    <row r="32" customFormat="false" ht="21" hidden="false" customHeight="true" outlineLevel="0" collapsed="false">
      <c r="A32" s="1"/>
      <c r="B32" s="1" t="s">
        <v>44</v>
      </c>
      <c r="C32" s="1"/>
      <c r="D32" s="1"/>
      <c r="E32" s="1"/>
      <c r="F32" s="1"/>
    </row>
    <row r="33" customFormat="false" ht="21" hidden="false" customHeight="true" outlineLevel="0" collapsed="false">
      <c r="A33" s="1"/>
      <c r="B33" s="1" t="s">
        <v>45</v>
      </c>
      <c r="C33" s="1"/>
      <c r="D33" s="1"/>
      <c r="E33" s="1"/>
      <c r="F33" s="1"/>
    </row>
    <row r="34" customFormat="false" ht="21" hidden="false" customHeight="true" outlineLevel="0" collapsed="false">
      <c r="A34" s="1"/>
      <c r="B34" s="1" t="s">
        <v>46</v>
      </c>
      <c r="C34" s="1"/>
      <c r="D34" s="1"/>
      <c r="E34" s="1"/>
      <c r="F34" s="1"/>
    </row>
    <row r="35" customFormat="false" ht="21" hidden="false" customHeight="true" outlineLevel="0" collapsed="false">
      <c r="A35" s="1"/>
      <c r="B35" s="1"/>
      <c r="C35" s="1"/>
      <c r="D35" s="1"/>
      <c r="E35" s="1"/>
      <c r="F35" s="1"/>
    </row>
    <row r="36" customFormat="false" ht="21" hidden="false" customHeight="true" outlineLevel="0" collapsed="false">
      <c r="A36" s="1"/>
      <c r="B36" s="1"/>
      <c r="C36" s="1"/>
      <c r="D36" s="1"/>
      <c r="E36" s="1"/>
      <c r="F36" s="1"/>
    </row>
    <row r="37" customFormat="false" ht="21" hidden="false" customHeight="true" outlineLevel="0" collapsed="false">
      <c r="A37" s="1"/>
      <c r="B37" s="1"/>
      <c r="C37" s="1"/>
      <c r="D37" s="1"/>
      <c r="E37" s="1"/>
      <c r="F37" s="1"/>
    </row>
    <row r="38" customFormat="false" ht="21" hidden="false" customHeight="true" outlineLevel="0" collapsed="false">
      <c r="A38" s="1"/>
      <c r="B38" s="1"/>
      <c r="C38" s="1"/>
      <c r="D38" s="1"/>
      <c r="E38" s="1"/>
      <c r="F38" s="1"/>
    </row>
    <row r="39" customFormat="false" ht="21" hidden="false" customHeight="true" outlineLevel="0" collapsed="false">
      <c r="A39" s="1"/>
      <c r="B39" s="1"/>
      <c r="C39" s="1"/>
      <c r="D39" s="1"/>
      <c r="E39" s="1"/>
      <c r="F39" s="1"/>
    </row>
    <row r="40" customFormat="false" ht="21" hidden="false" customHeight="true" outlineLevel="0" collapsed="false">
      <c r="A40" s="1"/>
      <c r="B40" s="1"/>
      <c r="C40" s="1"/>
      <c r="D40" s="1"/>
      <c r="E40" s="1"/>
      <c r="F40" s="1"/>
    </row>
  </sheetData>
  <printOptions headings="false" gridLines="false" gridLinesSet="true" horizontalCentered="false" verticalCentered="false"/>
  <pageMargins left="0.39375" right="0.39375" top="0.551388888888889" bottom="0.551388888888889" header="0.511811023622047" footer="0.3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&amp;CInstalaciones Eléctricas II | Aquiles Taylor Ramos Yapo | 227368&amp;RHoja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4D73"/>
    <pageSetUpPr fitToPage="tru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49"/>
    <col collapsed="false" customWidth="true" hidden="false" outlineLevel="0" max="5" min="5" style="0" width="18"/>
  </cols>
  <sheetData>
    <row r="1" customFormat="false" ht="21" hidden="false" customHeight="true" outlineLevel="0" collapsed="false">
      <c r="A1" s="1"/>
      <c r="B1" s="1"/>
      <c r="C1" s="1"/>
      <c r="D1" s="1"/>
      <c r="E1" s="1"/>
    </row>
    <row r="2" customFormat="false" ht="21" hidden="false" customHeight="true" outlineLevel="0" collapsed="false">
      <c r="A2" s="2" t="s">
        <v>47</v>
      </c>
      <c r="B2" s="2"/>
      <c r="C2" s="2"/>
      <c r="D2" s="2"/>
      <c r="E2" s="2"/>
    </row>
    <row r="3" customFormat="false" ht="21" hidden="false" customHeight="true" outlineLevel="0" collapsed="false">
      <c r="A3" s="1"/>
      <c r="B3" s="1" t="s">
        <v>48</v>
      </c>
      <c r="C3" s="1"/>
      <c r="D3" s="1"/>
      <c r="E3" s="1"/>
    </row>
    <row r="4" customFormat="false" ht="21" hidden="false" customHeight="true" outlineLevel="0" collapsed="false">
      <c r="A4" s="3"/>
      <c r="B4" s="3"/>
      <c r="C4" s="3"/>
      <c r="D4" s="3"/>
      <c r="E4" s="3"/>
    </row>
    <row r="5" customFormat="false" ht="21" hidden="false" customHeight="true" outlineLevel="0" collapsed="false">
      <c r="A5" s="1"/>
      <c r="B5" s="1"/>
      <c r="C5" s="1"/>
      <c r="D5" s="1"/>
      <c r="E5" s="1"/>
    </row>
    <row r="6" customFormat="false" ht="36" hidden="false" customHeight="true" outlineLevel="0" collapsed="false">
      <c r="A6" s="4" t="s">
        <v>49</v>
      </c>
      <c r="B6" s="4" t="s">
        <v>2</v>
      </c>
      <c r="C6" s="4" t="s">
        <v>3</v>
      </c>
      <c r="D6" s="4" t="s">
        <v>50</v>
      </c>
      <c r="E6" s="4" t="s">
        <v>4</v>
      </c>
    </row>
    <row r="7" customFormat="false" ht="21" hidden="false" customHeight="true" outlineLevel="0" collapsed="false">
      <c r="A7" s="1" t="s">
        <v>7</v>
      </c>
      <c r="B7" s="1" t="s">
        <v>51</v>
      </c>
      <c r="C7" s="1" t="s">
        <v>12</v>
      </c>
      <c r="D7" s="1" t="s">
        <v>52</v>
      </c>
      <c r="E7" s="11" t="n">
        <f aca="false">COUNTIFS(Postes!$E$7:$E$117,13)</f>
        <v>72</v>
      </c>
    </row>
    <row r="8" customFormat="false" ht="21" hidden="false" customHeight="true" outlineLevel="0" collapsed="false">
      <c r="A8" s="1" t="s">
        <v>10</v>
      </c>
      <c r="B8" s="1" t="s">
        <v>53</v>
      </c>
      <c r="C8" s="1" t="s">
        <v>12</v>
      </c>
      <c r="D8" s="1" t="s">
        <v>52</v>
      </c>
      <c r="E8" s="11" t="n">
        <f aca="false">COUNTIFS(Postes!$E$7:$E$117,15)</f>
        <v>30</v>
      </c>
    </row>
    <row r="9" customFormat="false" ht="21" hidden="false" customHeight="true" outlineLevel="0" collapsed="false">
      <c r="A9" s="1" t="s">
        <v>13</v>
      </c>
      <c r="B9" s="1" t="s">
        <v>54</v>
      </c>
      <c r="C9" s="1" t="s">
        <v>12</v>
      </c>
      <c r="D9" s="1" t="s">
        <v>52</v>
      </c>
      <c r="E9" s="11" t="n">
        <f aca="false">COUNTIFS(Postes!$E$7:$E$117,17)</f>
        <v>9</v>
      </c>
    </row>
    <row r="10" customFormat="false" ht="21" hidden="false" customHeight="true" outlineLevel="0" collapsed="false">
      <c r="A10" s="8"/>
      <c r="B10" s="8" t="s">
        <v>55</v>
      </c>
      <c r="C10" s="8" t="s">
        <v>12</v>
      </c>
      <c r="D10" s="8" t="s">
        <v>56</v>
      </c>
      <c r="E10" s="12" t="n">
        <f aca="false">SUM(E7:E9)</f>
        <v>111</v>
      </c>
    </row>
    <row r="11" customFormat="false" ht="21" hidden="false" customHeight="true" outlineLevel="0" collapsed="false">
      <c r="A11" s="1"/>
      <c r="B11" s="1"/>
      <c r="C11" s="1"/>
      <c r="D11" s="1"/>
      <c r="E11" s="5"/>
    </row>
    <row r="12" customFormat="false" ht="21" hidden="false" customHeight="true" outlineLevel="0" collapsed="false">
      <c r="A12" s="1" t="s">
        <v>17</v>
      </c>
      <c r="B12" s="1" t="s">
        <v>18</v>
      </c>
      <c r="C12" s="1" t="s">
        <v>19</v>
      </c>
      <c r="D12" s="1" t="s">
        <v>57</v>
      </c>
      <c r="E12" s="11" t="n">
        <f aca="false">COUNTIFS(Postes!$I$7:$I$117,"SUSPENSION")</f>
        <v>30</v>
      </c>
    </row>
    <row r="13" customFormat="false" ht="21" hidden="false" customHeight="true" outlineLevel="0" collapsed="false">
      <c r="A13" s="1" t="s">
        <v>20</v>
      </c>
      <c r="B13" s="1" t="s">
        <v>21</v>
      </c>
      <c r="C13" s="1" t="s">
        <v>19</v>
      </c>
      <c r="D13" s="1" t="s">
        <v>57</v>
      </c>
      <c r="E13" s="11" t="n">
        <f aca="false">COUNTIFS(Postes!$I$7:$I$117,"ANGULO")</f>
        <v>41</v>
      </c>
    </row>
    <row r="14" customFormat="false" ht="21" hidden="false" customHeight="true" outlineLevel="0" collapsed="false">
      <c r="A14" s="1" t="s">
        <v>22</v>
      </c>
      <c r="B14" s="1" t="s">
        <v>58</v>
      </c>
      <c r="C14" s="1" t="s">
        <v>19</v>
      </c>
      <c r="D14" s="1" t="s">
        <v>57</v>
      </c>
      <c r="E14" s="11" t="n">
        <f aca="false">COUNTIFS(Postes!$I$7:$I$117,"ANCLAJE")</f>
        <v>22</v>
      </c>
    </row>
    <row r="15" customFormat="false" ht="21" hidden="false" customHeight="true" outlineLevel="0" collapsed="false">
      <c r="A15" s="1" t="s">
        <v>24</v>
      </c>
      <c r="B15" s="1" t="s">
        <v>59</v>
      </c>
      <c r="C15" s="1" t="s">
        <v>19</v>
      </c>
      <c r="D15" s="1" t="s">
        <v>57</v>
      </c>
      <c r="E15" s="11" t="n">
        <f aca="false">COUNTIFS(Postes!$I$7:$I$117,"ANCLAJE_PROPUESTO")</f>
        <v>16</v>
      </c>
    </row>
    <row r="16" customFormat="false" ht="21" hidden="false" customHeight="true" outlineLevel="0" collapsed="false">
      <c r="A16" s="1" t="s">
        <v>60</v>
      </c>
      <c r="B16" s="1" t="s">
        <v>25</v>
      </c>
      <c r="C16" s="1" t="s">
        <v>19</v>
      </c>
      <c r="D16" s="1" t="s">
        <v>57</v>
      </c>
      <c r="E16" s="11" t="n">
        <f aca="false">COUNTIFS(Postes!$I$7:$I$117,"TERMINAL")</f>
        <v>2</v>
      </c>
    </row>
    <row r="17" customFormat="false" ht="21" hidden="false" customHeight="true" outlineLevel="0" collapsed="false">
      <c r="A17" s="8"/>
      <c r="B17" s="8" t="s">
        <v>61</v>
      </c>
      <c r="C17" s="8" t="s">
        <v>19</v>
      </c>
      <c r="D17" s="8" t="s">
        <v>62</v>
      </c>
      <c r="E17" s="12" t="n">
        <f aca="false">SUM(E12:E16)</f>
        <v>111</v>
      </c>
    </row>
    <row r="18" customFormat="false" ht="21" hidden="false" customHeight="true" outlineLevel="0" collapsed="false">
      <c r="A18" s="1"/>
      <c r="B18" s="1"/>
      <c r="C18" s="1"/>
      <c r="D18" s="1"/>
      <c r="E18" s="5"/>
    </row>
    <row r="19" customFormat="false" ht="21" hidden="false" customHeight="true" outlineLevel="0" collapsed="false">
      <c r="A19" s="1" t="s">
        <v>26</v>
      </c>
      <c r="B19" s="1" t="s">
        <v>27</v>
      </c>
      <c r="C19" s="1" t="s">
        <v>12</v>
      </c>
      <c r="D19" s="1" t="s">
        <v>63</v>
      </c>
      <c r="E19" s="11" t="n">
        <f aca="false">SUM(Postes!$J$7:$J$117)</f>
        <v>160</v>
      </c>
    </row>
    <row r="20" customFormat="false" ht="21" hidden="false" customHeight="true" outlineLevel="0" collapsed="false">
      <c r="A20" s="1" t="s">
        <v>28</v>
      </c>
      <c r="B20" s="1" t="s">
        <v>64</v>
      </c>
      <c r="C20" s="1" t="s">
        <v>12</v>
      </c>
      <c r="D20" s="1" t="s">
        <v>65</v>
      </c>
      <c r="E20" s="11" t="n">
        <f aca="false">1+1</f>
        <v>2</v>
      </c>
    </row>
    <row r="21" customFormat="false" ht="21" hidden="false" customHeight="true" outlineLevel="0" collapsed="false">
      <c r="A21" s="1"/>
      <c r="B21" s="1"/>
      <c r="C21" s="1"/>
      <c r="D21" s="1"/>
      <c r="E21" s="5"/>
    </row>
    <row r="22" customFormat="false" ht="21" hidden="false" customHeight="true" outlineLevel="0" collapsed="false">
      <c r="A22" s="1" t="s">
        <v>30</v>
      </c>
      <c r="B22" s="1" t="s">
        <v>66</v>
      </c>
      <c r="C22" s="1" t="s">
        <v>9</v>
      </c>
      <c r="D22" s="1" t="s">
        <v>67</v>
      </c>
      <c r="E22" s="5" t="n">
        <f aca="false">SUM(Vanos!$D$7:$D$116)</f>
        <v>6696.36869321241</v>
      </c>
    </row>
    <row r="23" customFormat="false" ht="21" hidden="false" customHeight="true" outlineLevel="0" collapsed="false">
      <c r="A23" s="1" t="s">
        <v>32</v>
      </c>
      <c r="B23" s="1" t="s">
        <v>68</v>
      </c>
      <c r="C23" s="1" t="s">
        <v>9</v>
      </c>
      <c r="D23" s="1" t="s">
        <v>69</v>
      </c>
      <c r="E23" s="5" t="n">
        <f aca="false">SUM(Vanos!$M$7:$M$116)</f>
        <v>6758.12029708581</v>
      </c>
    </row>
    <row r="24" customFormat="false" ht="21" hidden="false" customHeight="true" outlineLevel="0" collapsed="false">
      <c r="A24" s="1" t="s">
        <v>34</v>
      </c>
      <c r="B24" s="1" t="s">
        <v>70</v>
      </c>
      <c r="C24" s="1" t="s">
        <v>9</v>
      </c>
      <c r="D24" s="1" t="s">
        <v>71</v>
      </c>
      <c r="E24" s="5" t="n">
        <f aca="false">E23*Parametros!$E$5</f>
        <v>20274.3608912574</v>
      </c>
    </row>
    <row r="25" customFormat="false" ht="21" hidden="false" customHeight="true" outlineLevel="0" collapsed="false">
      <c r="A25" s="1" t="s">
        <v>36</v>
      </c>
      <c r="B25" s="1" t="s">
        <v>72</v>
      </c>
      <c r="C25" s="1" t="s">
        <v>9</v>
      </c>
      <c r="D25" s="1" t="s">
        <v>73</v>
      </c>
      <c r="E25" s="5" t="n">
        <f aca="false">SUM(Postes!$M$7:$M$117)</f>
        <v>240</v>
      </c>
    </row>
    <row r="26" customFormat="false" ht="21" hidden="false" customHeight="true" outlineLevel="0" collapsed="false">
      <c r="A26" s="1" t="s">
        <v>74</v>
      </c>
      <c r="B26" s="1" t="s">
        <v>75</v>
      </c>
      <c r="C26" s="1" t="s">
        <v>9</v>
      </c>
      <c r="D26" s="1" t="s">
        <v>76</v>
      </c>
      <c r="E26" s="11" t="n">
        <f aca="false">ROUNDUP(SUM(E24:E25)*Parametros!$E$7,0)</f>
        <v>616</v>
      </c>
    </row>
    <row r="27" customFormat="false" ht="21" hidden="false" customHeight="true" outlineLevel="0" collapsed="false">
      <c r="A27" s="8"/>
      <c r="B27" s="8" t="s">
        <v>77</v>
      </c>
      <c r="C27" s="8" t="s">
        <v>9</v>
      </c>
      <c r="D27" s="8" t="s">
        <v>78</v>
      </c>
      <c r="E27" s="12" t="n">
        <f aca="false">ROUNDUP(SUM(E24:E26),0)</f>
        <v>21131</v>
      </c>
    </row>
    <row r="28" customFormat="false" ht="21" hidden="false" customHeight="true" outlineLevel="0" collapsed="false">
      <c r="A28" s="1"/>
      <c r="B28" s="1"/>
      <c r="C28" s="1"/>
      <c r="D28" s="1"/>
      <c r="E28" s="1"/>
    </row>
    <row r="29" customFormat="false" ht="21" hidden="false" customHeight="true" outlineLevel="0" collapsed="false">
      <c r="A29" s="1"/>
      <c r="B29" s="1"/>
      <c r="C29" s="1"/>
      <c r="D29" s="1"/>
      <c r="E29" s="1"/>
    </row>
    <row r="30" customFormat="false" ht="21" hidden="false" customHeight="true" outlineLevel="0" collapsed="false">
      <c r="A30" s="1"/>
      <c r="B30" s="1" t="s">
        <v>79</v>
      </c>
      <c r="C30" s="1"/>
      <c r="D30" s="1"/>
      <c r="E30" s="1"/>
    </row>
    <row r="31" customFormat="false" ht="21" hidden="false" customHeight="true" outlineLevel="0" collapsed="false">
      <c r="A31" s="1"/>
      <c r="B31" s="1" t="s">
        <v>80</v>
      </c>
      <c r="C31" s="1"/>
      <c r="D31" s="1"/>
      <c r="E31" s="1"/>
    </row>
    <row r="32" customFormat="false" ht="21" hidden="false" customHeight="true" outlineLevel="0" collapsed="false">
      <c r="A32" s="1"/>
      <c r="B32" s="1"/>
      <c r="C32" s="1"/>
      <c r="D32" s="1"/>
      <c r="E32" s="1"/>
    </row>
    <row r="33" customFormat="false" ht="21" hidden="false" customHeight="true" outlineLevel="0" collapsed="false">
      <c r="A33" s="1"/>
      <c r="B33" s="1"/>
      <c r="C33" s="1"/>
      <c r="D33" s="1"/>
      <c r="E33" s="1"/>
    </row>
    <row r="34" customFormat="false" ht="21" hidden="false" customHeight="true" outlineLevel="0" collapsed="false">
      <c r="A34" s="1"/>
      <c r="B34" s="1"/>
      <c r="C34" s="1"/>
      <c r="D34" s="1"/>
      <c r="E34" s="1"/>
    </row>
    <row r="35" customFormat="false" ht="21" hidden="false" customHeight="true" outlineLevel="0" collapsed="false">
      <c r="A35" s="1"/>
      <c r="B35" s="1"/>
      <c r="C35" s="1"/>
      <c r="D35" s="1"/>
      <c r="E35" s="1"/>
    </row>
  </sheetData>
  <printOptions headings="false" gridLines="false" gridLinesSet="true" horizontalCentered="false" verticalCentered="false"/>
  <pageMargins left="0.39375" right="0.39375" top="0.551388888888889" bottom="0.551388888888889" header="0.511811023622047" footer="0.3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&amp;CInstalaciones Eléctricas II | Aquiles Taylor Ramos Yapo | 227368&amp;RHoja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4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7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26"/>
    <col collapsed="false" customWidth="true" hidden="false" outlineLevel="0" max="10" min="10" style="0" width="13"/>
    <col collapsed="false" customWidth="true" hidden="false" outlineLevel="0" max="12" min="11" style="0" width="10"/>
    <col collapsed="false" customWidth="true" hidden="false" outlineLevel="0" max="13" min="13" style="0" width="16"/>
    <col collapsed="false" customWidth="true" hidden="false" outlineLevel="0" max="19" min="14" style="0" width="19"/>
  </cols>
  <sheetData>
    <row r="1" customFormat="false" ht="21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" hidden="false" customHeight="true" outlineLevel="0" collapsed="false">
      <c r="A2" s="2" t="s">
        <v>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21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21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21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customFormat="false" ht="36" hidden="false" customHeight="true" outlineLevel="0" collapsed="false">
      <c r="A6" s="4" t="s">
        <v>82</v>
      </c>
      <c r="B6" s="4" t="s">
        <v>83</v>
      </c>
      <c r="C6" s="4" t="s">
        <v>84</v>
      </c>
      <c r="D6" s="4" t="s">
        <v>85</v>
      </c>
      <c r="E6" s="4" t="s">
        <v>86</v>
      </c>
      <c r="F6" s="4" t="s">
        <v>87</v>
      </c>
      <c r="G6" s="4" t="s">
        <v>88</v>
      </c>
      <c r="H6" s="4" t="s">
        <v>89</v>
      </c>
      <c r="I6" s="4" t="s">
        <v>90</v>
      </c>
      <c r="J6" s="4" t="s">
        <v>91</v>
      </c>
      <c r="K6" s="4" t="s">
        <v>92</v>
      </c>
      <c r="L6" s="4" t="s">
        <v>93</v>
      </c>
      <c r="M6" s="4" t="s">
        <v>94</v>
      </c>
      <c r="N6" s="0" t="s">
        <v>95</v>
      </c>
      <c r="O6" s="0" t="s">
        <v>96</v>
      </c>
      <c r="P6" s="0" t="s">
        <v>97</v>
      </c>
      <c r="Q6" s="0" t="s">
        <v>98</v>
      </c>
      <c r="R6" s="0" t="s">
        <v>99</v>
      </c>
      <c r="S6" s="0" t="s">
        <v>100</v>
      </c>
    </row>
    <row r="7" customFormat="false" ht="21" hidden="false" customHeight="true" outlineLevel="0" collapsed="false">
      <c r="A7" s="1" t="s">
        <v>101</v>
      </c>
      <c r="B7" s="6" t="n">
        <v>425715</v>
      </c>
      <c r="C7" s="6" t="n">
        <v>8436650</v>
      </c>
      <c r="D7" s="6" t="n">
        <v>3235.32521283471</v>
      </c>
      <c r="E7" s="6" t="n">
        <v>13</v>
      </c>
      <c r="F7" s="6" t="n">
        <v>1.9</v>
      </c>
      <c r="G7" s="6" t="n">
        <v>10.6</v>
      </c>
      <c r="H7" s="6" t="n">
        <v>0</v>
      </c>
      <c r="I7" s="13" t="s">
        <v>102</v>
      </c>
      <c r="J7" s="14" t="n">
        <f aca="false">IF(I7="SUSPENSION",0,IF(I7="TERMINAL",1,2))</f>
        <v>1</v>
      </c>
      <c r="K7" s="14" t="n">
        <f aca="false">1</f>
        <v>1</v>
      </c>
      <c r="L7" s="14" t="n">
        <f aca="false">1</f>
        <v>1</v>
      </c>
      <c r="M7" s="15" t="n">
        <f aca="false">O7*Parametros!$E$6</f>
        <v>6</v>
      </c>
      <c r="N7" s="0" t="str">
        <f aca="false">IF(I7="SUSPENSION","CAC-S",IF(I7="ANGULO","CAC-A",IF(I7="TERMINAL","CAC-T",IF(OR(I7="ANCLAJE",I7="ANCLAJE_PROPUESTO"),"CAC-R","SIN-RECETA"))))</f>
        <v>CAC-T</v>
      </c>
      <c r="O7" s="0" t="n">
        <f aca="false">IF(OR(I7="ANCLAJE",I7="ANCLAJE_PROPUESTO",I7="TERMINAL"),Parametros!$E$5,0)</f>
        <v>3</v>
      </c>
      <c r="P7" s="0" t="n">
        <f aca="false">G7/SIN(RADIANS(Criterios_M01!$C$2))+Criterios_M01!$C$3</f>
        <v>17.9906637611548</v>
      </c>
      <c r="Q7" s="0" t="n">
        <f aca="false">G7+Criterios_M01!$C$4</f>
        <v>13.6</v>
      </c>
      <c r="R7" s="0" t="n">
        <f aca="false">ROUNDUP(G7/Criterios_M01!$C$5,0)+1</f>
        <v>12</v>
      </c>
      <c r="S7" s="0" t="n">
        <f aca="false">(SUMIF(Vanos!$B$7:$B$116,A7,Vanos!$N$7:$N$116)+SUMIF(Vanos!$C$7:$C$116,A7,Vanos!$N$7:$N$116))/2</f>
        <v>73.9102878746525</v>
      </c>
    </row>
    <row r="8" customFormat="false" ht="21" hidden="false" customHeight="true" outlineLevel="0" collapsed="false">
      <c r="A8" s="1" t="s">
        <v>103</v>
      </c>
      <c r="B8" s="6" t="n">
        <v>425745.158288826</v>
      </c>
      <c r="C8" s="6" t="n">
        <v>8436613.76080598</v>
      </c>
      <c r="D8" s="6" t="n">
        <v>3249.64059937289</v>
      </c>
      <c r="E8" s="6" t="n">
        <v>13</v>
      </c>
      <c r="F8" s="6" t="n">
        <v>1.9</v>
      </c>
      <c r="G8" s="6" t="n">
        <v>10.6</v>
      </c>
      <c r="H8" s="6" t="n">
        <v>0</v>
      </c>
      <c r="I8" s="13" t="s">
        <v>104</v>
      </c>
      <c r="J8" s="14" t="n">
        <f aca="false">IF(I8="SUSPENSION",0,IF(I8="TERMINAL",1,2))</f>
        <v>0</v>
      </c>
      <c r="K8" s="14" t="n">
        <f aca="false">1</f>
        <v>1</v>
      </c>
      <c r="L8" s="14" t="n">
        <f aca="false">1</f>
        <v>1</v>
      </c>
      <c r="M8" s="15" t="n">
        <f aca="false">O8*Parametros!$E$6</f>
        <v>0</v>
      </c>
      <c r="N8" s="0" t="str">
        <f aca="false">IF(I8="SUSPENSION","CAC-S",IF(I8="ANGULO","CAC-A",IF(I8="TERMINAL","CAC-T",IF(OR(I8="ANCLAJE",I8="ANCLAJE_PROPUESTO"),"CAC-R","SIN-RECETA"))))</f>
        <v>CAC-S</v>
      </c>
      <c r="O8" s="0" t="n">
        <f aca="false">IF(OR(I8="ANCLAJE",I8="ANCLAJE_PROPUESTO",I8="TERMINAL"),Parametros!$E$5,0)</f>
        <v>0</v>
      </c>
      <c r="P8" s="0" t="n">
        <f aca="false">G8/SIN(RADIANS(Criterios_M01!$C$2))+Criterios_M01!$C$3</f>
        <v>17.9906637611548</v>
      </c>
      <c r="Q8" s="0" t="n">
        <f aca="false">G8+Criterios_M01!$C$4</f>
        <v>13.6</v>
      </c>
      <c r="R8" s="0" t="n">
        <f aca="false">ROUNDUP(G8/Criterios_M01!$C$5,0)+1</f>
        <v>12</v>
      </c>
      <c r="S8" s="0" t="n">
        <f aca="false">(SUMIF(Vanos!$B$7:$B$116,A8,Vanos!$N$7:$N$116)+SUMIF(Vanos!$C$7:$C$116,A8,Vanos!$N$7:$N$116))/2</f>
        <v>147.378394974398</v>
      </c>
    </row>
    <row r="9" customFormat="false" ht="21" hidden="false" customHeight="true" outlineLevel="0" collapsed="false">
      <c r="A9" s="1" t="s">
        <v>105</v>
      </c>
      <c r="B9" s="6" t="n">
        <v>425775.316577653</v>
      </c>
      <c r="C9" s="6" t="n">
        <v>8436577.52161196</v>
      </c>
      <c r="D9" s="6" t="n">
        <v>3261.10584659763</v>
      </c>
      <c r="E9" s="6" t="n">
        <v>15</v>
      </c>
      <c r="F9" s="6" t="n">
        <v>2.1</v>
      </c>
      <c r="G9" s="6" t="n">
        <v>12.4</v>
      </c>
      <c r="H9" s="6" t="n">
        <v>92.5941336908405</v>
      </c>
      <c r="I9" s="13" t="s">
        <v>106</v>
      </c>
      <c r="J9" s="14" t="n">
        <f aca="false">IF(I9="SUSPENSION",0,IF(I9="TERMINAL",1,2))</f>
        <v>2</v>
      </c>
      <c r="K9" s="14" t="n">
        <f aca="false">1</f>
        <v>1</v>
      </c>
      <c r="L9" s="14" t="n">
        <f aca="false">1</f>
        <v>1</v>
      </c>
      <c r="M9" s="15" t="n">
        <f aca="false">O9*Parametros!$E$6</f>
        <v>6</v>
      </c>
      <c r="N9" s="0" t="str">
        <f aca="false">IF(I9="SUSPENSION","CAC-S",IF(I9="ANGULO","CAC-A",IF(I9="TERMINAL","CAC-T",IF(OR(I9="ANCLAJE",I9="ANCLAJE_PROPUESTO"),"CAC-R","SIN-RECETA"))))</f>
        <v>CAC-R</v>
      </c>
      <c r="O9" s="0" t="n">
        <f aca="false">IF(OR(I9="ANCLAJE",I9="ANCLAJE_PROPUESTO",I9="TERMINAL"),Parametros!$E$5,0)</f>
        <v>3</v>
      </c>
      <c r="P9" s="0" t="n">
        <f aca="false">G9/SIN(RADIANS(Criterios_M01!$C$2))+Criterios_M01!$C$3</f>
        <v>20.5362481734264</v>
      </c>
      <c r="Q9" s="0" t="n">
        <f aca="false">G9+Criterios_M01!$C$4</f>
        <v>15.4</v>
      </c>
      <c r="R9" s="0" t="n">
        <f aca="false">ROUNDUP(G9/Criterios_M01!$C$5,0)+1</f>
        <v>14</v>
      </c>
      <c r="S9" s="0" t="n">
        <f aca="false">(SUMIF(Vanos!$B$7:$B$116,A9,Vanos!$N$7:$N$116)+SUMIF(Vanos!$C$7:$C$116,A9,Vanos!$N$7:$N$116))/2</f>
        <v>186.824804031426</v>
      </c>
    </row>
    <row r="10" customFormat="false" ht="21" hidden="false" customHeight="true" outlineLevel="0" collapsed="false">
      <c r="A10" s="1" t="s">
        <v>107</v>
      </c>
      <c r="B10" s="6" t="n">
        <v>425715.105649646</v>
      </c>
      <c r="C10" s="6" t="n">
        <v>8436531.86353145</v>
      </c>
      <c r="D10" s="6" t="n">
        <v>3261.11975453842</v>
      </c>
      <c r="E10" s="6" t="n">
        <v>15</v>
      </c>
      <c r="F10" s="6" t="n">
        <v>2.1</v>
      </c>
      <c r="G10" s="6" t="n">
        <v>12.4</v>
      </c>
      <c r="H10" s="6" t="n">
        <v>0</v>
      </c>
      <c r="I10" s="13" t="s">
        <v>104</v>
      </c>
      <c r="J10" s="14" t="n">
        <f aca="false">IF(I10="SUSPENSION",0,IF(I10="TERMINAL",1,2))</f>
        <v>0</v>
      </c>
      <c r="K10" s="14" t="n">
        <f aca="false">1</f>
        <v>1</v>
      </c>
      <c r="L10" s="14" t="n">
        <f aca="false">1</f>
        <v>1</v>
      </c>
      <c r="M10" s="15" t="n">
        <f aca="false">O10*Parametros!$E$6</f>
        <v>0</v>
      </c>
      <c r="N10" s="0" t="str">
        <f aca="false">IF(I10="SUSPENSION","CAC-S",IF(I10="ANGULO","CAC-A",IF(I10="TERMINAL","CAC-T",IF(OR(I10="ANCLAJE",I10="ANCLAJE_PROPUESTO"),"CAC-R","SIN-RECETA"))))</f>
        <v>CAC-S</v>
      </c>
      <c r="O10" s="0" t="n">
        <f aca="false">IF(OR(I10="ANCLAJE",I10="ANCLAJE_PROPUESTO",I10="TERMINAL"),Parametros!$E$5,0)</f>
        <v>0</v>
      </c>
      <c r="P10" s="0" t="n">
        <f aca="false">G10/SIN(RADIANS(Criterios_M01!$C$2))+Criterios_M01!$C$3</f>
        <v>20.5362481734264</v>
      </c>
      <c r="Q10" s="0" t="n">
        <f aca="false">G10+Criterios_M01!$C$4</f>
        <v>15.4</v>
      </c>
      <c r="R10" s="0" t="n">
        <f aca="false">ROUNDUP(G10/Criterios_M01!$C$5,0)+1</f>
        <v>14</v>
      </c>
      <c r="S10" s="0" t="n">
        <f aca="false">(SUMIF(Vanos!$B$7:$B$116,A10,Vanos!$N$7:$N$116)+SUMIF(Vanos!$C$7:$C$116,A10,Vanos!$N$7:$N$116))/2</f>
        <v>226.723048375463</v>
      </c>
    </row>
    <row r="11" customFormat="false" ht="21" hidden="false" customHeight="true" outlineLevel="0" collapsed="false">
      <c r="A11" s="1" t="s">
        <v>108</v>
      </c>
      <c r="B11" s="6" t="n">
        <v>425654.894721639</v>
      </c>
      <c r="C11" s="6" t="n">
        <v>8436486.20545095</v>
      </c>
      <c r="D11" s="6" t="n">
        <v>3260.13332762305</v>
      </c>
      <c r="E11" s="6" t="n">
        <v>15</v>
      </c>
      <c r="F11" s="6" t="n">
        <v>2.1</v>
      </c>
      <c r="G11" s="6" t="n">
        <v>12.4</v>
      </c>
      <c r="H11" s="6" t="n">
        <v>14.0599559600261</v>
      </c>
      <c r="I11" s="13" t="s">
        <v>109</v>
      </c>
      <c r="J11" s="14" t="n">
        <f aca="false">IF(I11="SUSPENSION",0,IF(I11="TERMINAL",1,2))</f>
        <v>2</v>
      </c>
      <c r="K11" s="14" t="n">
        <f aca="false">1</f>
        <v>1</v>
      </c>
      <c r="L11" s="14" t="n">
        <f aca="false">1</f>
        <v>1</v>
      </c>
      <c r="M11" s="15" t="n">
        <f aca="false">O11*Parametros!$E$6</f>
        <v>0</v>
      </c>
      <c r="N11" s="0" t="str">
        <f aca="false">IF(I11="SUSPENSION","CAC-S",IF(I11="ANGULO","CAC-A",IF(I11="TERMINAL","CAC-T",IF(OR(I11="ANCLAJE",I11="ANCLAJE_PROPUESTO"),"CAC-R","SIN-RECETA"))))</f>
        <v>CAC-A</v>
      </c>
      <c r="O11" s="0" t="n">
        <f aca="false">IF(OR(I11="ANCLAJE",I11="ANCLAJE_PROPUESTO",I11="TERMINAL"),Parametros!$E$5,0)</f>
        <v>0</v>
      </c>
      <c r="P11" s="0" t="n">
        <f aca="false">G11/SIN(RADIANS(Criterios_M01!$C$2))+Criterios_M01!$C$3</f>
        <v>20.5362481734264</v>
      </c>
      <c r="Q11" s="0" t="n">
        <f aca="false">G11+Criterios_M01!$C$4</f>
        <v>15.4</v>
      </c>
      <c r="R11" s="0" t="n">
        <f aca="false">ROUNDUP(G11/Criterios_M01!$C$5,0)+1</f>
        <v>14</v>
      </c>
      <c r="S11" s="0" t="n">
        <f aca="false">(SUMIF(Vanos!$B$7:$B$116,A11,Vanos!$N$7:$N$116)+SUMIF(Vanos!$C$7:$C$116,A11,Vanos!$N$7:$N$116))/2</f>
        <v>220.486966270762</v>
      </c>
    </row>
    <row r="12" customFormat="false" ht="21" hidden="false" customHeight="true" outlineLevel="0" collapsed="false">
      <c r="A12" s="1" t="s">
        <v>110</v>
      </c>
      <c r="B12" s="6" t="n">
        <v>425610.422433176</v>
      </c>
      <c r="C12" s="6" t="n">
        <v>8436430.82763907</v>
      </c>
      <c r="D12" s="6" t="n">
        <v>3265.72736190079</v>
      </c>
      <c r="E12" s="6" t="n">
        <v>17</v>
      </c>
      <c r="F12" s="6" t="n">
        <v>2.1</v>
      </c>
      <c r="G12" s="6" t="n">
        <v>14.2</v>
      </c>
      <c r="H12" s="6" t="n">
        <v>1.20741826972573E-006</v>
      </c>
      <c r="I12" s="13" t="s">
        <v>104</v>
      </c>
      <c r="J12" s="14" t="n">
        <f aca="false">IF(I12="SUSPENSION",0,IF(I12="TERMINAL",1,2))</f>
        <v>0</v>
      </c>
      <c r="K12" s="14" t="n">
        <f aca="false">1</f>
        <v>1</v>
      </c>
      <c r="L12" s="14" t="n">
        <f aca="false">1</f>
        <v>1</v>
      </c>
      <c r="M12" s="15" t="n">
        <f aca="false">O12*Parametros!$E$6</f>
        <v>0</v>
      </c>
      <c r="N12" s="0" t="str">
        <f aca="false">IF(I12="SUSPENSION","CAC-S",IF(I12="ANGULO","CAC-A",IF(I12="TERMINAL","CAC-T",IF(OR(I12="ANCLAJE",I12="ANCLAJE_PROPUESTO"),"CAC-R","SIN-RECETA"))))</f>
        <v>CAC-S</v>
      </c>
      <c r="O12" s="0" t="n">
        <f aca="false">IF(OR(I12="ANCLAJE",I12="ANCLAJE_PROPUESTO",I12="TERMINAL"),Parametros!$E$5,0)</f>
        <v>0</v>
      </c>
      <c r="P12" s="0" t="n">
        <f aca="false">G12/SIN(RADIANS(Criterios_M01!$C$2))+Criterios_M01!$C$3</f>
        <v>23.081832585698</v>
      </c>
      <c r="Q12" s="0" t="n">
        <f aca="false">G12+Criterios_M01!$C$4</f>
        <v>17.2</v>
      </c>
      <c r="R12" s="0" t="n">
        <f aca="false">ROUNDUP(G12/Criterios_M01!$C$5,0)+1</f>
        <v>16</v>
      </c>
      <c r="S12" s="0" t="n">
        <f aca="false">(SUMIF(Vanos!$B$7:$B$116,A12,Vanos!$N$7:$N$116)+SUMIF(Vanos!$C$7:$C$116,A12,Vanos!$N$7:$N$116))/2</f>
        <v>213.736407733889</v>
      </c>
    </row>
    <row r="13" customFormat="false" ht="21" hidden="false" customHeight="true" outlineLevel="0" collapsed="false">
      <c r="A13" s="1" t="s">
        <v>111</v>
      </c>
      <c r="B13" s="6" t="n">
        <v>425565.950144713</v>
      </c>
      <c r="C13" s="6" t="n">
        <v>8436375.44982719</v>
      </c>
      <c r="D13" s="6" t="n">
        <v>3270.11902351854</v>
      </c>
      <c r="E13" s="6" t="n">
        <v>15</v>
      </c>
      <c r="F13" s="6" t="n">
        <v>2.1</v>
      </c>
      <c r="G13" s="6" t="n">
        <v>12.4</v>
      </c>
      <c r="H13" s="6" t="n">
        <v>7.82172508434899</v>
      </c>
      <c r="I13" s="13" t="s">
        <v>109</v>
      </c>
      <c r="J13" s="14" t="n">
        <f aca="false">IF(I13="SUSPENSION",0,IF(I13="TERMINAL",1,2))</f>
        <v>2</v>
      </c>
      <c r="K13" s="14" t="n">
        <f aca="false">1</f>
        <v>1</v>
      </c>
      <c r="L13" s="14" t="n">
        <f aca="false">1</f>
        <v>1</v>
      </c>
      <c r="M13" s="15" t="n">
        <f aca="false">O13*Parametros!$E$6</f>
        <v>0</v>
      </c>
      <c r="N13" s="0" t="str">
        <f aca="false">IF(I13="SUSPENSION","CAC-S",IF(I13="ANGULO","CAC-A",IF(I13="TERMINAL","CAC-T",IF(OR(I13="ANCLAJE",I13="ANCLAJE_PROPUESTO"),"CAC-R","SIN-RECETA"))))</f>
        <v>CAC-A</v>
      </c>
      <c r="O13" s="0" t="n">
        <f aca="false">IF(OR(I13="ANCLAJE",I13="ANCLAJE_PROPUESTO",I13="TERMINAL"),Parametros!$E$5,0)</f>
        <v>0</v>
      </c>
      <c r="P13" s="0" t="n">
        <f aca="false">G13/SIN(RADIANS(Criterios_M01!$C$2))+Criterios_M01!$C$3</f>
        <v>20.5362481734264</v>
      </c>
      <c r="Q13" s="0" t="n">
        <f aca="false">G13+Criterios_M01!$C$4</f>
        <v>15.4</v>
      </c>
      <c r="R13" s="0" t="n">
        <f aca="false">ROUNDUP(G13/Criterios_M01!$C$5,0)+1</f>
        <v>14</v>
      </c>
      <c r="S13" s="0" t="n">
        <f aca="false">(SUMIF(Vanos!$B$7:$B$116,A13,Vanos!$N$7:$N$116)+SUMIF(Vanos!$C$7:$C$116,A13,Vanos!$N$7:$N$116))/2</f>
        <v>192.910699616394</v>
      </c>
    </row>
    <row r="14" customFormat="false" ht="21" hidden="false" customHeight="true" outlineLevel="0" collapsed="false">
      <c r="A14" s="1" t="s">
        <v>112</v>
      </c>
      <c r="B14" s="6" t="n">
        <v>425536.378811762</v>
      </c>
      <c r="C14" s="6" t="n">
        <v>8436326.12806357</v>
      </c>
      <c r="D14" s="6" t="n">
        <v>3270.4140056021</v>
      </c>
      <c r="E14" s="6" t="n">
        <v>13</v>
      </c>
      <c r="F14" s="6" t="n">
        <v>1.9</v>
      </c>
      <c r="G14" s="6" t="n">
        <v>10.6</v>
      </c>
      <c r="H14" s="6" t="n">
        <v>13.4869318028682</v>
      </c>
      <c r="I14" s="13" t="s">
        <v>109</v>
      </c>
      <c r="J14" s="14" t="n">
        <f aca="false">IF(I14="SUSPENSION",0,IF(I14="TERMINAL",1,2))</f>
        <v>2</v>
      </c>
      <c r="K14" s="14" t="n">
        <f aca="false">1</f>
        <v>1</v>
      </c>
      <c r="L14" s="14" t="n">
        <f aca="false">1</f>
        <v>1</v>
      </c>
      <c r="M14" s="15" t="n">
        <f aca="false">O14*Parametros!$E$6</f>
        <v>0</v>
      </c>
      <c r="N14" s="0" t="str">
        <f aca="false">IF(I14="SUSPENSION","CAC-S",IF(I14="ANGULO","CAC-A",IF(I14="TERMINAL","CAC-T",IF(OR(I14="ANCLAJE",I14="ANCLAJE_PROPUESTO"),"CAC-R","SIN-RECETA"))))</f>
        <v>CAC-A</v>
      </c>
      <c r="O14" s="0" t="n">
        <f aca="false">IF(OR(I14="ANCLAJE",I14="ANCLAJE_PROPUESTO",I14="TERMINAL"),Parametros!$E$5,0)</f>
        <v>0</v>
      </c>
      <c r="P14" s="0" t="n">
        <f aca="false">G14/SIN(RADIANS(Criterios_M01!$C$2))+Criterios_M01!$C$3</f>
        <v>17.9906637611548</v>
      </c>
      <c r="Q14" s="0" t="n">
        <f aca="false">G14+Criterios_M01!$C$4</f>
        <v>13.6</v>
      </c>
      <c r="R14" s="0" t="n">
        <f aca="false">ROUNDUP(G14/Criterios_M01!$C$5,0)+1</f>
        <v>12</v>
      </c>
      <c r="S14" s="0" t="n">
        <f aca="false">(SUMIF(Vanos!$B$7:$B$116,A14,Vanos!$N$7:$N$116)+SUMIF(Vanos!$C$7:$C$116,A14,Vanos!$N$7:$N$116))/2</f>
        <v>191.510912216743</v>
      </c>
    </row>
    <row r="15" customFormat="false" ht="21" hidden="false" customHeight="true" outlineLevel="0" collapsed="false">
      <c r="A15" s="1" t="s">
        <v>113</v>
      </c>
      <c r="B15" s="6" t="n">
        <v>425515.343744284</v>
      </c>
      <c r="C15" s="6" t="n">
        <v>8436259.24350799</v>
      </c>
      <c r="D15" s="6" t="n">
        <v>3272.26801975927</v>
      </c>
      <c r="E15" s="6" t="n">
        <v>13</v>
      </c>
      <c r="F15" s="6" t="n">
        <v>1.9</v>
      </c>
      <c r="G15" s="6" t="n">
        <v>10.6</v>
      </c>
      <c r="H15" s="6" t="n">
        <v>0</v>
      </c>
      <c r="I15" s="13" t="s">
        <v>114</v>
      </c>
      <c r="J15" s="14" t="n">
        <f aca="false">IF(I15="SUSPENSION",0,IF(I15="TERMINAL",1,2))</f>
        <v>2</v>
      </c>
      <c r="K15" s="14" t="n">
        <f aca="false">1</f>
        <v>1</v>
      </c>
      <c r="L15" s="14" t="n">
        <f aca="false">1</f>
        <v>1</v>
      </c>
      <c r="M15" s="15" t="n">
        <f aca="false">O15*Parametros!$E$6</f>
        <v>6</v>
      </c>
      <c r="N15" s="0" t="str">
        <f aca="false">IF(I15="SUSPENSION","CAC-S",IF(I15="ANGULO","CAC-A",IF(I15="TERMINAL","CAC-T",IF(OR(I15="ANCLAJE",I15="ANCLAJE_PROPUESTO"),"CAC-R","SIN-RECETA"))))</f>
        <v>CAC-R</v>
      </c>
      <c r="O15" s="0" t="n">
        <f aca="false">IF(OR(I15="ANCLAJE",I15="ANCLAJE_PROPUESTO",I15="TERMINAL"),Parametros!$E$5,0)</f>
        <v>3</v>
      </c>
      <c r="P15" s="0" t="n">
        <f aca="false">G15/SIN(RADIANS(Criterios_M01!$C$2))+Criterios_M01!$C$3</f>
        <v>17.9906637611548</v>
      </c>
      <c r="Q15" s="0" t="n">
        <f aca="false">G15+Criterios_M01!$C$4</f>
        <v>13.6</v>
      </c>
      <c r="R15" s="0" t="n">
        <f aca="false">ROUNDUP(G15/Criterios_M01!$C$5,0)+1</f>
        <v>12</v>
      </c>
      <c r="S15" s="0" t="n">
        <f aca="false">(SUMIF(Vanos!$B$7:$B$116,A15,Vanos!$N$7:$N$116)+SUMIF(Vanos!$C$7:$C$116,A15,Vanos!$N$7:$N$116))/2</f>
        <v>210.817961285486</v>
      </c>
    </row>
    <row r="16" customFormat="false" ht="21" hidden="false" customHeight="true" outlineLevel="0" collapsed="false">
      <c r="A16" s="1" t="s">
        <v>115</v>
      </c>
      <c r="B16" s="6" t="n">
        <v>425494.308676806</v>
      </c>
      <c r="C16" s="6" t="n">
        <v>8436192.35895241</v>
      </c>
      <c r="D16" s="6" t="n">
        <v>3278.56084911166</v>
      </c>
      <c r="E16" s="6" t="n">
        <v>13</v>
      </c>
      <c r="F16" s="6" t="n">
        <v>1.9</v>
      </c>
      <c r="G16" s="6" t="n">
        <v>10.6</v>
      </c>
      <c r="H16" s="6" t="n">
        <v>21.8026112300608</v>
      </c>
      <c r="I16" s="13" t="s">
        <v>109</v>
      </c>
      <c r="J16" s="14" t="n">
        <f aca="false">IF(I16="SUSPENSION",0,IF(I16="TERMINAL",1,2))</f>
        <v>2</v>
      </c>
      <c r="K16" s="14" t="n">
        <f aca="false">1</f>
        <v>1</v>
      </c>
      <c r="L16" s="14" t="n">
        <f aca="false">1</f>
        <v>1</v>
      </c>
      <c r="M16" s="15" t="n">
        <f aca="false">O16*Parametros!$E$6</f>
        <v>0</v>
      </c>
      <c r="N16" s="0" t="str">
        <f aca="false">IF(I16="SUSPENSION","CAC-S",IF(I16="ANGULO","CAC-A",IF(I16="TERMINAL","CAC-T",IF(OR(I16="ANCLAJE",I16="ANCLAJE_PROPUESTO"),"CAC-R","SIN-RECETA"))))</f>
        <v>CAC-A</v>
      </c>
      <c r="O16" s="0" t="n">
        <f aca="false">IF(OR(I16="ANCLAJE",I16="ANCLAJE_PROPUESTO",I16="TERMINAL"),Parametros!$E$5,0)</f>
        <v>0</v>
      </c>
      <c r="P16" s="0" t="n">
        <f aca="false">G16/SIN(RADIANS(Criterios_M01!$C$2))+Criterios_M01!$C$3</f>
        <v>17.9906637611548</v>
      </c>
      <c r="Q16" s="0" t="n">
        <f aca="false">G16+Criterios_M01!$C$4</f>
        <v>13.6</v>
      </c>
      <c r="R16" s="0" t="n">
        <f aca="false">ROUNDUP(G16/Criterios_M01!$C$5,0)+1</f>
        <v>12</v>
      </c>
      <c r="S16" s="0" t="n">
        <f aca="false">(SUMIF(Vanos!$B$7:$B$116,A16,Vanos!$N$7:$N$116)+SUMIF(Vanos!$C$7:$C$116,A16,Vanos!$N$7:$N$116))/2</f>
        <v>182.549278902777</v>
      </c>
    </row>
    <row r="17" customFormat="false" ht="21" hidden="false" customHeight="true" outlineLevel="0" collapsed="false">
      <c r="A17" s="1" t="s">
        <v>116</v>
      </c>
      <c r="B17" s="6" t="n">
        <v>425462.530506695</v>
      </c>
      <c r="C17" s="6" t="n">
        <v>8436153.47947893</v>
      </c>
      <c r="D17" s="6" t="n">
        <v>3289.04180101204</v>
      </c>
      <c r="E17" s="6" t="n">
        <v>13</v>
      </c>
      <c r="F17" s="6" t="n">
        <v>1.9</v>
      </c>
      <c r="G17" s="6" t="n">
        <v>10.6</v>
      </c>
      <c r="H17" s="6" t="n">
        <v>57.4117983085781</v>
      </c>
      <c r="I17" s="13" t="s">
        <v>106</v>
      </c>
      <c r="J17" s="14" t="n">
        <f aca="false">IF(I17="SUSPENSION",0,IF(I17="TERMINAL",1,2))</f>
        <v>2</v>
      </c>
      <c r="K17" s="14" t="n">
        <f aca="false">1</f>
        <v>1</v>
      </c>
      <c r="L17" s="14" t="n">
        <f aca="false">1</f>
        <v>1</v>
      </c>
      <c r="M17" s="15" t="n">
        <f aca="false">O17*Parametros!$E$6</f>
        <v>6</v>
      </c>
      <c r="N17" s="0" t="str">
        <f aca="false">IF(I17="SUSPENSION","CAC-S",IF(I17="ANGULO","CAC-A",IF(I17="TERMINAL","CAC-T",IF(OR(I17="ANCLAJE",I17="ANCLAJE_PROPUESTO"),"CAC-R","SIN-RECETA"))))</f>
        <v>CAC-R</v>
      </c>
      <c r="O17" s="0" t="n">
        <f aca="false">IF(OR(I17="ANCLAJE",I17="ANCLAJE_PROPUESTO",I17="TERMINAL"),Parametros!$E$5,0)</f>
        <v>3</v>
      </c>
      <c r="P17" s="0" t="n">
        <f aca="false">G17/SIN(RADIANS(Criterios_M01!$C$2))+Criterios_M01!$C$3</f>
        <v>17.9906637611548</v>
      </c>
      <c r="Q17" s="0" t="n">
        <f aca="false">G17+Criterios_M01!$C$4</f>
        <v>13.6</v>
      </c>
      <c r="R17" s="0" t="n">
        <f aca="false">ROUNDUP(G17/Criterios_M01!$C$5,0)+1</f>
        <v>12</v>
      </c>
      <c r="S17" s="0" t="n">
        <f aca="false">(SUMIF(Vanos!$B$7:$B$116,A17,Vanos!$N$7:$N$116)+SUMIF(Vanos!$C$7:$C$116,A17,Vanos!$N$7:$N$116))/2</f>
        <v>168.577672121666</v>
      </c>
    </row>
    <row r="18" customFormat="false" ht="21" hidden="false" customHeight="true" outlineLevel="0" collapsed="false">
      <c r="A18" s="1" t="s">
        <v>117</v>
      </c>
      <c r="B18" s="6" t="n">
        <v>425481.523619714</v>
      </c>
      <c r="C18" s="6" t="n">
        <v>8436095.54439481</v>
      </c>
      <c r="D18" s="6" t="n">
        <v>3292.78103145062</v>
      </c>
      <c r="E18" s="6" t="n">
        <v>13</v>
      </c>
      <c r="F18" s="6" t="n">
        <v>1.9</v>
      </c>
      <c r="G18" s="6" t="n">
        <v>10.6</v>
      </c>
      <c r="H18" s="6" t="n">
        <v>23.8940658423509</v>
      </c>
      <c r="I18" s="13" t="s">
        <v>109</v>
      </c>
      <c r="J18" s="14" t="n">
        <f aca="false">IF(I18="SUSPENSION",0,IF(I18="TERMINAL",1,2))</f>
        <v>2</v>
      </c>
      <c r="K18" s="14" t="n">
        <f aca="false">1</f>
        <v>1</v>
      </c>
      <c r="L18" s="14" t="n">
        <f aca="false">1</f>
        <v>1</v>
      </c>
      <c r="M18" s="15" t="n">
        <f aca="false">O18*Parametros!$E$6</f>
        <v>0</v>
      </c>
      <c r="N18" s="0" t="str">
        <f aca="false">IF(I18="SUSPENSION","CAC-S",IF(I18="ANGULO","CAC-A",IF(I18="TERMINAL","CAC-T",IF(OR(I18="ANCLAJE",I18="ANCLAJE_PROPUESTO"),"CAC-R","SIN-RECETA"))))</f>
        <v>CAC-A</v>
      </c>
      <c r="O18" s="0" t="n">
        <f aca="false">IF(OR(I18="ANCLAJE",I18="ANCLAJE_PROPUESTO",I18="TERMINAL"),Parametros!$E$5,0)</f>
        <v>0</v>
      </c>
      <c r="P18" s="0" t="n">
        <f aca="false">G18/SIN(RADIANS(Criterios_M01!$C$2))+Criterios_M01!$C$3</f>
        <v>17.9906637611548</v>
      </c>
      <c r="Q18" s="0" t="n">
        <f aca="false">G18+Criterios_M01!$C$4</f>
        <v>13.6</v>
      </c>
      <c r="R18" s="0" t="n">
        <f aca="false">ROUNDUP(G18/Criterios_M01!$C$5,0)+1</f>
        <v>12</v>
      </c>
      <c r="S18" s="0" t="n">
        <f aca="false">(SUMIF(Vanos!$B$7:$B$116,A18,Vanos!$N$7:$N$116)+SUMIF(Vanos!$C$7:$C$116,A18,Vanos!$N$7:$N$116))/2</f>
        <v>173.270058683317</v>
      </c>
    </row>
    <row r="19" customFormat="false" ht="21" hidden="false" customHeight="true" outlineLevel="0" collapsed="false">
      <c r="A19" s="1" t="s">
        <v>118</v>
      </c>
      <c r="B19" s="6" t="n">
        <v>425476.089054474</v>
      </c>
      <c r="C19" s="6" t="n">
        <v>8436041.50880551</v>
      </c>
      <c r="D19" s="6" t="n">
        <v>3296.33071276733</v>
      </c>
      <c r="E19" s="6" t="n">
        <v>13</v>
      </c>
      <c r="F19" s="6" t="n">
        <v>1.9</v>
      </c>
      <c r="G19" s="6" t="n">
        <v>10.6</v>
      </c>
      <c r="H19" s="6" t="n">
        <v>68.6119004869544</v>
      </c>
      <c r="I19" s="13" t="s">
        <v>106</v>
      </c>
      <c r="J19" s="14" t="n">
        <f aca="false">IF(I19="SUSPENSION",0,IF(I19="TERMINAL",1,2))</f>
        <v>2</v>
      </c>
      <c r="K19" s="14" t="n">
        <f aca="false">1</f>
        <v>1</v>
      </c>
      <c r="L19" s="14" t="n">
        <f aca="false">1</f>
        <v>1</v>
      </c>
      <c r="M19" s="15" t="n">
        <f aca="false">O19*Parametros!$E$6</f>
        <v>6</v>
      </c>
      <c r="N19" s="0" t="str">
        <f aca="false">IF(I19="SUSPENSION","CAC-S",IF(I19="ANGULO","CAC-A",IF(I19="TERMINAL","CAC-T",IF(OR(I19="ANCLAJE",I19="ANCLAJE_PROPUESTO"),"CAC-R","SIN-RECETA"))))</f>
        <v>CAC-R</v>
      </c>
      <c r="O19" s="0" t="n">
        <f aca="false">IF(OR(I19="ANCLAJE",I19="ANCLAJE_PROPUESTO",I19="TERMINAL"),Parametros!$E$5,0)</f>
        <v>3</v>
      </c>
      <c r="P19" s="0" t="n">
        <f aca="false">G19/SIN(RADIANS(Criterios_M01!$C$2))+Criterios_M01!$C$3</f>
        <v>17.9906637611548</v>
      </c>
      <c r="Q19" s="0" t="n">
        <f aca="false">G19+Criterios_M01!$C$4</f>
        <v>13.6</v>
      </c>
      <c r="R19" s="0" t="n">
        <f aca="false">ROUNDUP(G19/Criterios_M01!$C$5,0)+1</f>
        <v>12</v>
      </c>
      <c r="S19" s="0" t="n">
        <f aca="false">(SUMIF(Vanos!$B$7:$B$116,A19,Vanos!$N$7:$N$116)+SUMIF(Vanos!$C$7:$C$116,A19,Vanos!$N$7:$N$116))/2</f>
        <v>143.673319636734</v>
      </c>
    </row>
    <row r="20" customFormat="false" ht="21" hidden="false" customHeight="true" outlineLevel="0" collapsed="false">
      <c r="A20" s="1" t="s">
        <v>119</v>
      </c>
      <c r="B20" s="6" t="n">
        <v>425437.897536903</v>
      </c>
      <c r="C20" s="6" t="n">
        <v>8436030.81323237</v>
      </c>
      <c r="D20" s="6" t="n">
        <v>3308.04547261687</v>
      </c>
      <c r="E20" s="6" t="n">
        <v>13</v>
      </c>
      <c r="F20" s="6" t="n">
        <v>1.9</v>
      </c>
      <c r="G20" s="6" t="n">
        <v>10.6</v>
      </c>
      <c r="H20" s="6" t="n">
        <v>53.1919382452563</v>
      </c>
      <c r="I20" s="13" t="s">
        <v>106</v>
      </c>
      <c r="J20" s="14" t="n">
        <f aca="false">IF(I20="SUSPENSION",0,IF(I20="TERMINAL",1,2))</f>
        <v>2</v>
      </c>
      <c r="K20" s="14" t="n">
        <f aca="false">1</f>
        <v>1</v>
      </c>
      <c r="L20" s="14" t="n">
        <f aca="false">1</f>
        <v>1</v>
      </c>
      <c r="M20" s="15" t="n">
        <f aca="false">O20*Parametros!$E$6</f>
        <v>6</v>
      </c>
      <c r="N20" s="0" t="str">
        <f aca="false">IF(I20="SUSPENSION","CAC-S",IF(I20="ANGULO","CAC-A",IF(I20="TERMINAL","CAC-T",IF(OR(I20="ANCLAJE",I20="ANCLAJE_PROPUESTO"),"CAC-R","SIN-RECETA"))))</f>
        <v>CAC-R</v>
      </c>
      <c r="O20" s="0" t="n">
        <f aca="false">IF(OR(I20="ANCLAJE",I20="ANCLAJE_PROPUESTO",I20="TERMINAL"),Parametros!$E$5,0)</f>
        <v>3</v>
      </c>
      <c r="P20" s="0" t="n">
        <f aca="false">G20/SIN(RADIANS(Criterios_M01!$C$2))+Criterios_M01!$C$3</f>
        <v>17.9906637611548</v>
      </c>
      <c r="Q20" s="0" t="n">
        <f aca="false">G20+Criterios_M01!$C$4</f>
        <v>13.6</v>
      </c>
      <c r="R20" s="0" t="n">
        <f aca="false">ROUNDUP(G20/Criterios_M01!$C$5,0)+1</f>
        <v>12</v>
      </c>
      <c r="S20" s="0" t="n">
        <f aca="false">(SUMIF(Vanos!$B$7:$B$116,A20,Vanos!$N$7:$N$116)+SUMIF(Vanos!$C$7:$C$116,A20,Vanos!$N$7:$N$116))/2</f>
        <v>171.400823311974</v>
      </c>
    </row>
    <row r="21" customFormat="false" ht="21" hidden="false" customHeight="true" outlineLevel="0" collapsed="false">
      <c r="A21" s="1" t="s">
        <v>120</v>
      </c>
      <c r="B21" s="6" t="n">
        <v>425411.966900286</v>
      </c>
      <c r="C21" s="6" t="n">
        <v>8435963.83216223</v>
      </c>
      <c r="D21" s="6" t="n">
        <v>3318.75235265443</v>
      </c>
      <c r="E21" s="6" t="n">
        <v>15</v>
      </c>
      <c r="F21" s="6" t="n">
        <v>2.1</v>
      </c>
      <c r="G21" s="6" t="n">
        <v>12.4</v>
      </c>
      <c r="H21" s="6" t="n">
        <v>0</v>
      </c>
      <c r="I21" s="13" t="s">
        <v>104</v>
      </c>
      <c r="J21" s="14" t="n">
        <f aca="false">IF(I21="SUSPENSION",0,IF(I21="TERMINAL",1,2))</f>
        <v>0</v>
      </c>
      <c r="K21" s="14" t="n">
        <f aca="false">1</f>
        <v>1</v>
      </c>
      <c r="L21" s="14" t="n">
        <f aca="false">1</f>
        <v>1</v>
      </c>
      <c r="M21" s="15" t="n">
        <f aca="false">O21*Parametros!$E$6</f>
        <v>0</v>
      </c>
      <c r="N21" s="0" t="str">
        <f aca="false">IF(I21="SUSPENSION","CAC-S",IF(I21="ANGULO","CAC-A",IF(I21="TERMINAL","CAC-T",IF(OR(I21="ANCLAJE",I21="ANCLAJE_PROPUESTO"),"CAC-R","SIN-RECETA"))))</f>
        <v>CAC-S</v>
      </c>
      <c r="O21" s="0" t="n">
        <f aca="false">IF(OR(I21="ANCLAJE",I21="ANCLAJE_PROPUESTO",I21="TERMINAL"),Parametros!$E$5,0)</f>
        <v>0</v>
      </c>
      <c r="P21" s="0" t="n">
        <f aca="false">G21/SIN(RADIANS(Criterios_M01!$C$2))+Criterios_M01!$C$3</f>
        <v>20.5362481734264</v>
      </c>
      <c r="Q21" s="0" t="n">
        <f aca="false">G21+Criterios_M01!$C$4</f>
        <v>15.4</v>
      </c>
      <c r="R21" s="0" t="n">
        <f aca="false">ROUNDUP(G21/Criterios_M01!$C$5,0)+1</f>
        <v>14</v>
      </c>
      <c r="S21" s="0" t="n">
        <f aca="false">(SUMIF(Vanos!$B$7:$B$116,A21,Vanos!$N$7:$N$116)+SUMIF(Vanos!$C$7:$C$116,A21,Vanos!$N$7:$N$116))/2</f>
        <v>218.445608276726</v>
      </c>
    </row>
    <row r="22" customFormat="false" ht="21" hidden="false" customHeight="true" outlineLevel="0" collapsed="false">
      <c r="A22" s="1" t="s">
        <v>121</v>
      </c>
      <c r="B22" s="6" t="n">
        <v>425386.036263668</v>
      </c>
      <c r="C22" s="6" t="n">
        <v>8435896.85109209</v>
      </c>
      <c r="D22" s="6" t="n">
        <v>3330.08291090355</v>
      </c>
      <c r="E22" s="6" t="n">
        <v>15</v>
      </c>
      <c r="F22" s="6" t="n">
        <v>2.1</v>
      </c>
      <c r="G22" s="6" t="n">
        <v>12.4</v>
      </c>
      <c r="H22" s="6" t="n">
        <v>0</v>
      </c>
      <c r="I22" s="13" t="s">
        <v>104</v>
      </c>
      <c r="J22" s="14" t="n">
        <f aca="false">IF(I22="SUSPENSION",0,IF(I22="TERMINAL",1,2))</f>
        <v>0</v>
      </c>
      <c r="K22" s="14" t="n">
        <f aca="false">1</f>
        <v>1</v>
      </c>
      <c r="L22" s="14" t="n">
        <f aca="false">1</f>
        <v>1</v>
      </c>
      <c r="M22" s="15" t="n">
        <f aca="false">O22*Parametros!$E$6</f>
        <v>0</v>
      </c>
      <c r="N22" s="0" t="str">
        <f aca="false">IF(I22="SUSPENSION","CAC-S",IF(I22="ANGULO","CAC-A",IF(I22="TERMINAL","CAC-T",IF(OR(I22="ANCLAJE",I22="ANCLAJE_PROPUESTO"),"CAC-R","SIN-RECETA"))))</f>
        <v>CAC-S</v>
      </c>
      <c r="O22" s="0" t="n">
        <f aca="false">IF(OR(I22="ANCLAJE",I22="ANCLAJE_PROPUESTO",I22="TERMINAL"),Parametros!$E$5,0)</f>
        <v>0</v>
      </c>
      <c r="P22" s="0" t="n">
        <f aca="false">G22/SIN(RADIANS(Criterios_M01!$C$2))+Criterios_M01!$C$3</f>
        <v>20.5362481734264</v>
      </c>
      <c r="Q22" s="0" t="n">
        <f aca="false">G22+Criterios_M01!$C$4</f>
        <v>15.4</v>
      </c>
      <c r="R22" s="0" t="n">
        <f aca="false">ROUNDUP(G22/Criterios_M01!$C$5,0)+1</f>
        <v>14</v>
      </c>
      <c r="S22" s="0" t="n">
        <f aca="false">(SUMIF(Vanos!$B$7:$B$116,A22,Vanos!$N$7:$N$116)+SUMIF(Vanos!$C$7:$C$116,A22,Vanos!$N$7:$N$116))/2</f>
        <v>217.138436491958</v>
      </c>
    </row>
    <row r="23" customFormat="false" ht="21" hidden="false" customHeight="true" outlineLevel="0" collapsed="false">
      <c r="A23" s="1" t="s">
        <v>122</v>
      </c>
      <c r="B23" s="6" t="n">
        <v>425360.105627051</v>
      </c>
      <c r="C23" s="6" t="n">
        <v>8435829.87002194</v>
      </c>
      <c r="D23" s="6" t="n">
        <v>3337.36965597069</v>
      </c>
      <c r="E23" s="6" t="n">
        <v>13</v>
      </c>
      <c r="F23" s="6" t="n">
        <v>1.9</v>
      </c>
      <c r="G23" s="6" t="n">
        <v>10.6</v>
      </c>
      <c r="H23" s="6" t="n">
        <v>25.9267467510642</v>
      </c>
      <c r="I23" s="13" t="s">
        <v>109</v>
      </c>
      <c r="J23" s="14" t="n">
        <f aca="false">IF(I23="SUSPENSION",0,IF(I23="TERMINAL",1,2))</f>
        <v>2</v>
      </c>
      <c r="K23" s="14" t="n">
        <f aca="false">1</f>
        <v>1</v>
      </c>
      <c r="L23" s="14" t="n">
        <f aca="false">1</f>
        <v>1</v>
      </c>
      <c r="M23" s="15" t="n">
        <f aca="false">O23*Parametros!$E$6</f>
        <v>0</v>
      </c>
      <c r="N23" s="0" t="str">
        <f aca="false">IF(I23="SUSPENSION","CAC-S",IF(I23="ANGULO","CAC-A",IF(I23="TERMINAL","CAC-T",IF(OR(I23="ANCLAJE",I23="ANCLAJE_PROPUESTO"),"CAC-R","SIN-RECETA"))))</f>
        <v>CAC-A</v>
      </c>
      <c r="O23" s="0" t="n">
        <f aca="false">IF(OR(I23="ANCLAJE",I23="ANCLAJE_PROPUESTO",I23="TERMINAL"),Parametros!$E$5,0)</f>
        <v>0</v>
      </c>
      <c r="P23" s="0" t="n">
        <f aca="false">G23/SIN(RADIANS(Criterios_M01!$C$2))+Criterios_M01!$C$3</f>
        <v>17.9906637611548</v>
      </c>
      <c r="Q23" s="0" t="n">
        <f aca="false">G23+Criterios_M01!$C$4</f>
        <v>13.6</v>
      </c>
      <c r="R23" s="0" t="n">
        <f aca="false">ROUNDUP(G23/Criterios_M01!$C$5,0)+1</f>
        <v>12</v>
      </c>
      <c r="S23" s="0" t="n">
        <f aca="false">(SUMIF(Vanos!$B$7:$B$116,A23,Vanos!$N$7:$N$116)+SUMIF(Vanos!$C$7:$C$116,A23,Vanos!$N$7:$N$116))/2</f>
        <v>180.397027528752</v>
      </c>
    </row>
    <row r="24" customFormat="false" ht="21" hidden="false" customHeight="true" outlineLevel="0" collapsed="false">
      <c r="A24" s="1" t="s">
        <v>123</v>
      </c>
      <c r="B24" s="6" t="n">
        <v>425364.105627051</v>
      </c>
      <c r="C24" s="6" t="n">
        <v>8435781.87002194</v>
      </c>
      <c r="D24" s="6" t="n">
        <v>3339.70543766288</v>
      </c>
      <c r="E24" s="6" t="n">
        <v>13</v>
      </c>
      <c r="F24" s="6" t="n">
        <v>1.9</v>
      </c>
      <c r="G24" s="6" t="n">
        <v>10.6</v>
      </c>
      <c r="H24" s="6" t="n">
        <v>0.558195072651092</v>
      </c>
      <c r="I24" s="13" t="s">
        <v>104</v>
      </c>
      <c r="J24" s="14" t="n">
        <f aca="false">IF(I24="SUSPENSION",0,IF(I24="TERMINAL",1,2))</f>
        <v>0</v>
      </c>
      <c r="K24" s="14" t="n">
        <f aca="false">1</f>
        <v>1</v>
      </c>
      <c r="L24" s="14" t="n">
        <f aca="false">1</f>
        <v>1</v>
      </c>
      <c r="M24" s="15" t="n">
        <f aca="false">O24*Parametros!$E$6</f>
        <v>0</v>
      </c>
      <c r="N24" s="0" t="str">
        <f aca="false">IF(I24="SUSPENSION","CAC-S",IF(I24="ANGULO","CAC-A",IF(I24="TERMINAL","CAC-T",IF(OR(I24="ANCLAJE",I24="ANCLAJE_PROPUESTO"),"CAC-R","SIN-RECETA"))))</f>
        <v>CAC-S</v>
      </c>
      <c r="O24" s="0" t="n">
        <f aca="false">IF(OR(I24="ANCLAJE",I24="ANCLAJE_PROPUESTO",I24="TERMINAL"),Parametros!$E$5,0)</f>
        <v>0</v>
      </c>
      <c r="P24" s="0" t="n">
        <f aca="false">G24/SIN(RADIANS(Criterios_M01!$C$2))+Criterios_M01!$C$3</f>
        <v>17.9906637611548</v>
      </c>
      <c r="Q24" s="0" t="n">
        <f aca="false">G24+Criterios_M01!$C$4</f>
        <v>13.6</v>
      </c>
      <c r="R24" s="0" t="n">
        <f aca="false">ROUNDUP(G24/Criterios_M01!$C$5,0)+1</f>
        <v>12</v>
      </c>
      <c r="S24" s="0" t="n">
        <f aca="false">(SUMIF(Vanos!$B$7:$B$116,A24,Vanos!$N$7:$N$116)+SUMIF(Vanos!$C$7:$C$116,A24,Vanos!$N$7:$N$116))/2</f>
        <v>144.668638629364</v>
      </c>
    </row>
    <row r="25" customFormat="false" ht="21" hidden="false" customHeight="true" outlineLevel="0" collapsed="false">
      <c r="A25" s="1" t="s">
        <v>124</v>
      </c>
      <c r="B25" s="6" t="n">
        <v>425367.629014461</v>
      </c>
      <c r="C25" s="6" t="n">
        <v>8435733.95297796</v>
      </c>
      <c r="D25" s="6" t="n">
        <v>3343.78676137533</v>
      </c>
      <c r="E25" s="6" t="n">
        <v>13</v>
      </c>
      <c r="F25" s="6" t="n">
        <v>1.9</v>
      </c>
      <c r="G25" s="6" t="n">
        <v>10.6</v>
      </c>
      <c r="H25" s="6" t="n">
        <v>26.8253115661159</v>
      </c>
      <c r="I25" s="13" t="s">
        <v>109</v>
      </c>
      <c r="J25" s="14" t="n">
        <f aca="false">IF(I25="SUSPENSION",0,IF(I25="TERMINAL",1,2))</f>
        <v>2</v>
      </c>
      <c r="K25" s="14" t="n">
        <f aca="false">1</f>
        <v>1</v>
      </c>
      <c r="L25" s="14" t="n">
        <f aca="false">1</f>
        <v>1</v>
      </c>
      <c r="M25" s="15" t="n">
        <f aca="false">O25*Parametros!$E$6</f>
        <v>0</v>
      </c>
      <c r="N25" s="0" t="str">
        <f aca="false">IF(I25="SUSPENSION","CAC-S",IF(I25="ANGULO","CAC-A",IF(I25="TERMINAL","CAC-T",IF(OR(I25="ANCLAJE",I25="ANCLAJE_PROPUESTO"),"CAC-R","SIN-RECETA"))))</f>
        <v>CAC-A</v>
      </c>
      <c r="O25" s="0" t="n">
        <f aca="false">IF(OR(I25="ANCLAJE",I25="ANCLAJE_PROPUESTO",I25="TERMINAL"),Parametros!$E$5,0)</f>
        <v>0</v>
      </c>
      <c r="P25" s="0" t="n">
        <f aca="false">G25/SIN(RADIANS(Criterios_M01!$C$2))+Criterios_M01!$C$3</f>
        <v>17.9906637611548</v>
      </c>
      <c r="Q25" s="0" t="n">
        <f aca="false">G25+Criterios_M01!$C$4</f>
        <v>13.6</v>
      </c>
      <c r="R25" s="0" t="n">
        <f aca="false">ROUNDUP(G25/Criterios_M01!$C$5,0)+1</f>
        <v>12</v>
      </c>
      <c r="S25" s="0" t="n">
        <f aca="false">(SUMIF(Vanos!$B$7:$B$116,A25,Vanos!$N$7:$N$116)+SUMIF(Vanos!$C$7:$C$116,A25,Vanos!$N$7:$N$116))/2</f>
        <v>111.989925002712</v>
      </c>
    </row>
    <row r="26" customFormat="false" ht="21" hidden="false" customHeight="true" outlineLevel="0" collapsed="false">
      <c r="A26" s="1" t="s">
        <v>125</v>
      </c>
      <c r="B26" s="6" t="n">
        <v>425357.629014461</v>
      </c>
      <c r="C26" s="6" t="n">
        <v>8435709.95297796</v>
      </c>
      <c r="D26" s="6" t="n">
        <v>3348.58248520347</v>
      </c>
      <c r="E26" s="6" t="n">
        <v>13</v>
      </c>
      <c r="F26" s="6" t="n">
        <v>1.9</v>
      </c>
      <c r="G26" s="6" t="n">
        <v>10.6</v>
      </c>
      <c r="H26" s="6" t="n">
        <v>13.8737026854852</v>
      </c>
      <c r="I26" s="13" t="s">
        <v>109</v>
      </c>
      <c r="J26" s="14" t="n">
        <f aca="false">IF(I26="SUSPENSION",0,IF(I26="TERMINAL",1,2))</f>
        <v>2</v>
      </c>
      <c r="K26" s="14" t="n">
        <f aca="false">1</f>
        <v>1</v>
      </c>
      <c r="L26" s="14" t="n">
        <f aca="false">1</f>
        <v>1</v>
      </c>
      <c r="M26" s="15" t="n">
        <f aca="false">O26*Parametros!$E$6</f>
        <v>0</v>
      </c>
      <c r="N26" s="0" t="str">
        <f aca="false">IF(I26="SUSPENSION","CAC-S",IF(I26="ANGULO","CAC-A",IF(I26="TERMINAL","CAC-T",IF(OR(I26="ANCLAJE",I26="ANCLAJE_PROPUESTO"),"CAC-R","SIN-RECETA"))))</f>
        <v>CAC-A</v>
      </c>
      <c r="O26" s="0" t="n">
        <f aca="false">IF(OR(I26="ANCLAJE",I26="ANCLAJE_PROPUESTO",I26="TERMINAL"),Parametros!$E$5,0)</f>
        <v>0</v>
      </c>
      <c r="P26" s="0" t="n">
        <f aca="false">G26/SIN(RADIANS(Criterios_M01!$C$2))+Criterios_M01!$C$3</f>
        <v>17.9906637611548</v>
      </c>
      <c r="Q26" s="0" t="n">
        <f aca="false">G26+Criterios_M01!$C$4</f>
        <v>13.6</v>
      </c>
      <c r="R26" s="0" t="n">
        <f aca="false">ROUNDUP(G26/Criterios_M01!$C$5,0)+1</f>
        <v>12</v>
      </c>
      <c r="S26" s="0" t="n">
        <f aca="false">(SUMIF(Vanos!$B$7:$B$116,A26,Vanos!$N$7:$N$116)+SUMIF(Vanos!$C$7:$C$116,A26,Vanos!$N$7:$N$116))/2</f>
        <v>79.3570532590108</v>
      </c>
    </row>
    <row r="27" customFormat="false" ht="21" hidden="false" customHeight="true" outlineLevel="0" collapsed="false">
      <c r="A27" s="1" t="s">
        <v>126</v>
      </c>
      <c r="B27" s="6" t="n">
        <v>425353.629014461</v>
      </c>
      <c r="C27" s="6" t="n">
        <v>8435683.95297796</v>
      </c>
      <c r="D27" s="6" t="n">
        <v>3351.48542165864</v>
      </c>
      <c r="E27" s="6" t="n">
        <v>13</v>
      </c>
      <c r="F27" s="6" t="n">
        <v>1.9</v>
      </c>
      <c r="G27" s="6" t="n">
        <v>10.6</v>
      </c>
      <c r="H27" s="6" t="n">
        <v>7.50079799581764</v>
      </c>
      <c r="I27" s="13" t="s">
        <v>109</v>
      </c>
      <c r="J27" s="14" t="n">
        <f aca="false">IF(I27="SUSPENSION",0,IF(I27="TERMINAL",1,2))</f>
        <v>2</v>
      </c>
      <c r="K27" s="14" t="n">
        <f aca="false">1</f>
        <v>1</v>
      </c>
      <c r="L27" s="14" t="n">
        <f aca="false">1</f>
        <v>1</v>
      </c>
      <c r="M27" s="15" t="n">
        <f aca="false">O27*Parametros!$E$6</f>
        <v>0</v>
      </c>
      <c r="N27" s="0" t="str">
        <f aca="false">IF(I27="SUSPENSION","CAC-S",IF(I27="ANGULO","CAC-A",IF(I27="TERMINAL","CAC-T",IF(OR(I27="ANCLAJE",I27="ANCLAJE_PROPUESTO"),"CAC-R","SIN-RECETA"))))</f>
        <v>CAC-A</v>
      </c>
      <c r="O27" s="0" t="n">
        <f aca="false">IF(OR(I27="ANCLAJE",I27="ANCLAJE_PROPUESTO",I27="TERMINAL"),Parametros!$E$5,0)</f>
        <v>0</v>
      </c>
      <c r="P27" s="0" t="n">
        <f aca="false">G27/SIN(RADIANS(Criterios_M01!$C$2))+Criterios_M01!$C$3</f>
        <v>17.9906637611548</v>
      </c>
      <c r="Q27" s="0" t="n">
        <f aca="false">G27+Criterios_M01!$C$4</f>
        <v>13.6</v>
      </c>
      <c r="R27" s="0" t="n">
        <f aca="false">ROUNDUP(G27/Criterios_M01!$C$5,0)+1</f>
        <v>12</v>
      </c>
      <c r="S27" s="0" t="n">
        <f aca="false">(SUMIF(Vanos!$B$7:$B$116,A27,Vanos!$N$7:$N$116)+SUMIF(Vanos!$C$7:$C$116,A27,Vanos!$N$7:$N$116))/2</f>
        <v>133.185927346235</v>
      </c>
    </row>
    <row r="28" customFormat="false" ht="21" hidden="false" customHeight="true" outlineLevel="0" collapsed="false">
      <c r="A28" s="1" t="s">
        <v>127</v>
      </c>
      <c r="B28" s="6" t="n">
        <v>425352.295681128</v>
      </c>
      <c r="C28" s="6" t="n">
        <v>8435622.61964462</v>
      </c>
      <c r="D28" s="6" t="n">
        <v>3362.45789447346</v>
      </c>
      <c r="E28" s="6" t="n">
        <v>13</v>
      </c>
      <c r="F28" s="6" t="n">
        <v>1.9</v>
      </c>
      <c r="G28" s="6" t="n">
        <v>10.6</v>
      </c>
      <c r="H28" s="6" t="n">
        <v>0</v>
      </c>
      <c r="I28" s="13" t="s">
        <v>104</v>
      </c>
      <c r="J28" s="14" t="n">
        <f aca="false">IF(I28="SUSPENSION",0,IF(I28="TERMINAL",1,2))</f>
        <v>0</v>
      </c>
      <c r="K28" s="14" t="n">
        <f aca="false">1</f>
        <v>1</v>
      </c>
      <c r="L28" s="14" t="n">
        <f aca="false">1</f>
        <v>1</v>
      </c>
      <c r="M28" s="15" t="n">
        <f aca="false">O28*Parametros!$E$6</f>
        <v>0</v>
      </c>
      <c r="N28" s="0" t="str">
        <f aca="false">IF(I28="SUSPENSION","CAC-S",IF(I28="ANGULO","CAC-A",IF(I28="TERMINAL","CAC-T",IF(OR(I28="ANCLAJE",I28="ANCLAJE_PROPUESTO"),"CAC-R","SIN-RECETA"))))</f>
        <v>CAC-S</v>
      </c>
      <c r="O28" s="0" t="n">
        <f aca="false">IF(OR(I28="ANCLAJE",I28="ANCLAJE_PROPUESTO",I28="TERMINAL"),Parametros!$E$5,0)</f>
        <v>0</v>
      </c>
      <c r="P28" s="0" t="n">
        <f aca="false">G28/SIN(RADIANS(Criterios_M01!$C$2))+Criterios_M01!$C$3</f>
        <v>17.9906637611548</v>
      </c>
      <c r="Q28" s="0" t="n">
        <f aca="false">G28+Criterios_M01!$C$4</f>
        <v>13.6</v>
      </c>
      <c r="R28" s="0" t="n">
        <f aca="false">ROUNDUP(G28/Criterios_M01!$C$5,0)+1</f>
        <v>12</v>
      </c>
      <c r="S28" s="0" t="n">
        <f aca="false">(SUMIF(Vanos!$B$7:$B$116,A28,Vanos!$N$7:$N$116)+SUMIF(Vanos!$C$7:$C$116,A28,Vanos!$N$7:$N$116))/2</f>
        <v>186.502519352569</v>
      </c>
    </row>
    <row r="29" customFormat="false" ht="21" hidden="false" customHeight="true" outlineLevel="0" collapsed="false">
      <c r="A29" s="1" t="s">
        <v>128</v>
      </c>
      <c r="B29" s="6" t="n">
        <v>425350.962347794</v>
      </c>
      <c r="C29" s="6" t="n">
        <v>8435561.28631129</v>
      </c>
      <c r="D29" s="6" t="n">
        <v>3369.67398302047</v>
      </c>
      <c r="E29" s="6" t="n">
        <v>15</v>
      </c>
      <c r="F29" s="6" t="n">
        <v>2.1</v>
      </c>
      <c r="G29" s="6" t="n">
        <v>12.4</v>
      </c>
      <c r="H29" s="6" t="n">
        <v>0</v>
      </c>
      <c r="I29" s="13" t="s">
        <v>104</v>
      </c>
      <c r="J29" s="14" t="n">
        <f aca="false">IF(I29="SUSPENSION",0,IF(I29="TERMINAL",1,2))</f>
        <v>0</v>
      </c>
      <c r="K29" s="14" t="n">
        <f aca="false">1</f>
        <v>1</v>
      </c>
      <c r="L29" s="14" t="n">
        <f aca="false">1</f>
        <v>1</v>
      </c>
      <c r="M29" s="15" t="n">
        <f aca="false">O29*Parametros!$E$6</f>
        <v>0</v>
      </c>
      <c r="N29" s="0" t="str">
        <f aca="false">IF(I29="SUSPENSION","CAC-S",IF(I29="ANGULO","CAC-A",IF(I29="TERMINAL","CAC-T",IF(OR(I29="ANCLAJE",I29="ANCLAJE_PROPUESTO"),"CAC-R","SIN-RECETA"))))</f>
        <v>CAC-S</v>
      </c>
      <c r="O29" s="0" t="n">
        <f aca="false">IF(OR(I29="ANCLAJE",I29="ANCLAJE_PROPUESTO",I29="TERMINAL"),Parametros!$E$5,0)</f>
        <v>0</v>
      </c>
      <c r="P29" s="0" t="n">
        <f aca="false">G29/SIN(RADIANS(Criterios_M01!$C$2))+Criterios_M01!$C$3</f>
        <v>20.5362481734264</v>
      </c>
      <c r="Q29" s="0" t="n">
        <f aca="false">G29+Criterios_M01!$C$4</f>
        <v>15.4</v>
      </c>
      <c r="R29" s="0" t="n">
        <f aca="false">ROUNDUP(G29/Criterios_M01!$C$5,0)+1</f>
        <v>14</v>
      </c>
      <c r="S29" s="0" t="n">
        <f aca="false">(SUMIF(Vanos!$B$7:$B$116,A29,Vanos!$N$7:$N$116)+SUMIF(Vanos!$C$7:$C$116,A29,Vanos!$N$7:$N$116))/2</f>
        <v>186.421029241174</v>
      </c>
    </row>
    <row r="30" customFormat="false" ht="21" hidden="false" customHeight="true" outlineLevel="0" collapsed="false">
      <c r="A30" s="1" t="s">
        <v>129</v>
      </c>
      <c r="B30" s="6" t="n">
        <v>425349.629014461</v>
      </c>
      <c r="C30" s="6" t="n">
        <v>8435499.95297796</v>
      </c>
      <c r="D30" s="6" t="n">
        <v>3378.53354719647</v>
      </c>
      <c r="E30" s="6" t="n">
        <v>17</v>
      </c>
      <c r="F30" s="6" t="n">
        <v>2.1</v>
      </c>
      <c r="G30" s="6" t="n">
        <v>14.2</v>
      </c>
      <c r="H30" s="6" t="n">
        <v>4.38172263507031</v>
      </c>
      <c r="I30" s="13" t="s">
        <v>104</v>
      </c>
      <c r="J30" s="14" t="n">
        <f aca="false">IF(I30="SUSPENSION",0,IF(I30="TERMINAL",1,2))</f>
        <v>0</v>
      </c>
      <c r="K30" s="14" t="n">
        <f aca="false">1</f>
        <v>1</v>
      </c>
      <c r="L30" s="14" t="n">
        <f aca="false">1</f>
        <v>1</v>
      </c>
      <c r="M30" s="15" t="n">
        <f aca="false">O30*Parametros!$E$6</f>
        <v>0</v>
      </c>
      <c r="N30" s="0" t="str">
        <f aca="false">IF(I30="SUSPENSION","CAC-S",IF(I30="ANGULO","CAC-A",IF(I30="TERMINAL","CAC-T",IF(OR(I30="ANCLAJE",I30="ANCLAJE_PROPUESTO"),"CAC-R","SIN-RECETA"))))</f>
        <v>CAC-S</v>
      </c>
      <c r="O30" s="0" t="n">
        <f aca="false">IF(OR(I30="ANCLAJE",I30="ANCLAJE_PROPUESTO",I30="TERMINAL"),Parametros!$E$5,0)</f>
        <v>0</v>
      </c>
      <c r="P30" s="0" t="n">
        <f aca="false">G30/SIN(RADIANS(Criterios_M01!$C$2))+Criterios_M01!$C$3</f>
        <v>23.081832585698</v>
      </c>
      <c r="Q30" s="0" t="n">
        <f aca="false">G30+Criterios_M01!$C$4</f>
        <v>17.2</v>
      </c>
      <c r="R30" s="0" t="n">
        <f aca="false">ROUNDUP(G30/Criterios_M01!$C$5,0)+1</f>
        <v>16</v>
      </c>
      <c r="S30" s="0" t="n">
        <f aca="false">(SUMIF(Vanos!$B$7:$B$116,A30,Vanos!$N$7:$N$116)+SUMIF(Vanos!$C$7:$C$116,A30,Vanos!$N$7:$N$116))/2</f>
        <v>203.124695250031</v>
      </c>
    </row>
    <row r="31" customFormat="false" ht="21" hidden="false" customHeight="true" outlineLevel="0" collapsed="false">
      <c r="A31" s="1" t="s">
        <v>130</v>
      </c>
      <c r="B31" s="6" t="n">
        <v>425353.629014461</v>
      </c>
      <c r="C31" s="6" t="n">
        <v>8435426.95297796</v>
      </c>
      <c r="D31" s="6" t="n">
        <v>3376.4162788713</v>
      </c>
      <c r="E31" s="6" t="n">
        <v>17</v>
      </c>
      <c r="F31" s="6" t="n">
        <v>2.1</v>
      </c>
      <c r="G31" s="6" t="n">
        <v>14.2</v>
      </c>
      <c r="H31" s="6" t="n">
        <v>1.20741826972573E-006</v>
      </c>
      <c r="I31" s="13" t="s">
        <v>104</v>
      </c>
      <c r="J31" s="14" t="n">
        <f aca="false">IF(I31="SUSPENSION",0,IF(I31="TERMINAL",1,2))</f>
        <v>0</v>
      </c>
      <c r="K31" s="14" t="n">
        <f aca="false">1</f>
        <v>1</v>
      </c>
      <c r="L31" s="14" t="n">
        <f aca="false">1</f>
        <v>1</v>
      </c>
      <c r="M31" s="15" t="n">
        <f aca="false">O31*Parametros!$E$6</f>
        <v>0</v>
      </c>
      <c r="N31" s="0" t="str">
        <f aca="false">IF(I31="SUSPENSION","CAC-S",IF(I31="ANGULO","CAC-A",IF(I31="TERMINAL","CAC-T",IF(OR(I31="ANCLAJE",I31="ANCLAJE_PROPUESTO"),"CAC-R","SIN-RECETA"))))</f>
        <v>CAC-S</v>
      </c>
      <c r="O31" s="0" t="n">
        <f aca="false">IF(OR(I31="ANCLAJE",I31="ANCLAJE_PROPUESTO",I31="TERMINAL"),Parametros!$E$5,0)</f>
        <v>0</v>
      </c>
      <c r="P31" s="0" t="n">
        <f aca="false">G31/SIN(RADIANS(Criterios_M01!$C$2))+Criterios_M01!$C$3</f>
        <v>23.081832585698</v>
      </c>
      <c r="Q31" s="0" t="n">
        <f aca="false">G31+Criterios_M01!$C$4</f>
        <v>17.2</v>
      </c>
      <c r="R31" s="0" t="n">
        <f aca="false">ROUNDUP(G31/Criterios_M01!$C$5,0)+1</f>
        <v>16</v>
      </c>
      <c r="S31" s="0" t="n">
        <f aca="false">(SUMIF(Vanos!$B$7:$B$116,A31,Vanos!$N$7:$N$116)+SUMIF(Vanos!$C$7:$C$116,A31,Vanos!$N$7:$N$116))/2</f>
        <v>219.414923201065</v>
      </c>
    </row>
    <row r="32" customFormat="false" ht="21" hidden="false" customHeight="true" outlineLevel="0" collapsed="false">
      <c r="A32" s="1" t="s">
        <v>131</v>
      </c>
      <c r="B32" s="6" t="n">
        <v>425357.629014461</v>
      </c>
      <c r="C32" s="6" t="n">
        <v>8435353.95297796</v>
      </c>
      <c r="D32" s="6" t="n">
        <v>3379.70786574612</v>
      </c>
      <c r="E32" s="6" t="n">
        <v>15</v>
      </c>
      <c r="F32" s="6" t="n">
        <v>2.1</v>
      </c>
      <c r="G32" s="6" t="n">
        <v>12.4</v>
      </c>
      <c r="H32" s="6" t="n">
        <v>1.20741826972573E-006</v>
      </c>
      <c r="I32" s="13" t="s">
        <v>114</v>
      </c>
      <c r="J32" s="14" t="n">
        <f aca="false">IF(I32="SUSPENSION",0,IF(I32="TERMINAL",1,2))</f>
        <v>2</v>
      </c>
      <c r="K32" s="14" t="n">
        <f aca="false">1</f>
        <v>1</v>
      </c>
      <c r="L32" s="14" t="n">
        <f aca="false">1</f>
        <v>1</v>
      </c>
      <c r="M32" s="15" t="n">
        <f aca="false">O32*Parametros!$E$6</f>
        <v>6</v>
      </c>
      <c r="N32" s="0" t="str">
        <f aca="false">IF(I32="SUSPENSION","CAC-S",IF(I32="ANGULO","CAC-A",IF(I32="TERMINAL","CAC-T",IF(OR(I32="ANCLAJE",I32="ANCLAJE_PROPUESTO"),"CAC-R","SIN-RECETA"))))</f>
        <v>CAC-R</v>
      </c>
      <c r="O32" s="0" t="n">
        <f aca="false">IF(OR(I32="ANCLAJE",I32="ANCLAJE_PROPUESTO",I32="TERMINAL"),Parametros!$E$5,0)</f>
        <v>3</v>
      </c>
      <c r="P32" s="0" t="n">
        <f aca="false">G32/SIN(RADIANS(Criterios_M01!$C$2))+Criterios_M01!$C$3</f>
        <v>20.5362481734264</v>
      </c>
      <c r="Q32" s="0" t="n">
        <f aca="false">G32+Criterios_M01!$C$4</f>
        <v>15.4</v>
      </c>
      <c r="R32" s="0" t="n">
        <f aca="false">ROUNDUP(G32/Criterios_M01!$C$5,0)+1</f>
        <v>14</v>
      </c>
      <c r="S32" s="0" t="n">
        <f aca="false">(SUMIF(Vanos!$B$7:$B$116,A32,Vanos!$N$7:$N$116)+SUMIF(Vanos!$C$7:$C$116,A32,Vanos!$N$7:$N$116))/2</f>
        <v>219.847054832111</v>
      </c>
    </row>
    <row r="33" customFormat="false" ht="21" hidden="false" customHeight="true" outlineLevel="0" collapsed="false">
      <c r="A33" s="1" t="s">
        <v>132</v>
      </c>
      <c r="B33" s="6" t="n">
        <v>425361.629014461</v>
      </c>
      <c r="C33" s="6" t="n">
        <v>8435280.95297796</v>
      </c>
      <c r="D33" s="6" t="n">
        <v>3386.54239341</v>
      </c>
      <c r="E33" s="6" t="n">
        <v>15</v>
      </c>
      <c r="F33" s="6" t="n">
        <v>2.1</v>
      </c>
      <c r="G33" s="6" t="n">
        <v>12.4</v>
      </c>
      <c r="H33" s="6" t="n">
        <v>1.20741826972573E-006</v>
      </c>
      <c r="I33" s="13" t="s">
        <v>104</v>
      </c>
      <c r="J33" s="14" t="n">
        <f aca="false">IF(I33="SUSPENSION",0,IF(I33="TERMINAL",1,2))</f>
        <v>0</v>
      </c>
      <c r="K33" s="14" t="n">
        <f aca="false">1</f>
        <v>1</v>
      </c>
      <c r="L33" s="14" t="n">
        <f aca="false">1</f>
        <v>1</v>
      </c>
      <c r="M33" s="15" t="n">
        <f aca="false">O33*Parametros!$E$6</f>
        <v>0</v>
      </c>
      <c r="N33" s="0" t="str">
        <f aca="false">IF(I33="SUSPENSION","CAC-S",IF(I33="ANGULO","CAC-A",IF(I33="TERMINAL","CAC-T",IF(OR(I33="ANCLAJE",I33="ANCLAJE_PROPUESTO"),"CAC-R","SIN-RECETA"))))</f>
        <v>CAC-S</v>
      </c>
      <c r="O33" s="0" t="n">
        <f aca="false">IF(OR(I33="ANCLAJE",I33="ANCLAJE_PROPUESTO",I33="TERMINAL"),Parametros!$E$5,0)</f>
        <v>0</v>
      </c>
      <c r="P33" s="0" t="n">
        <f aca="false">G33/SIN(RADIANS(Criterios_M01!$C$2))+Criterios_M01!$C$3</f>
        <v>20.5362481734264</v>
      </c>
      <c r="Q33" s="0" t="n">
        <f aca="false">G33+Criterios_M01!$C$4</f>
        <v>15.4</v>
      </c>
      <c r="R33" s="0" t="n">
        <f aca="false">ROUNDUP(G33/Criterios_M01!$C$5,0)+1</f>
        <v>14</v>
      </c>
      <c r="S33" s="0" t="n">
        <f aca="false">(SUMIF(Vanos!$B$7:$B$116,A33,Vanos!$N$7:$N$116)+SUMIF(Vanos!$C$7:$C$116,A33,Vanos!$N$7:$N$116))/2</f>
        <v>220.508989756291</v>
      </c>
    </row>
    <row r="34" customFormat="false" ht="21" hidden="false" customHeight="true" outlineLevel="0" collapsed="false">
      <c r="A34" s="1" t="s">
        <v>133</v>
      </c>
      <c r="B34" s="6" t="n">
        <v>425365.629014461</v>
      </c>
      <c r="C34" s="6" t="n">
        <v>8435207.95297796</v>
      </c>
      <c r="D34" s="6" t="n">
        <v>3394.72549529827</v>
      </c>
      <c r="E34" s="6" t="n">
        <v>15</v>
      </c>
      <c r="F34" s="6" t="n">
        <v>2.1</v>
      </c>
      <c r="G34" s="6" t="n">
        <v>12.4</v>
      </c>
      <c r="H34" s="6" t="n">
        <v>15.1424662515796</v>
      </c>
      <c r="I34" s="13" t="s">
        <v>109</v>
      </c>
      <c r="J34" s="14" t="n">
        <f aca="false">IF(I34="SUSPENSION",0,IF(I34="TERMINAL",1,2))</f>
        <v>2</v>
      </c>
      <c r="K34" s="14" t="n">
        <f aca="false">1</f>
        <v>1</v>
      </c>
      <c r="L34" s="14" t="n">
        <f aca="false">1</f>
        <v>1</v>
      </c>
      <c r="M34" s="15" t="n">
        <f aca="false">O34*Parametros!$E$6</f>
        <v>0</v>
      </c>
      <c r="N34" s="0" t="str">
        <f aca="false">IF(I34="SUSPENSION","CAC-S",IF(I34="ANGULO","CAC-A",IF(I34="TERMINAL","CAC-T",IF(OR(I34="ANCLAJE",I34="ANCLAJE_PROPUESTO"),"CAC-R","SIN-RECETA"))))</f>
        <v>CAC-A</v>
      </c>
      <c r="O34" s="0" t="n">
        <f aca="false">IF(OR(I34="ANCLAJE",I34="ANCLAJE_PROPUESTO",I34="TERMINAL"),Parametros!$E$5,0)</f>
        <v>0</v>
      </c>
      <c r="P34" s="0" t="n">
        <f aca="false">G34/SIN(RADIANS(Criterios_M01!$C$2))+Criterios_M01!$C$3</f>
        <v>20.5362481734264</v>
      </c>
      <c r="Q34" s="0" t="n">
        <f aca="false">G34+Criterios_M01!$C$4</f>
        <v>15.4</v>
      </c>
      <c r="R34" s="0" t="n">
        <f aca="false">ROUNDUP(G34/Criterios_M01!$C$5,0)+1</f>
        <v>14</v>
      </c>
      <c r="S34" s="0" t="n">
        <f aca="false">(SUMIF(Vanos!$B$7:$B$116,A34,Vanos!$N$7:$N$116)+SUMIF(Vanos!$C$7:$C$116,A34,Vanos!$N$7:$N$116))/2</f>
        <v>199.239732790084</v>
      </c>
    </row>
    <row r="35" customFormat="false" ht="21" hidden="false" customHeight="true" outlineLevel="0" collapsed="false">
      <c r="A35" s="1" t="s">
        <v>134</v>
      </c>
      <c r="B35" s="6" t="n">
        <v>425353.353452577</v>
      </c>
      <c r="C35" s="6" t="n">
        <v>8435150.23125747</v>
      </c>
      <c r="D35" s="6" t="n">
        <v>3401.84131324488</v>
      </c>
      <c r="E35" s="6" t="n">
        <v>13</v>
      </c>
      <c r="F35" s="6" t="n">
        <v>1.9</v>
      </c>
      <c r="G35" s="6" t="n">
        <v>10.6</v>
      </c>
      <c r="H35" s="6" t="n">
        <v>3.87600552909104</v>
      </c>
      <c r="I35" s="13" t="s">
        <v>114</v>
      </c>
      <c r="J35" s="14" t="n">
        <f aca="false">IF(I35="SUSPENSION",0,IF(I35="TERMINAL",1,2))</f>
        <v>2</v>
      </c>
      <c r="K35" s="14" t="n">
        <f aca="false">1</f>
        <v>1</v>
      </c>
      <c r="L35" s="14" t="n">
        <f aca="false">1</f>
        <v>1</v>
      </c>
      <c r="M35" s="15" t="n">
        <f aca="false">O35*Parametros!$E$6</f>
        <v>6</v>
      </c>
      <c r="N35" s="0" t="str">
        <f aca="false">IF(I35="SUSPENSION","CAC-S",IF(I35="ANGULO","CAC-A",IF(I35="TERMINAL","CAC-T",IF(OR(I35="ANCLAJE",I35="ANCLAJE_PROPUESTO"),"CAC-R","SIN-RECETA"))))</f>
        <v>CAC-R</v>
      </c>
      <c r="O35" s="0" t="n">
        <f aca="false">IF(OR(I35="ANCLAJE",I35="ANCLAJE_PROPUESTO",I35="TERMINAL"),Parametros!$E$5,0)</f>
        <v>3</v>
      </c>
      <c r="P35" s="0" t="n">
        <f aca="false">G35/SIN(RADIANS(Criterios_M01!$C$2))+Criterios_M01!$C$3</f>
        <v>17.9906637611548</v>
      </c>
      <c r="Q35" s="0" t="n">
        <f aca="false">G35+Criterios_M01!$C$4</f>
        <v>13.6</v>
      </c>
      <c r="R35" s="0" t="n">
        <f aca="false">ROUNDUP(G35/Criterios_M01!$C$5,0)+1</f>
        <v>12</v>
      </c>
      <c r="S35" s="0" t="n">
        <f aca="false">(SUMIF(Vanos!$B$7:$B$116,A35,Vanos!$N$7:$N$116)+SUMIF(Vanos!$C$7:$C$116,A35,Vanos!$N$7:$N$116))/2</f>
        <v>110.681984519259</v>
      </c>
    </row>
    <row r="36" customFormat="false" ht="21" hidden="false" customHeight="true" outlineLevel="0" collapsed="false">
      <c r="A36" s="1" t="s">
        <v>135</v>
      </c>
      <c r="B36" s="6" t="n">
        <v>425351.353452577</v>
      </c>
      <c r="C36" s="6" t="n">
        <v>8435136.23125747</v>
      </c>
      <c r="D36" s="6" t="n">
        <v>3403.39063409273</v>
      </c>
      <c r="E36" s="6" t="n">
        <v>15</v>
      </c>
      <c r="F36" s="6" t="n">
        <v>2.1</v>
      </c>
      <c r="G36" s="6" t="n">
        <v>12.4</v>
      </c>
      <c r="H36" s="6" t="n">
        <v>6.03094239473359</v>
      </c>
      <c r="I36" s="13" t="s">
        <v>109</v>
      </c>
      <c r="J36" s="14" t="n">
        <f aca="false">IF(I36="SUSPENSION",0,IF(I36="TERMINAL",1,2))</f>
        <v>2</v>
      </c>
      <c r="K36" s="14" t="n">
        <f aca="false">1</f>
        <v>1</v>
      </c>
      <c r="L36" s="14" t="n">
        <f aca="false">1</f>
        <v>1</v>
      </c>
      <c r="M36" s="15" t="n">
        <f aca="false">O36*Parametros!$E$6</f>
        <v>0</v>
      </c>
      <c r="N36" s="0" t="str">
        <f aca="false">IF(I36="SUSPENSION","CAC-S",IF(I36="ANGULO","CAC-A",IF(I36="TERMINAL","CAC-T",IF(OR(I36="ANCLAJE",I36="ANCLAJE_PROPUESTO"),"CAC-R","SIN-RECETA"))))</f>
        <v>CAC-A</v>
      </c>
      <c r="O36" s="0" t="n">
        <f aca="false">IF(OR(I36="ANCLAJE",I36="ANCLAJE_PROPUESTO",I36="TERMINAL"),Parametros!$E$5,0)</f>
        <v>0</v>
      </c>
      <c r="P36" s="0" t="n">
        <f aca="false">G36/SIN(RADIANS(Criterios_M01!$C$2))+Criterios_M01!$C$3</f>
        <v>20.5362481734264</v>
      </c>
      <c r="Q36" s="0" t="n">
        <f aca="false">G36+Criterios_M01!$C$4</f>
        <v>15.4</v>
      </c>
      <c r="R36" s="0" t="n">
        <f aca="false">ROUNDUP(G36/Criterios_M01!$C$5,0)+1</f>
        <v>14</v>
      </c>
      <c r="S36" s="0" t="n">
        <f aca="false">(SUMIF(Vanos!$B$7:$B$116,A36,Vanos!$N$7:$N$116)+SUMIF(Vanos!$C$7:$C$116,A36,Vanos!$N$7:$N$116))/2</f>
        <v>145.268325943029</v>
      </c>
    </row>
    <row r="37" customFormat="false" ht="21" hidden="false" customHeight="true" outlineLevel="0" collapsed="false">
      <c r="A37" s="1" t="s">
        <v>136</v>
      </c>
      <c r="B37" s="6" t="n">
        <v>425348.353452577</v>
      </c>
      <c r="C37" s="6" t="n">
        <v>8435054.38402928</v>
      </c>
      <c r="D37" s="6" t="n">
        <v>3409.71299367583</v>
      </c>
      <c r="E37" s="6" t="n">
        <v>17</v>
      </c>
      <c r="F37" s="6" t="n">
        <v>2.1</v>
      </c>
      <c r="G37" s="6" t="n">
        <v>14.2</v>
      </c>
      <c r="H37" s="6" t="n">
        <v>0</v>
      </c>
      <c r="I37" s="13" t="s">
        <v>104</v>
      </c>
      <c r="J37" s="14" t="n">
        <f aca="false">IF(I37="SUSPENSION",0,IF(I37="TERMINAL",1,2))</f>
        <v>0</v>
      </c>
      <c r="K37" s="14" t="n">
        <f aca="false">1</f>
        <v>1</v>
      </c>
      <c r="L37" s="14" t="n">
        <f aca="false">1</f>
        <v>1</v>
      </c>
      <c r="M37" s="15" t="n">
        <f aca="false">O37*Parametros!$E$6</f>
        <v>0</v>
      </c>
      <c r="N37" s="0" t="str">
        <f aca="false">IF(I37="SUSPENSION","CAC-S",IF(I37="ANGULO","CAC-A",IF(I37="TERMINAL","CAC-T",IF(OR(I37="ANCLAJE",I37="ANCLAJE_PROPUESTO"),"CAC-R","SIN-RECETA"))))</f>
        <v>CAC-S</v>
      </c>
      <c r="O37" s="0" t="n">
        <f aca="false">IF(OR(I37="ANCLAJE",I37="ANCLAJE_PROPUESTO",I37="TERMINAL"),Parametros!$E$5,0)</f>
        <v>0</v>
      </c>
      <c r="P37" s="0" t="n">
        <f aca="false">G37/SIN(RADIANS(Criterios_M01!$C$2))+Criterios_M01!$C$3</f>
        <v>23.081832585698</v>
      </c>
      <c r="Q37" s="0" t="n">
        <f aca="false">G37+Criterios_M01!$C$4</f>
        <v>17.2</v>
      </c>
      <c r="R37" s="0" t="n">
        <f aca="false">ROUNDUP(G37/Criterios_M01!$C$5,0)+1</f>
        <v>16</v>
      </c>
      <c r="S37" s="0" t="n">
        <f aca="false">(SUMIF(Vanos!$B$7:$B$116,A37,Vanos!$N$7:$N$116)+SUMIF(Vanos!$C$7:$C$116,A37,Vanos!$N$7:$N$116))/2</f>
        <v>246.506785874967</v>
      </c>
    </row>
    <row r="38" customFormat="false" ht="21" hidden="false" customHeight="true" outlineLevel="0" collapsed="false">
      <c r="A38" s="1" t="s">
        <v>137</v>
      </c>
      <c r="B38" s="6" t="n">
        <v>425345.353452577</v>
      </c>
      <c r="C38" s="6" t="n">
        <v>8434972.53680109</v>
      </c>
      <c r="D38" s="6" t="n">
        <v>3415.85957344945</v>
      </c>
      <c r="E38" s="6" t="n">
        <v>15</v>
      </c>
      <c r="F38" s="6" t="n">
        <v>2.1</v>
      </c>
      <c r="G38" s="6" t="n">
        <v>12.4</v>
      </c>
      <c r="H38" s="6" t="n">
        <v>5.46193084619526</v>
      </c>
      <c r="I38" s="13" t="s">
        <v>109</v>
      </c>
      <c r="J38" s="14" t="n">
        <f aca="false">IF(I38="SUSPENSION",0,IF(I38="TERMINAL",1,2))</f>
        <v>2</v>
      </c>
      <c r="K38" s="14" t="n">
        <f aca="false">1</f>
        <v>1</v>
      </c>
      <c r="L38" s="14" t="n">
        <f aca="false">1</f>
        <v>1</v>
      </c>
      <c r="M38" s="15" t="n">
        <f aca="false">O38*Parametros!$E$6</f>
        <v>0</v>
      </c>
      <c r="N38" s="0" t="str">
        <f aca="false">IF(I38="SUSPENSION","CAC-S",IF(I38="ANGULO","CAC-A",IF(I38="TERMINAL","CAC-T",IF(OR(I38="ANCLAJE",I38="ANCLAJE_PROPUESTO"),"CAC-R","SIN-RECETA"))))</f>
        <v>CAC-A</v>
      </c>
      <c r="O38" s="0" t="n">
        <f aca="false">IF(OR(I38="ANCLAJE",I38="ANCLAJE_PROPUESTO",I38="TERMINAL"),Parametros!$E$5,0)</f>
        <v>0</v>
      </c>
      <c r="P38" s="0" t="n">
        <f aca="false">G38/SIN(RADIANS(Criterios_M01!$C$2))+Criterios_M01!$C$3</f>
        <v>20.5362481734264</v>
      </c>
      <c r="Q38" s="0" t="n">
        <f aca="false">G38+Criterios_M01!$C$4</f>
        <v>15.4</v>
      </c>
      <c r="R38" s="0" t="n">
        <f aca="false">ROUNDUP(G38/Criterios_M01!$C$5,0)+1</f>
        <v>14</v>
      </c>
      <c r="S38" s="0" t="n">
        <f aca="false">(SUMIF(Vanos!$B$7:$B$116,A38,Vanos!$N$7:$N$116)+SUMIF(Vanos!$C$7:$C$116,A38,Vanos!$N$7:$N$116))/2</f>
        <v>233.459792344273</v>
      </c>
    </row>
    <row r="39" customFormat="false" ht="21" hidden="false" customHeight="true" outlineLevel="0" collapsed="false">
      <c r="A39" s="1" t="s">
        <v>138</v>
      </c>
      <c r="B39" s="6" t="n">
        <v>425349.662439169</v>
      </c>
      <c r="C39" s="6" t="n">
        <v>8434899.20346776</v>
      </c>
      <c r="D39" s="6" t="n">
        <v>3420.53147468304</v>
      </c>
      <c r="E39" s="6" t="n">
        <v>15</v>
      </c>
      <c r="F39" s="6" t="n">
        <v>2.1</v>
      </c>
      <c r="G39" s="6" t="n">
        <v>12.4</v>
      </c>
      <c r="H39" s="6" t="n">
        <v>1.20741826972573E-006</v>
      </c>
      <c r="I39" s="13" t="s">
        <v>104</v>
      </c>
      <c r="J39" s="14" t="n">
        <f aca="false">IF(I39="SUSPENSION",0,IF(I39="TERMINAL",1,2))</f>
        <v>0</v>
      </c>
      <c r="K39" s="14" t="n">
        <f aca="false">1</f>
        <v>1</v>
      </c>
      <c r="L39" s="14" t="n">
        <f aca="false">1</f>
        <v>1</v>
      </c>
      <c r="M39" s="15" t="n">
        <f aca="false">O39*Parametros!$E$6</f>
        <v>0</v>
      </c>
      <c r="N39" s="0" t="str">
        <f aca="false">IF(I39="SUSPENSION","CAC-S",IF(I39="ANGULO","CAC-A",IF(I39="TERMINAL","CAC-T",IF(OR(I39="ANCLAJE",I39="ANCLAJE_PROPUESTO"),"CAC-R","SIN-RECETA"))))</f>
        <v>CAC-S</v>
      </c>
      <c r="O39" s="0" t="n">
        <f aca="false">IF(OR(I39="ANCLAJE",I39="ANCLAJE_PROPUESTO",I39="TERMINAL"),Parametros!$E$5,0)</f>
        <v>0</v>
      </c>
      <c r="P39" s="0" t="n">
        <f aca="false">G39/SIN(RADIANS(Criterios_M01!$C$2))+Criterios_M01!$C$3</f>
        <v>20.5362481734264</v>
      </c>
      <c r="Q39" s="0" t="n">
        <f aca="false">G39+Criterios_M01!$C$4</f>
        <v>15.4</v>
      </c>
      <c r="R39" s="0" t="n">
        <f aca="false">ROUNDUP(G39/Criterios_M01!$C$5,0)+1</f>
        <v>14</v>
      </c>
      <c r="S39" s="0" t="n">
        <f aca="false">(SUMIF(Vanos!$B$7:$B$116,A39,Vanos!$N$7:$N$116)+SUMIF(Vanos!$C$7:$C$116,A39,Vanos!$N$7:$N$116))/2</f>
        <v>221.220154142692</v>
      </c>
    </row>
    <row r="40" customFormat="false" ht="21" hidden="false" customHeight="true" outlineLevel="0" collapsed="false">
      <c r="A40" s="1" t="s">
        <v>139</v>
      </c>
      <c r="B40" s="6" t="n">
        <v>425353.971425761</v>
      </c>
      <c r="C40" s="6" t="n">
        <v>8434825.87013442</v>
      </c>
      <c r="D40" s="6" t="n">
        <v>3428.20971536143</v>
      </c>
      <c r="E40" s="6" t="n">
        <v>15</v>
      </c>
      <c r="F40" s="6" t="n">
        <v>2.1</v>
      </c>
      <c r="G40" s="6" t="n">
        <v>12.4</v>
      </c>
      <c r="H40" s="6" t="n">
        <v>1.20741826972573E-006</v>
      </c>
      <c r="I40" s="13" t="s">
        <v>104</v>
      </c>
      <c r="J40" s="14" t="n">
        <f aca="false">IF(I40="SUSPENSION",0,IF(I40="TERMINAL",1,2))</f>
        <v>0</v>
      </c>
      <c r="K40" s="14" t="n">
        <f aca="false">1</f>
        <v>1</v>
      </c>
      <c r="L40" s="14" t="n">
        <f aca="false">1</f>
        <v>1</v>
      </c>
      <c r="M40" s="15" t="n">
        <f aca="false">O40*Parametros!$E$6</f>
        <v>0</v>
      </c>
      <c r="N40" s="0" t="str">
        <f aca="false">IF(I40="SUSPENSION","CAC-S",IF(I40="ANGULO","CAC-A",IF(I40="TERMINAL","CAC-T",IF(OR(I40="ANCLAJE",I40="ANCLAJE_PROPUESTO"),"CAC-R","SIN-RECETA"))))</f>
        <v>CAC-S</v>
      </c>
      <c r="O40" s="0" t="n">
        <f aca="false">IF(OR(I40="ANCLAJE",I40="ANCLAJE_PROPUESTO",I40="TERMINAL"),Parametros!$E$5,0)</f>
        <v>0</v>
      </c>
      <c r="P40" s="0" t="n">
        <f aca="false">G40/SIN(RADIANS(Criterios_M01!$C$2))+Criterios_M01!$C$3</f>
        <v>20.5362481734264</v>
      </c>
      <c r="Q40" s="0" t="n">
        <f aca="false">G40+Criterios_M01!$C$4</f>
        <v>15.4</v>
      </c>
      <c r="R40" s="0" t="n">
        <f aca="false">ROUNDUP(G40/Criterios_M01!$C$5,0)+1</f>
        <v>14</v>
      </c>
      <c r="S40" s="0" t="n">
        <f aca="false">(SUMIF(Vanos!$B$7:$B$116,A40,Vanos!$N$7:$N$116)+SUMIF(Vanos!$C$7:$C$116,A40,Vanos!$N$7:$N$116))/2</f>
        <v>220.997835420697</v>
      </c>
    </row>
    <row r="41" customFormat="false" ht="21" hidden="false" customHeight="true" outlineLevel="0" collapsed="false">
      <c r="A41" s="1" t="s">
        <v>140</v>
      </c>
      <c r="B41" s="6" t="n">
        <v>425358.280412353</v>
      </c>
      <c r="C41" s="6" t="n">
        <v>8434752.53680109</v>
      </c>
      <c r="D41" s="6" t="n">
        <v>3430.17569487265</v>
      </c>
      <c r="E41" s="6" t="n">
        <v>13</v>
      </c>
      <c r="F41" s="6" t="n">
        <v>1.9</v>
      </c>
      <c r="G41" s="6" t="n">
        <v>10.6</v>
      </c>
      <c r="H41" s="6" t="n">
        <v>152.534869670901</v>
      </c>
      <c r="I41" s="13" t="s">
        <v>106</v>
      </c>
      <c r="J41" s="14" t="n">
        <f aca="false">IF(I41="SUSPENSION",0,IF(I41="TERMINAL",1,2))</f>
        <v>2</v>
      </c>
      <c r="K41" s="14" t="n">
        <f aca="false">1</f>
        <v>1</v>
      </c>
      <c r="L41" s="14" t="n">
        <f aca="false">1</f>
        <v>1</v>
      </c>
      <c r="M41" s="15" t="n">
        <f aca="false">O41*Parametros!$E$6</f>
        <v>6</v>
      </c>
      <c r="N41" s="0" t="str">
        <f aca="false">IF(I41="SUSPENSION","CAC-S",IF(I41="ANGULO","CAC-A",IF(I41="TERMINAL","CAC-T",IF(OR(I41="ANCLAJE",I41="ANCLAJE_PROPUESTO"),"CAC-R","SIN-RECETA"))))</f>
        <v>CAC-R</v>
      </c>
      <c r="O41" s="0" t="n">
        <f aca="false">IF(OR(I41="ANCLAJE",I41="ANCLAJE_PROPUESTO",I41="TERMINAL"),Parametros!$E$5,0)</f>
        <v>3</v>
      </c>
      <c r="P41" s="0" t="n">
        <f aca="false">G41/SIN(RADIANS(Criterios_M01!$C$2))+Criterios_M01!$C$3</f>
        <v>17.9906637611548</v>
      </c>
      <c r="Q41" s="0" t="n">
        <f aca="false">G41+Criterios_M01!$C$4</f>
        <v>13.6</v>
      </c>
      <c r="R41" s="0" t="n">
        <f aca="false">ROUNDUP(G41/Criterios_M01!$C$5,0)+1</f>
        <v>12</v>
      </c>
      <c r="S41" s="0" t="n">
        <f aca="false">(SUMIF(Vanos!$B$7:$B$116,A41,Vanos!$N$7:$N$116)+SUMIF(Vanos!$C$7:$C$116,A41,Vanos!$N$7:$N$116))/2</f>
        <v>149.250544295934</v>
      </c>
    </row>
    <row r="42" customFormat="false" ht="21" hidden="false" customHeight="true" outlineLevel="0" collapsed="false">
      <c r="A42" s="1" t="s">
        <v>141</v>
      </c>
      <c r="B42" s="6" t="n">
        <v>425345.497366831</v>
      </c>
      <c r="C42" s="6" t="n">
        <v>8434773.95683656</v>
      </c>
      <c r="D42" s="6" t="n">
        <v>3437.62916605719</v>
      </c>
      <c r="E42" s="6" t="n">
        <v>13</v>
      </c>
      <c r="F42" s="6" t="n">
        <v>1.9</v>
      </c>
      <c r="G42" s="6" t="n">
        <v>10.6</v>
      </c>
      <c r="H42" s="6" t="n">
        <v>51.7995564269767</v>
      </c>
      <c r="I42" s="13" t="s">
        <v>106</v>
      </c>
      <c r="J42" s="14" t="n">
        <f aca="false">IF(I42="SUSPENSION",0,IF(I42="TERMINAL",1,2))</f>
        <v>2</v>
      </c>
      <c r="K42" s="14" t="n">
        <f aca="false">1</f>
        <v>1</v>
      </c>
      <c r="L42" s="14" t="n">
        <f aca="false">1</f>
        <v>1</v>
      </c>
      <c r="M42" s="15" t="n">
        <f aca="false">O42*Parametros!$E$6</f>
        <v>6</v>
      </c>
      <c r="N42" s="0" t="str">
        <f aca="false">IF(I42="SUSPENSION","CAC-S",IF(I42="ANGULO","CAC-A",IF(I42="TERMINAL","CAC-T",IF(OR(I42="ANCLAJE",I42="ANCLAJE_PROPUESTO"),"CAC-R","SIN-RECETA"))))</f>
        <v>CAC-R</v>
      </c>
      <c r="O42" s="0" t="n">
        <f aca="false">IF(OR(I42="ANCLAJE",I42="ANCLAJE_PROPUESTO",I42="TERMINAL"),Parametros!$E$5,0)</f>
        <v>3</v>
      </c>
      <c r="P42" s="0" t="n">
        <f aca="false">G42/SIN(RADIANS(Criterios_M01!$C$2))+Criterios_M01!$C$3</f>
        <v>17.9906637611548</v>
      </c>
      <c r="Q42" s="0" t="n">
        <f aca="false">G42+Criterios_M01!$C$4</f>
        <v>13.6</v>
      </c>
      <c r="R42" s="0" t="n">
        <f aca="false">ROUNDUP(G42/Criterios_M01!$C$5,0)+1</f>
        <v>12</v>
      </c>
      <c r="S42" s="0" t="n">
        <f aca="false">(SUMIF(Vanos!$B$7:$B$116,A42,Vanos!$N$7:$N$116)+SUMIF(Vanos!$C$7:$C$116,A42,Vanos!$N$7:$N$116))/2</f>
        <v>74.5117114958333</v>
      </c>
    </row>
    <row r="43" customFormat="false" ht="21" hidden="false" customHeight="true" outlineLevel="0" collapsed="false">
      <c r="A43" s="1" t="s">
        <v>142</v>
      </c>
      <c r="B43" s="6" t="n">
        <v>425325.657420272</v>
      </c>
      <c r="C43" s="6" t="n">
        <v>8434776.52392812</v>
      </c>
      <c r="D43" s="6" t="n">
        <v>3450.22419747877</v>
      </c>
      <c r="E43" s="6" t="n">
        <v>13</v>
      </c>
      <c r="F43" s="6" t="n">
        <v>1.9</v>
      </c>
      <c r="G43" s="6" t="n">
        <v>10.6</v>
      </c>
      <c r="H43" s="6" t="n">
        <v>48.7134868672086</v>
      </c>
      <c r="I43" s="13" t="s">
        <v>106</v>
      </c>
      <c r="J43" s="14" t="n">
        <f aca="false">IF(I43="SUSPENSION",0,IF(I43="TERMINAL",1,2))</f>
        <v>2</v>
      </c>
      <c r="K43" s="14" t="n">
        <f aca="false">1</f>
        <v>1</v>
      </c>
      <c r="L43" s="14" t="n">
        <f aca="false">1</f>
        <v>1</v>
      </c>
      <c r="M43" s="15" t="n">
        <f aca="false">O43*Parametros!$E$6</f>
        <v>6</v>
      </c>
      <c r="N43" s="0" t="str">
        <f aca="false">IF(I43="SUSPENSION","CAC-S",IF(I43="ANGULO","CAC-A",IF(I43="TERMINAL","CAC-T",IF(OR(I43="ANCLAJE",I43="ANCLAJE_PROPUESTO"),"CAC-R","SIN-RECETA"))))</f>
        <v>CAC-R</v>
      </c>
      <c r="O43" s="0" t="n">
        <f aca="false">IF(OR(I43="ANCLAJE",I43="ANCLAJE_PROPUESTO",I43="TERMINAL"),Parametros!$E$5,0)</f>
        <v>3</v>
      </c>
      <c r="P43" s="0" t="n">
        <f aca="false">G43/SIN(RADIANS(Criterios_M01!$C$2))+Criterios_M01!$C$3</f>
        <v>17.9906637611548</v>
      </c>
      <c r="Q43" s="0" t="n">
        <f aca="false">G43+Criterios_M01!$C$4</f>
        <v>13.6</v>
      </c>
      <c r="R43" s="0" t="n">
        <f aca="false">ROUNDUP(G43/Criterios_M01!$C$5,0)+1</f>
        <v>12</v>
      </c>
      <c r="S43" s="0" t="n">
        <f aca="false">(SUMIF(Vanos!$B$7:$B$116,A43,Vanos!$N$7:$N$116)+SUMIF(Vanos!$C$7:$C$116,A43,Vanos!$N$7:$N$116))/2</f>
        <v>90.6049944936902</v>
      </c>
    </row>
    <row r="44" customFormat="false" ht="21" hidden="false" customHeight="true" outlineLevel="0" collapsed="false">
      <c r="A44" s="1" t="s">
        <v>143</v>
      </c>
      <c r="B44" s="6" t="n">
        <v>425302.82052006</v>
      </c>
      <c r="C44" s="6" t="n">
        <v>8434756.43228778</v>
      </c>
      <c r="D44" s="6" t="n">
        <v>3470.87155273533</v>
      </c>
      <c r="E44" s="6" t="n">
        <v>13</v>
      </c>
      <c r="F44" s="6" t="n">
        <v>1.9</v>
      </c>
      <c r="G44" s="6" t="n">
        <v>10.6</v>
      </c>
      <c r="H44" s="6" t="n">
        <v>41.9394923616413</v>
      </c>
      <c r="I44" s="13" t="s">
        <v>106</v>
      </c>
      <c r="J44" s="14" t="n">
        <f aca="false">IF(I44="SUSPENSION",0,IF(I44="TERMINAL",1,2))</f>
        <v>2</v>
      </c>
      <c r="K44" s="14" t="n">
        <f aca="false">1</f>
        <v>1</v>
      </c>
      <c r="L44" s="14" t="n">
        <f aca="false">1</f>
        <v>1</v>
      </c>
      <c r="M44" s="15" t="n">
        <f aca="false">O44*Parametros!$E$6</f>
        <v>6</v>
      </c>
      <c r="N44" s="0" t="str">
        <f aca="false">IF(I44="SUSPENSION","CAC-S",IF(I44="ANGULO","CAC-A",IF(I44="TERMINAL","CAC-T",IF(OR(I44="ANCLAJE",I44="ANCLAJE_PROPUESTO"),"CAC-R","SIN-RECETA"))))</f>
        <v>CAC-R</v>
      </c>
      <c r="O44" s="0" t="n">
        <f aca="false">IF(OR(I44="ANCLAJE",I44="ANCLAJE_PROPUESTO",I44="TERMINAL"),Parametros!$E$5,0)</f>
        <v>3</v>
      </c>
      <c r="P44" s="0" t="n">
        <f aca="false">G44/SIN(RADIANS(Criterios_M01!$C$2))+Criterios_M01!$C$3</f>
        <v>17.9906637611548</v>
      </c>
      <c r="Q44" s="0" t="n">
        <f aca="false">G44+Criterios_M01!$C$4</f>
        <v>13.6</v>
      </c>
      <c r="R44" s="0" t="n">
        <f aca="false">ROUNDUP(G44/Criterios_M01!$C$5,0)+1</f>
        <v>12</v>
      </c>
      <c r="S44" s="0" t="n">
        <f aca="false">(SUMIF(Vanos!$B$7:$B$116,A44,Vanos!$N$7:$N$116)+SUMIF(Vanos!$C$7:$C$116,A44,Vanos!$N$7:$N$116))/2</f>
        <v>168.763062039794</v>
      </c>
    </row>
    <row r="45" customFormat="false" ht="21" hidden="false" customHeight="true" outlineLevel="0" collapsed="false">
      <c r="A45" s="1" t="s">
        <v>144</v>
      </c>
      <c r="B45" s="6" t="n">
        <v>425293.960004877</v>
      </c>
      <c r="C45" s="6" t="n">
        <v>8434681.22792739</v>
      </c>
      <c r="D45" s="6" t="n">
        <v>3468.74839367303</v>
      </c>
      <c r="E45" s="6" t="n">
        <v>17</v>
      </c>
      <c r="F45" s="6" t="n">
        <v>2.1</v>
      </c>
      <c r="G45" s="6" t="n">
        <v>14.2</v>
      </c>
      <c r="H45" s="6" t="n">
        <v>10.23144828424</v>
      </c>
      <c r="I45" s="13" t="s">
        <v>109</v>
      </c>
      <c r="J45" s="14" t="n">
        <f aca="false">IF(I45="SUSPENSION",0,IF(I45="TERMINAL",1,2))</f>
        <v>2</v>
      </c>
      <c r="K45" s="14" t="n">
        <f aca="false">1</f>
        <v>1</v>
      </c>
      <c r="L45" s="14" t="n">
        <f aca="false">1</f>
        <v>1</v>
      </c>
      <c r="M45" s="15" t="n">
        <f aca="false">O45*Parametros!$E$6</f>
        <v>0</v>
      </c>
      <c r="N45" s="0" t="str">
        <f aca="false">IF(I45="SUSPENSION","CAC-S",IF(I45="ANGULO","CAC-A",IF(I45="TERMINAL","CAC-T",IF(OR(I45="ANCLAJE",I45="ANCLAJE_PROPUESTO"),"CAC-R","SIN-RECETA"))))</f>
        <v>CAC-A</v>
      </c>
      <c r="O45" s="0" t="n">
        <f aca="false">IF(OR(I45="ANCLAJE",I45="ANCLAJE_PROPUESTO",I45="TERMINAL"),Parametros!$E$5,0)</f>
        <v>0</v>
      </c>
      <c r="P45" s="0" t="n">
        <f aca="false">G45/SIN(RADIANS(Criterios_M01!$C$2))+Criterios_M01!$C$3</f>
        <v>23.081832585698</v>
      </c>
      <c r="Q45" s="0" t="n">
        <f aca="false">G45+Criterios_M01!$C$4</f>
        <v>17.2</v>
      </c>
      <c r="R45" s="0" t="n">
        <f aca="false">ROUNDUP(G45/Criterios_M01!$C$5,0)+1</f>
        <v>16</v>
      </c>
      <c r="S45" s="0" t="n">
        <f aca="false">(SUMIF(Vanos!$B$7:$B$116,A45,Vanos!$N$7:$N$116)+SUMIF(Vanos!$C$7:$C$116,A45,Vanos!$N$7:$N$116))/2</f>
        <v>237.775164627959</v>
      </c>
    </row>
    <row r="46" customFormat="false" ht="21" hidden="false" customHeight="true" outlineLevel="0" collapsed="false">
      <c r="A46" s="1" t="s">
        <v>145</v>
      </c>
      <c r="B46" s="6" t="n">
        <v>425269.943625362</v>
      </c>
      <c r="C46" s="6" t="n">
        <v>8434602.43299583</v>
      </c>
      <c r="D46" s="6" t="n">
        <v>3476.76595094181</v>
      </c>
      <c r="E46" s="6" t="n">
        <v>17</v>
      </c>
      <c r="F46" s="6" t="n">
        <v>2.1</v>
      </c>
      <c r="G46" s="6" t="n">
        <v>14.2</v>
      </c>
      <c r="H46" s="6" t="n">
        <v>0</v>
      </c>
      <c r="I46" s="13" t="s">
        <v>114</v>
      </c>
      <c r="J46" s="14" t="n">
        <f aca="false">IF(I46="SUSPENSION",0,IF(I46="TERMINAL",1,2))</f>
        <v>2</v>
      </c>
      <c r="K46" s="14" t="n">
        <f aca="false">1</f>
        <v>1</v>
      </c>
      <c r="L46" s="14" t="n">
        <f aca="false">1</f>
        <v>1</v>
      </c>
      <c r="M46" s="15" t="n">
        <f aca="false">O46*Parametros!$E$6</f>
        <v>6</v>
      </c>
      <c r="N46" s="0" t="str">
        <f aca="false">IF(I46="SUSPENSION","CAC-S",IF(I46="ANGULO","CAC-A",IF(I46="TERMINAL","CAC-T",IF(OR(I46="ANCLAJE",I46="ANCLAJE_PROPUESTO"),"CAC-R","SIN-RECETA"))))</f>
        <v>CAC-R</v>
      </c>
      <c r="O46" s="0" t="n">
        <f aca="false">IF(OR(I46="ANCLAJE",I46="ANCLAJE_PROPUESTO",I46="TERMINAL"),Parametros!$E$5,0)</f>
        <v>3</v>
      </c>
      <c r="P46" s="0" t="n">
        <f aca="false">G46/SIN(RADIANS(Criterios_M01!$C$2))+Criterios_M01!$C$3</f>
        <v>23.081832585698</v>
      </c>
      <c r="Q46" s="0" t="n">
        <f aca="false">G46+Criterios_M01!$C$4</f>
        <v>17.2</v>
      </c>
      <c r="R46" s="0" t="n">
        <f aca="false">ROUNDUP(G46/Criterios_M01!$C$5,0)+1</f>
        <v>16</v>
      </c>
      <c r="S46" s="0" t="n">
        <f aca="false">(SUMIF(Vanos!$B$7:$B$116,A46,Vanos!$N$7:$N$116)+SUMIF(Vanos!$C$7:$C$116,A46,Vanos!$N$7:$N$116))/2</f>
        <v>252.349104531395</v>
      </c>
    </row>
    <row r="47" customFormat="false" ht="21" hidden="false" customHeight="true" outlineLevel="0" collapsed="false">
      <c r="A47" s="1" t="s">
        <v>146</v>
      </c>
      <c r="B47" s="6" t="n">
        <v>425245.927245847</v>
      </c>
      <c r="C47" s="6" t="n">
        <v>8434523.63806427</v>
      </c>
      <c r="D47" s="6" t="n">
        <v>3499.50010814186</v>
      </c>
      <c r="E47" s="6" t="n">
        <v>17</v>
      </c>
      <c r="F47" s="6" t="n">
        <v>2.1</v>
      </c>
      <c r="G47" s="6" t="n">
        <v>14.2</v>
      </c>
      <c r="H47" s="6" t="n">
        <v>21.7281442987615</v>
      </c>
      <c r="I47" s="13" t="s">
        <v>109</v>
      </c>
      <c r="J47" s="14" t="n">
        <f aca="false">IF(I47="SUSPENSION",0,IF(I47="TERMINAL",1,2))</f>
        <v>2</v>
      </c>
      <c r="K47" s="14" t="n">
        <f aca="false">1</f>
        <v>1</v>
      </c>
      <c r="L47" s="14" t="n">
        <f aca="false">1</f>
        <v>1</v>
      </c>
      <c r="M47" s="15" t="n">
        <f aca="false">O47*Parametros!$E$6</f>
        <v>0</v>
      </c>
      <c r="N47" s="0" t="str">
        <f aca="false">IF(I47="SUSPENSION","CAC-S",IF(I47="ANGULO","CAC-A",IF(I47="TERMINAL","CAC-T",IF(OR(I47="ANCLAJE",I47="ANCLAJE_PROPUESTO"),"CAC-R","SIN-RECETA"))))</f>
        <v>CAC-A</v>
      </c>
      <c r="O47" s="0" t="n">
        <f aca="false">IF(OR(I47="ANCLAJE",I47="ANCLAJE_PROPUESTO",I47="TERMINAL"),Parametros!$E$5,0)</f>
        <v>0</v>
      </c>
      <c r="P47" s="0" t="n">
        <f aca="false">G47/SIN(RADIANS(Criterios_M01!$C$2))+Criterios_M01!$C$3</f>
        <v>23.081832585698</v>
      </c>
      <c r="Q47" s="0" t="n">
        <f aca="false">G47+Criterios_M01!$C$4</f>
        <v>17.2</v>
      </c>
      <c r="R47" s="0" t="n">
        <f aca="false">ROUNDUP(G47/Criterios_M01!$C$5,0)+1</f>
        <v>16</v>
      </c>
      <c r="S47" s="0" t="n">
        <f aca="false">(SUMIF(Vanos!$B$7:$B$116,A47,Vanos!$N$7:$N$116)+SUMIF(Vanos!$C$7:$C$116,A47,Vanos!$N$7:$N$116))/2</f>
        <v>223.050788251794</v>
      </c>
    </row>
    <row r="48" customFormat="false" ht="21" hidden="false" customHeight="true" outlineLevel="0" collapsed="false">
      <c r="A48" s="1" t="s">
        <v>147</v>
      </c>
      <c r="B48" s="6" t="n">
        <v>425251.176242072</v>
      </c>
      <c r="C48" s="6" t="n">
        <v>8434460.82881866</v>
      </c>
      <c r="D48" s="6" t="n">
        <v>3494.38560644687</v>
      </c>
      <c r="E48" s="6" t="n">
        <v>17</v>
      </c>
      <c r="F48" s="6" t="n">
        <v>2.1</v>
      </c>
      <c r="G48" s="6" t="n">
        <v>14.2</v>
      </c>
      <c r="H48" s="6" t="n">
        <v>29.0704501347406</v>
      </c>
      <c r="I48" s="13" t="s">
        <v>109</v>
      </c>
      <c r="J48" s="14" t="n">
        <f aca="false">IF(I48="SUSPENSION",0,IF(I48="TERMINAL",1,2))</f>
        <v>2</v>
      </c>
      <c r="K48" s="14" t="n">
        <f aca="false">1</f>
        <v>1</v>
      </c>
      <c r="L48" s="14" t="n">
        <f aca="false">1</f>
        <v>1</v>
      </c>
      <c r="M48" s="15" t="n">
        <f aca="false">O48*Parametros!$E$6</f>
        <v>0</v>
      </c>
      <c r="N48" s="0" t="str">
        <f aca="false">IF(I48="SUSPENSION","CAC-S",IF(I48="ANGULO","CAC-A",IF(I48="TERMINAL","CAC-T",IF(OR(I48="ANCLAJE",I48="ANCLAJE_PROPUESTO"),"CAC-R","SIN-RECETA"))))</f>
        <v>CAC-A</v>
      </c>
      <c r="O48" s="0" t="n">
        <f aca="false">IF(OR(I48="ANCLAJE",I48="ANCLAJE_PROPUESTO",I48="TERMINAL"),Parametros!$E$5,0)</f>
        <v>0</v>
      </c>
      <c r="P48" s="0" t="n">
        <f aca="false">G48/SIN(RADIANS(Criterios_M01!$C$2))+Criterios_M01!$C$3</f>
        <v>23.081832585698</v>
      </c>
      <c r="Q48" s="0" t="n">
        <f aca="false">G48+Criterios_M01!$C$4</f>
        <v>17.2</v>
      </c>
      <c r="R48" s="0" t="n">
        <f aca="false">ROUNDUP(G48/Criterios_M01!$C$5,0)+1</f>
        <v>16</v>
      </c>
      <c r="S48" s="0" t="n">
        <f aca="false">(SUMIF(Vanos!$B$7:$B$116,A48,Vanos!$N$7:$N$116)+SUMIF(Vanos!$C$7:$C$116,A48,Vanos!$N$7:$N$116))/2</f>
        <v>170.231671575093</v>
      </c>
    </row>
    <row r="49" customFormat="false" ht="21" hidden="false" customHeight="true" outlineLevel="0" collapsed="false">
      <c r="A49" s="1" t="s">
        <v>148</v>
      </c>
      <c r="B49" s="6" t="n">
        <v>425230.655774767</v>
      </c>
      <c r="C49" s="6" t="n">
        <v>8434415.36688424</v>
      </c>
      <c r="D49" s="6" t="n">
        <v>3502.25730712613</v>
      </c>
      <c r="E49" s="6" t="n">
        <v>15</v>
      </c>
      <c r="F49" s="6" t="n">
        <v>2.1</v>
      </c>
      <c r="G49" s="6" t="n">
        <v>12.4</v>
      </c>
      <c r="H49" s="6" t="n">
        <v>23.1364358200368</v>
      </c>
      <c r="I49" s="13" t="s">
        <v>109</v>
      </c>
      <c r="J49" s="14" t="n">
        <f aca="false">IF(I49="SUSPENSION",0,IF(I49="TERMINAL",1,2))</f>
        <v>2</v>
      </c>
      <c r="K49" s="14" t="n">
        <f aca="false">1</f>
        <v>1</v>
      </c>
      <c r="L49" s="14" t="n">
        <f aca="false">1</f>
        <v>1</v>
      </c>
      <c r="M49" s="15" t="n">
        <f aca="false">O49*Parametros!$E$6</f>
        <v>0</v>
      </c>
      <c r="N49" s="0" t="str">
        <f aca="false">IF(I49="SUSPENSION","CAC-S",IF(I49="ANGULO","CAC-A",IF(I49="TERMINAL","CAC-T",IF(OR(I49="ANCLAJE",I49="ANCLAJE_PROPUESTO"),"CAC-R","SIN-RECETA"))))</f>
        <v>CAC-A</v>
      </c>
      <c r="O49" s="0" t="n">
        <f aca="false">IF(OR(I49="ANCLAJE",I49="ANCLAJE_PROPUESTO",I49="TERMINAL"),Parametros!$E$5,0)</f>
        <v>0</v>
      </c>
      <c r="P49" s="0" t="n">
        <f aca="false">G49/SIN(RADIANS(Criterios_M01!$C$2))+Criterios_M01!$C$3</f>
        <v>20.5362481734264</v>
      </c>
      <c r="Q49" s="0" t="n">
        <f aca="false">G49+Criterios_M01!$C$4</f>
        <v>15.4</v>
      </c>
      <c r="R49" s="0" t="n">
        <f aca="false">ROUNDUP(G49/Criterios_M01!$C$5,0)+1</f>
        <v>14</v>
      </c>
      <c r="S49" s="0" t="n">
        <f aca="false">(SUMIF(Vanos!$B$7:$B$116,A49,Vanos!$N$7:$N$116)+SUMIF(Vanos!$C$7:$C$116,A49,Vanos!$N$7:$N$116))/2</f>
        <v>195.53122775811</v>
      </c>
    </row>
    <row r="50" customFormat="false" ht="21" hidden="false" customHeight="true" outlineLevel="0" collapsed="false">
      <c r="A50" s="1" t="s">
        <v>149</v>
      </c>
      <c r="B50" s="6" t="n">
        <v>425229.040211713</v>
      </c>
      <c r="C50" s="6" t="n">
        <v>8434335.36528467</v>
      </c>
      <c r="D50" s="6" t="n">
        <v>3505.83376228927</v>
      </c>
      <c r="E50" s="6" t="n">
        <v>15</v>
      </c>
      <c r="F50" s="6" t="n">
        <v>2.1</v>
      </c>
      <c r="G50" s="6" t="n">
        <v>12.4</v>
      </c>
      <c r="H50" s="6" t="n">
        <v>0</v>
      </c>
      <c r="I50" s="13" t="s">
        <v>114</v>
      </c>
      <c r="J50" s="14" t="n">
        <f aca="false">IF(I50="SUSPENSION",0,IF(I50="TERMINAL",1,2))</f>
        <v>2</v>
      </c>
      <c r="K50" s="14" t="n">
        <f aca="false">1</f>
        <v>1</v>
      </c>
      <c r="L50" s="14" t="n">
        <f aca="false">1</f>
        <v>1</v>
      </c>
      <c r="M50" s="15" t="n">
        <f aca="false">O50*Parametros!$E$6</f>
        <v>6</v>
      </c>
      <c r="N50" s="0" t="str">
        <f aca="false">IF(I50="SUSPENSION","CAC-S",IF(I50="ANGULO","CAC-A",IF(I50="TERMINAL","CAC-T",IF(OR(I50="ANCLAJE",I50="ANCLAJE_PROPUESTO"),"CAC-R","SIN-RECETA"))))</f>
        <v>CAC-R</v>
      </c>
      <c r="O50" s="0" t="n">
        <f aca="false">IF(OR(I50="ANCLAJE",I50="ANCLAJE_PROPUESTO",I50="TERMINAL"),Parametros!$E$5,0)</f>
        <v>3</v>
      </c>
      <c r="P50" s="0" t="n">
        <f aca="false">G50/SIN(RADIANS(Criterios_M01!$C$2))+Criterios_M01!$C$3</f>
        <v>20.5362481734264</v>
      </c>
      <c r="Q50" s="0" t="n">
        <f aca="false">G50+Criterios_M01!$C$4</f>
        <v>15.4</v>
      </c>
      <c r="R50" s="0" t="n">
        <f aca="false">ROUNDUP(G50/Criterios_M01!$C$5,0)+1</f>
        <v>14</v>
      </c>
      <c r="S50" s="0" t="n">
        <f aca="false">(SUMIF(Vanos!$B$7:$B$116,A50,Vanos!$N$7:$N$116)+SUMIF(Vanos!$C$7:$C$116,A50,Vanos!$N$7:$N$116))/2</f>
        <v>240.851201386385</v>
      </c>
    </row>
    <row r="51" customFormat="false" ht="21" hidden="false" customHeight="true" outlineLevel="0" collapsed="false">
      <c r="A51" s="1" t="s">
        <v>150</v>
      </c>
      <c r="B51" s="6" t="n">
        <v>425227.42464866</v>
      </c>
      <c r="C51" s="6" t="n">
        <v>8434255.36368511</v>
      </c>
      <c r="D51" s="6" t="n">
        <v>3516.00233768226</v>
      </c>
      <c r="E51" s="6" t="n">
        <v>13</v>
      </c>
      <c r="F51" s="6" t="n">
        <v>1.9</v>
      </c>
      <c r="G51" s="6" t="n">
        <v>10.6</v>
      </c>
      <c r="H51" s="6" t="n">
        <v>30.9522989893348</v>
      </c>
      <c r="I51" s="13" t="s">
        <v>106</v>
      </c>
      <c r="J51" s="14" t="n">
        <f aca="false">IF(I51="SUSPENSION",0,IF(I51="TERMINAL",1,2))</f>
        <v>2</v>
      </c>
      <c r="K51" s="14" t="n">
        <f aca="false">1</f>
        <v>1</v>
      </c>
      <c r="L51" s="14" t="n">
        <f aca="false">1</f>
        <v>1</v>
      </c>
      <c r="M51" s="15" t="n">
        <f aca="false">O51*Parametros!$E$6</f>
        <v>6</v>
      </c>
      <c r="N51" s="0" t="str">
        <f aca="false">IF(I51="SUSPENSION","CAC-S",IF(I51="ANGULO","CAC-A",IF(I51="TERMINAL","CAC-T",IF(OR(I51="ANCLAJE",I51="ANCLAJE_PROPUESTO"),"CAC-R","SIN-RECETA"))))</f>
        <v>CAC-R</v>
      </c>
      <c r="O51" s="0" t="n">
        <f aca="false">IF(OR(I51="ANCLAJE",I51="ANCLAJE_PROPUESTO",I51="TERMINAL"),Parametros!$E$5,0)</f>
        <v>3</v>
      </c>
      <c r="P51" s="0" t="n">
        <f aca="false">G51/SIN(RADIANS(Criterios_M01!$C$2))+Criterios_M01!$C$3</f>
        <v>17.9906637611548</v>
      </c>
      <c r="Q51" s="0" t="n">
        <f aca="false">G51+Criterios_M01!$C$4</f>
        <v>13.6</v>
      </c>
      <c r="R51" s="0" t="n">
        <f aca="false">ROUNDUP(G51/Criterios_M01!$C$5,0)+1</f>
        <v>12</v>
      </c>
      <c r="S51" s="0" t="n">
        <f aca="false">(SUMIF(Vanos!$B$7:$B$116,A51,Vanos!$N$7:$N$116)+SUMIF(Vanos!$C$7:$C$116,A51,Vanos!$N$7:$N$116))/2</f>
        <v>212.858896737564</v>
      </c>
    </row>
    <row r="52" customFormat="false" ht="21" hidden="false" customHeight="true" outlineLevel="0" collapsed="false">
      <c r="A52" s="1" t="s">
        <v>151</v>
      </c>
      <c r="B52" s="6" t="n">
        <v>425257.948633733</v>
      </c>
      <c r="C52" s="6" t="n">
        <v>8434202.05591695</v>
      </c>
      <c r="D52" s="6" t="n">
        <v>3514.7779191707</v>
      </c>
      <c r="E52" s="6" t="n">
        <v>13</v>
      </c>
      <c r="F52" s="6" t="n">
        <v>1.9</v>
      </c>
      <c r="G52" s="6" t="n">
        <v>10.6</v>
      </c>
      <c r="H52" s="6" t="n">
        <v>0</v>
      </c>
      <c r="I52" s="13" t="s">
        <v>104</v>
      </c>
      <c r="J52" s="14" t="n">
        <f aca="false">IF(I52="SUSPENSION",0,IF(I52="TERMINAL",1,2))</f>
        <v>0</v>
      </c>
      <c r="K52" s="14" t="n">
        <f aca="false">1</f>
        <v>1</v>
      </c>
      <c r="L52" s="14" t="n">
        <f aca="false">1</f>
        <v>1</v>
      </c>
      <c r="M52" s="15" t="n">
        <f aca="false">O52*Parametros!$E$6</f>
        <v>0</v>
      </c>
      <c r="N52" s="0" t="str">
        <f aca="false">IF(I52="SUSPENSION","CAC-S",IF(I52="ANGULO","CAC-A",IF(I52="TERMINAL","CAC-T",IF(OR(I52="ANCLAJE",I52="ANCLAJE_PROPUESTO"),"CAC-R","SIN-RECETA"))))</f>
        <v>CAC-S</v>
      </c>
      <c r="O52" s="0" t="n">
        <f aca="false">IF(OR(I52="ANCLAJE",I52="ANCLAJE_PROPUESTO",I52="TERMINAL"),Parametros!$E$5,0)</f>
        <v>0</v>
      </c>
      <c r="P52" s="0" t="n">
        <f aca="false">G52/SIN(RADIANS(Criterios_M01!$C$2))+Criterios_M01!$C$3</f>
        <v>17.9906637611548</v>
      </c>
      <c r="Q52" s="0" t="n">
        <f aca="false">G52+Criterios_M01!$C$4</f>
        <v>13.6</v>
      </c>
      <c r="R52" s="0" t="n">
        <f aca="false">ROUNDUP(G52/Criterios_M01!$C$5,0)+1</f>
        <v>12</v>
      </c>
      <c r="S52" s="0" t="n">
        <f aca="false">(SUMIF(Vanos!$B$7:$B$116,A52,Vanos!$N$7:$N$116)+SUMIF(Vanos!$C$7:$C$116,A52,Vanos!$N$7:$N$116))/2</f>
        <v>184.337220868659</v>
      </c>
    </row>
    <row r="53" customFormat="false" ht="21" hidden="false" customHeight="true" outlineLevel="0" collapsed="false">
      <c r="A53" s="1" t="s">
        <v>152</v>
      </c>
      <c r="B53" s="6" t="n">
        <v>425288.472618807</v>
      </c>
      <c r="C53" s="6" t="n">
        <v>8434148.74814879</v>
      </c>
      <c r="D53" s="6" t="n">
        <v>3516.17063489049</v>
      </c>
      <c r="E53" s="6" t="n">
        <v>13</v>
      </c>
      <c r="F53" s="6" t="n">
        <v>1.9</v>
      </c>
      <c r="G53" s="6" t="n">
        <v>10.6</v>
      </c>
      <c r="H53" s="6" t="n">
        <v>0</v>
      </c>
      <c r="I53" s="13" t="s">
        <v>114</v>
      </c>
      <c r="J53" s="14" t="n">
        <f aca="false">IF(I53="SUSPENSION",0,IF(I53="TERMINAL",1,2))</f>
        <v>2</v>
      </c>
      <c r="K53" s="14" t="n">
        <f aca="false">1</f>
        <v>1</v>
      </c>
      <c r="L53" s="14" t="n">
        <f aca="false">1</f>
        <v>1</v>
      </c>
      <c r="M53" s="15" t="n">
        <f aca="false">O53*Parametros!$E$6</f>
        <v>6</v>
      </c>
      <c r="N53" s="0" t="str">
        <f aca="false">IF(I53="SUSPENSION","CAC-S",IF(I53="ANGULO","CAC-A",IF(I53="TERMINAL","CAC-T",IF(OR(I53="ANCLAJE",I53="ANCLAJE_PROPUESTO"),"CAC-R","SIN-RECETA"))))</f>
        <v>CAC-R</v>
      </c>
      <c r="O53" s="0" t="n">
        <f aca="false">IF(OR(I53="ANCLAJE",I53="ANCLAJE_PROPUESTO",I53="TERMINAL"),Parametros!$E$5,0)</f>
        <v>3</v>
      </c>
      <c r="P53" s="0" t="n">
        <f aca="false">G53/SIN(RADIANS(Criterios_M01!$C$2))+Criterios_M01!$C$3</f>
        <v>17.9906637611548</v>
      </c>
      <c r="Q53" s="0" t="n">
        <f aca="false">G53+Criterios_M01!$C$4</f>
        <v>13.6</v>
      </c>
      <c r="R53" s="0" t="n">
        <f aca="false">ROUNDUP(G53/Criterios_M01!$C$5,0)+1</f>
        <v>12</v>
      </c>
      <c r="S53" s="0" t="n">
        <f aca="false">(SUMIF(Vanos!$B$7:$B$116,A53,Vanos!$N$7:$N$116)+SUMIF(Vanos!$C$7:$C$116,A53,Vanos!$N$7:$N$116))/2</f>
        <v>184.565711210814</v>
      </c>
    </row>
    <row r="54" customFormat="false" ht="21" hidden="false" customHeight="true" outlineLevel="0" collapsed="false">
      <c r="A54" s="1" t="s">
        <v>153</v>
      </c>
      <c r="B54" s="6" t="n">
        <v>425318.99660388</v>
      </c>
      <c r="C54" s="6" t="n">
        <v>8434095.44038063</v>
      </c>
      <c r="D54" s="6" t="n">
        <v>3520.66969433089</v>
      </c>
      <c r="E54" s="6" t="n">
        <v>13</v>
      </c>
      <c r="F54" s="6" t="n">
        <v>1.9</v>
      </c>
      <c r="G54" s="6" t="n">
        <v>10.6</v>
      </c>
      <c r="H54" s="6" t="n">
        <v>76.9042959115575</v>
      </c>
      <c r="I54" s="13" t="s">
        <v>106</v>
      </c>
      <c r="J54" s="14" t="n">
        <f aca="false">IF(I54="SUSPENSION",0,IF(I54="TERMINAL",1,2))</f>
        <v>2</v>
      </c>
      <c r="K54" s="14" t="n">
        <f aca="false">1</f>
        <v>1</v>
      </c>
      <c r="L54" s="14" t="n">
        <f aca="false">1</f>
        <v>1</v>
      </c>
      <c r="M54" s="15" t="n">
        <f aca="false">O54*Parametros!$E$6</f>
        <v>6</v>
      </c>
      <c r="N54" s="0" t="str">
        <f aca="false">IF(I54="SUSPENSION","CAC-S",IF(I54="ANGULO","CAC-A",IF(I54="TERMINAL","CAC-T",IF(OR(I54="ANCLAJE",I54="ANCLAJE_PROPUESTO"),"CAC-R","SIN-RECETA"))))</f>
        <v>CAC-R</v>
      </c>
      <c r="O54" s="0" t="n">
        <f aca="false">IF(OR(I54="ANCLAJE",I54="ANCLAJE_PROPUESTO",I54="TERMINAL"),Parametros!$E$5,0)</f>
        <v>3</v>
      </c>
      <c r="P54" s="0" t="n">
        <f aca="false">G54/SIN(RADIANS(Criterios_M01!$C$2))+Criterios_M01!$C$3</f>
        <v>17.9906637611548</v>
      </c>
      <c r="Q54" s="0" t="n">
        <f aca="false">G54+Criterios_M01!$C$4</f>
        <v>13.6</v>
      </c>
      <c r="R54" s="0" t="n">
        <f aca="false">ROUNDUP(G54/Criterios_M01!$C$5,0)+1</f>
        <v>12</v>
      </c>
      <c r="S54" s="0" t="n">
        <f aca="false">(SUMIF(Vanos!$B$7:$B$116,A54,Vanos!$N$7:$N$116)+SUMIF(Vanos!$C$7:$C$116,A54,Vanos!$N$7:$N$116))/2</f>
        <v>151.940060595483</v>
      </c>
    </row>
    <row r="55" customFormat="false" ht="21" hidden="false" customHeight="true" outlineLevel="0" collapsed="false">
      <c r="A55" s="1" t="s">
        <v>154</v>
      </c>
      <c r="B55" s="6" t="n">
        <v>425290.835208513</v>
      </c>
      <c r="C55" s="6" t="n">
        <v>8434069.27932798</v>
      </c>
      <c r="D55" s="6" t="n">
        <v>3530.58580222185</v>
      </c>
      <c r="E55" s="6" t="n">
        <v>13</v>
      </c>
      <c r="F55" s="6" t="n">
        <v>1.9</v>
      </c>
      <c r="G55" s="6" t="n">
        <v>10.6</v>
      </c>
      <c r="H55" s="6" t="n">
        <v>65.382423125974</v>
      </c>
      <c r="I55" s="13" t="s">
        <v>106</v>
      </c>
      <c r="J55" s="14" t="n">
        <f aca="false">IF(I55="SUSPENSION",0,IF(I55="TERMINAL",1,2))</f>
        <v>2</v>
      </c>
      <c r="K55" s="14" t="n">
        <f aca="false">1</f>
        <v>1</v>
      </c>
      <c r="L55" s="14" t="n">
        <f aca="false">1</f>
        <v>1</v>
      </c>
      <c r="M55" s="15" t="n">
        <f aca="false">O55*Parametros!$E$6</f>
        <v>6</v>
      </c>
      <c r="N55" s="0" t="str">
        <f aca="false">IF(I55="SUSPENSION","CAC-S",IF(I55="ANGULO","CAC-A",IF(I55="TERMINAL","CAC-T",IF(OR(I55="ANCLAJE",I55="ANCLAJE_PROPUESTO"),"CAC-R","SIN-RECETA"))))</f>
        <v>CAC-R</v>
      </c>
      <c r="O55" s="0" t="n">
        <f aca="false">IF(OR(I55="ANCLAJE",I55="ANCLAJE_PROPUESTO",I55="TERMINAL"),Parametros!$E$5,0)</f>
        <v>3</v>
      </c>
      <c r="P55" s="0" t="n">
        <f aca="false">G55/SIN(RADIANS(Criterios_M01!$C$2))+Criterios_M01!$C$3</f>
        <v>17.9906637611548</v>
      </c>
      <c r="Q55" s="0" t="n">
        <f aca="false">G55+Criterios_M01!$C$4</f>
        <v>13.6</v>
      </c>
      <c r="R55" s="0" t="n">
        <f aca="false">ROUNDUP(G55/Criterios_M01!$C$5,0)+1</f>
        <v>12</v>
      </c>
      <c r="S55" s="0" t="n">
        <f aca="false">(SUMIF(Vanos!$B$7:$B$116,A55,Vanos!$N$7:$N$116)+SUMIF(Vanos!$C$7:$C$116,A55,Vanos!$N$7:$N$116))/2</f>
        <v>179.720250400408</v>
      </c>
    </row>
    <row r="56" customFormat="false" ht="21" hidden="false" customHeight="true" outlineLevel="0" collapsed="false">
      <c r="A56" s="1" t="s">
        <v>155</v>
      </c>
      <c r="B56" s="6" t="n">
        <v>425315.81551379</v>
      </c>
      <c r="C56" s="6" t="n">
        <v>8433993.6287093</v>
      </c>
      <c r="D56" s="6" t="n">
        <v>3538.97602148562</v>
      </c>
      <c r="E56" s="6" t="n">
        <v>13</v>
      </c>
      <c r="F56" s="6" t="n">
        <v>1.9</v>
      </c>
      <c r="G56" s="6" t="n">
        <v>10.6</v>
      </c>
      <c r="H56" s="6" t="n">
        <v>18.0082392971473</v>
      </c>
      <c r="I56" s="13" t="s">
        <v>109</v>
      </c>
      <c r="J56" s="14" t="n">
        <f aca="false">IF(I56="SUSPENSION",0,IF(I56="TERMINAL",1,2))</f>
        <v>2</v>
      </c>
      <c r="K56" s="14" t="n">
        <f aca="false">1</f>
        <v>1</v>
      </c>
      <c r="L56" s="14" t="n">
        <f aca="false">1</f>
        <v>1</v>
      </c>
      <c r="M56" s="15" t="n">
        <f aca="false">O56*Parametros!$E$6</f>
        <v>0</v>
      </c>
      <c r="N56" s="0" t="str">
        <f aca="false">IF(I56="SUSPENSION","CAC-S",IF(I56="ANGULO","CAC-A",IF(I56="TERMINAL","CAC-T",IF(OR(I56="ANCLAJE",I56="ANCLAJE_PROPUESTO"),"CAC-R","SIN-RECETA"))))</f>
        <v>CAC-A</v>
      </c>
      <c r="O56" s="0" t="n">
        <f aca="false">IF(OR(I56="ANCLAJE",I56="ANCLAJE_PROPUESTO",I56="TERMINAL"),Parametros!$E$5,0)</f>
        <v>0</v>
      </c>
      <c r="P56" s="0" t="n">
        <f aca="false">G56/SIN(RADIANS(Criterios_M01!$C$2))+Criterios_M01!$C$3</f>
        <v>17.9906637611548</v>
      </c>
      <c r="Q56" s="0" t="n">
        <f aca="false">G56+Criterios_M01!$C$4</f>
        <v>13.6</v>
      </c>
      <c r="R56" s="0" t="n">
        <f aca="false">ROUNDUP(G56/Criterios_M01!$C$5,0)+1</f>
        <v>12</v>
      </c>
      <c r="S56" s="0" t="n">
        <f aca="false">(SUMIF(Vanos!$B$7:$B$116,A56,Vanos!$N$7:$N$116)+SUMIF(Vanos!$C$7:$C$116,A56,Vanos!$N$7:$N$116))/2</f>
        <v>206.961613589103</v>
      </c>
    </row>
    <row r="57" customFormat="false" ht="21" hidden="false" customHeight="true" outlineLevel="0" collapsed="false">
      <c r="A57" s="1" t="s">
        <v>156</v>
      </c>
      <c r="B57" s="6" t="n">
        <v>425350.051499015</v>
      </c>
      <c r="C57" s="6" t="n">
        <v>8433946.99099343</v>
      </c>
      <c r="D57" s="6" t="n">
        <v>3538.79376988529</v>
      </c>
      <c r="E57" s="6" t="n">
        <v>13</v>
      </c>
      <c r="F57" s="6" t="n">
        <v>1.9</v>
      </c>
      <c r="G57" s="6" t="n">
        <v>10.6</v>
      </c>
      <c r="H57" s="6" t="n">
        <v>0</v>
      </c>
      <c r="I57" s="13" t="s">
        <v>114</v>
      </c>
      <c r="J57" s="14" t="n">
        <f aca="false">IF(I57="SUSPENSION",0,IF(I57="TERMINAL",1,2))</f>
        <v>2</v>
      </c>
      <c r="K57" s="14" t="n">
        <f aca="false">1</f>
        <v>1</v>
      </c>
      <c r="L57" s="14" t="n">
        <f aca="false">1</f>
        <v>1</v>
      </c>
      <c r="M57" s="15" t="n">
        <f aca="false">O57*Parametros!$E$6</f>
        <v>6</v>
      </c>
      <c r="N57" s="0" t="str">
        <f aca="false">IF(I57="SUSPENSION","CAC-S",IF(I57="ANGULO","CAC-A",IF(I57="TERMINAL","CAC-T",IF(OR(I57="ANCLAJE",I57="ANCLAJE_PROPUESTO"),"CAC-R","SIN-RECETA"))))</f>
        <v>CAC-R</v>
      </c>
      <c r="O57" s="0" t="n">
        <f aca="false">IF(OR(I57="ANCLAJE",I57="ANCLAJE_PROPUESTO",I57="TERMINAL"),Parametros!$E$5,0)</f>
        <v>3</v>
      </c>
      <c r="P57" s="0" t="n">
        <f aca="false">G57/SIN(RADIANS(Criterios_M01!$C$2))+Criterios_M01!$C$3</f>
        <v>17.9906637611548</v>
      </c>
      <c r="Q57" s="0" t="n">
        <f aca="false">G57+Criterios_M01!$C$4</f>
        <v>13.6</v>
      </c>
      <c r="R57" s="0" t="n">
        <f aca="false">ROUNDUP(G57/Criterios_M01!$C$5,0)+1</f>
        <v>12</v>
      </c>
      <c r="S57" s="0" t="n">
        <f aca="false">(SUMIF(Vanos!$B$7:$B$116,A57,Vanos!$N$7:$N$116)+SUMIF(Vanos!$C$7:$C$116,A57,Vanos!$N$7:$N$116))/2</f>
        <v>173.700702922641</v>
      </c>
    </row>
    <row r="58" customFormat="false" ht="21" hidden="false" customHeight="true" outlineLevel="0" collapsed="false">
      <c r="A58" s="1" t="s">
        <v>157</v>
      </c>
      <c r="B58" s="6" t="n">
        <v>425384.28748424</v>
      </c>
      <c r="C58" s="6" t="n">
        <v>8433900.35327756</v>
      </c>
      <c r="D58" s="6" t="n">
        <v>3541.92634204803</v>
      </c>
      <c r="E58" s="6" t="n">
        <v>13</v>
      </c>
      <c r="F58" s="6" t="n">
        <v>1.9</v>
      </c>
      <c r="G58" s="6" t="n">
        <v>10.6</v>
      </c>
      <c r="H58" s="6" t="n">
        <v>41.6064639834365</v>
      </c>
      <c r="I58" s="13" t="s">
        <v>106</v>
      </c>
      <c r="J58" s="14" t="n">
        <f aca="false">IF(I58="SUSPENSION",0,IF(I58="TERMINAL",1,2))</f>
        <v>2</v>
      </c>
      <c r="K58" s="14" t="n">
        <f aca="false">1</f>
        <v>1</v>
      </c>
      <c r="L58" s="14" t="n">
        <f aca="false">1</f>
        <v>1</v>
      </c>
      <c r="M58" s="15" t="n">
        <f aca="false">O58*Parametros!$E$6</f>
        <v>6</v>
      </c>
      <c r="N58" s="0" t="str">
        <f aca="false">IF(I58="SUSPENSION","CAC-S",IF(I58="ANGULO","CAC-A",IF(I58="TERMINAL","CAC-T",IF(OR(I58="ANCLAJE",I58="ANCLAJE_PROPUESTO"),"CAC-R","SIN-RECETA"))))</f>
        <v>CAC-R</v>
      </c>
      <c r="O58" s="0" t="n">
        <f aca="false">IF(OR(I58="ANCLAJE",I58="ANCLAJE_PROPUESTO",I58="TERMINAL"),Parametros!$E$5,0)</f>
        <v>3</v>
      </c>
      <c r="P58" s="0" t="n">
        <f aca="false">G58/SIN(RADIANS(Criterios_M01!$C$2))+Criterios_M01!$C$3</f>
        <v>17.9906637611548</v>
      </c>
      <c r="Q58" s="0" t="n">
        <f aca="false">G58+Criterios_M01!$C$4</f>
        <v>13.6</v>
      </c>
      <c r="R58" s="0" t="n">
        <f aca="false">ROUNDUP(G58/Criterios_M01!$C$5,0)+1</f>
        <v>12</v>
      </c>
      <c r="S58" s="0" t="n">
        <f aca="false">(SUMIF(Vanos!$B$7:$B$116,A58,Vanos!$N$7:$N$116)+SUMIF(Vanos!$C$7:$C$116,A58,Vanos!$N$7:$N$116))/2</f>
        <v>215.131802987949</v>
      </c>
    </row>
    <row r="59" customFormat="false" ht="21" hidden="false" customHeight="true" outlineLevel="0" collapsed="false">
      <c r="A59" s="1" t="s">
        <v>158</v>
      </c>
      <c r="B59" s="6" t="n">
        <v>425376.611552129</v>
      </c>
      <c r="C59" s="6" t="n">
        <v>8433817.99496246</v>
      </c>
      <c r="D59" s="6" t="n">
        <v>3563.45299507878</v>
      </c>
      <c r="E59" s="6" t="n">
        <v>13</v>
      </c>
      <c r="F59" s="6" t="n">
        <v>1.9</v>
      </c>
      <c r="G59" s="6" t="n">
        <v>10.6</v>
      </c>
      <c r="H59" s="6" t="n">
        <v>28.1806118805657</v>
      </c>
      <c r="I59" s="13" t="s">
        <v>109</v>
      </c>
      <c r="J59" s="14" t="n">
        <f aca="false">IF(I59="SUSPENSION",0,IF(I59="TERMINAL",1,2))</f>
        <v>2</v>
      </c>
      <c r="K59" s="14" t="n">
        <f aca="false">1</f>
        <v>1</v>
      </c>
      <c r="L59" s="14" t="n">
        <f aca="false">1</f>
        <v>1</v>
      </c>
      <c r="M59" s="15" t="n">
        <f aca="false">O59*Parametros!$E$6</f>
        <v>0</v>
      </c>
      <c r="N59" s="0" t="str">
        <f aca="false">IF(I59="SUSPENSION","CAC-S",IF(I59="ANGULO","CAC-A",IF(I59="TERMINAL","CAC-T",IF(OR(I59="ANCLAJE",I59="ANCLAJE_PROPUESTO"),"CAC-R","SIN-RECETA"))))</f>
        <v>CAC-A</v>
      </c>
      <c r="O59" s="0" t="n">
        <f aca="false">IF(OR(I59="ANCLAJE",I59="ANCLAJE_PROPUESTO",I59="TERMINAL"),Parametros!$E$5,0)</f>
        <v>0</v>
      </c>
      <c r="P59" s="0" t="n">
        <f aca="false">G59/SIN(RADIANS(Criterios_M01!$C$2))+Criterios_M01!$C$3</f>
        <v>17.9906637611548</v>
      </c>
      <c r="Q59" s="0" t="n">
        <f aca="false">G59+Criterios_M01!$C$4</f>
        <v>13.6</v>
      </c>
      <c r="R59" s="0" t="n">
        <f aca="false">ROUNDUP(G59/Criterios_M01!$C$5,0)+1</f>
        <v>12</v>
      </c>
      <c r="S59" s="0" t="n">
        <f aca="false">(SUMIF(Vanos!$B$7:$B$116,A59,Vanos!$N$7:$N$116)+SUMIF(Vanos!$C$7:$C$116,A59,Vanos!$N$7:$N$116))/2</f>
        <v>200.277430497086</v>
      </c>
    </row>
    <row r="60" customFormat="false" ht="21" hidden="false" customHeight="true" outlineLevel="0" collapsed="false">
      <c r="A60" s="1" t="s">
        <v>159</v>
      </c>
      <c r="B60" s="6" t="n">
        <v>425395.25570193</v>
      </c>
      <c r="C60" s="6" t="n">
        <v>8433773.76320171</v>
      </c>
      <c r="D60" s="6" t="n">
        <v>3565.34654738669</v>
      </c>
      <c r="E60" s="6" t="n">
        <v>13</v>
      </c>
      <c r="F60" s="6" t="n">
        <v>1.9</v>
      </c>
      <c r="G60" s="6" t="n">
        <v>10.6</v>
      </c>
      <c r="H60" s="6" t="n">
        <v>1.20741826972573E-006</v>
      </c>
      <c r="I60" s="13" t="s">
        <v>104</v>
      </c>
      <c r="J60" s="14" t="n">
        <f aca="false">IF(I60="SUSPENSION",0,IF(I60="TERMINAL",1,2))</f>
        <v>0</v>
      </c>
      <c r="K60" s="14" t="n">
        <f aca="false">1</f>
        <v>1</v>
      </c>
      <c r="L60" s="14" t="n">
        <f aca="false">1</f>
        <v>1</v>
      </c>
      <c r="M60" s="15" t="n">
        <f aca="false">O60*Parametros!$E$6</f>
        <v>0</v>
      </c>
      <c r="N60" s="0" t="str">
        <f aca="false">IF(I60="SUSPENSION","CAC-S",IF(I60="ANGULO","CAC-A",IF(I60="TERMINAL","CAC-T",IF(OR(I60="ANCLAJE",I60="ANCLAJE_PROPUESTO"),"CAC-R","SIN-RECETA"))))</f>
        <v>CAC-S</v>
      </c>
      <c r="O60" s="0" t="n">
        <f aca="false">IF(OR(I60="ANCLAJE",I60="ANCLAJE_PROPUESTO",I60="TERMINAL"),Parametros!$E$5,0)</f>
        <v>0</v>
      </c>
      <c r="P60" s="0" t="n">
        <f aca="false">G60/SIN(RADIANS(Criterios_M01!$C$2))+Criterios_M01!$C$3</f>
        <v>17.9906637611548</v>
      </c>
      <c r="Q60" s="0" t="n">
        <f aca="false">G60+Criterios_M01!$C$4</f>
        <v>13.6</v>
      </c>
      <c r="R60" s="0" t="n">
        <f aca="false">ROUNDUP(G60/Criterios_M01!$C$5,0)+1</f>
        <v>12</v>
      </c>
      <c r="S60" s="0" t="n">
        <f aca="false">(SUMIF(Vanos!$B$7:$B$116,A60,Vanos!$N$7:$N$116)+SUMIF(Vanos!$C$7:$C$116,A60,Vanos!$N$7:$N$116))/2</f>
        <v>144.088738933964</v>
      </c>
    </row>
    <row r="61" customFormat="false" ht="21" hidden="false" customHeight="true" outlineLevel="0" collapsed="false">
      <c r="A61" s="1" t="s">
        <v>160</v>
      </c>
      <c r="B61" s="6" t="n">
        <v>425413.899851732</v>
      </c>
      <c r="C61" s="6" t="n">
        <v>8433729.53144096</v>
      </c>
      <c r="D61" s="6" t="n">
        <v>3564.05396193266</v>
      </c>
      <c r="E61" s="6" t="n">
        <v>13</v>
      </c>
      <c r="F61" s="6" t="n">
        <v>1.9</v>
      </c>
      <c r="G61" s="6" t="n">
        <v>10.6</v>
      </c>
      <c r="H61" s="6" t="n">
        <v>20.3920650606286</v>
      </c>
      <c r="I61" s="13" t="s">
        <v>109</v>
      </c>
      <c r="J61" s="14" t="n">
        <f aca="false">IF(I61="SUSPENSION",0,IF(I61="TERMINAL",1,2))</f>
        <v>2</v>
      </c>
      <c r="K61" s="14" t="n">
        <f aca="false">1</f>
        <v>1</v>
      </c>
      <c r="L61" s="14" t="n">
        <f aca="false">1</f>
        <v>1</v>
      </c>
      <c r="M61" s="15" t="n">
        <f aca="false">O61*Parametros!$E$6</f>
        <v>0</v>
      </c>
      <c r="N61" s="0" t="str">
        <f aca="false">IF(I61="SUSPENSION","CAC-S",IF(I61="ANGULO","CAC-A",IF(I61="TERMINAL","CAC-T",IF(OR(I61="ANCLAJE",I61="ANCLAJE_PROPUESTO"),"CAC-R","SIN-RECETA"))))</f>
        <v>CAC-A</v>
      </c>
      <c r="O61" s="0" t="n">
        <f aca="false">IF(OR(I61="ANCLAJE",I61="ANCLAJE_PROPUESTO",I61="TERMINAL"),Parametros!$E$5,0)</f>
        <v>0</v>
      </c>
      <c r="P61" s="0" t="n">
        <f aca="false">G61/SIN(RADIANS(Criterios_M01!$C$2))+Criterios_M01!$C$3</f>
        <v>17.9906637611548</v>
      </c>
      <c r="Q61" s="0" t="n">
        <f aca="false">G61+Criterios_M01!$C$4</f>
        <v>13.6</v>
      </c>
      <c r="R61" s="0" t="n">
        <f aca="false">ROUNDUP(G61/Criterios_M01!$C$5,0)+1</f>
        <v>12</v>
      </c>
      <c r="S61" s="0" t="n">
        <f aca="false">(SUMIF(Vanos!$B$7:$B$116,A61,Vanos!$N$7:$N$116)+SUMIF(Vanos!$C$7:$C$116,A61,Vanos!$N$7:$N$116))/2</f>
        <v>184.847225216519</v>
      </c>
    </row>
    <row r="62" customFormat="false" ht="21" hidden="false" customHeight="true" outlineLevel="0" collapsed="false">
      <c r="A62" s="1" t="s">
        <v>161</v>
      </c>
      <c r="B62" s="6" t="n">
        <v>425417.100930876</v>
      </c>
      <c r="C62" s="6" t="n">
        <v>8433655.13811391</v>
      </c>
      <c r="D62" s="6" t="n">
        <v>3574.6032670547</v>
      </c>
      <c r="E62" s="6" t="n">
        <v>13</v>
      </c>
      <c r="F62" s="6" t="n">
        <v>1.9</v>
      </c>
      <c r="G62" s="6" t="n">
        <v>10.6</v>
      </c>
      <c r="H62" s="6" t="n">
        <v>59.2972810322468</v>
      </c>
      <c r="I62" s="13" t="s">
        <v>106</v>
      </c>
      <c r="J62" s="14" t="n">
        <f aca="false">IF(I62="SUSPENSION",0,IF(I62="TERMINAL",1,2))</f>
        <v>2</v>
      </c>
      <c r="K62" s="14" t="n">
        <f aca="false">1</f>
        <v>1</v>
      </c>
      <c r="L62" s="14" t="n">
        <f aca="false">1</f>
        <v>1</v>
      </c>
      <c r="M62" s="15" t="n">
        <f aca="false">O62*Parametros!$E$6</f>
        <v>6</v>
      </c>
      <c r="N62" s="0" t="str">
        <f aca="false">IF(I62="SUSPENSION","CAC-S",IF(I62="ANGULO","CAC-A",IF(I62="TERMINAL","CAC-T",IF(OR(I62="ANCLAJE",I62="ANCLAJE_PROPUESTO"),"CAC-R","SIN-RECETA"))))</f>
        <v>CAC-R</v>
      </c>
      <c r="O62" s="0" t="n">
        <f aca="false">IF(OR(I62="ANCLAJE",I62="ANCLAJE_PROPUESTO",I62="TERMINAL"),Parametros!$E$5,0)</f>
        <v>3</v>
      </c>
      <c r="P62" s="0" t="n">
        <f aca="false">G62/SIN(RADIANS(Criterios_M01!$C$2))+Criterios_M01!$C$3</f>
        <v>17.9906637611548</v>
      </c>
      <c r="Q62" s="0" t="n">
        <f aca="false">G62+Criterios_M01!$C$4</f>
        <v>13.6</v>
      </c>
      <c r="R62" s="0" t="n">
        <f aca="false">ROUNDUP(G62/Criterios_M01!$C$5,0)+1</f>
        <v>12</v>
      </c>
      <c r="S62" s="0" t="n">
        <f aca="false">(SUMIF(Vanos!$B$7:$B$116,A62,Vanos!$N$7:$N$116)+SUMIF(Vanos!$C$7:$C$116,A62,Vanos!$N$7:$N$116))/2</f>
        <v>236.527552953923</v>
      </c>
    </row>
    <row r="63" customFormat="false" ht="21" hidden="false" customHeight="true" outlineLevel="0" collapsed="false">
      <c r="A63" s="1" t="s">
        <v>162</v>
      </c>
      <c r="B63" s="6" t="n">
        <v>425489.263585427</v>
      </c>
      <c r="C63" s="6" t="n">
        <v>8433616.38181331</v>
      </c>
      <c r="D63" s="6" t="n">
        <v>3565.06539968505</v>
      </c>
      <c r="E63" s="6" t="n">
        <v>13</v>
      </c>
      <c r="F63" s="6" t="n">
        <v>1.9</v>
      </c>
      <c r="G63" s="6" t="n">
        <v>10.6</v>
      </c>
      <c r="H63" s="6" t="n">
        <v>102.70650938823</v>
      </c>
      <c r="I63" s="13" t="s">
        <v>106</v>
      </c>
      <c r="J63" s="14" t="n">
        <f aca="false">IF(I63="SUSPENSION",0,IF(I63="TERMINAL",1,2))</f>
        <v>2</v>
      </c>
      <c r="K63" s="14" t="n">
        <f aca="false">1</f>
        <v>1</v>
      </c>
      <c r="L63" s="14" t="n">
        <f aca="false">1</f>
        <v>1</v>
      </c>
      <c r="M63" s="15" t="n">
        <f aca="false">O63*Parametros!$E$6</f>
        <v>6</v>
      </c>
      <c r="N63" s="0" t="str">
        <f aca="false">IF(I63="SUSPENSION","CAC-S",IF(I63="ANGULO","CAC-A",IF(I63="TERMINAL","CAC-T",IF(OR(I63="ANCLAJE",I63="ANCLAJE_PROPUESTO"),"CAC-R","SIN-RECETA"))))</f>
        <v>CAC-R</v>
      </c>
      <c r="O63" s="0" t="n">
        <f aca="false">IF(OR(I63="ANCLAJE",I63="ANCLAJE_PROPUESTO",I63="TERMINAL"),Parametros!$E$5,0)</f>
        <v>3</v>
      </c>
      <c r="P63" s="0" t="n">
        <f aca="false">G63/SIN(RADIANS(Criterios_M01!$C$2))+Criterios_M01!$C$3</f>
        <v>17.9906637611548</v>
      </c>
      <c r="Q63" s="0" t="n">
        <f aca="false">G63+Criterios_M01!$C$4</f>
        <v>13.6</v>
      </c>
      <c r="R63" s="0" t="n">
        <f aca="false">ROUNDUP(G63/Criterios_M01!$C$5,0)+1</f>
        <v>12</v>
      </c>
      <c r="S63" s="0" t="n">
        <f aca="false">(SUMIF(Vanos!$B$7:$B$116,A63,Vanos!$N$7:$N$116)+SUMIF(Vanos!$C$7:$C$116,A63,Vanos!$N$7:$N$116))/2</f>
        <v>195.691347504278</v>
      </c>
    </row>
    <row r="64" customFormat="false" ht="21" hidden="false" customHeight="true" outlineLevel="0" collapsed="false">
      <c r="A64" s="1" t="s">
        <v>163</v>
      </c>
      <c r="B64" s="6" t="n">
        <v>425458.254854534</v>
      </c>
      <c r="C64" s="6" t="n">
        <v>8433580.64157063</v>
      </c>
      <c r="D64" s="6" t="n">
        <v>3573.05073837276</v>
      </c>
      <c r="E64" s="6" t="n">
        <v>13</v>
      </c>
      <c r="F64" s="6" t="n">
        <v>1.9</v>
      </c>
      <c r="G64" s="6" t="n">
        <v>10.6</v>
      </c>
      <c r="H64" s="6" t="n">
        <v>1.20741826972573E-006</v>
      </c>
      <c r="I64" s="13" t="s">
        <v>114</v>
      </c>
      <c r="J64" s="14" t="n">
        <f aca="false">IF(I64="SUSPENSION",0,IF(I64="TERMINAL",1,2))</f>
        <v>2</v>
      </c>
      <c r="K64" s="14" t="n">
        <f aca="false">1</f>
        <v>1</v>
      </c>
      <c r="L64" s="14" t="n">
        <f aca="false">1</f>
        <v>1</v>
      </c>
      <c r="M64" s="15" t="n">
        <f aca="false">O64*Parametros!$E$6</f>
        <v>6</v>
      </c>
      <c r="N64" s="0" t="str">
        <f aca="false">IF(I64="SUSPENSION","CAC-S",IF(I64="ANGULO","CAC-A",IF(I64="TERMINAL","CAC-T",IF(OR(I64="ANCLAJE",I64="ANCLAJE_PROPUESTO"),"CAC-R","SIN-RECETA"))))</f>
        <v>CAC-R</v>
      </c>
      <c r="O64" s="0" t="n">
        <f aca="false">IF(OR(I64="ANCLAJE",I64="ANCLAJE_PROPUESTO",I64="TERMINAL"),Parametros!$E$5,0)</f>
        <v>3</v>
      </c>
      <c r="P64" s="0" t="n">
        <f aca="false">G64/SIN(RADIANS(Criterios_M01!$C$2))+Criterios_M01!$C$3</f>
        <v>17.9906637611548</v>
      </c>
      <c r="Q64" s="0" t="n">
        <f aca="false">G64+Criterios_M01!$C$4</f>
        <v>13.6</v>
      </c>
      <c r="R64" s="0" t="n">
        <f aca="false">ROUNDUP(G64/Criterios_M01!$C$5,0)+1</f>
        <v>12</v>
      </c>
      <c r="S64" s="0" t="n">
        <f aca="false">(SUMIF(Vanos!$B$7:$B$116,A64,Vanos!$N$7:$N$116)+SUMIF(Vanos!$C$7:$C$116,A64,Vanos!$N$7:$N$116))/2</f>
        <v>146.818861593292</v>
      </c>
    </row>
    <row r="65" customFormat="false" ht="21" hidden="false" customHeight="true" outlineLevel="0" collapsed="false">
      <c r="A65" s="1" t="s">
        <v>164</v>
      </c>
      <c r="B65" s="6" t="n">
        <v>425427.246123642</v>
      </c>
      <c r="C65" s="6" t="n">
        <v>8433544.90132795</v>
      </c>
      <c r="D65" s="6" t="n">
        <v>3588.86546581841</v>
      </c>
      <c r="E65" s="6" t="n">
        <v>13</v>
      </c>
      <c r="F65" s="6" t="n">
        <v>1.9</v>
      </c>
      <c r="G65" s="6" t="n">
        <v>10.6</v>
      </c>
      <c r="H65" s="6" t="n">
        <v>18.9547081742985</v>
      </c>
      <c r="I65" s="13" t="s">
        <v>109</v>
      </c>
      <c r="J65" s="14" t="n">
        <f aca="false">IF(I65="SUSPENSION",0,IF(I65="TERMINAL",1,2))</f>
        <v>2</v>
      </c>
      <c r="K65" s="14" t="n">
        <f aca="false">1</f>
        <v>1</v>
      </c>
      <c r="L65" s="14" t="n">
        <f aca="false">1</f>
        <v>1</v>
      </c>
      <c r="M65" s="15" t="n">
        <f aca="false">O65*Parametros!$E$6</f>
        <v>0</v>
      </c>
      <c r="N65" s="0" t="str">
        <f aca="false">IF(I65="SUSPENSION","CAC-S",IF(I65="ANGULO","CAC-A",IF(I65="TERMINAL","CAC-T",IF(OR(I65="ANCLAJE",I65="ANCLAJE_PROPUESTO"),"CAC-R","SIN-RECETA"))))</f>
        <v>CAC-A</v>
      </c>
      <c r="O65" s="0" t="n">
        <f aca="false">IF(OR(I65="ANCLAJE",I65="ANCLAJE_PROPUESTO",I65="TERMINAL"),Parametros!$E$5,0)</f>
        <v>0</v>
      </c>
      <c r="P65" s="0" t="n">
        <f aca="false">G65/SIN(RADIANS(Criterios_M01!$C$2))+Criterios_M01!$C$3</f>
        <v>17.9906637611548</v>
      </c>
      <c r="Q65" s="0" t="n">
        <f aca="false">G65+Criterios_M01!$C$4</f>
        <v>13.6</v>
      </c>
      <c r="R65" s="0" t="n">
        <f aca="false">ROUNDUP(G65/Criterios_M01!$C$5,0)+1</f>
        <v>12</v>
      </c>
      <c r="S65" s="0" t="n">
        <f aca="false">(SUMIF(Vanos!$B$7:$B$116,A65,Vanos!$N$7:$N$116)+SUMIF(Vanos!$C$7:$C$116,A65,Vanos!$N$7:$N$116))/2</f>
        <v>134.4533514117</v>
      </c>
    </row>
    <row r="66" customFormat="false" ht="21" hidden="false" customHeight="true" outlineLevel="0" collapsed="false">
      <c r="A66" s="1" t="s">
        <v>165</v>
      </c>
      <c r="B66" s="6" t="n">
        <v>425412.866971424</v>
      </c>
      <c r="C66" s="6" t="n">
        <v>8433509.29495508</v>
      </c>
      <c r="D66" s="6" t="n">
        <v>3597.31003398548</v>
      </c>
      <c r="E66" s="6" t="n">
        <v>15</v>
      </c>
      <c r="F66" s="6" t="n">
        <v>2.1</v>
      </c>
      <c r="G66" s="6" t="n">
        <v>12.4</v>
      </c>
      <c r="H66" s="6" t="n">
        <v>20.1392196127088</v>
      </c>
      <c r="I66" s="13" t="s">
        <v>109</v>
      </c>
      <c r="J66" s="14" t="n">
        <f aca="false">IF(I66="SUSPENSION",0,IF(I66="TERMINAL",1,2))</f>
        <v>2</v>
      </c>
      <c r="K66" s="14" t="n">
        <f aca="false">1</f>
        <v>1</v>
      </c>
      <c r="L66" s="14" t="n">
        <f aca="false">1</f>
        <v>1</v>
      </c>
      <c r="M66" s="15" t="n">
        <f aca="false">O66*Parametros!$E$6</f>
        <v>0</v>
      </c>
      <c r="N66" s="0" t="str">
        <f aca="false">IF(I66="SUSPENSION","CAC-S",IF(I66="ANGULO","CAC-A",IF(I66="TERMINAL","CAC-T",IF(OR(I66="ANCLAJE",I66="ANCLAJE_PROPUESTO"),"CAC-R","SIN-RECETA"))))</f>
        <v>CAC-A</v>
      </c>
      <c r="O66" s="0" t="n">
        <f aca="false">IF(OR(I66="ANCLAJE",I66="ANCLAJE_PROPUESTO",I66="TERMINAL"),Parametros!$E$5,0)</f>
        <v>0</v>
      </c>
      <c r="P66" s="0" t="n">
        <f aca="false">G66/SIN(RADIANS(Criterios_M01!$C$2))+Criterios_M01!$C$3</f>
        <v>20.5362481734264</v>
      </c>
      <c r="Q66" s="0" t="n">
        <f aca="false">G66+Criterios_M01!$C$4</f>
        <v>15.4</v>
      </c>
      <c r="R66" s="0" t="n">
        <f aca="false">ROUNDUP(G66/Criterios_M01!$C$5,0)+1</f>
        <v>14</v>
      </c>
      <c r="S66" s="0" t="n">
        <f aca="false">(SUMIF(Vanos!$B$7:$B$116,A66,Vanos!$N$7:$N$116)+SUMIF(Vanos!$C$7:$C$116,A66,Vanos!$N$7:$N$116))/2</f>
        <v>161.932937335407</v>
      </c>
    </row>
    <row r="67" customFormat="false" ht="21" hidden="false" customHeight="true" outlineLevel="0" collapsed="false">
      <c r="A67" s="1" t="s">
        <v>166</v>
      </c>
      <c r="B67" s="6" t="n">
        <v>425410.665095088</v>
      </c>
      <c r="C67" s="6" t="n">
        <v>8433441.17784645</v>
      </c>
      <c r="D67" s="6" t="n">
        <v>3600.01839648554</v>
      </c>
      <c r="E67" s="6" t="n">
        <v>15</v>
      </c>
      <c r="F67" s="6" t="n">
        <v>2.1</v>
      </c>
      <c r="G67" s="6" t="n">
        <v>12.4</v>
      </c>
      <c r="H67" s="6" t="n">
        <v>0</v>
      </c>
      <c r="I67" s="13" t="s">
        <v>104</v>
      </c>
      <c r="J67" s="14" t="n">
        <f aca="false">IF(I67="SUSPENSION",0,IF(I67="TERMINAL",1,2))</f>
        <v>0</v>
      </c>
      <c r="K67" s="14" t="n">
        <f aca="false">1</f>
        <v>1</v>
      </c>
      <c r="L67" s="14" t="n">
        <f aca="false">1</f>
        <v>1</v>
      </c>
      <c r="M67" s="15" t="n">
        <f aca="false">O67*Parametros!$E$6</f>
        <v>0</v>
      </c>
      <c r="N67" s="0" t="str">
        <f aca="false">IF(I67="SUSPENSION","CAC-S",IF(I67="ANGULO","CAC-A",IF(I67="TERMINAL","CAC-T",IF(OR(I67="ANCLAJE",I67="ANCLAJE_PROPUESTO"),"CAC-R","SIN-RECETA"))))</f>
        <v>CAC-S</v>
      </c>
      <c r="O67" s="0" t="n">
        <f aca="false">IF(OR(I67="ANCLAJE",I67="ANCLAJE_PROPUESTO",I67="TERMINAL"),Parametros!$E$5,0)</f>
        <v>0</v>
      </c>
      <c r="P67" s="0" t="n">
        <f aca="false">G67/SIN(RADIANS(Criterios_M01!$C$2))+Criterios_M01!$C$3</f>
        <v>20.5362481734264</v>
      </c>
      <c r="Q67" s="0" t="n">
        <f aca="false">G67+Criterios_M01!$C$4</f>
        <v>15.4</v>
      </c>
      <c r="R67" s="0" t="n">
        <f aca="false">ROUNDUP(G67/Criterios_M01!$C$5,0)+1</f>
        <v>14</v>
      </c>
      <c r="S67" s="0" t="n">
        <f aca="false">(SUMIF(Vanos!$B$7:$B$116,A67,Vanos!$N$7:$N$116)+SUMIF(Vanos!$C$7:$C$116,A67,Vanos!$N$7:$N$116))/2</f>
        <v>205.861266690443</v>
      </c>
    </row>
    <row r="68" customFormat="false" ht="21" hidden="false" customHeight="true" outlineLevel="0" collapsed="false">
      <c r="A68" s="1" t="s">
        <v>167</v>
      </c>
      <c r="B68" s="6" t="n">
        <v>425408.463218752</v>
      </c>
      <c r="C68" s="6" t="n">
        <v>8433373.06073783</v>
      </c>
      <c r="D68" s="6" t="n">
        <v>3590.87990604074</v>
      </c>
      <c r="E68" s="6" t="n">
        <v>13</v>
      </c>
      <c r="F68" s="6" t="n">
        <v>1.9</v>
      </c>
      <c r="G68" s="6" t="n">
        <v>10.6</v>
      </c>
      <c r="H68" s="6" t="n">
        <v>0</v>
      </c>
      <c r="I68" s="13" t="s">
        <v>114</v>
      </c>
      <c r="J68" s="14" t="n">
        <f aca="false">IF(I68="SUSPENSION",0,IF(I68="TERMINAL",1,2))</f>
        <v>2</v>
      </c>
      <c r="K68" s="14" t="n">
        <f aca="false">1</f>
        <v>1</v>
      </c>
      <c r="L68" s="14" t="n">
        <f aca="false">1</f>
        <v>1</v>
      </c>
      <c r="M68" s="15" t="n">
        <f aca="false">O68*Parametros!$E$6</f>
        <v>6</v>
      </c>
      <c r="N68" s="0" t="str">
        <f aca="false">IF(I68="SUSPENSION","CAC-S",IF(I68="ANGULO","CAC-A",IF(I68="TERMINAL","CAC-T",IF(OR(I68="ANCLAJE",I68="ANCLAJE_PROPUESTO"),"CAC-R","SIN-RECETA"))))</f>
        <v>CAC-R</v>
      </c>
      <c r="O68" s="0" t="n">
        <f aca="false">IF(OR(I68="ANCLAJE",I68="ANCLAJE_PROPUESTO",I68="TERMINAL"),Parametros!$E$5,0)</f>
        <v>3</v>
      </c>
      <c r="P68" s="0" t="n">
        <f aca="false">G68/SIN(RADIANS(Criterios_M01!$C$2))+Criterios_M01!$C$3</f>
        <v>17.9906637611548</v>
      </c>
      <c r="Q68" s="0" t="n">
        <f aca="false">G68+Criterios_M01!$C$4</f>
        <v>13.6</v>
      </c>
      <c r="R68" s="0" t="n">
        <f aca="false">ROUNDUP(G68/Criterios_M01!$C$5,0)+1</f>
        <v>12</v>
      </c>
      <c r="S68" s="0" t="n">
        <f aca="false">(SUMIF(Vanos!$B$7:$B$116,A68,Vanos!$N$7:$N$116)+SUMIF(Vanos!$C$7:$C$116,A68,Vanos!$N$7:$N$116))/2</f>
        <v>207.567487765967</v>
      </c>
    </row>
    <row r="69" customFormat="false" ht="21" hidden="false" customHeight="true" outlineLevel="0" collapsed="false">
      <c r="A69" s="1" t="s">
        <v>168</v>
      </c>
      <c r="B69" s="6" t="n">
        <v>425406.261342416</v>
      </c>
      <c r="C69" s="6" t="n">
        <v>8433304.9436292</v>
      </c>
      <c r="D69" s="6" t="n">
        <v>3603.67861734244</v>
      </c>
      <c r="E69" s="6" t="n">
        <v>13</v>
      </c>
      <c r="F69" s="6" t="n">
        <v>1.9</v>
      </c>
      <c r="G69" s="6" t="n">
        <v>10.6</v>
      </c>
      <c r="H69" s="6" t="n">
        <v>0</v>
      </c>
      <c r="I69" s="13" t="s">
        <v>104</v>
      </c>
      <c r="J69" s="14" t="n">
        <f aca="false">IF(I69="SUSPENSION",0,IF(I69="TERMINAL",1,2))</f>
        <v>0</v>
      </c>
      <c r="K69" s="14" t="n">
        <f aca="false">1</f>
        <v>1</v>
      </c>
      <c r="L69" s="14" t="n">
        <f aca="false">1</f>
        <v>1</v>
      </c>
      <c r="M69" s="15" t="n">
        <f aca="false">O69*Parametros!$E$6</f>
        <v>0</v>
      </c>
      <c r="N69" s="0" t="str">
        <f aca="false">IF(I69="SUSPENSION","CAC-S",IF(I69="ANGULO","CAC-A",IF(I69="TERMINAL","CAC-T",IF(OR(I69="ANCLAJE",I69="ANCLAJE_PROPUESTO"),"CAC-R","SIN-RECETA"))))</f>
        <v>CAC-S</v>
      </c>
      <c r="O69" s="0" t="n">
        <f aca="false">IF(OR(I69="ANCLAJE",I69="ANCLAJE_PROPUESTO",I69="TERMINAL"),Parametros!$E$5,0)</f>
        <v>0</v>
      </c>
      <c r="P69" s="0" t="n">
        <f aca="false">G69/SIN(RADIANS(Criterios_M01!$C$2))+Criterios_M01!$C$3</f>
        <v>17.9906637611548</v>
      </c>
      <c r="Q69" s="0" t="n">
        <f aca="false">G69+Criterios_M01!$C$4</f>
        <v>13.6</v>
      </c>
      <c r="R69" s="0" t="n">
        <f aca="false">ROUNDUP(G69/Criterios_M01!$C$5,0)+1</f>
        <v>12</v>
      </c>
      <c r="S69" s="0" t="n">
        <f aca="false">(SUMIF(Vanos!$B$7:$B$116,A69,Vanos!$N$7:$N$116)+SUMIF(Vanos!$C$7:$C$116,A69,Vanos!$N$7:$N$116))/2</f>
        <v>206.444383226727</v>
      </c>
    </row>
    <row r="70" customFormat="false" ht="21" hidden="false" customHeight="true" outlineLevel="0" collapsed="false">
      <c r="A70" s="1" t="s">
        <v>169</v>
      </c>
      <c r="B70" s="6" t="n">
        <v>425404.059466079</v>
      </c>
      <c r="C70" s="6" t="n">
        <v>8433236.82652057</v>
      </c>
      <c r="D70" s="6" t="n">
        <v>3599.57481212918</v>
      </c>
      <c r="E70" s="6" t="n">
        <v>13</v>
      </c>
      <c r="F70" s="6" t="n">
        <v>1.9</v>
      </c>
      <c r="G70" s="6" t="n">
        <v>10.6</v>
      </c>
      <c r="H70" s="6" t="n">
        <v>44.6190666256055</v>
      </c>
      <c r="I70" s="13" t="s">
        <v>106</v>
      </c>
      <c r="J70" s="14" t="n">
        <f aca="false">IF(I70="SUSPENSION",0,IF(I70="TERMINAL",1,2))</f>
        <v>2</v>
      </c>
      <c r="K70" s="14" t="n">
        <f aca="false">1</f>
        <v>1</v>
      </c>
      <c r="L70" s="14" t="n">
        <f aca="false">1</f>
        <v>1</v>
      </c>
      <c r="M70" s="15" t="n">
        <f aca="false">O70*Parametros!$E$6</f>
        <v>6</v>
      </c>
      <c r="N70" s="0" t="str">
        <f aca="false">IF(I70="SUSPENSION","CAC-S",IF(I70="ANGULO","CAC-A",IF(I70="TERMINAL","CAC-T",IF(OR(I70="ANCLAJE",I70="ANCLAJE_PROPUESTO"),"CAC-R","SIN-RECETA"))))</f>
        <v>CAC-R</v>
      </c>
      <c r="O70" s="0" t="n">
        <f aca="false">IF(OR(I70="ANCLAJE",I70="ANCLAJE_PROPUESTO",I70="TERMINAL"),Parametros!$E$5,0)</f>
        <v>3</v>
      </c>
      <c r="P70" s="0" t="n">
        <f aca="false">G70/SIN(RADIANS(Criterios_M01!$C$2))+Criterios_M01!$C$3</f>
        <v>17.9906637611548</v>
      </c>
      <c r="Q70" s="0" t="n">
        <f aca="false">G70+Criterios_M01!$C$4</f>
        <v>13.6</v>
      </c>
      <c r="R70" s="0" t="n">
        <f aca="false">ROUNDUP(G70/Criterios_M01!$C$5,0)+1</f>
        <v>12</v>
      </c>
      <c r="S70" s="0" t="n">
        <f aca="false">(SUMIF(Vanos!$B$7:$B$116,A70,Vanos!$N$7:$N$116)+SUMIF(Vanos!$C$7:$C$116,A70,Vanos!$N$7:$N$116))/2</f>
        <v>188.182347108993</v>
      </c>
    </row>
    <row r="71" customFormat="false" ht="21" hidden="false" customHeight="true" outlineLevel="0" collapsed="false">
      <c r="A71" s="1" t="s">
        <v>170</v>
      </c>
      <c r="B71" s="6" t="n">
        <v>425363.45149875</v>
      </c>
      <c r="C71" s="6" t="n">
        <v>8433198.25124322</v>
      </c>
      <c r="D71" s="6" t="n">
        <v>3609.24277004226</v>
      </c>
      <c r="E71" s="6" t="n">
        <v>15</v>
      </c>
      <c r="F71" s="6" t="n">
        <v>2.1</v>
      </c>
      <c r="G71" s="6" t="n">
        <v>12.4</v>
      </c>
      <c r="H71" s="6" t="n">
        <v>26.2749807000703</v>
      </c>
      <c r="I71" s="13" t="s">
        <v>109</v>
      </c>
      <c r="J71" s="14" t="n">
        <f aca="false">IF(I71="SUSPENSION",0,IF(I71="TERMINAL",1,2))</f>
        <v>2</v>
      </c>
      <c r="K71" s="14" t="n">
        <f aca="false">1</f>
        <v>1</v>
      </c>
      <c r="L71" s="14" t="n">
        <f aca="false">1</f>
        <v>1</v>
      </c>
      <c r="M71" s="15" t="n">
        <f aca="false">O71*Parametros!$E$6</f>
        <v>0</v>
      </c>
      <c r="N71" s="0" t="str">
        <f aca="false">IF(I71="SUSPENSION","CAC-S",IF(I71="ANGULO","CAC-A",IF(I71="TERMINAL","CAC-T",IF(OR(I71="ANCLAJE",I71="ANCLAJE_PROPUESTO"),"CAC-R","SIN-RECETA"))))</f>
        <v>CAC-A</v>
      </c>
      <c r="O71" s="0" t="n">
        <f aca="false">IF(OR(I71="ANCLAJE",I71="ANCLAJE_PROPUESTO",I71="TERMINAL"),Parametros!$E$5,0)</f>
        <v>0</v>
      </c>
      <c r="P71" s="0" t="n">
        <f aca="false">G71/SIN(RADIANS(Criterios_M01!$C$2))+Criterios_M01!$C$3</f>
        <v>20.5362481734264</v>
      </c>
      <c r="Q71" s="0" t="n">
        <f aca="false">G71+Criterios_M01!$C$4</f>
        <v>15.4</v>
      </c>
      <c r="R71" s="0" t="n">
        <f aca="false">ROUNDUP(G71/Criterios_M01!$C$5,0)+1</f>
        <v>14</v>
      </c>
      <c r="S71" s="0" t="n">
        <f aca="false">(SUMIF(Vanos!$B$7:$B$116,A71,Vanos!$N$7:$N$116)+SUMIF(Vanos!$C$7:$C$116,A71,Vanos!$N$7:$N$116))/2</f>
        <v>192.044433119102</v>
      </c>
    </row>
    <row r="72" customFormat="false" ht="21" hidden="false" customHeight="true" outlineLevel="0" collapsed="false">
      <c r="A72" s="1" t="s">
        <v>171</v>
      </c>
      <c r="B72" s="6" t="n">
        <v>425339.356545603</v>
      </c>
      <c r="C72" s="6" t="n">
        <v>8433132.74727216</v>
      </c>
      <c r="D72" s="6" t="n">
        <v>3621.42744198809</v>
      </c>
      <c r="E72" s="6" t="n">
        <v>15</v>
      </c>
      <c r="F72" s="6" t="n">
        <v>2.1</v>
      </c>
      <c r="G72" s="6" t="n">
        <v>12.4</v>
      </c>
      <c r="H72" s="6" t="n">
        <v>0</v>
      </c>
      <c r="I72" s="13" t="s">
        <v>104</v>
      </c>
      <c r="J72" s="14" t="n">
        <f aca="false">IF(I72="SUSPENSION",0,IF(I72="TERMINAL",1,2))</f>
        <v>0</v>
      </c>
      <c r="K72" s="14" t="n">
        <f aca="false">1</f>
        <v>1</v>
      </c>
      <c r="L72" s="14" t="n">
        <f aca="false">1</f>
        <v>1</v>
      </c>
      <c r="M72" s="15" t="n">
        <f aca="false">O72*Parametros!$E$6</f>
        <v>0</v>
      </c>
      <c r="N72" s="0" t="str">
        <f aca="false">IF(I72="SUSPENSION","CAC-S",IF(I72="ANGULO","CAC-A",IF(I72="TERMINAL","CAC-T",IF(OR(I72="ANCLAJE",I72="ANCLAJE_PROPUESTO"),"CAC-R","SIN-RECETA"))))</f>
        <v>CAC-S</v>
      </c>
      <c r="O72" s="0" t="n">
        <f aca="false">IF(OR(I72="ANCLAJE",I72="ANCLAJE_PROPUESTO",I72="TERMINAL"),Parametros!$E$5,0)</f>
        <v>0</v>
      </c>
      <c r="P72" s="0" t="n">
        <f aca="false">G72/SIN(RADIANS(Criterios_M01!$C$2))+Criterios_M01!$C$3</f>
        <v>20.5362481734264</v>
      </c>
      <c r="Q72" s="0" t="n">
        <f aca="false">G72+Criterios_M01!$C$4</f>
        <v>15.4</v>
      </c>
      <c r="R72" s="0" t="n">
        <f aca="false">ROUNDUP(G72/Criterios_M01!$C$5,0)+1</f>
        <v>14</v>
      </c>
      <c r="S72" s="0" t="n">
        <f aca="false">(SUMIF(Vanos!$B$7:$B$116,A72,Vanos!$N$7:$N$116)+SUMIF(Vanos!$C$7:$C$116,A72,Vanos!$N$7:$N$116))/2</f>
        <v>211.111135069087</v>
      </c>
    </row>
    <row r="73" customFormat="false" ht="21" hidden="false" customHeight="true" outlineLevel="0" collapsed="false">
      <c r="A73" s="1" t="s">
        <v>172</v>
      </c>
      <c r="B73" s="6" t="n">
        <v>425315.261592456</v>
      </c>
      <c r="C73" s="6" t="n">
        <v>8433067.24330109</v>
      </c>
      <c r="D73" s="6" t="n">
        <v>3624.87492718263</v>
      </c>
      <c r="E73" s="6" t="n">
        <v>15</v>
      </c>
      <c r="F73" s="6" t="n">
        <v>2.1</v>
      </c>
      <c r="G73" s="6" t="n">
        <v>12.4</v>
      </c>
      <c r="H73" s="6" t="n">
        <v>19.9367515837838</v>
      </c>
      <c r="I73" s="13" t="s">
        <v>109</v>
      </c>
      <c r="J73" s="14" t="n">
        <f aca="false">IF(I73="SUSPENSION",0,IF(I73="TERMINAL",1,2))</f>
        <v>2</v>
      </c>
      <c r="K73" s="14" t="n">
        <f aca="false">1</f>
        <v>1</v>
      </c>
      <c r="L73" s="14" t="n">
        <f aca="false">1</f>
        <v>1</v>
      </c>
      <c r="M73" s="15" t="n">
        <f aca="false">O73*Parametros!$E$6</f>
        <v>0</v>
      </c>
      <c r="N73" s="0" t="str">
        <f aca="false">IF(I73="SUSPENSION","CAC-S",IF(I73="ANGULO","CAC-A",IF(I73="TERMINAL","CAC-T",IF(OR(I73="ANCLAJE",I73="ANCLAJE_PROPUESTO"),"CAC-R","SIN-RECETA"))))</f>
        <v>CAC-A</v>
      </c>
      <c r="O73" s="0" t="n">
        <f aca="false">IF(OR(I73="ANCLAJE",I73="ANCLAJE_PROPUESTO",I73="TERMINAL"),Parametros!$E$5,0)</f>
        <v>0</v>
      </c>
      <c r="P73" s="0" t="n">
        <f aca="false">G73/SIN(RADIANS(Criterios_M01!$C$2))+Criterios_M01!$C$3</f>
        <v>20.5362481734264</v>
      </c>
      <c r="Q73" s="0" t="n">
        <f aca="false">G73+Criterios_M01!$C$4</f>
        <v>15.4</v>
      </c>
      <c r="R73" s="0" t="n">
        <f aca="false">ROUNDUP(G73/Criterios_M01!$C$5,0)+1</f>
        <v>14</v>
      </c>
      <c r="S73" s="0" t="n">
        <f aca="false">(SUMIF(Vanos!$B$7:$B$116,A73,Vanos!$N$7:$N$116)+SUMIF(Vanos!$C$7:$C$116,A73,Vanos!$N$7:$N$116))/2</f>
        <v>191.980345522836</v>
      </c>
    </row>
    <row r="74" customFormat="false" ht="21" hidden="false" customHeight="true" outlineLevel="0" collapsed="false">
      <c r="A74" s="1" t="s">
        <v>173</v>
      </c>
      <c r="B74" s="6" t="n">
        <v>425278.595969427</v>
      </c>
      <c r="C74" s="6" t="n">
        <v>8433023.75121587</v>
      </c>
      <c r="D74" s="6" t="n">
        <v>3636.68883104864</v>
      </c>
      <c r="E74" s="6" t="n">
        <v>15</v>
      </c>
      <c r="F74" s="6" t="n">
        <v>2.1</v>
      </c>
      <c r="G74" s="6" t="n">
        <v>12.4</v>
      </c>
      <c r="H74" s="6" t="n">
        <v>8.53773646251594E-007</v>
      </c>
      <c r="I74" s="13" t="s">
        <v>104</v>
      </c>
      <c r="J74" s="14" t="n">
        <f aca="false">IF(I74="SUSPENSION",0,IF(I74="TERMINAL",1,2))</f>
        <v>0</v>
      </c>
      <c r="K74" s="14" t="n">
        <f aca="false">1</f>
        <v>1</v>
      </c>
      <c r="L74" s="14" t="n">
        <f aca="false">1</f>
        <v>1</v>
      </c>
      <c r="M74" s="15" t="n">
        <f aca="false">O74*Parametros!$E$6</f>
        <v>0</v>
      </c>
      <c r="N74" s="0" t="str">
        <f aca="false">IF(I74="SUSPENSION","CAC-S",IF(I74="ANGULO","CAC-A",IF(I74="TERMINAL","CAC-T",IF(OR(I74="ANCLAJE",I74="ANCLAJE_PROPUESTO"),"CAC-R","SIN-RECETA"))))</f>
        <v>CAC-S</v>
      </c>
      <c r="O74" s="0" t="n">
        <f aca="false">IF(OR(I74="ANCLAJE",I74="ANCLAJE_PROPUESTO",I74="TERMINAL"),Parametros!$E$5,0)</f>
        <v>0</v>
      </c>
      <c r="P74" s="0" t="n">
        <f aca="false">G74/SIN(RADIANS(Criterios_M01!$C$2))+Criterios_M01!$C$3</f>
        <v>20.5362481734264</v>
      </c>
      <c r="Q74" s="0" t="n">
        <f aca="false">G74+Criterios_M01!$C$4</f>
        <v>15.4</v>
      </c>
      <c r="R74" s="0" t="n">
        <f aca="false">ROUNDUP(G74/Criterios_M01!$C$5,0)+1</f>
        <v>14</v>
      </c>
      <c r="S74" s="0" t="n">
        <f aca="false">(SUMIF(Vanos!$B$7:$B$116,A74,Vanos!$N$7:$N$116)+SUMIF(Vanos!$C$7:$C$116,A74,Vanos!$N$7:$N$116))/2</f>
        <v>173.721431007013</v>
      </c>
    </row>
    <row r="75" customFormat="false" ht="21" hidden="false" customHeight="true" outlineLevel="0" collapsed="false">
      <c r="A75" s="1" t="s">
        <v>174</v>
      </c>
      <c r="B75" s="6" t="n">
        <v>425241.930346399</v>
      </c>
      <c r="C75" s="6" t="n">
        <v>8432980.25913064</v>
      </c>
      <c r="D75" s="6" t="n">
        <v>3648.20963643004</v>
      </c>
      <c r="E75" s="6" t="n">
        <v>13</v>
      </c>
      <c r="F75" s="6" t="n">
        <v>1.9</v>
      </c>
      <c r="G75" s="6" t="n">
        <v>10.6</v>
      </c>
      <c r="H75" s="6" t="n">
        <v>12.2293274950797</v>
      </c>
      <c r="I75" s="13" t="s">
        <v>109</v>
      </c>
      <c r="J75" s="14" t="n">
        <f aca="false">IF(I75="SUSPENSION",0,IF(I75="TERMINAL",1,2))</f>
        <v>2</v>
      </c>
      <c r="K75" s="14" t="n">
        <f aca="false">1</f>
        <v>1</v>
      </c>
      <c r="L75" s="14" t="n">
        <f aca="false">1</f>
        <v>1</v>
      </c>
      <c r="M75" s="15" t="n">
        <f aca="false">O75*Parametros!$E$6</f>
        <v>0</v>
      </c>
      <c r="N75" s="0" t="str">
        <f aca="false">IF(I75="SUSPENSION","CAC-S",IF(I75="ANGULO","CAC-A",IF(I75="TERMINAL","CAC-T",IF(OR(I75="ANCLAJE",I75="ANCLAJE_PROPUESTO"),"CAC-R","SIN-RECETA"))))</f>
        <v>CAC-A</v>
      </c>
      <c r="O75" s="0" t="n">
        <f aca="false">IF(OR(I75="ANCLAJE",I75="ANCLAJE_PROPUESTO",I75="TERMINAL"),Parametros!$E$5,0)</f>
        <v>0</v>
      </c>
      <c r="P75" s="0" t="n">
        <f aca="false">G75/SIN(RADIANS(Criterios_M01!$C$2))+Criterios_M01!$C$3</f>
        <v>17.9906637611548</v>
      </c>
      <c r="Q75" s="0" t="n">
        <f aca="false">G75+Criterios_M01!$C$4</f>
        <v>13.6</v>
      </c>
      <c r="R75" s="0" t="n">
        <f aca="false">ROUNDUP(G75/Criterios_M01!$C$5,0)+1</f>
        <v>12</v>
      </c>
      <c r="S75" s="0" t="n">
        <f aca="false">(SUMIF(Vanos!$B$7:$B$116,A75,Vanos!$N$7:$N$116)+SUMIF(Vanos!$C$7:$C$116,A75,Vanos!$N$7:$N$116))/2</f>
        <v>188.893904102415</v>
      </c>
    </row>
    <row r="76" customFormat="false" ht="21" hidden="false" customHeight="true" outlineLevel="0" collapsed="false">
      <c r="A76" s="1" t="s">
        <v>175</v>
      </c>
      <c r="B76" s="6" t="n">
        <v>425210.038319296</v>
      </c>
      <c r="C76" s="6" t="n">
        <v>8432920.03305551</v>
      </c>
      <c r="D76" s="6" t="n">
        <v>3645.27846410896</v>
      </c>
      <c r="E76" s="6" t="n">
        <v>13</v>
      </c>
      <c r="F76" s="6" t="n">
        <v>1.9</v>
      </c>
      <c r="G76" s="6" t="n">
        <v>10.6</v>
      </c>
      <c r="H76" s="6" t="n">
        <v>0</v>
      </c>
      <c r="I76" s="13" t="s">
        <v>114</v>
      </c>
      <c r="J76" s="14" t="n">
        <f aca="false">IF(I76="SUSPENSION",0,IF(I76="TERMINAL",1,2))</f>
        <v>2</v>
      </c>
      <c r="K76" s="14" t="n">
        <f aca="false">1</f>
        <v>1</v>
      </c>
      <c r="L76" s="14" t="n">
        <f aca="false">1</f>
        <v>1</v>
      </c>
      <c r="M76" s="15" t="n">
        <f aca="false">O76*Parametros!$E$6</f>
        <v>6</v>
      </c>
      <c r="N76" s="0" t="str">
        <f aca="false">IF(I76="SUSPENSION","CAC-S",IF(I76="ANGULO","CAC-A",IF(I76="TERMINAL","CAC-T",IF(OR(I76="ANCLAJE",I76="ANCLAJE_PROPUESTO"),"CAC-R","SIN-RECETA"))))</f>
        <v>CAC-R</v>
      </c>
      <c r="O76" s="0" t="n">
        <f aca="false">IF(OR(I76="ANCLAJE",I76="ANCLAJE_PROPUESTO",I76="TERMINAL"),Parametros!$E$5,0)</f>
        <v>3</v>
      </c>
      <c r="P76" s="0" t="n">
        <f aca="false">G76/SIN(RADIANS(Criterios_M01!$C$2))+Criterios_M01!$C$3</f>
        <v>17.9906637611548</v>
      </c>
      <c r="Q76" s="0" t="n">
        <f aca="false">G76+Criterios_M01!$C$4</f>
        <v>13.6</v>
      </c>
      <c r="R76" s="0" t="n">
        <f aca="false">ROUNDUP(G76/Criterios_M01!$C$5,0)+1</f>
        <v>12</v>
      </c>
      <c r="S76" s="0" t="n">
        <f aca="false">(SUMIF(Vanos!$B$7:$B$116,A76,Vanos!$N$7:$N$116)+SUMIF(Vanos!$C$7:$C$116,A76,Vanos!$N$7:$N$116))/2</f>
        <v>204.589595995882</v>
      </c>
    </row>
    <row r="77" customFormat="false" ht="21" hidden="false" customHeight="true" outlineLevel="0" collapsed="false">
      <c r="A77" s="1" t="s">
        <v>176</v>
      </c>
      <c r="B77" s="6" t="n">
        <v>425178.146292192</v>
      </c>
      <c r="C77" s="6" t="n">
        <v>8432859.80698038</v>
      </c>
      <c r="D77" s="6" t="n">
        <v>3647.03458771134</v>
      </c>
      <c r="E77" s="6" t="n">
        <v>13</v>
      </c>
      <c r="F77" s="6" t="n">
        <v>1.9</v>
      </c>
      <c r="G77" s="6" t="n">
        <v>10.6</v>
      </c>
      <c r="H77" s="6" t="n">
        <v>12.6743163440496</v>
      </c>
      <c r="I77" s="13" t="s">
        <v>109</v>
      </c>
      <c r="J77" s="14" t="n">
        <f aca="false">IF(I77="SUSPENSION",0,IF(I77="TERMINAL",1,2))</f>
        <v>2</v>
      </c>
      <c r="K77" s="14" t="n">
        <f aca="false">1</f>
        <v>1</v>
      </c>
      <c r="L77" s="14" t="n">
        <f aca="false">1</f>
        <v>1</v>
      </c>
      <c r="M77" s="15" t="n">
        <f aca="false">O77*Parametros!$E$6</f>
        <v>0</v>
      </c>
      <c r="N77" s="0" t="str">
        <f aca="false">IF(I77="SUSPENSION","CAC-S",IF(I77="ANGULO","CAC-A",IF(I77="TERMINAL","CAC-T",IF(OR(I77="ANCLAJE",I77="ANCLAJE_PROPUESTO"),"CAC-R","SIN-RECETA"))))</f>
        <v>CAC-A</v>
      </c>
      <c r="O77" s="0" t="n">
        <f aca="false">IF(OR(I77="ANCLAJE",I77="ANCLAJE_PROPUESTO",I77="TERMINAL"),Parametros!$E$5,0)</f>
        <v>0</v>
      </c>
      <c r="P77" s="0" t="n">
        <f aca="false">G77/SIN(RADIANS(Criterios_M01!$C$2))+Criterios_M01!$C$3</f>
        <v>17.9906637611548</v>
      </c>
      <c r="Q77" s="0" t="n">
        <f aca="false">G77+Criterios_M01!$C$4</f>
        <v>13.6</v>
      </c>
      <c r="R77" s="0" t="n">
        <f aca="false">ROUNDUP(G77/Criterios_M01!$C$5,0)+1</f>
        <v>12</v>
      </c>
      <c r="S77" s="0" t="n">
        <f aca="false">(SUMIF(Vanos!$B$7:$B$116,A77,Vanos!$N$7:$N$116)+SUMIF(Vanos!$C$7:$C$116,A77,Vanos!$N$7:$N$116))/2</f>
        <v>190.292157815716</v>
      </c>
    </row>
    <row r="78" customFormat="false" ht="21" hidden="false" customHeight="true" outlineLevel="0" collapsed="false">
      <c r="A78" s="1" t="s">
        <v>177</v>
      </c>
      <c r="B78" s="6" t="n">
        <v>425139.977774739</v>
      </c>
      <c r="C78" s="6" t="n">
        <v>8432815.23922095</v>
      </c>
      <c r="D78" s="6" t="n">
        <v>3646.35369941772</v>
      </c>
      <c r="E78" s="6" t="n">
        <v>13</v>
      </c>
      <c r="F78" s="6" t="n">
        <v>1.9</v>
      </c>
      <c r="G78" s="6" t="n">
        <v>10.6</v>
      </c>
      <c r="H78" s="6" t="n">
        <v>0</v>
      </c>
      <c r="I78" s="13" t="s">
        <v>114</v>
      </c>
      <c r="J78" s="14" t="n">
        <f aca="false">IF(I78="SUSPENSION",0,IF(I78="TERMINAL",1,2))</f>
        <v>2</v>
      </c>
      <c r="K78" s="14" t="n">
        <f aca="false">1</f>
        <v>1</v>
      </c>
      <c r="L78" s="14" t="n">
        <f aca="false">1</f>
        <v>1</v>
      </c>
      <c r="M78" s="15" t="n">
        <f aca="false">O78*Parametros!$E$6</f>
        <v>6</v>
      </c>
      <c r="N78" s="0" t="str">
        <f aca="false">IF(I78="SUSPENSION","CAC-S",IF(I78="ANGULO","CAC-A",IF(I78="TERMINAL","CAC-T",IF(OR(I78="ANCLAJE",I78="ANCLAJE_PROPUESTO"),"CAC-R","SIN-RECETA"))))</f>
        <v>CAC-R</v>
      </c>
      <c r="O78" s="0" t="n">
        <f aca="false">IF(OR(I78="ANCLAJE",I78="ANCLAJE_PROPUESTO",I78="TERMINAL"),Parametros!$E$5,0)</f>
        <v>3</v>
      </c>
      <c r="P78" s="0" t="n">
        <f aca="false">G78/SIN(RADIANS(Criterios_M01!$C$2))+Criterios_M01!$C$3</f>
        <v>17.9906637611548</v>
      </c>
      <c r="Q78" s="0" t="n">
        <f aca="false">G78+Criterios_M01!$C$4</f>
        <v>13.6</v>
      </c>
      <c r="R78" s="0" t="n">
        <f aca="false">ROUNDUP(G78/Criterios_M01!$C$5,0)+1</f>
        <v>12</v>
      </c>
      <c r="S78" s="0" t="n">
        <f aca="false">(SUMIF(Vanos!$B$7:$B$116,A78,Vanos!$N$7:$N$116)+SUMIF(Vanos!$C$7:$C$116,A78,Vanos!$N$7:$N$116))/2</f>
        <v>177.707610106836</v>
      </c>
    </row>
    <row r="79" customFormat="false" ht="21" hidden="false" customHeight="true" outlineLevel="0" collapsed="false">
      <c r="A79" s="1" t="s">
        <v>178</v>
      </c>
      <c r="B79" s="6" t="n">
        <v>425101.809257287</v>
      </c>
      <c r="C79" s="6" t="n">
        <v>8432770.67146153</v>
      </c>
      <c r="D79" s="6" t="n">
        <v>3655.99771882577</v>
      </c>
      <c r="E79" s="6" t="n">
        <v>15</v>
      </c>
      <c r="F79" s="6" t="n">
        <v>2.1</v>
      </c>
      <c r="G79" s="6" t="n">
        <v>12.4</v>
      </c>
      <c r="H79" s="6" t="n">
        <v>8.09495379775225</v>
      </c>
      <c r="I79" s="13" t="s">
        <v>109</v>
      </c>
      <c r="J79" s="14" t="n">
        <f aca="false">IF(I79="SUSPENSION",0,IF(I79="TERMINAL",1,2))</f>
        <v>2</v>
      </c>
      <c r="K79" s="14" t="n">
        <f aca="false">1</f>
        <v>1</v>
      </c>
      <c r="L79" s="14" t="n">
        <f aca="false">1</f>
        <v>1</v>
      </c>
      <c r="M79" s="15" t="n">
        <f aca="false">O79*Parametros!$E$6</f>
        <v>0</v>
      </c>
      <c r="N79" s="0" t="str">
        <f aca="false">IF(I79="SUSPENSION","CAC-S",IF(I79="ANGULO","CAC-A",IF(I79="TERMINAL","CAC-T",IF(OR(I79="ANCLAJE",I79="ANCLAJE_PROPUESTO"),"CAC-R","SIN-RECETA"))))</f>
        <v>CAC-A</v>
      </c>
      <c r="O79" s="0" t="n">
        <f aca="false">IF(OR(I79="ANCLAJE",I79="ANCLAJE_PROPUESTO",I79="TERMINAL"),Parametros!$E$5,0)</f>
        <v>0</v>
      </c>
      <c r="P79" s="0" t="n">
        <f aca="false">G79/SIN(RADIANS(Criterios_M01!$C$2))+Criterios_M01!$C$3</f>
        <v>20.5362481734264</v>
      </c>
      <c r="Q79" s="0" t="n">
        <f aca="false">G79+Criterios_M01!$C$4</f>
        <v>15.4</v>
      </c>
      <c r="R79" s="0" t="n">
        <f aca="false">ROUNDUP(G79/Criterios_M01!$C$5,0)+1</f>
        <v>14</v>
      </c>
      <c r="S79" s="0" t="n">
        <f aca="false">(SUMIF(Vanos!$B$7:$B$116,A79,Vanos!$N$7:$N$116)+SUMIF(Vanos!$C$7:$C$116,A79,Vanos!$N$7:$N$116))/2</f>
        <v>198.472419809553</v>
      </c>
    </row>
    <row r="80" customFormat="false" ht="21" hidden="false" customHeight="true" outlineLevel="0" collapsed="false">
      <c r="A80" s="1" t="s">
        <v>179</v>
      </c>
      <c r="B80" s="6" t="n">
        <v>425063.285264057</v>
      </c>
      <c r="C80" s="6" t="n">
        <v>8432710.15967561</v>
      </c>
      <c r="D80" s="6" t="n">
        <v>3664.86472793903</v>
      </c>
      <c r="E80" s="6" t="n">
        <v>17</v>
      </c>
      <c r="F80" s="6" t="n">
        <v>2.1</v>
      </c>
      <c r="G80" s="6" t="n">
        <v>14.2</v>
      </c>
      <c r="H80" s="6" t="n">
        <v>0</v>
      </c>
      <c r="I80" s="13" t="s">
        <v>104</v>
      </c>
      <c r="J80" s="14" t="n">
        <f aca="false">IF(I80="SUSPENSION",0,IF(I80="TERMINAL",1,2))</f>
        <v>0</v>
      </c>
      <c r="K80" s="14" t="n">
        <f aca="false">1</f>
        <v>1</v>
      </c>
      <c r="L80" s="14" t="n">
        <f aca="false">1</f>
        <v>1</v>
      </c>
      <c r="M80" s="15" t="n">
        <f aca="false">O80*Parametros!$E$6</f>
        <v>0</v>
      </c>
      <c r="N80" s="0" t="str">
        <f aca="false">IF(I80="SUSPENSION","CAC-S",IF(I80="ANGULO","CAC-A",IF(I80="TERMINAL","CAC-T",IF(OR(I80="ANCLAJE",I80="ANCLAJE_PROPUESTO"),"CAC-R","SIN-RECETA"))))</f>
        <v>CAC-S</v>
      </c>
      <c r="O80" s="0" t="n">
        <f aca="false">IF(OR(I80="ANCLAJE",I80="ANCLAJE_PROPUESTO",I80="TERMINAL"),Parametros!$E$5,0)</f>
        <v>0</v>
      </c>
      <c r="P80" s="0" t="n">
        <f aca="false">G80/SIN(RADIANS(Criterios_M01!$C$2))+Criterios_M01!$C$3</f>
        <v>23.081832585698</v>
      </c>
      <c r="Q80" s="0" t="n">
        <f aca="false">G80+Criterios_M01!$C$4</f>
        <v>17.2</v>
      </c>
      <c r="R80" s="0" t="n">
        <f aca="false">ROUNDUP(G80/Criterios_M01!$C$5,0)+1</f>
        <v>16</v>
      </c>
      <c r="S80" s="0" t="n">
        <f aca="false">(SUMIF(Vanos!$B$7:$B$116,A80,Vanos!$N$7:$N$116)+SUMIF(Vanos!$C$7:$C$116,A80,Vanos!$N$7:$N$116))/2</f>
        <v>216.66781157706</v>
      </c>
    </row>
    <row r="81" customFormat="false" ht="21" hidden="false" customHeight="true" outlineLevel="0" collapsed="false">
      <c r="A81" s="1" t="s">
        <v>180</v>
      </c>
      <c r="B81" s="6" t="n">
        <v>425024.761270827</v>
      </c>
      <c r="C81" s="6" t="n">
        <v>8432649.64788969</v>
      </c>
      <c r="D81" s="6" t="n">
        <v>3661.61782158183</v>
      </c>
      <c r="E81" s="6" t="n">
        <v>15</v>
      </c>
      <c r="F81" s="6" t="n">
        <v>2.1</v>
      </c>
      <c r="G81" s="6" t="n">
        <v>12.4</v>
      </c>
      <c r="H81" s="6" t="n">
        <v>16.10138796052</v>
      </c>
      <c r="I81" s="13" t="s">
        <v>109</v>
      </c>
      <c r="J81" s="14" t="n">
        <f aca="false">IF(I81="SUSPENSION",0,IF(I81="TERMINAL",1,2))</f>
        <v>2</v>
      </c>
      <c r="K81" s="14" t="n">
        <f aca="false">1</f>
        <v>1</v>
      </c>
      <c r="L81" s="14" t="n">
        <f aca="false">1</f>
        <v>1</v>
      </c>
      <c r="M81" s="15" t="n">
        <f aca="false">O81*Parametros!$E$6</f>
        <v>0</v>
      </c>
      <c r="N81" s="0" t="str">
        <f aca="false">IF(I81="SUSPENSION","CAC-S",IF(I81="ANGULO","CAC-A",IF(I81="TERMINAL","CAC-T",IF(OR(I81="ANCLAJE",I81="ANCLAJE_PROPUESTO"),"CAC-R","SIN-RECETA"))))</f>
        <v>CAC-A</v>
      </c>
      <c r="O81" s="0" t="n">
        <f aca="false">IF(OR(I81="ANCLAJE",I81="ANCLAJE_PROPUESTO",I81="TERMINAL"),Parametros!$E$5,0)</f>
        <v>0</v>
      </c>
      <c r="P81" s="0" t="n">
        <f aca="false">G81/SIN(RADIANS(Criterios_M01!$C$2))+Criterios_M01!$C$3</f>
        <v>20.5362481734264</v>
      </c>
      <c r="Q81" s="0" t="n">
        <f aca="false">G81+Criterios_M01!$C$4</f>
        <v>15.4</v>
      </c>
      <c r="R81" s="0" t="n">
        <f aca="false">ROUNDUP(G81/Criterios_M01!$C$5,0)+1</f>
        <v>14</v>
      </c>
      <c r="S81" s="0" t="n">
        <f aca="false">(SUMIF(Vanos!$B$7:$B$116,A81,Vanos!$N$7:$N$116)+SUMIF(Vanos!$C$7:$C$116,A81,Vanos!$N$7:$N$116))/2</f>
        <v>180.781395584175</v>
      </c>
    </row>
    <row r="82" customFormat="false" ht="21" hidden="false" customHeight="true" outlineLevel="0" collapsed="false">
      <c r="A82" s="1" t="s">
        <v>181</v>
      </c>
      <c r="B82" s="6" t="n">
        <v>424988.407022433</v>
      </c>
      <c r="C82" s="6" t="n">
        <v>8432617.57891623</v>
      </c>
      <c r="D82" s="6" t="n">
        <v>3666.90136211198</v>
      </c>
      <c r="E82" s="6" t="n">
        <v>13</v>
      </c>
      <c r="F82" s="6" t="n">
        <v>1.9</v>
      </c>
      <c r="G82" s="6" t="n">
        <v>10.6</v>
      </c>
      <c r="H82" s="6" t="n">
        <v>20.8469878029126</v>
      </c>
      <c r="I82" s="13" t="s">
        <v>109</v>
      </c>
      <c r="J82" s="14" t="n">
        <f aca="false">IF(I82="SUSPENSION",0,IF(I82="TERMINAL",1,2))</f>
        <v>2</v>
      </c>
      <c r="K82" s="14" t="n">
        <f aca="false">1</f>
        <v>1</v>
      </c>
      <c r="L82" s="14" t="n">
        <f aca="false">1</f>
        <v>1</v>
      </c>
      <c r="M82" s="15" t="n">
        <f aca="false">O82*Parametros!$E$6</f>
        <v>0</v>
      </c>
      <c r="N82" s="0" t="str">
        <f aca="false">IF(I82="SUSPENSION","CAC-S",IF(I82="ANGULO","CAC-A",IF(I82="TERMINAL","CAC-T",IF(OR(I82="ANCLAJE",I82="ANCLAJE_PROPUESTO"),"CAC-R","SIN-RECETA"))))</f>
        <v>CAC-A</v>
      </c>
      <c r="O82" s="0" t="n">
        <f aca="false">IF(OR(I82="ANCLAJE",I82="ANCLAJE_PROPUESTO",I82="TERMINAL"),Parametros!$E$5,0)</f>
        <v>0</v>
      </c>
      <c r="P82" s="0" t="n">
        <f aca="false">G82/SIN(RADIANS(Criterios_M01!$C$2))+Criterios_M01!$C$3</f>
        <v>17.9906637611548</v>
      </c>
      <c r="Q82" s="0" t="n">
        <f aca="false">G82+Criterios_M01!$C$4</f>
        <v>13.6</v>
      </c>
      <c r="R82" s="0" t="n">
        <f aca="false">ROUNDUP(G82/Criterios_M01!$C$5,0)+1</f>
        <v>12</v>
      </c>
      <c r="S82" s="0" t="n">
        <f aca="false">(SUMIF(Vanos!$B$7:$B$116,A82,Vanos!$N$7:$N$116)+SUMIF(Vanos!$C$7:$C$116,A82,Vanos!$N$7:$N$116))/2</f>
        <v>152.538542855006</v>
      </c>
    </row>
    <row r="83" customFormat="false" ht="21" hidden="false" customHeight="true" outlineLevel="0" collapsed="false">
      <c r="A83" s="1" t="s">
        <v>182</v>
      </c>
      <c r="B83" s="6" t="n">
        <v>424963.704093446</v>
      </c>
      <c r="C83" s="6" t="n">
        <v>8432570.59992223</v>
      </c>
      <c r="D83" s="6" t="n">
        <v>3665.96737707602</v>
      </c>
      <c r="E83" s="6" t="n">
        <v>13</v>
      </c>
      <c r="F83" s="6" t="n">
        <v>1.9</v>
      </c>
      <c r="G83" s="6" t="n">
        <v>10.6</v>
      </c>
      <c r="H83" s="6" t="n">
        <v>0</v>
      </c>
      <c r="I83" s="13" t="s">
        <v>114</v>
      </c>
      <c r="J83" s="14" t="n">
        <f aca="false">IF(I83="SUSPENSION",0,IF(I83="TERMINAL",1,2))</f>
        <v>2</v>
      </c>
      <c r="K83" s="14" t="n">
        <f aca="false">1</f>
        <v>1</v>
      </c>
      <c r="L83" s="14" t="n">
        <f aca="false">1</f>
        <v>1</v>
      </c>
      <c r="M83" s="15" t="n">
        <f aca="false">O83*Parametros!$E$6</f>
        <v>6</v>
      </c>
      <c r="N83" s="0" t="str">
        <f aca="false">IF(I83="SUSPENSION","CAC-S",IF(I83="ANGULO","CAC-A",IF(I83="TERMINAL","CAC-T",IF(OR(I83="ANCLAJE",I83="ANCLAJE_PROPUESTO"),"CAC-R","SIN-RECETA"))))</f>
        <v>CAC-R</v>
      </c>
      <c r="O83" s="0" t="n">
        <f aca="false">IF(OR(I83="ANCLAJE",I83="ANCLAJE_PROPUESTO",I83="TERMINAL"),Parametros!$E$5,0)</f>
        <v>3</v>
      </c>
      <c r="P83" s="0" t="n">
        <f aca="false">G83/SIN(RADIANS(Criterios_M01!$C$2))+Criterios_M01!$C$3</f>
        <v>17.9906637611548</v>
      </c>
      <c r="Q83" s="0" t="n">
        <f aca="false">G83+Criterios_M01!$C$4</f>
        <v>13.6</v>
      </c>
      <c r="R83" s="0" t="n">
        <f aca="false">ROUNDUP(G83/Criterios_M01!$C$5,0)+1</f>
        <v>12</v>
      </c>
      <c r="S83" s="0" t="n">
        <f aca="false">(SUMIF(Vanos!$B$7:$B$116,A83,Vanos!$N$7:$N$116)+SUMIF(Vanos!$C$7:$C$116,A83,Vanos!$N$7:$N$116))/2</f>
        <v>159.770060331407</v>
      </c>
    </row>
    <row r="84" customFormat="false" ht="21" hidden="false" customHeight="true" outlineLevel="0" collapsed="false">
      <c r="A84" s="1" t="s">
        <v>183</v>
      </c>
      <c r="B84" s="6" t="n">
        <v>424939.001164458</v>
      </c>
      <c r="C84" s="6" t="n">
        <v>8432523.62092824</v>
      </c>
      <c r="D84" s="6" t="n">
        <v>3672.02837489407</v>
      </c>
      <c r="E84" s="6" t="n">
        <v>13</v>
      </c>
      <c r="F84" s="6" t="n">
        <v>1.9</v>
      </c>
      <c r="G84" s="6" t="n">
        <v>10.6</v>
      </c>
      <c r="H84" s="6" t="n">
        <v>12.7003788094166</v>
      </c>
      <c r="I84" s="13" t="s">
        <v>109</v>
      </c>
      <c r="J84" s="14" t="n">
        <f aca="false">IF(I84="SUSPENSION",0,IF(I84="TERMINAL",1,2))</f>
        <v>2</v>
      </c>
      <c r="K84" s="14" t="n">
        <f aca="false">1</f>
        <v>1</v>
      </c>
      <c r="L84" s="14" t="n">
        <f aca="false">1</f>
        <v>1</v>
      </c>
      <c r="M84" s="15" t="n">
        <f aca="false">O84*Parametros!$E$6</f>
        <v>0</v>
      </c>
      <c r="N84" s="0" t="str">
        <f aca="false">IF(I84="SUSPENSION","CAC-S",IF(I84="ANGULO","CAC-A",IF(I84="TERMINAL","CAC-T",IF(OR(I84="ANCLAJE",I84="ANCLAJE_PROPUESTO"),"CAC-R","SIN-RECETA"))))</f>
        <v>CAC-A</v>
      </c>
      <c r="O84" s="0" t="n">
        <f aca="false">IF(OR(I84="ANCLAJE",I84="ANCLAJE_PROPUESTO",I84="TERMINAL"),Parametros!$E$5,0)</f>
        <v>0</v>
      </c>
      <c r="P84" s="0" t="n">
        <f aca="false">G84/SIN(RADIANS(Criterios_M01!$C$2))+Criterios_M01!$C$3</f>
        <v>17.9906637611548</v>
      </c>
      <c r="Q84" s="0" t="n">
        <f aca="false">G84+Criterios_M01!$C$4</f>
        <v>13.6</v>
      </c>
      <c r="R84" s="0" t="n">
        <f aca="false">ROUNDUP(G84/Criterios_M01!$C$5,0)+1</f>
        <v>12</v>
      </c>
      <c r="S84" s="0" t="n">
        <f aca="false">(SUMIF(Vanos!$B$7:$B$116,A84,Vanos!$N$7:$N$116)+SUMIF(Vanos!$C$7:$C$116,A84,Vanos!$N$7:$N$116))/2</f>
        <v>187.808139066138</v>
      </c>
    </row>
    <row r="85" customFormat="false" ht="21" hidden="false" customHeight="true" outlineLevel="0" collapsed="false">
      <c r="A85" s="1" t="s">
        <v>184</v>
      </c>
      <c r="B85" s="6" t="n">
        <v>424920.3818776</v>
      </c>
      <c r="C85" s="6" t="n">
        <v>8432454.30861949</v>
      </c>
      <c r="D85" s="6" t="n">
        <v>3671.1606131333</v>
      </c>
      <c r="E85" s="6" t="n">
        <v>13</v>
      </c>
      <c r="F85" s="6" t="n">
        <v>1.9</v>
      </c>
      <c r="G85" s="6" t="n">
        <v>10.6</v>
      </c>
      <c r="H85" s="6" t="n">
        <v>17.0830116538479</v>
      </c>
      <c r="I85" s="13" t="s">
        <v>109</v>
      </c>
      <c r="J85" s="14" t="n">
        <f aca="false">IF(I85="SUSPENSION",0,IF(I85="TERMINAL",1,2))</f>
        <v>2</v>
      </c>
      <c r="K85" s="14" t="n">
        <f aca="false">1</f>
        <v>1</v>
      </c>
      <c r="L85" s="14" t="n">
        <f aca="false">1</f>
        <v>1</v>
      </c>
      <c r="M85" s="15" t="n">
        <f aca="false">O85*Parametros!$E$6</f>
        <v>0</v>
      </c>
      <c r="N85" s="0" t="str">
        <f aca="false">IF(I85="SUSPENSION","CAC-S",IF(I85="ANGULO","CAC-A",IF(I85="TERMINAL","CAC-T",IF(OR(I85="ANCLAJE",I85="ANCLAJE_PROPUESTO"),"CAC-R","SIN-RECETA"))))</f>
        <v>CAC-A</v>
      </c>
      <c r="O85" s="0" t="n">
        <f aca="false">IF(OR(I85="ANCLAJE",I85="ANCLAJE_PROPUESTO",I85="TERMINAL"),Parametros!$E$5,0)</f>
        <v>0</v>
      </c>
      <c r="P85" s="0" t="n">
        <f aca="false">G85/SIN(RADIANS(Criterios_M01!$C$2))+Criterios_M01!$C$3</f>
        <v>17.9906637611548</v>
      </c>
      <c r="Q85" s="0" t="n">
        <f aca="false">G85+Criterios_M01!$C$4</f>
        <v>13.6</v>
      </c>
      <c r="R85" s="0" t="n">
        <f aca="false">ROUNDUP(G85/Criterios_M01!$C$5,0)+1</f>
        <v>12</v>
      </c>
      <c r="S85" s="0" t="n">
        <f aca="false">(SUMIF(Vanos!$B$7:$B$116,A85,Vanos!$N$7:$N$116)+SUMIF(Vanos!$C$7:$C$116,A85,Vanos!$N$7:$N$116))/2</f>
        <v>209.801989976839</v>
      </c>
    </row>
    <row r="86" customFormat="false" ht="21" hidden="false" customHeight="true" outlineLevel="0" collapsed="false">
      <c r="A86" s="1" t="s">
        <v>185</v>
      </c>
      <c r="B86" s="6" t="n">
        <v>424884.232860741</v>
      </c>
      <c r="C86" s="6" t="n">
        <v>8432396.72533445</v>
      </c>
      <c r="D86" s="6" t="n">
        <v>3674.72346806817</v>
      </c>
      <c r="E86" s="6" t="n">
        <v>13</v>
      </c>
      <c r="F86" s="6" t="n">
        <v>1.9</v>
      </c>
      <c r="G86" s="6" t="n">
        <v>10.6</v>
      </c>
      <c r="H86" s="6" t="n">
        <v>21.810718193323</v>
      </c>
      <c r="I86" s="13" t="s">
        <v>109</v>
      </c>
      <c r="J86" s="14" t="n">
        <f aca="false">IF(I86="SUSPENSION",0,IF(I86="TERMINAL",1,2))</f>
        <v>2</v>
      </c>
      <c r="K86" s="14" t="n">
        <f aca="false">1</f>
        <v>1</v>
      </c>
      <c r="L86" s="14" t="n">
        <f aca="false">1</f>
        <v>1</v>
      </c>
      <c r="M86" s="15" t="n">
        <f aca="false">O86*Parametros!$E$6</f>
        <v>0</v>
      </c>
      <c r="N86" s="0" t="str">
        <f aca="false">IF(I86="SUSPENSION","CAC-S",IF(I86="ANGULO","CAC-A",IF(I86="TERMINAL","CAC-T",IF(OR(I86="ANCLAJE",I86="ANCLAJE_PROPUESTO"),"CAC-R","SIN-RECETA"))))</f>
        <v>CAC-A</v>
      </c>
      <c r="O86" s="0" t="n">
        <f aca="false">IF(OR(I86="ANCLAJE",I86="ANCLAJE_PROPUESTO",I86="TERMINAL"),Parametros!$E$5,0)</f>
        <v>0</v>
      </c>
      <c r="P86" s="0" t="n">
        <f aca="false">G86/SIN(RADIANS(Criterios_M01!$C$2))+Criterios_M01!$C$3</f>
        <v>17.9906637611548</v>
      </c>
      <c r="Q86" s="0" t="n">
        <f aca="false">G86+Criterios_M01!$C$4</f>
        <v>13.6</v>
      </c>
      <c r="R86" s="0" t="n">
        <f aca="false">ROUNDUP(G86/Criterios_M01!$C$5,0)+1</f>
        <v>12</v>
      </c>
      <c r="S86" s="0" t="n">
        <f aca="false">(SUMIF(Vanos!$B$7:$B$116,A86,Vanos!$N$7:$N$116)+SUMIF(Vanos!$C$7:$C$116,A86,Vanos!$N$7:$N$116))/2</f>
        <v>223.13051236046</v>
      </c>
    </row>
    <row r="87" customFormat="false" ht="21" hidden="false" customHeight="true" outlineLevel="0" collapsed="false">
      <c r="A87" s="1" t="s">
        <v>186</v>
      </c>
      <c r="B87" s="6" t="n">
        <v>424819.561465319</v>
      </c>
      <c r="C87" s="6" t="n">
        <v>8432349.61808913</v>
      </c>
      <c r="D87" s="6" t="n">
        <v>3684.93628695236</v>
      </c>
      <c r="E87" s="6" t="n">
        <v>13</v>
      </c>
      <c r="F87" s="6" t="n">
        <v>1.9</v>
      </c>
      <c r="G87" s="6" t="n">
        <v>10.6</v>
      </c>
      <c r="H87" s="6" t="n">
        <v>0</v>
      </c>
      <c r="I87" s="13" t="s">
        <v>104</v>
      </c>
      <c r="J87" s="14" t="n">
        <f aca="false">IF(I87="SUSPENSION",0,IF(I87="TERMINAL",1,2))</f>
        <v>0</v>
      </c>
      <c r="K87" s="14" t="n">
        <f aca="false">1</f>
        <v>1</v>
      </c>
      <c r="L87" s="14" t="n">
        <f aca="false">1</f>
        <v>1</v>
      </c>
      <c r="M87" s="15" t="n">
        <f aca="false">O87*Parametros!$E$6</f>
        <v>0</v>
      </c>
      <c r="N87" s="0" t="str">
        <f aca="false">IF(I87="SUSPENSION","CAC-S",IF(I87="ANGULO","CAC-A",IF(I87="TERMINAL","CAC-T",IF(OR(I87="ANCLAJE",I87="ANCLAJE_PROPUESTO"),"CAC-R","SIN-RECETA"))))</f>
        <v>CAC-S</v>
      </c>
      <c r="O87" s="0" t="n">
        <f aca="false">IF(OR(I87="ANCLAJE",I87="ANCLAJE_PROPUESTO",I87="TERMINAL"),Parametros!$E$5,0)</f>
        <v>0</v>
      </c>
      <c r="P87" s="0" t="n">
        <f aca="false">G87/SIN(RADIANS(Criterios_M01!$C$2))+Criterios_M01!$C$3</f>
        <v>17.9906637611548</v>
      </c>
      <c r="Q87" s="0" t="n">
        <f aca="false">G87+Criterios_M01!$C$4</f>
        <v>13.6</v>
      </c>
      <c r="R87" s="0" t="n">
        <f aca="false">ROUNDUP(G87/Criterios_M01!$C$5,0)+1</f>
        <v>12</v>
      </c>
      <c r="S87" s="0" t="n">
        <f aca="false">(SUMIF(Vanos!$B$7:$B$116,A87,Vanos!$N$7:$N$116)+SUMIF(Vanos!$C$7:$C$116,A87,Vanos!$N$7:$N$116))/2</f>
        <v>241.1953450279</v>
      </c>
    </row>
    <row r="88" customFormat="false" ht="21" hidden="false" customHeight="true" outlineLevel="0" collapsed="false">
      <c r="A88" s="1" t="s">
        <v>187</v>
      </c>
      <c r="B88" s="6" t="n">
        <v>424754.890069898</v>
      </c>
      <c r="C88" s="6" t="n">
        <v>8432302.51084381</v>
      </c>
      <c r="D88" s="6" t="n">
        <v>3689.20669718662</v>
      </c>
      <c r="E88" s="6" t="n">
        <v>13</v>
      </c>
      <c r="F88" s="6" t="n">
        <v>1.9</v>
      </c>
      <c r="G88" s="6" t="n">
        <v>10.6</v>
      </c>
      <c r="H88" s="6" t="n">
        <v>0</v>
      </c>
      <c r="I88" s="13" t="s">
        <v>114</v>
      </c>
      <c r="J88" s="14" t="n">
        <f aca="false">IF(I88="SUSPENSION",0,IF(I88="TERMINAL",1,2))</f>
        <v>2</v>
      </c>
      <c r="K88" s="14" t="n">
        <f aca="false">1</f>
        <v>1</v>
      </c>
      <c r="L88" s="14" t="n">
        <f aca="false">1</f>
        <v>1</v>
      </c>
      <c r="M88" s="15" t="n">
        <f aca="false">O88*Parametros!$E$6</f>
        <v>6</v>
      </c>
      <c r="N88" s="0" t="str">
        <f aca="false">IF(I88="SUSPENSION","CAC-S",IF(I88="ANGULO","CAC-A",IF(I88="TERMINAL","CAC-T",IF(OR(I88="ANCLAJE",I88="ANCLAJE_PROPUESTO"),"CAC-R","SIN-RECETA"))))</f>
        <v>CAC-R</v>
      </c>
      <c r="O88" s="0" t="n">
        <f aca="false">IF(OR(I88="ANCLAJE",I88="ANCLAJE_PROPUESTO",I88="TERMINAL"),Parametros!$E$5,0)</f>
        <v>3</v>
      </c>
      <c r="P88" s="0" t="n">
        <f aca="false">G88/SIN(RADIANS(Criterios_M01!$C$2))+Criterios_M01!$C$3</f>
        <v>17.9906637611548</v>
      </c>
      <c r="Q88" s="0" t="n">
        <f aca="false">G88+Criterios_M01!$C$4</f>
        <v>13.6</v>
      </c>
      <c r="R88" s="0" t="n">
        <f aca="false">ROUNDUP(G88/Criterios_M01!$C$5,0)+1</f>
        <v>12</v>
      </c>
      <c r="S88" s="0" t="n">
        <f aca="false">(SUMIF(Vanos!$B$7:$B$116,A88,Vanos!$N$7:$N$116)+SUMIF(Vanos!$C$7:$C$116,A88,Vanos!$N$7:$N$116))/2</f>
        <v>241.245607806802</v>
      </c>
    </row>
    <row r="89" customFormat="false" ht="21" hidden="false" customHeight="true" outlineLevel="0" collapsed="false">
      <c r="A89" s="1" t="s">
        <v>188</v>
      </c>
      <c r="B89" s="6" t="n">
        <v>424690.218674476</v>
      </c>
      <c r="C89" s="6" t="n">
        <v>8432255.40359849</v>
      </c>
      <c r="D89" s="6" t="n">
        <v>3699.68089374114</v>
      </c>
      <c r="E89" s="6" t="n">
        <v>13</v>
      </c>
      <c r="F89" s="6" t="n">
        <v>1.9</v>
      </c>
      <c r="G89" s="6" t="n">
        <v>10.6</v>
      </c>
      <c r="H89" s="6" t="n">
        <v>12.4878649335097</v>
      </c>
      <c r="I89" s="13" t="s">
        <v>109</v>
      </c>
      <c r="J89" s="14" t="n">
        <f aca="false">IF(I89="SUSPENSION",0,IF(I89="TERMINAL",1,2))</f>
        <v>2</v>
      </c>
      <c r="K89" s="14" t="n">
        <f aca="false">1</f>
        <v>1</v>
      </c>
      <c r="L89" s="14" t="n">
        <f aca="false">1</f>
        <v>1</v>
      </c>
      <c r="M89" s="15" t="n">
        <f aca="false">O89*Parametros!$E$6</f>
        <v>0</v>
      </c>
      <c r="N89" s="0" t="str">
        <f aca="false">IF(I89="SUSPENSION","CAC-S",IF(I89="ANGULO","CAC-A",IF(I89="TERMINAL","CAC-T",IF(OR(I89="ANCLAJE",I89="ANCLAJE_PROPUESTO"),"CAC-R","SIN-RECETA"))))</f>
        <v>CAC-A</v>
      </c>
      <c r="O89" s="0" t="n">
        <f aca="false">IF(OR(I89="ANCLAJE",I89="ANCLAJE_PROPUESTO",I89="TERMINAL"),Parametros!$E$5,0)</f>
        <v>0</v>
      </c>
      <c r="P89" s="0" t="n">
        <f aca="false">G89/SIN(RADIANS(Criterios_M01!$C$2))+Criterios_M01!$C$3</f>
        <v>17.9906637611548</v>
      </c>
      <c r="Q89" s="0" t="n">
        <f aca="false">G89+Criterios_M01!$C$4</f>
        <v>13.6</v>
      </c>
      <c r="R89" s="0" t="n">
        <f aca="false">ROUNDUP(G89/Criterios_M01!$C$5,0)+1</f>
        <v>12</v>
      </c>
      <c r="S89" s="0" t="n">
        <f aca="false">(SUMIF(Vanos!$B$7:$B$116,A89,Vanos!$N$7:$N$116)+SUMIF(Vanos!$C$7:$C$116,A89,Vanos!$N$7:$N$116))/2</f>
        <v>233.164776373221</v>
      </c>
    </row>
    <row r="90" customFormat="false" ht="21" hidden="false" customHeight="true" outlineLevel="0" collapsed="false">
      <c r="A90" s="1" t="s">
        <v>189</v>
      </c>
      <c r="B90" s="6" t="n">
        <v>424641.066661124</v>
      </c>
      <c r="C90" s="6" t="n">
        <v>8432199.73427796</v>
      </c>
      <c r="D90" s="6" t="n">
        <v>3708.0891795473</v>
      </c>
      <c r="E90" s="6" t="n">
        <v>13</v>
      </c>
      <c r="F90" s="6" t="n">
        <v>1.9</v>
      </c>
      <c r="G90" s="6" t="n">
        <v>10.6</v>
      </c>
      <c r="H90" s="6" t="n">
        <v>0</v>
      </c>
      <c r="I90" s="13" t="s">
        <v>104</v>
      </c>
      <c r="J90" s="14" t="n">
        <f aca="false">IF(I90="SUSPENSION",0,IF(I90="TERMINAL",1,2))</f>
        <v>0</v>
      </c>
      <c r="K90" s="14" t="n">
        <f aca="false">1</f>
        <v>1</v>
      </c>
      <c r="L90" s="14" t="n">
        <f aca="false">1</f>
        <v>1</v>
      </c>
      <c r="M90" s="15" t="n">
        <f aca="false">O90*Parametros!$E$6</f>
        <v>0</v>
      </c>
      <c r="N90" s="0" t="str">
        <f aca="false">IF(I90="SUSPENSION","CAC-S",IF(I90="ANGULO","CAC-A",IF(I90="TERMINAL","CAC-T",IF(OR(I90="ANCLAJE",I90="ANCLAJE_PROPUESTO"),"CAC-R","SIN-RECETA"))))</f>
        <v>CAC-S</v>
      </c>
      <c r="O90" s="0" t="n">
        <f aca="false">IF(OR(I90="ANCLAJE",I90="ANCLAJE_PROPUESTO",I90="TERMINAL"),Parametros!$E$5,0)</f>
        <v>0</v>
      </c>
      <c r="P90" s="0" t="n">
        <f aca="false">G90/SIN(RADIANS(Criterios_M01!$C$2))+Criterios_M01!$C$3</f>
        <v>17.9906637611548</v>
      </c>
      <c r="Q90" s="0" t="n">
        <f aca="false">G90+Criterios_M01!$C$4</f>
        <v>13.6</v>
      </c>
      <c r="R90" s="0" t="n">
        <f aca="false">ROUNDUP(G90/Criterios_M01!$C$5,0)+1</f>
        <v>12</v>
      </c>
      <c r="S90" s="0" t="n">
        <f aca="false">(SUMIF(Vanos!$B$7:$B$116,A90,Vanos!$N$7:$N$116)+SUMIF(Vanos!$C$7:$C$116,A90,Vanos!$N$7:$N$116))/2</f>
        <v>224.059450309166</v>
      </c>
    </row>
    <row r="91" customFormat="false" ht="21" hidden="false" customHeight="true" outlineLevel="0" collapsed="false">
      <c r="A91" s="1" t="s">
        <v>190</v>
      </c>
      <c r="B91" s="6" t="n">
        <v>424591.914647771</v>
      </c>
      <c r="C91" s="6" t="n">
        <v>8432144.06495742</v>
      </c>
      <c r="D91" s="6" t="n">
        <v>3715.41270554867</v>
      </c>
      <c r="E91" s="6" t="n">
        <v>13</v>
      </c>
      <c r="F91" s="6" t="n">
        <v>1.9</v>
      </c>
      <c r="G91" s="6" t="n">
        <v>10.6</v>
      </c>
      <c r="H91" s="6" t="n">
        <v>0</v>
      </c>
      <c r="I91" s="13" t="s">
        <v>114</v>
      </c>
      <c r="J91" s="14" t="n">
        <f aca="false">IF(I91="SUSPENSION",0,IF(I91="TERMINAL",1,2))</f>
        <v>2</v>
      </c>
      <c r="K91" s="14" t="n">
        <f aca="false">1</f>
        <v>1</v>
      </c>
      <c r="L91" s="14" t="n">
        <f aca="false">1</f>
        <v>1</v>
      </c>
      <c r="M91" s="15" t="n">
        <f aca="false">O91*Parametros!$E$6</f>
        <v>6</v>
      </c>
      <c r="N91" s="0" t="str">
        <f aca="false">IF(I91="SUSPENSION","CAC-S",IF(I91="ANGULO","CAC-A",IF(I91="TERMINAL","CAC-T",IF(OR(I91="ANCLAJE",I91="ANCLAJE_PROPUESTO"),"CAC-R","SIN-RECETA"))))</f>
        <v>CAC-R</v>
      </c>
      <c r="O91" s="0" t="n">
        <f aca="false">IF(OR(I91="ANCLAJE",I91="ANCLAJE_PROPUESTO",I91="TERMINAL"),Parametros!$E$5,0)</f>
        <v>3</v>
      </c>
      <c r="P91" s="0" t="n">
        <f aca="false">G91/SIN(RADIANS(Criterios_M01!$C$2))+Criterios_M01!$C$3</f>
        <v>17.9906637611548</v>
      </c>
      <c r="Q91" s="0" t="n">
        <f aca="false">G91+Criterios_M01!$C$4</f>
        <v>13.6</v>
      </c>
      <c r="R91" s="0" t="n">
        <f aca="false">ROUNDUP(G91/Criterios_M01!$C$5,0)+1</f>
        <v>12</v>
      </c>
      <c r="S91" s="0" t="n">
        <f aca="false">(SUMIF(Vanos!$B$7:$B$116,A91,Vanos!$N$7:$N$116)+SUMIF(Vanos!$C$7:$C$116,A91,Vanos!$N$7:$N$116))/2</f>
        <v>224.85401223592</v>
      </c>
    </row>
    <row r="92" customFormat="false" ht="21" hidden="false" customHeight="true" outlineLevel="0" collapsed="false">
      <c r="A92" s="1" t="s">
        <v>191</v>
      </c>
      <c r="B92" s="6" t="n">
        <v>424542.762634419</v>
      </c>
      <c r="C92" s="6" t="n">
        <v>8432088.39563688</v>
      </c>
      <c r="D92" s="6" t="n">
        <v>3727.66686508217</v>
      </c>
      <c r="E92" s="6" t="n">
        <v>13</v>
      </c>
      <c r="F92" s="6" t="n">
        <v>1.9</v>
      </c>
      <c r="G92" s="6" t="n">
        <v>10.6</v>
      </c>
      <c r="H92" s="6" t="n">
        <v>27.8289659352091</v>
      </c>
      <c r="I92" s="13" t="s">
        <v>109</v>
      </c>
      <c r="J92" s="14" t="n">
        <f aca="false">IF(I92="SUSPENSION",0,IF(I92="TERMINAL",1,2))</f>
        <v>2</v>
      </c>
      <c r="K92" s="14" t="n">
        <f aca="false">1</f>
        <v>1</v>
      </c>
      <c r="L92" s="14" t="n">
        <f aca="false">1</f>
        <v>1</v>
      </c>
      <c r="M92" s="15" t="n">
        <f aca="false">O92*Parametros!$E$6</f>
        <v>0</v>
      </c>
      <c r="N92" s="0" t="str">
        <f aca="false">IF(I92="SUSPENSION","CAC-S",IF(I92="ANGULO","CAC-A",IF(I92="TERMINAL","CAC-T",IF(OR(I92="ANCLAJE",I92="ANCLAJE_PROPUESTO"),"CAC-R","SIN-RECETA"))))</f>
        <v>CAC-A</v>
      </c>
      <c r="O92" s="0" t="n">
        <f aca="false">IF(OR(I92="ANCLAJE",I92="ANCLAJE_PROPUESTO",I92="TERMINAL"),Parametros!$E$5,0)</f>
        <v>0</v>
      </c>
      <c r="P92" s="0" t="n">
        <f aca="false">G92/SIN(RADIANS(Criterios_M01!$C$2))+Criterios_M01!$C$3</f>
        <v>17.9906637611548</v>
      </c>
      <c r="Q92" s="0" t="n">
        <f aca="false">G92+Criterios_M01!$C$4</f>
        <v>13.6</v>
      </c>
      <c r="R92" s="0" t="n">
        <f aca="false">ROUNDUP(G92/Criterios_M01!$C$5,0)+1</f>
        <v>12</v>
      </c>
      <c r="S92" s="0" t="n">
        <f aca="false">(SUMIF(Vanos!$B$7:$B$116,A92,Vanos!$N$7:$N$116)+SUMIF(Vanos!$C$7:$C$116,A92,Vanos!$N$7:$N$116))/2</f>
        <v>168.733865235231</v>
      </c>
    </row>
    <row r="93" customFormat="false" ht="21" hidden="false" customHeight="true" outlineLevel="0" collapsed="false">
      <c r="A93" s="1" t="s">
        <v>192</v>
      </c>
      <c r="B93" s="6" t="n">
        <v>424534.04980394</v>
      </c>
      <c r="C93" s="6" t="n">
        <v>8432052.41745417</v>
      </c>
      <c r="D93" s="6" t="n">
        <v>3723.84247925058</v>
      </c>
      <c r="E93" s="6" t="n">
        <v>13</v>
      </c>
      <c r="F93" s="6" t="n">
        <v>1.9</v>
      </c>
      <c r="G93" s="6" t="n">
        <v>10.6</v>
      </c>
      <c r="H93" s="6" t="n">
        <v>22.7655328835673</v>
      </c>
      <c r="I93" s="13" t="s">
        <v>109</v>
      </c>
      <c r="J93" s="14" t="n">
        <f aca="false">IF(I93="SUSPENSION",0,IF(I93="TERMINAL",1,2))</f>
        <v>2</v>
      </c>
      <c r="K93" s="14" t="n">
        <f aca="false">1</f>
        <v>1</v>
      </c>
      <c r="L93" s="14" t="n">
        <f aca="false">1</f>
        <v>1</v>
      </c>
      <c r="M93" s="15" t="n">
        <f aca="false">O93*Parametros!$E$6</f>
        <v>0</v>
      </c>
      <c r="N93" s="0" t="str">
        <f aca="false">IF(I93="SUSPENSION","CAC-S",IF(I93="ANGULO","CAC-A",IF(I93="TERMINAL","CAC-T",IF(OR(I93="ANCLAJE",I93="ANCLAJE_PROPUESTO"),"CAC-R","SIN-RECETA"))))</f>
        <v>CAC-A</v>
      </c>
      <c r="O93" s="0" t="n">
        <f aca="false">IF(OR(I93="ANCLAJE",I93="ANCLAJE_PROPUESTO",I93="TERMINAL"),Parametros!$E$5,0)</f>
        <v>0</v>
      </c>
      <c r="P93" s="0" t="n">
        <f aca="false">G93/SIN(RADIANS(Criterios_M01!$C$2))+Criterios_M01!$C$3</f>
        <v>17.9906637611548</v>
      </c>
      <c r="Q93" s="0" t="n">
        <f aca="false">G93+Criterios_M01!$C$4</f>
        <v>13.6</v>
      </c>
      <c r="R93" s="0" t="n">
        <f aca="false">ROUNDUP(G93/Criterios_M01!$C$5,0)+1</f>
        <v>12</v>
      </c>
      <c r="S93" s="0" t="n">
        <f aca="false">(SUMIF(Vanos!$B$7:$B$116,A93,Vanos!$N$7:$N$116)+SUMIF(Vanos!$C$7:$C$116,A93,Vanos!$N$7:$N$116))/2</f>
        <v>161.916227270957</v>
      </c>
    </row>
    <row r="94" customFormat="false" ht="21" hidden="false" customHeight="true" outlineLevel="0" collapsed="false">
      <c r="A94" s="1" t="s">
        <v>193</v>
      </c>
      <c r="B94" s="6" t="n">
        <v>424545.294531482</v>
      </c>
      <c r="C94" s="6" t="n">
        <v>8431982.62233979</v>
      </c>
      <c r="D94" s="6" t="n">
        <v>3721.86027345835</v>
      </c>
      <c r="E94" s="6" t="n">
        <v>13</v>
      </c>
      <c r="F94" s="6" t="n">
        <v>1.9</v>
      </c>
      <c r="G94" s="6" t="n">
        <v>10.6</v>
      </c>
      <c r="H94" s="6" t="n">
        <v>37.5642247957031</v>
      </c>
      <c r="I94" s="13" t="s">
        <v>106</v>
      </c>
      <c r="J94" s="14" t="n">
        <f aca="false">IF(I94="SUSPENSION",0,IF(I94="TERMINAL",1,2))</f>
        <v>2</v>
      </c>
      <c r="K94" s="14" t="n">
        <f aca="false">1</f>
        <v>1</v>
      </c>
      <c r="L94" s="14" t="n">
        <f aca="false">1</f>
        <v>1</v>
      </c>
      <c r="M94" s="15" t="n">
        <f aca="false">O94*Parametros!$E$6</f>
        <v>6</v>
      </c>
      <c r="N94" s="0" t="str">
        <f aca="false">IF(I94="SUSPENSION","CAC-S",IF(I94="ANGULO","CAC-A",IF(I94="TERMINAL","CAC-T",IF(OR(I94="ANCLAJE",I94="ANCLAJE_PROPUESTO"),"CAC-R","SIN-RECETA"))))</f>
        <v>CAC-R</v>
      </c>
      <c r="O94" s="0" t="n">
        <f aca="false">IF(OR(I94="ANCLAJE",I94="ANCLAJE_PROPUESTO",I94="TERMINAL"),Parametros!$E$5,0)</f>
        <v>3</v>
      </c>
      <c r="P94" s="0" t="n">
        <f aca="false">G94/SIN(RADIANS(Criterios_M01!$C$2))+Criterios_M01!$C$3</f>
        <v>17.9906637611548</v>
      </c>
      <c r="Q94" s="0" t="n">
        <f aca="false">G94+Criterios_M01!$C$4</f>
        <v>13.6</v>
      </c>
      <c r="R94" s="0" t="n">
        <f aca="false">ROUNDUP(G94/Criterios_M01!$C$5,0)+1</f>
        <v>12</v>
      </c>
      <c r="S94" s="0" t="n">
        <f aca="false">(SUMIF(Vanos!$B$7:$B$116,A94,Vanos!$N$7:$N$116)+SUMIF(Vanos!$C$7:$C$116,A94,Vanos!$N$7:$N$116))/2</f>
        <v>190.111133712947</v>
      </c>
    </row>
    <row r="95" customFormat="false" ht="21" hidden="false" customHeight="true" outlineLevel="0" collapsed="false">
      <c r="A95" s="1" t="s">
        <v>194</v>
      </c>
      <c r="B95" s="6" t="n">
        <v>424518.930865137</v>
      </c>
      <c r="C95" s="6" t="n">
        <v>8431933.88799196</v>
      </c>
      <c r="D95" s="6" t="n">
        <v>3730.04814193758</v>
      </c>
      <c r="E95" s="6" t="n">
        <v>13</v>
      </c>
      <c r="F95" s="6" t="n">
        <v>1.9</v>
      </c>
      <c r="G95" s="6" t="n">
        <v>10.6</v>
      </c>
      <c r="H95" s="6" t="n">
        <v>0</v>
      </c>
      <c r="I95" s="13" t="s">
        <v>104</v>
      </c>
      <c r="J95" s="14" t="n">
        <f aca="false">IF(I95="SUSPENSION",0,IF(I95="TERMINAL",1,2))</f>
        <v>0</v>
      </c>
      <c r="K95" s="14" t="n">
        <f aca="false">1</f>
        <v>1</v>
      </c>
      <c r="L95" s="14" t="n">
        <f aca="false">1</f>
        <v>1</v>
      </c>
      <c r="M95" s="15" t="n">
        <f aca="false">O95*Parametros!$E$6</f>
        <v>0</v>
      </c>
      <c r="N95" s="0" t="str">
        <f aca="false">IF(I95="SUSPENSION","CAC-S",IF(I95="ANGULO","CAC-A",IF(I95="TERMINAL","CAC-T",IF(OR(I95="ANCLAJE",I95="ANCLAJE_PROPUESTO"),"CAC-R","SIN-RECETA"))))</f>
        <v>CAC-S</v>
      </c>
      <c r="O95" s="0" t="n">
        <f aca="false">IF(OR(I95="ANCLAJE",I95="ANCLAJE_PROPUESTO",I95="TERMINAL"),Parametros!$E$5,0)</f>
        <v>0</v>
      </c>
      <c r="P95" s="0" t="n">
        <f aca="false">G95/SIN(RADIANS(Criterios_M01!$C$2))+Criterios_M01!$C$3</f>
        <v>17.9906637611548</v>
      </c>
      <c r="Q95" s="0" t="n">
        <f aca="false">G95+Criterios_M01!$C$4</f>
        <v>13.6</v>
      </c>
      <c r="R95" s="0" t="n">
        <f aca="false">ROUNDUP(G95/Criterios_M01!$C$5,0)+1</f>
        <v>12</v>
      </c>
      <c r="S95" s="0" t="n">
        <f aca="false">(SUMIF(Vanos!$B$7:$B$116,A95,Vanos!$N$7:$N$116)+SUMIF(Vanos!$C$7:$C$116,A95,Vanos!$N$7:$N$116))/2</f>
        <v>168.167037970984</v>
      </c>
    </row>
    <row r="96" customFormat="false" ht="21" hidden="false" customHeight="true" outlineLevel="0" collapsed="false">
      <c r="A96" s="1" t="s">
        <v>195</v>
      </c>
      <c r="B96" s="6" t="n">
        <v>424492.567198793</v>
      </c>
      <c r="C96" s="6" t="n">
        <v>8431885.15364413</v>
      </c>
      <c r="D96" s="6" t="n">
        <v>3737.00687853406</v>
      </c>
      <c r="E96" s="6" t="n">
        <v>15</v>
      </c>
      <c r="F96" s="6" t="n">
        <v>2.1</v>
      </c>
      <c r="G96" s="6" t="n">
        <v>12.4</v>
      </c>
      <c r="H96" s="6" t="n">
        <v>27.2033688110686</v>
      </c>
      <c r="I96" s="13" t="s">
        <v>109</v>
      </c>
      <c r="J96" s="14" t="n">
        <f aca="false">IF(I96="SUSPENSION",0,IF(I96="TERMINAL",1,2))</f>
        <v>2</v>
      </c>
      <c r="K96" s="14" t="n">
        <f aca="false">1</f>
        <v>1</v>
      </c>
      <c r="L96" s="14" t="n">
        <f aca="false">1</f>
        <v>1</v>
      </c>
      <c r="M96" s="15" t="n">
        <f aca="false">O96*Parametros!$E$6</f>
        <v>0</v>
      </c>
      <c r="N96" s="0" t="str">
        <f aca="false">IF(I96="SUSPENSION","CAC-S",IF(I96="ANGULO","CAC-A",IF(I96="TERMINAL","CAC-T",IF(OR(I96="ANCLAJE",I96="ANCLAJE_PROPUESTO"),"CAC-R","SIN-RECETA"))))</f>
        <v>CAC-A</v>
      </c>
      <c r="O96" s="0" t="n">
        <f aca="false">IF(OR(I96="ANCLAJE",I96="ANCLAJE_PROPUESTO",I96="TERMINAL"),Parametros!$E$5,0)</f>
        <v>0</v>
      </c>
      <c r="P96" s="0" t="n">
        <f aca="false">G96/SIN(RADIANS(Criterios_M01!$C$2))+Criterios_M01!$C$3</f>
        <v>20.5362481734264</v>
      </c>
      <c r="Q96" s="0" t="n">
        <f aca="false">G96+Criterios_M01!$C$4</f>
        <v>15.4</v>
      </c>
      <c r="R96" s="0" t="n">
        <f aca="false">ROUNDUP(G96/Criterios_M01!$C$5,0)+1</f>
        <v>14</v>
      </c>
      <c r="S96" s="0" t="n">
        <f aca="false">(SUMIF(Vanos!$B$7:$B$116,A96,Vanos!$N$7:$N$116)+SUMIF(Vanos!$C$7:$C$116,A96,Vanos!$N$7:$N$116))/2</f>
        <v>179.137318763853</v>
      </c>
    </row>
    <row r="97" customFormat="false" ht="21" hidden="false" customHeight="true" outlineLevel="0" collapsed="false">
      <c r="A97" s="1" t="s">
        <v>196</v>
      </c>
      <c r="B97" s="6" t="n">
        <v>424491.233847935</v>
      </c>
      <c r="C97" s="6" t="n">
        <v>8431821.9505756</v>
      </c>
      <c r="D97" s="6" t="n">
        <v>3740.65428989674</v>
      </c>
      <c r="E97" s="6" t="n">
        <v>15</v>
      </c>
      <c r="F97" s="6" t="n">
        <v>2.1</v>
      </c>
      <c r="G97" s="6" t="n">
        <v>12.4</v>
      </c>
      <c r="H97" s="6" t="n">
        <v>33.6154857040435</v>
      </c>
      <c r="I97" s="13" t="s">
        <v>106</v>
      </c>
      <c r="J97" s="14" t="n">
        <f aca="false">IF(I97="SUSPENSION",0,IF(I97="TERMINAL",1,2))</f>
        <v>2</v>
      </c>
      <c r="K97" s="14" t="n">
        <f aca="false">1</f>
        <v>1</v>
      </c>
      <c r="L97" s="14" t="n">
        <f aca="false">1</f>
        <v>1</v>
      </c>
      <c r="M97" s="15" t="n">
        <f aca="false">O97*Parametros!$E$6</f>
        <v>6</v>
      </c>
      <c r="N97" s="0" t="str">
        <f aca="false">IF(I97="SUSPENSION","CAC-S",IF(I97="ANGULO","CAC-A",IF(I97="TERMINAL","CAC-T",IF(OR(I97="ANCLAJE",I97="ANCLAJE_PROPUESTO"),"CAC-R","SIN-RECETA"))))</f>
        <v>CAC-R</v>
      </c>
      <c r="O97" s="0" t="n">
        <f aca="false">IF(OR(I97="ANCLAJE",I97="ANCLAJE_PROPUESTO",I97="TERMINAL"),Parametros!$E$5,0)</f>
        <v>3</v>
      </c>
      <c r="P97" s="0" t="n">
        <f aca="false">G97/SIN(RADIANS(Criterios_M01!$C$2))+Criterios_M01!$C$3</f>
        <v>20.5362481734264</v>
      </c>
      <c r="Q97" s="0" t="n">
        <f aca="false">G97+Criterios_M01!$C$4</f>
        <v>15.4</v>
      </c>
      <c r="R97" s="0" t="n">
        <f aca="false">ROUNDUP(G97/Criterios_M01!$C$5,0)+1</f>
        <v>14</v>
      </c>
      <c r="S97" s="0" t="n">
        <f aca="false">(SUMIF(Vanos!$B$7:$B$116,A97,Vanos!$N$7:$N$116)+SUMIF(Vanos!$C$7:$C$116,A97,Vanos!$N$7:$N$116))/2</f>
        <v>162.926953644777</v>
      </c>
    </row>
    <row r="98" customFormat="false" ht="21" hidden="false" customHeight="true" outlineLevel="0" collapsed="false">
      <c r="A98" s="1" t="s">
        <v>197</v>
      </c>
      <c r="B98" s="6" t="n">
        <v>424515.398446889</v>
      </c>
      <c r="C98" s="6" t="n">
        <v>8431783.88344731</v>
      </c>
      <c r="D98" s="6" t="n">
        <v>3738.18822559371</v>
      </c>
      <c r="E98" s="6" t="n">
        <v>13</v>
      </c>
      <c r="F98" s="6" t="n">
        <v>1.9</v>
      </c>
      <c r="G98" s="6" t="n">
        <v>10.6</v>
      </c>
      <c r="H98" s="6" t="n">
        <v>41.8569757085897</v>
      </c>
      <c r="I98" s="13" t="s">
        <v>106</v>
      </c>
      <c r="J98" s="14" t="n">
        <f aca="false">IF(I98="SUSPENSION",0,IF(I98="TERMINAL",1,2))</f>
        <v>2</v>
      </c>
      <c r="K98" s="14" t="n">
        <f aca="false">1</f>
        <v>1</v>
      </c>
      <c r="L98" s="14" t="n">
        <f aca="false">1</f>
        <v>1</v>
      </c>
      <c r="M98" s="15" t="n">
        <f aca="false">O98*Parametros!$E$6</f>
        <v>6</v>
      </c>
      <c r="N98" s="0" t="str">
        <f aca="false">IF(I98="SUSPENSION","CAC-S",IF(I98="ANGULO","CAC-A",IF(I98="TERMINAL","CAC-T",IF(OR(I98="ANCLAJE",I98="ANCLAJE_PROPUESTO"),"CAC-R","SIN-RECETA"))))</f>
        <v>CAC-R</v>
      </c>
      <c r="O98" s="0" t="n">
        <f aca="false">IF(OR(I98="ANCLAJE",I98="ANCLAJE_PROPUESTO",I98="TERMINAL"),Parametros!$E$5,0)</f>
        <v>3</v>
      </c>
      <c r="P98" s="0" t="n">
        <f aca="false">G98/SIN(RADIANS(Criterios_M01!$C$2))+Criterios_M01!$C$3</f>
        <v>17.9906637611548</v>
      </c>
      <c r="Q98" s="0" t="n">
        <f aca="false">G98+Criterios_M01!$C$4</f>
        <v>13.6</v>
      </c>
      <c r="R98" s="0" t="n">
        <f aca="false">ROUNDUP(G98/Criterios_M01!$C$5,0)+1</f>
        <v>12</v>
      </c>
      <c r="S98" s="0" t="n">
        <f aca="false">(SUMIF(Vanos!$B$7:$B$116,A98,Vanos!$N$7:$N$116)+SUMIF(Vanos!$C$7:$C$116,A98,Vanos!$N$7:$N$116))/2</f>
        <v>146.557364332447</v>
      </c>
    </row>
    <row r="99" customFormat="false" ht="21" hidden="false" customHeight="true" outlineLevel="0" collapsed="false">
      <c r="A99" s="1" t="s">
        <v>198</v>
      </c>
      <c r="B99" s="6" t="n">
        <v>424506.796418876</v>
      </c>
      <c r="C99" s="6" t="n">
        <v>8431732.20296243</v>
      </c>
      <c r="D99" s="6" t="n">
        <v>3739.61238958055</v>
      </c>
      <c r="E99" s="6" t="n">
        <v>13</v>
      </c>
      <c r="F99" s="6" t="n">
        <v>1.9</v>
      </c>
      <c r="G99" s="6" t="n">
        <v>10.6</v>
      </c>
      <c r="H99" s="6" t="n">
        <v>71.0085504940887</v>
      </c>
      <c r="I99" s="13" t="s">
        <v>106</v>
      </c>
      <c r="J99" s="14" t="n">
        <f aca="false">IF(I99="SUSPENSION",0,IF(I99="TERMINAL",1,2))</f>
        <v>2</v>
      </c>
      <c r="K99" s="14" t="n">
        <f aca="false">1</f>
        <v>1</v>
      </c>
      <c r="L99" s="14" t="n">
        <f aca="false">1</f>
        <v>1</v>
      </c>
      <c r="M99" s="15" t="n">
        <f aca="false">O99*Parametros!$E$6</f>
        <v>6</v>
      </c>
      <c r="N99" s="0" t="str">
        <f aca="false">IF(I99="SUSPENSION","CAC-S",IF(I99="ANGULO","CAC-A",IF(I99="TERMINAL","CAC-T",IF(OR(I99="ANCLAJE",I99="ANCLAJE_PROPUESTO"),"CAC-R","SIN-RECETA"))))</f>
        <v>CAC-R</v>
      </c>
      <c r="O99" s="0" t="n">
        <f aca="false">IF(OR(I99="ANCLAJE",I99="ANCLAJE_PROPUESTO",I99="TERMINAL"),Parametros!$E$5,0)</f>
        <v>3</v>
      </c>
      <c r="P99" s="0" t="n">
        <f aca="false">G99/SIN(RADIANS(Criterios_M01!$C$2))+Criterios_M01!$C$3</f>
        <v>17.9906637611548</v>
      </c>
      <c r="Q99" s="0" t="n">
        <f aca="false">G99+Criterios_M01!$C$4</f>
        <v>13.6</v>
      </c>
      <c r="R99" s="0" t="n">
        <f aca="false">ROUNDUP(G99/Criterios_M01!$C$5,0)+1</f>
        <v>12</v>
      </c>
      <c r="S99" s="0" t="n">
        <f aca="false">(SUMIF(Vanos!$B$7:$B$116,A99,Vanos!$N$7:$N$116)+SUMIF(Vanos!$C$7:$C$116,A99,Vanos!$N$7:$N$116))/2</f>
        <v>151.971023287661</v>
      </c>
    </row>
    <row r="100" customFormat="false" ht="21" hidden="false" customHeight="true" outlineLevel="0" collapsed="false">
      <c r="A100" s="1" t="s">
        <v>199</v>
      </c>
      <c r="B100" s="6" t="n">
        <v>424459.209047103</v>
      </c>
      <c r="C100" s="6" t="n">
        <v>8431724.20420685</v>
      </c>
      <c r="D100" s="6" t="n">
        <v>3747.52496998136</v>
      </c>
      <c r="E100" s="6" t="n">
        <v>13</v>
      </c>
      <c r="F100" s="6" t="n">
        <v>1.9</v>
      </c>
      <c r="G100" s="6" t="n">
        <v>10.6</v>
      </c>
      <c r="H100" s="6" t="n">
        <v>36.9488449594005</v>
      </c>
      <c r="I100" s="13" t="s">
        <v>106</v>
      </c>
      <c r="J100" s="14" t="n">
        <f aca="false">IF(I100="SUSPENSION",0,IF(I100="TERMINAL",1,2))</f>
        <v>2</v>
      </c>
      <c r="K100" s="14" t="n">
        <f aca="false">1</f>
        <v>1</v>
      </c>
      <c r="L100" s="14" t="n">
        <f aca="false">1</f>
        <v>1</v>
      </c>
      <c r="M100" s="15" t="n">
        <f aca="false">O100*Parametros!$E$6</f>
        <v>6</v>
      </c>
      <c r="N100" s="0" t="str">
        <f aca="false">IF(I100="SUSPENSION","CAC-S",IF(I100="ANGULO","CAC-A",IF(I100="TERMINAL","CAC-T",IF(OR(I100="ANCLAJE",I100="ANCLAJE_PROPUESTO"),"CAC-R","SIN-RECETA"))))</f>
        <v>CAC-R</v>
      </c>
      <c r="O100" s="0" t="n">
        <f aca="false">IF(OR(I100="ANCLAJE",I100="ANCLAJE_PROPUESTO",I100="TERMINAL"),Parametros!$E$5,0)</f>
        <v>3</v>
      </c>
      <c r="P100" s="0" t="n">
        <f aca="false">G100/SIN(RADIANS(Criterios_M01!$C$2))+Criterios_M01!$C$3</f>
        <v>17.9906637611548</v>
      </c>
      <c r="Q100" s="0" t="n">
        <f aca="false">G100+Criterios_M01!$C$4</f>
        <v>13.6</v>
      </c>
      <c r="R100" s="0" t="n">
        <f aca="false">ROUNDUP(G100/Criterios_M01!$C$5,0)+1</f>
        <v>12</v>
      </c>
      <c r="S100" s="0" t="n">
        <f aca="false">(SUMIF(Vanos!$B$7:$B$116,A100,Vanos!$N$7:$N$116)+SUMIF(Vanos!$C$7:$C$116,A100,Vanos!$N$7:$N$116))/2</f>
        <v>148.149985878454</v>
      </c>
    </row>
    <row r="101" customFormat="false" ht="21" hidden="false" customHeight="true" outlineLevel="0" collapsed="false">
      <c r="A101" s="1" t="s">
        <v>200</v>
      </c>
      <c r="B101" s="6" t="n">
        <v>424425.22569917</v>
      </c>
      <c r="C101" s="6" t="n">
        <v>8431688.4054266</v>
      </c>
      <c r="D101" s="6" t="n">
        <v>3754.59481713757</v>
      </c>
      <c r="E101" s="6" t="n">
        <v>13</v>
      </c>
      <c r="F101" s="6" t="n">
        <v>1.9</v>
      </c>
      <c r="G101" s="6" t="n">
        <v>10.6</v>
      </c>
      <c r="H101" s="6" t="n">
        <v>21.1227605137927</v>
      </c>
      <c r="I101" s="13" t="s">
        <v>109</v>
      </c>
      <c r="J101" s="14" t="n">
        <f aca="false">IF(I101="SUSPENSION",0,IF(I101="TERMINAL",1,2))</f>
        <v>2</v>
      </c>
      <c r="K101" s="14" t="n">
        <f aca="false">1</f>
        <v>1</v>
      </c>
      <c r="L101" s="14" t="n">
        <f aca="false">1</f>
        <v>1</v>
      </c>
      <c r="M101" s="15" t="n">
        <f aca="false">O101*Parametros!$E$6</f>
        <v>0</v>
      </c>
      <c r="N101" s="0" t="str">
        <f aca="false">IF(I101="SUSPENSION","CAC-S",IF(I101="ANGULO","CAC-A",IF(I101="TERMINAL","CAC-T",IF(OR(I101="ANCLAJE",I101="ANCLAJE_PROPUESTO"),"CAC-R","SIN-RECETA"))))</f>
        <v>CAC-A</v>
      </c>
      <c r="O101" s="0" t="n">
        <f aca="false">IF(OR(I101="ANCLAJE",I101="ANCLAJE_PROPUESTO",I101="TERMINAL"),Parametros!$E$5,0)</f>
        <v>0</v>
      </c>
      <c r="P101" s="0" t="n">
        <f aca="false">G101/SIN(RADIANS(Criterios_M01!$C$2))+Criterios_M01!$C$3</f>
        <v>17.9906637611548</v>
      </c>
      <c r="Q101" s="0" t="n">
        <f aca="false">G101+Criterios_M01!$C$4</f>
        <v>13.6</v>
      </c>
      <c r="R101" s="0" t="n">
        <f aca="false">ROUNDUP(G101/Criterios_M01!$C$5,0)+1</f>
        <v>12</v>
      </c>
      <c r="S101" s="0" t="n">
        <f aca="false">(SUMIF(Vanos!$B$7:$B$116,A101,Vanos!$N$7:$N$116)+SUMIF(Vanos!$C$7:$C$116,A101,Vanos!$N$7:$N$116))/2</f>
        <v>182.78052130108</v>
      </c>
    </row>
    <row r="102" customFormat="false" ht="21" hidden="false" customHeight="true" outlineLevel="0" collapsed="false">
      <c r="A102" s="1" t="s">
        <v>201</v>
      </c>
      <c r="B102" s="6" t="n">
        <v>424397.894166034</v>
      </c>
      <c r="C102" s="6" t="n">
        <v>8431622.05137828</v>
      </c>
      <c r="D102" s="6" t="n">
        <v>3758.41703890024</v>
      </c>
      <c r="E102" s="6" t="n">
        <v>15</v>
      </c>
      <c r="F102" s="6" t="n">
        <v>2.1</v>
      </c>
      <c r="G102" s="6" t="n">
        <v>12.4</v>
      </c>
      <c r="H102" s="6" t="n">
        <v>0</v>
      </c>
      <c r="I102" s="13" t="s">
        <v>104</v>
      </c>
      <c r="J102" s="14" t="n">
        <f aca="false">IF(I102="SUSPENSION",0,IF(I102="TERMINAL",1,2))</f>
        <v>0</v>
      </c>
      <c r="K102" s="14" t="n">
        <f aca="false">1</f>
        <v>1</v>
      </c>
      <c r="L102" s="14" t="n">
        <f aca="false">1</f>
        <v>1</v>
      </c>
      <c r="M102" s="15" t="n">
        <f aca="false">O102*Parametros!$E$6</f>
        <v>0</v>
      </c>
      <c r="N102" s="0" t="str">
        <f aca="false">IF(I102="SUSPENSION","CAC-S",IF(I102="ANGULO","CAC-A",IF(I102="TERMINAL","CAC-T",IF(OR(I102="ANCLAJE",I102="ANCLAJE_PROPUESTO"),"CAC-R","SIN-RECETA"))))</f>
        <v>CAC-S</v>
      </c>
      <c r="O102" s="0" t="n">
        <f aca="false">IF(OR(I102="ANCLAJE",I102="ANCLAJE_PROPUESTO",I102="TERMINAL"),Parametros!$E$5,0)</f>
        <v>0</v>
      </c>
      <c r="P102" s="0" t="n">
        <f aca="false">G102/SIN(RADIANS(Criterios_M01!$C$2))+Criterios_M01!$C$3</f>
        <v>20.5362481734264</v>
      </c>
      <c r="Q102" s="0" t="n">
        <f aca="false">G102+Criterios_M01!$C$4</f>
        <v>15.4</v>
      </c>
      <c r="R102" s="0" t="n">
        <f aca="false">ROUNDUP(G102/Criterios_M01!$C$5,0)+1</f>
        <v>14</v>
      </c>
      <c r="S102" s="0" t="n">
        <f aca="false">(SUMIF(Vanos!$B$7:$B$116,A102,Vanos!$N$7:$N$116)+SUMIF(Vanos!$C$7:$C$116,A102,Vanos!$N$7:$N$116))/2</f>
        <v>215.679713311476</v>
      </c>
    </row>
    <row r="103" customFormat="false" ht="21" hidden="false" customHeight="true" outlineLevel="0" collapsed="false">
      <c r="A103" s="1" t="s">
        <v>202</v>
      </c>
      <c r="B103" s="6" t="n">
        <v>424370.562632899</v>
      </c>
      <c r="C103" s="6" t="n">
        <v>8431555.69732996</v>
      </c>
      <c r="D103" s="6" t="n">
        <v>3756.33245757833</v>
      </c>
      <c r="E103" s="6" t="n">
        <v>15</v>
      </c>
      <c r="F103" s="6" t="n">
        <v>2.1</v>
      </c>
      <c r="G103" s="6" t="n">
        <v>12.4</v>
      </c>
      <c r="H103" s="6" t="n">
        <v>0</v>
      </c>
      <c r="I103" s="13" t="s">
        <v>104</v>
      </c>
      <c r="J103" s="14" t="n">
        <f aca="false">IF(I103="SUSPENSION",0,IF(I103="TERMINAL",1,2))</f>
        <v>0</v>
      </c>
      <c r="K103" s="14" t="n">
        <f aca="false">1</f>
        <v>1</v>
      </c>
      <c r="L103" s="14" t="n">
        <f aca="false">1</f>
        <v>1</v>
      </c>
      <c r="M103" s="15" t="n">
        <f aca="false">O103*Parametros!$E$6</f>
        <v>0</v>
      </c>
      <c r="N103" s="0" t="str">
        <f aca="false">IF(I103="SUSPENSION","CAC-S",IF(I103="ANGULO","CAC-A",IF(I103="TERMINAL","CAC-T",IF(OR(I103="ANCLAJE",I103="ANCLAJE_PROPUESTO"),"CAC-R","SIN-RECETA"))))</f>
        <v>CAC-S</v>
      </c>
      <c r="O103" s="0" t="n">
        <f aca="false">IF(OR(I103="ANCLAJE",I103="ANCLAJE_PROPUESTO",I103="TERMINAL"),Parametros!$E$5,0)</f>
        <v>0</v>
      </c>
      <c r="P103" s="0" t="n">
        <f aca="false">G103/SIN(RADIANS(Criterios_M01!$C$2))+Criterios_M01!$C$3</f>
        <v>20.5362481734264</v>
      </c>
      <c r="Q103" s="0" t="n">
        <f aca="false">G103+Criterios_M01!$C$4</f>
        <v>15.4</v>
      </c>
      <c r="R103" s="0" t="n">
        <f aca="false">ROUNDUP(G103/Criterios_M01!$C$5,0)+1</f>
        <v>14</v>
      </c>
      <c r="S103" s="0" t="n">
        <f aca="false">(SUMIF(Vanos!$B$7:$B$116,A103,Vanos!$N$7:$N$116)+SUMIF(Vanos!$C$7:$C$116,A103,Vanos!$N$7:$N$116))/2</f>
        <v>215.996255084365</v>
      </c>
    </row>
    <row r="104" customFormat="false" ht="21" hidden="false" customHeight="true" outlineLevel="0" collapsed="false">
      <c r="A104" s="1" t="s">
        <v>203</v>
      </c>
      <c r="B104" s="6" t="n">
        <v>424343.231099763</v>
      </c>
      <c r="C104" s="6" t="n">
        <v>8431489.34328164</v>
      </c>
      <c r="D104" s="6" t="n">
        <v>3750.25610850795</v>
      </c>
      <c r="E104" s="6" t="n">
        <v>13</v>
      </c>
      <c r="F104" s="6" t="n">
        <v>1.9</v>
      </c>
      <c r="G104" s="6" t="n">
        <v>10.6</v>
      </c>
      <c r="H104" s="6" t="n">
        <v>0</v>
      </c>
      <c r="I104" s="13" t="s">
        <v>114</v>
      </c>
      <c r="J104" s="14" t="n">
        <f aca="false">IF(I104="SUSPENSION",0,IF(I104="TERMINAL",1,2))</f>
        <v>2</v>
      </c>
      <c r="K104" s="14" t="n">
        <f aca="false">1</f>
        <v>1</v>
      </c>
      <c r="L104" s="14" t="n">
        <f aca="false">1</f>
        <v>1</v>
      </c>
      <c r="M104" s="15" t="n">
        <f aca="false">O104*Parametros!$E$6</f>
        <v>6</v>
      </c>
      <c r="N104" s="0" t="str">
        <f aca="false">IF(I104="SUSPENSION","CAC-S",IF(I104="ANGULO","CAC-A",IF(I104="TERMINAL","CAC-T",IF(OR(I104="ANCLAJE",I104="ANCLAJE_PROPUESTO"),"CAC-R","SIN-RECETA"))))</f>
        <v>CAC-R</v>
      </c>
      <c r="O104" s="0" t="n">
        <f aca="false">IF(OR(I104="ANCLAJE",I104="ANCLAJE_PROPUESTO",I104="TERMINAL"),Parametros!$E$5,0)</f>
        <v>3</v>
      </c>
      <c r="P104" s="0" t="n">
        <f aca="false">G104/SIN(RADIANS(Criterios_M01!$C$2))+Criterios_M01!$C$3</f>
        <v>17.9906637611548</v>
      </c>
      <c r="Q104" s="0" t="n">
        <f aca="false">G104+Criterios_M01!$C$4</f>
        <v>13.6</v>
      </c>
      <c r="R104" s="0" t="n">
        <f aca="false">ROUNDUP(G104/Criterios_M01!$C$5,0)+1</f>
        <v>12</v>
      </c>
      <c r="S104" s="0" t="n">
        <f aca="false">(SUMIF(Vanos!$B$7:$B$116,A104,Vanos!$N$7:$N$116)+SUMIF(Vanos!$C$7:$C$116,A104,Vanos!$N$7:$N$116))/2</f>
        <v>217.398332271441</v>
      </c>
    </row>
    <row r="105" customFormat="false" ht="21" hidden="false" customHeight="true" outlineLevel="0" collapsed="false">
      <c r="A105" s="1" t="s">
        <v>204</v>
      </c>
      <c r="B105" s="6" t="n">
        <v>424315.899566627</v>
      </c>
      <c r="C105" s="6" t="n">
        <v>8431422.98923332</v>
      </c>
      <c r="D105" s="6" t="n">
        <v>3760.26465484503</v>
      </c>
      <c r="E105" s="6" t="n">
        <v>15</v>
      </c>
      <c r="F105" s="6" t="n">
        <v>2.1</v>
      </c>
      <c r="G105" s="6" t="n">
        <v>12.4</v>
      </c>
      <c r="H105" s="6" t="n">
        <v>0</v>
      </c>
      <c r="I105" s="13" t="s">
        <v>104</v>
      </c>
      <c r="J105" s="14" t="n">
        <f aca="false">IF(I105="SUSPENSION",0,IF(I105="TERMINAL",1,2))</f>
        <v>0</v>
      </c>
      <c r="K105" s="14" t="n">
        <f aca="false">1</f>
        <v>1</v>
      </c>
      <c r="L105" s="14" t="n">
        <f aca="false">1</f>
        <v>1</v>
      </c>
      <c r="M105" s="15" t="n">
        <f aca="false">O105*Parametros!$E$6</f>
        <v>0</v>
      </c>
      <c r="N105" s="0" t="str">
        <f aca="false">IF(I105="SUSPENSION","CAC-S",IF(I105="ANGULO","CAC-A",IF(I105="TERMINAL","CAC-T",IF(OR(I105="ANCLAJE",I105="ANCLAJE_PROPUESTO"),"CAC-R","SIN-RECETA"))))</f>
        <v>CAC-S</v>
      </c>
      <c r="O105" s="0" t="n">
        <f aca="false">IF(OR(I105="ANCLAJE",I105="ANCLAJE_PROPUESTO",I105="TERMINAL"),Parametros!$E$5,0)</f>
        <v>0</v>
      </c>
      <c r="P105" s="0" t="n">
        <f aca="false">G105/SIN(RADIANS(Criterios_M01!$C$2))+Criterios_M01!$C$3</f>
        <v>20.5362481734264</v>
      </c>
      <c r="Q105" s="0" t="n">
        <f aca="false">G105+Criterios_M01!$C$4</f>
        <v>15.4</v>
      </c>
      <c r="R105" s="0" t="n">
        <f aca="false">ROUNDUP(G105/Criterios_M01!$C$5,0)+1</f>
        <v>14</v>
      </c>
      <c r="S105" s="0" t="n">
        <f aca="false">(SUMIF(Vanos!$B$7:$B$116,A105,Vanos!$N$7:$N$116)+SUMIF(Vanos!$C$7:$C$116,A105,Vanos!$N$7:$N$116))/2</f>
        <v>216.78140927962</v>
      </c>
    </row>
    <row r="106" customFormat="false" ht="21" hidden="false" customHeight="true" outlineLevel="0" collapsed="false">
      <c r="A106" s="1" t="s">
        <v>205</v>
      </c>
      <c r="B106" s="6" t="n">
        <v>424288.568033492</v>
      </c>
      <c r="C106" s="6" t="n">
        <v>8431356.635185</v>
      </c>
      <c r="D106" s="6" t="n">
        <v>3758.58606303591</v>
      </c>
      <c r="E106" s="6" t="n">
        <v>15</v>
      </c>
      <c r="F106" s="6" t="n">
        <v>2.1</v>
      </c>
      <c r="G106" s="6" t="n">
        <v>12.4</v>
      </c>
      <c r="H106" s="6" t="n">
        <v>27.5794049778367</v>
      </c>
      <c r="I106" s="13" t="s">
        <v>109</v>
      </c>
      <c r="J106" s="14" t="n">
        <f aca="false">IF(I106="SUSPENSION",0,IF(I106="TERMINAL",1,2))</f>
        <v>2</v>
      </c>
      <c r="K106" s="14" t="n">
        <f aca="false">1</f>
        <v>1</v>
      </c>
      <c r="L106" s="14" t="n">
        <f aca="false">1</f>
        <v>1</v>
      </c>
      <c r="M106" s="15" t="n">
        <f aca="false">O106*Parametros!$E$6</f>
        <v>0</v>
      </c>
      <c r="N106" s="0" t="str">
        <f aca="false">IF(I106="SUSPENSION","CAC-S",IF(I106="ANGULO","CAC-A",IF(I106="TERMINAL","CAC-T",IF(OR(I106="ANCLAJE",I106="ANCLAJE_PROPUESTO"),"CAC-R","SIN-RECETA"))))</f>
        <v>CAC-A</v>
      </c>
      <c r="O106" s="0" t="n">
        <f aca="false">IF(OR(I106="ANCLAJE",I106="ANCLAJE_PROPUESTO",I106="TERMINAL"),Parametros!$E$5,0)</f>
        <v>0</v>
      </c>
      <c r="P106" s="0" t="n">
        <f aca="false">G106/SIN(RADIANS(Criterios_M01!$C$2))+Criterios_M01!$C$3</f>
        <v>20.5362481734264</v>
      </c>
      <c r="Q106" s="0" t="n">
        <f aca="false">G106+Criterios_M01!$C$4</f>
        <v>15.4</v>
      </c>
      <c r="R106" s="0" t="n">
        <f aca="false">ROUNDUP(G106/Criterios_M01!$C$5,0)+1</f>
        <v>14</v>
      </c>
      <c r="S106" s="0" t="n">
        <f aca="false">(SUMIF(Vanos!$B$7:$B$116,A106,Vanos!$N$7:$N$116)+SUMIF(Vanos!$C$7:$C$116,A106,Vanos!$N$7:$N$116))/2</f>
        <v>176.258331650073</v>
      </c>
    </row>
    <row r="107" customFormat="false" ht="21" hidden="false" customHeight="true" outlineLevel="0" collapsed="false">
      <c r="A107" s="1" t="s">
        <v>206</v>
      </c>
      <c r="B107" s="6" t="n">
        <v>424253.70236988</v>
      </c>
      <c r="C107" s="6" t="n">
        <v>8431327.34454934</v>
      </c>
      <c r="D107" s="6" t="n">
        <v>3764.43932511577</v>
      </c>
      <c r="E107" s="6" t="n">
        <v>13</v>
      </c>
      <c r="F107" s="6" t="n">
        <v>1.9</v>
      </c>
      <c r="G107" s="6" t="n">
        <v>10.6</v>
      </c>
      <c r="H107" s="6" t="n">
        <v>0</v>
      </c>
      <c r="I107" s="13" t="s">
        <v>104</v>
      </c>
      <c r="J107" s="14" t="n">
        <f aca="false">IF(I107="SUSPENSION",0,IF(I107="TERMINAL",1,2))</f>
        <v>0</v>
      </c>
      <c r="K107" s="14" t="n">
        <f aca="false">1</f>
        <v>1</v>
      </c>
      <c r="L107" s="14" t="n">
        <f aca="false">1</f>
        <v>1</v>
      </c>
      <c r="M107" s="15" t="n">
        <f aca="false">O107*Parametros!$E$6</f>
        <v>0</v>
      </c>
      <c r="N107" s="0" t="str">
        <f aca="false">IF(I107="SUSPENSION","CAC-S",IF(I107="ANGULO","CAC-A",IF(I107="TERMINAL","CAC-T",IF(OR(I107="ANCLAJE",I107="ANCLAJE_PROPUESTO"),"CAC-R","SIN-RECETA"))))</f>
        <v>CAC-S</v>
      </c>
      <c r="O107" s="0" t="n">
        <f aca="false">IF(OR(I107="ANCLAJE",I107="ANCLAJE_PROPUESTO",I107="TERMINAL"),Parametros!$E$5,0)</f>
        <v>0</v>
      </c>
      <c r="P107" s="0" t="n">
        <f aca="false">G107/SIN(RADIANS(Criterios_M01!$C$2))+Criterios_M01!$C$3</f>
        <v>17.9906637611548</v>
      </c>
      <c r="Q107" s="0" t="n">
        <f aca="false">G107+Criterios_M01!$C$4</f>
        <v>13.6</v>
      </c>
      <c r="R107" s="0" t="n">
        <f aca="false">ROUNDUP(G107/Criterios_M01!$C$5,0)+1</f>
        <v>12</v>
      </c>
      <c r="S107" s="0" t="n">
        <f aca="false">(SUMIF(Vanos!$B$7:$B$116,A107,Vanos!$N$7:$N$116)+SUMIF(Vanos!$C$7:$C$116,A107,Vanos!$N$7:$N$116))/2</f>
        <v>136.973716695977</v>
      </c>
    </row>
    <row r="108" customFormat="false" ht="21" hidden="false" customHeight="true" outlineLevel="0" collapsed="false">
      <c r="A108" s="1" t="s">
        <v>207</v>
      </c>
      <c r="B108" s="6" t="n">
        <v>424218.836706268</v>
      </c>
      <c r="C108" s="6" t="n">
        <v>8431298.05391368</v>
      </c>
      <c r="D108" s="6" t="n">
        <v>3762.09477694059</v>
      </c>
      <c r="E108" s="6" t="n">
        <v>13</v>
      </c>
      <c r="F108" s="6" t="n">
        <v>1.9</v>
      </c>
      <c r="G108" s="6" t="n">
        <v>10.6</v>
      </c>
      <c r="H108" s="6" t="n">
        <v>15.8175444905601</v>
      </c>
      <c r="I108" s="13" t="s">
        <v>109</v>
      </c>
      <c r="J108" s="14" t="n">
        <f aca="false">IF(I108="SUSPENSION",0,IF(I108="TERMINAL",1,2))</f>
        <v>2</v>
      </c>
      <c r="K108" s="14" t="n">
        <f aca="false">1</f>
        <v>1</v>
      </c>
      <c r="L108" s="14" t="n">
        <f aca="false">1</f>
        <v>1</v>
      </c>
      <c r="M108" s="15" t="n">
        <f aca="false">O108*Parametros!$E$6</f>
        <v>0</v>
      </c>
      <c r="N108" s="0" t="str">
        <f aca="false">IF(I108="SUSPENSION","CAC-S",IF(I108="ANGULO","CAC-A",IF(I108="TERMINAL","CAC-T",IF(OR(I108="ANCLAJE",I108="ANCLAJE_PROPUESTO"),"CAC-R","SIN-RECETA"))))</f>
        <v>CAC-A</v>
      </c>
      <c r="O108" s="0" t="n">
        <f aca="false">IF(OR(I108="ANCLAJE",I108="ANCLAJE_PROPUESTO",I108="TERMINAL"),Parametros!$E$5,0)</f>
        <v>0</v>
      </c>
      <c r="P108" s="0" t="n">
        <f aca="false">G108/SIN(RADIANS(Criterios_M01!$C$2))+Criterios_M01!$C$3</f>
        <v>17.9906637611548</v>
      </c>
      <c r="Q108" s="0" t="n">
        <f aca="false">G108+Criterios_M01!$C$4</f>
        <v>13.6</v>
      </c>
      <c r="R108" s="0" t="n">
        <f aca="false">ROUNDUP(G108/Criterios_M01!$C$5,0)+1</f>
        <v>12</v>
      </c>
      <c r="S108" s="0" t="n">
        <f aca="false">(SUMIF(Vanos!$B$7:$B$116,A108,Vanos!$N$7:$N$116)+SUMIF(Vanos!$C$7:$C$116,A108,Vanos!$N$7:$N$116))/2</f>
        <v>141.455560500881</v>
      </c>
    </row>
    <row r="109" customFormat="false" ht="21" hidden="false" customHeight="true" outlineLevel="0" collapsed="false">
      <c r="A109" s="1" t="s">
        <v>208</v>
      </c>
      <c r="B109" s="6" t="n">
        <v>424175.079502945</v>
      </c>
      <c r="C109" s="6" t="n">
        <v>8431278.37389713</v>
      </c>
      <c r="D109" s="6" t="n">
        <v>3770.46652736262</v>
      </c>
      <c r="E109" s="6" t="n">
        <v>13</v>
      </c>
      <c r="F109" s="6" t="n">
        <v>1.9</v>
      </c>
      <c r="G109" s="6" t="n">
        <v>10.6</v>
      </c>
      <c r="H109" s="6" t="n">
        <v>0</v>
      </c>
      <c r="I109" s="13" t="s">
        <v>104</v>
      </c>
      <c r="J109" s="14" t="n">
        <f aca="false">IF(I109="SUSPENSION",0,IF(I109="TERMINAL",1,2))</f>
        <v>0</v>
      </c>
      <c r="K109" s="14" t="n">
        <f aca="false">1</f>
        <v>1</v>
      </c>
      <c r="L109" s="14" t="n">
        <f aca="false">1</f>
        <v>1</v>
      </c>
      <c r="M109" s="15" t="n">
        <f aca="false">O109*Parametros!$E$6</f>
        <v>0</v>
      </c>
      <c r="N109" s="0" t="str">
        <f aca="false">IF(I109="SUSPENSION","CAC-S",IF(I109="ANGULO","CAC-A",IF(I109="TERMINAL","CAC-T",IF(OR(I109="ANCLAJE",I109="ANCLAJE_PROPUESTO"),"CAC-R","SIN-RECETA"))))</f>
        <v>CAC-S</v>
      </c>
      <c r="O109" s="0" t="n">
        <f aca="false">IF(OR(I109="ANCLAJE",I109="ANCLAJE_PROPUESTO",I109="TERMINAL"),Parametros!$E$5,0)</f>
        <v>0</v>
      </c>
      <c r="P109" s="0" t="n">
        <f aca="false">G109/SIN(RADIANS(Criterios_M01!$C$2))+Criterios_M01!$C$3</f>
        <v>17.9906637611548</v>
      </c>
      <c r="Q109" s="0" t="n">
        <f aca="false">G109+Criterios_M01!$C$4</f>
        <v>13.6</v>
      </c>
      <c r="R109" s="0" t="n">
        <f aca="false">ROUNDUP(G109/Criterios_M01!$C$5,0)+1</f>
        <v>12</v>
      </c>
      <c r="S109" s="0" t="n">
        <f aca="false">(SUMIF(Vanos!$B$7:$B$116,A109,Vanos!$N$7:$N$116)+SUMIF(Vanos!$C$7:$C$116,A109,Vanos!$N$7:$N$116))/2</f>
        <v>145.043578337363</v>
      </c>
    </row>
    <row r="110" customFormat="false" ht="21" hidden="false" customHeight="true" outlineLevel="0" collapsed="false">
      <c r="A110" s="1" t="s">
        <v>209</v>
      </c>
      <c r="B110" s="6" t="n">
        <v>424131.322299623</v>
      </c>
      <c r="C110" s="6" t="n">
        <v>8431258.69388058</v>
      </c>
      <c r="D110" s="6" t="n">
        <v>3771.41028758293</v>
      </c>
      <c r="E110" s="6" t="n">
        <v>13</v>
      </c>
      <c r="F110" s="6" t="n">
        <v>1.9</v>
      </c>
      <c r="G110" s="6" t="n">
        <v>10.6</v>
      </c>
      <c r="H110" s="6" t="n">
        <v>19.821554534501</v>
      </c>
      <c r="I110" s="13" t="s">
        <v>109</v>
      </c>
      <c r="J110" s="14" t="n">
        <f aca="false">IF(I110="SUSPENSION",0,IF(I110="TERMINAL",1,2))</f>
        <v>2</v>
      </c>
      <c r="K110" s="14" t="n">
        <f aca="false">1</f>
        <v>1</v>
      </c>
      <c r="L110" s="14" t="n">
        <f aca="false">1</f>
        <v>1</v>
      </c>
      <c r="M110" s="15" t="n">
        <f aca="false">O110*Parametros!$E$6</f>
        <v>0</v>
      </c>
      <c r="N110" s="0" t="str">
        <f aca="false">IF(I110="SUSPENSION","CAC-S",IF(I110="ANGULO","CAC-A",IF(I110="TERMINAL","CAC-T",IF(OR(I110="ANCLAJE",I110="ANCLAJE_PROPUESTO"),"CAC-R","SIN-RECETA"))))</f>
        <v>CAC-A</v>
      </c>
      <c r="O110" s="0" t="n">
        <f aca="false">IF(OR(I110="ANCLAJE",I110="ANCLAJE_PROPUESTO",I110="TERMINAL"),Parametros!$E$5,0)</f>
        <v>0</v>
      </c>
      <c r="P110" s="0" t="n">
        <f aca="false">G110/SIN(RADIANS(Criterios_M01!$C$2))+Criterios_M01!$C$3</f>
        <v>17.9906637611548</v>
      </c>
      <c r="Q110" s="0" t="n">
        <f aca="false">G110+Criterios_M01!$C$4</f>
        <v>13.6</v>
      </c>
      <c r="R110" s="0" t="n">
        <f aca="false">ROUNDUP(G110/Criterios_M01!$C$5,0)+1</f>
        <v>12</v>
      </c>
      <c r="S110" s="0" t="n">
        <f aca="false">(SUMIF(Vanos!$B$7:$B$116,A110,Vanos!$N$7:$N$116)+SUMIF(Vanos!$C$7:$C$116,A110,Vanos!$N$7:$N$116))/2</f>
        <v>189.003298830062</v>
      </c>
    </row>
    <row r="111" customFormat="false" ht="21" hidden="false" customHeight="true" outlineLevel="0" collapsed="false">
      <c r="A111" s="1" t="s">
        <v>210</v>
      </c>
      <c r="B111" s="6" t="n">
        <v>424075.52620313</v>
      </c>
      <c r="C111" s="6" t="n">
        <v>8431204.7413711</v>
      </c>
      <c r="D111" s="6" t="n">
        <v>3763.61759232759</v>
      </c>
      <c r="E111" s="6" t="n">
        <v>13</v>
      </c>
      <c r="F111" s="6" t="n">
        <v>1.9</v>
      </c>
      <c r="G111" s="6" t="n">
        <v>10.6</v>
      </c>
      <c r="H111" s="6" t="n">
        <v>8.53773646251594E-007</v>
      </c>
      <c r="I111" s="13" t="s">
        <v>104</v>
      </c>
      <c r="J111" s="14" t="n">
        <f aca="false">IF(I111="SUSPENSION",0,IF(I111="TERMINAL",1,2))</f>
        <v>0</v>
      </c>
      <c r="K111" s="14" t="n">
        <f aca="false">1</f>
        <v>1</v>
      </c>
      <c r="L111" s="14" t="n">
        <f aca="false">1</f>
        <v>1</v>
      </c>
      <c r="M111" s="15" t="n">
        <f aca="false">O111*Parametros!$E$6</f>
        <v>0</v>
      </c>
      <c r="N111" s="0" t="str">
        <f aca="false">IF(I111="SUSPENSION","CAC-S",IF(I111="ANGULO","CAC-A",IF(I111="TERMINAL","CAC-T",IF(OR(I111="ANCLAJE",I111="ANCLAJE_PROPUESTO"),"CAC-R","SIN-RECETA"))))</f>
        <v>CAC-S</v>
      </c>
      <c r="O111" s="0" t="n">
        <f aca="false">IF(OR(I111="ANCLAJE",I111="ANCLAJE_PROPUESTO",I111="TERMINAL"),Parametros!$E$5,0)</f>
        <v>0</v>
      </c>
      <c r="P111" s="0" t="n">
        <f aca="false">G111/SIN(RADIANS(Criterios_M01!$C$2))+Criterios_M01!$C$3</f>
        <v>17.9906637611548</v>
      </c>
      <c r="Q111" s="0" t="n">
        <f aca="false">G111+Criterios_M01!$C$4</f>
        <v>13.6</v>
      </c>
      <c r="R111" s="0" t="n">
        <f aca="false">ROUNDUP(G111/Criterios_M01!$C$5,0)+1</f>
        <v>12</v>
      </c>
      <c r="S111" s="0" t="n">
        <f aca="false">(SUMIF(Vanos!$B$7:$B$116,A111,Vanos!$N$7:$N$116)+SUMIF(Vanos!$C$7:$C$116,A111,Vanos!$N$7:$N$116))/2</f>
        <v>233.706504517003</v>
      </c>
    </row>
    <row r="112" customFormat="false" ht="21" hidden="false" customHeight="true" outlineLevel="0" collapsed="false">
      <c r="A112" s="1" t="s">
        <v>211</v>
      </c>
      <c r="B112" s="6" t="n">
        <v>424019.730106638</v>
      </c>
      <c r="C112" s="6" t="n">
        <v>8431150.78886161</v>
      </c>
      <c r="D112" s="6" t="n">
        <v>3758.47386907948</v>
      </c>
      <c r="E112" s="6" t="n">
        <v>13</v>
      </c>
      <c r="F112" s="6" t="n">
        <v>1.9</v>
      </c>
      <c r="G112" s="6" t="n">
        <v>10.6</v>
      </c>
      <c r="H112" s="6" t="n">
        <v>18.4086239160056</v>
      </c>
      <c r="I112" s="13" t="s">
        <v>109</v>
      </c>
      <c r="J112" s="14" t="n">
        <f aca="false">IF(I112="SUSPENSION",0,IF(I112="TERMINAL",1,2))</f>
        <v>2</v>
      </c>
      <c r="K112" s="14" t="n">
        <f aca="false">1</f>
        <v>1</v>
      </c>
      <c r="L112" s="14" t="n">
        <f aca="false">1</f>
        <v>1</v>
      </c>
      <c r="M112" s="15" t="n">
        <f aca="false">O112*Parametros!$E$6</f>
        <v>0</v>
      </c>
      <c r="N112" s="0" t="str">
        <f aca="false">IF(I112="SUSPENSION","CAC-S",IF(I112="ANGULO","CAC-A",IF(I112="TERMINAL","CAC-T",IF(OR(I112="ANCLAJE",I112="ANCLAJE_PROPUESTO"),"CAC-R","SIN-RECETA"))))</f>
        <v>CAC-A</v>
      </c>
      <c r="O112" s="0" t="n">
        <f aca="false">IF(OR(I112="ANCLAJE",I112="ANCLAJE_PROPUESTO",I112="TERMINAL"),Parametros!$E$5,0)</f>
        <v>0</v>
      </c>
      <c r="P112" s="0" t="n">
        <f aca="false">G112/SIN(RADIANS(Criterios_M01!$C$2))+Criterios_M01!$C$3</f>
        <v>17.9906637611548</v>
      </c>
      <c r="Q112" s="0" t="n">
        <f aca="false">G112+Criterios_M01!$C$4</f>
        <v>13.6</v>
      </c>
      <c r="R112" s="0" t="n">
        <f aca="false">ROUNDUP(G112/Criterios_M01!$C$5,0)+1</f>
        <v>12</v>
      </c>
      <c r="S112" s="0" t="n">
        <f aca="false">(SUMIF(Vanos!$B$7:$B$116,A112,Vanos!$N$7:$N$116)+SUMIF(Vanos!$C$7:$C$116,A112,Vanos!$N$7:$N$116))/2</f>
        <v>204.593992790384</v>
      </c>
    </row>
    <row r="113" customFormat="false" ht="21" hidden="false" customHeight="true" outlineLevel="0" collapsed="false">
      <c r="A113" s="1" t="s">
        <v>212</v>
      </c>
      <c r="B113" s="6" t="n">
        <v>423992.622796447</v>
      </c>
      <c r="C113" s="6" t="n">
        <v>8431098.83527126</v>
      </c>
      <c r="D113" s="6" t="n">
        <v>3758.73687935864</v>
      </c>
      <c r="E113" s="6" t="n">
        <v>13</v>
      </c>
      <c r="F113" s="6" t="n">
        <v>1.9</v>
      </c>
      <c r="G113" s="6" t="n">
        <v>10.6</v>
      </c>
      <c r="H113" s="6" t="n">
        <v>0</v>
      </c>
      <c r="I113" s="13" t="s">
        <v>114</v>
      </c>
      <c r="J113" s="14" t="n">
        <f aca="false">IF(I113="SUSPENSION",0,IF(I113="TERMINAL",1,2))</f>
        <v>2</v>
      </c>
      <c r="K113" s="14" t="n">
        <f aca="false">1</f>
        <v>1</v>
      </c>
      <c r="L113" s="14" t="n">
        <f aca="false">1</f>
        <v>1</v>
      </c>
      <c r="M113" s="15" t="n">
        <f aca="false">O113*Parametros!$E$6</f>
        <v>6</v>
      </c>
      <c r="N113" s="0" t="str">
        <f aca="false">IF(I113="SUSPENSION","CAC-S",IF(I113="ANGULO","CAC-A",IF(I113="TERMINAL","CAC-T",IF(OR(I113="ANCLAJE",I113="ANCLAJE_PROPUESTO"),"CAC-R","SIN-RECETA"))))</f>
        <v>CAC-R</v>
      </c>
      <c r="O113" s="0" t="n">
        <f aca="false">IF(OR(I113="ANCLAJE",I113="ANCLAJE_PROPUESTO",I113="TERMINAL"),Parametros!$E$5,0)</f>
        <v>3</v>
      </c>
      <c r="P113" s="0" t="n">
        <f aca="false">G113/SIN(RADIANS(Criterios_M01!$C$2))+Criterios_M01!$C$3</f>
        <v>17.9906637611548</v>
      </c>
      <c r="Q113" s="0" t="n">
        <f aca="false">G113+Criterios_M01!$C$4</f>
        <v>13.6</v>
      </c>
      <c r="R113" s="0" t="n">
        <f aca="false">ROUNDUP(G113/Criterios_M01!$C$5,0)+1</f>
        <v>12</v>
      </c>
      <c r="S113" s="0" t="n">
        <f aca="false">(SUMIF(Vanos!$B$7:$B$116,A113,Vanos!$N$7:$N$116)+SUMIF(Vanos!$C$7:$C$116,A113,Vanos!$N$7:$N$116))/2</f>
        <v>176.104626616842</v>
      </c>
    </row>
    <row r="114" customFormat="false" ht="21" hidden="false" customHeight="true" outlineLevel="0" collapsed="false">
      <c r="A114" s="1" t="s">
        <v>213</v>
      </c>
      <c r="B114" s="6" t="n">
        <v>423965.515486256</v>
      </c>
      <c r="C114" s="6" t="n">
        <v>8431046.8816809</v>
      </c>
      <c r="D114" s="6" t="n">
        <v>3763.53478422528</v>
      </c>
      <c r="E114" s="6" t="n">
        <v>13</v>
      </c>
      <c r="F114" s="6" t="n">
        <v>1.9</v>
      </c>
      <c r="G114" s="6" t="n">
        <v>10.6</v>
      </c>
      <c r="H114" s="6" t="n">
        <v>35.1043056465208</v>
      </c>
      <c r="I114" s="13" t="s">
        <v>106</v>
      </c>
      <c r="J114" s="14" t="n">
        <f aca="false">IF(I114="SUSPENSION",0,IF(I114="TERMINAL",1,2))</f>
        <v>2</v>
      </c>
      <c r="K114" s="14" t="n">
        <f aca="false">1</f>
        <v>1</v>
      </c>
      <c r="L114" s="14" t="n">
        <f aca="false">1</f>
        <v>1</v>
      </c>
      <c r="M114" s="15" t="n">
        <f aca="false">O114*Parametros!$E$6</f>
        <v>6</v>
      </c>
      <c r="N114" s="0" t="str">
        <f aca="false">IF(I114="SUSPENSION","CAC-S",IF(I114="ANGULO","CAC-A",IF(I114="TERMINAL","CAC-T",IF(OR(I114="ANCLAJE",I114="ANCLAJE_PROPUESTO"),"CAC-R","SIN-RECETA"))))</f>
        <v>CAC-R</v>
      </c>
      <c r="O114" s="0" t="n">
        <f aca="false">IF(OR(I114="ANCLAJE",I114="ANCLAJE_PROPUESTO",I114="TERMINAL"),Parametros!$E$5,0)</f>
        <v>3</v>
      </c>
      <c r="P114" s="0" t="n">
        <f aca="false">G114/SIN(RADIANS(Criterios_M01!$C$2))+Criterios_M01!$C$3</f>
        <v>17.9906637611548</v>
      </c>
      <c r="Q114" s="0" t="n">
        <f aca="false">G114+Criterios_M01!$C$4</f>
        <v>13.6</v>
      </c>
      <c r="R114" s="0" t="n">
        <f aca="false">ROUNDUP(G114/Criterios_M01!$C$5,0)+1</f>
        <v>12</v>
      </c>
      <c r="S114" s="0" t="n">
        <f aca="false">(SUMIF(Vanos!$B$7:$B$116,A114,Vanos!$N$7:$N$116)+SUMIF(Vanos!$C$7:$C$116,A114,Vanos!$N$7:$N$116))/2</f>
        <v>154.414556893653</v>
      </c>
    </row>
    <row r="115" customFormat="false" ht="21" hidden="false" customHeight="true" outlineLevel="0" collapsed="false">
      <c r="A115" s="1" t="s">
        <v>214</v>
      </c>
      <c r="B115" s="6" t="n">
        <v>423971.291915681</v>
      </c>
      <c r="C115" s="6" t="n">
        <v>8431003.30248371</v>
      </c>
      <c r="D115" s="6" t="n">
        <v>3759.52914757616</v>
      </c>
      <c r="E115" s="6" t="n">
        <v>13</v>
      </c>
      <c r="F115" s="6" t="n">
        <v>1.9</v>
      </c>
      <c r="G115" s="6" t="n">
        <v>10.6</v>
      </c>
      <c r="H115" s="6" t="n">
        <v>37.2838697158071</v>
      </c>
      <c r="I115" s="13" t="s">
        <v>106</v>
      </c>
      <c r="J115" s="14" t="n">
        <f aca="false">IF(I115="SUSPENSION",0,IF(I115="TERMINAL",1,2))</f>
        <v>2</v>
      </c>
      <c r="K115" s="14" t="n">
        <f aca="false">1</f>
        <v>1</v>
      </c>
      <c r="L115" s="14" t="n">
        <f aca="false">1</f>
        <v>1</v>
      </c>
      <c r="M115" s="15" t="n">
        <f aca="false">O115*Parametros!$E$6</f>
        <v>6</v>
      </c>
      <c r="N115" s="0" t="str">
        <f aca="false">IF(I115="SUSPENSION","CAC-S",IF(I115="ANGULO","CAC-A",IF(I115="TERMINAL","CAC-T",IF(OR(I115="ANCLAJE",I115="ANCLAJE_PROPUESTO"),"CAC-R","SIN-RECETA"))))</f>
        <v>CAC-R</v>
      </c>
      <c r="O115" s="0" t="n">
        <f aca="false">IF(OR(I115="ANCLAJE",I115="ANCLAJE_PROPUESTO",I115="TERMINAL"),Parametros!$E$5,0)</f>
        <v>3</v>
      </c>
      <c r="P115" s="0" t="n">
        <f aca="false">G115/SIN(RADIANS(Criterios_M01!$C$2))+Criterios_M01!$C$3</f>
        <v>17.9906637611548</v>
      </c>
      <c r="Q115" s="0" t="n">
        <f aca="false">G115+Criterios_M01!$C$4</f>
        <v>13.6</v>
      </c>
      <c r="R115" s="0" t="n">
        <f aca="false">ROUNDUP(G115/Criterios_M01!$C$5,0)+1</f>
        <v>12</v>
      </c>
      <c r="S115" s="0" t="n">
        <f aca="false">(SUMIF(Vanos!$B$7:$B$116,A115,Vanos!$N$7:$N$116)+SUMIF(Vanos!$C$7:$C$116,A115,Vanos!$N$7:$N$116))/2</f>
        <v>123.365614005434</v>
      </c>
    </row>
    <row r="116" customFormat="false" ht="21" hidden="false" customHeight="true" outlineLevel="0" collapsed="false">
      <c r="A116" s="1" t="s">
        <v>215</v>
      </c>
      <c r="B116" s="6" t="n">
        <v>423952.397153116</v>
      </c>
      <c r="C116" s="6" t="n">
        <v>8430970.2211546</v>
      </c>
      <c r="D116" s="6" t="n">
        <v>3759.92862453076</v>
      </c>
      <c r="E116" s="6" t="n">
        <v>13</v>
      </c>
      <c r="F116" s="6" t="n">
        <v>1.9</v>
      </c>
      <c r="G116" s="6" t="n">
        <v>10.6</v>
      </c>
      <c r="H116" s="6" t="n">
        <v>8.33215972798185</v>
      </c>
      <c r="I116" s="13" t="s">
        <v>109</v>
      </c>
      <c r="J116" s="14" t="n">
        <f aca="false">IF(I116="SUSPENSION",0,IF(I116="TERMINAL",1,2))</f>
        <v>2</v>
      </c>
      <c r="K116" s="14" t="n">
        <f aca="false">1</f>
        <v>1</v>
      </c>
      <c r="L116" s="14" t="n">
        <f aca="false">1</f>
        <v>1</v>
      </c>
      <c r="M116" s="15" t="n">
        <f aca="false">O116*Parametros!$E$6</f>
        <v>0</v>
      </c>
      <c r="N116" s="0" t="str">
        <f aca="false">IF(I116="SUSPENSION","CAC-S",IF(I116="ANGULO","CAC-A",IF(I116="TERMINAL","CAC-T",IF(OR(I116="ANCLAJE",I116="ANCLAJE_PROPUESTO"),"CAC-R","SIN-RECETA"))))</f>
        <v>CAC-A</v>
      </c>
      <c r="O116" s="0" t="n">
        <f aca="false">IF(OR(I116="ANCLAJE",I116="ANCLAJE_PROPUESTO",I116="TERMINAL"),Parametros!$E$5,0)</f>
        <v>0</v>
      </c>
      <c r="P116" s="0" t="n">
        <f aca="false">G116/SIN(RADIANS(Criterios_M01!$C$2))+Criterios_M01!$C$3</f>
        <v>17.9906637611548</v>
      </c>
      <c r="Q116" s="0" t="n">
        <f aca="false">G116+Criterios_M01!$C$4</f>
        <v>13.6</v>
      </c>
      <c r="R116" s="0" t="n">
        <f aca="false">ROUNDUP(G116/Criterios_M01!$C$5,0)+1</f>
        <v>12</v>
      </c>
      <c r="S116" s="0" t="n">
        <f aca="false">(SUMIF(Vanos!$B$7:$B$116,A116,Vanos!$N$7:$N$116)+SUMIF(Vanos!$C$7:$C$116,A116,Vanos!$N$7:$N$116))/2</f>
        <v>86.7387720314298</v>
      </c>
    </row>
    <row r="117" customFormat="false" ht="21" hidden="false" customHeight="true" outlineLevel="0" collapsed="false">
      <c r="A117" s="1" t="s">
        <v>216</v>
      </c>
      <c r="B117" s="6" t="n">
        <v>423945.20799879</v>
      </c>
      <c r="C117" s="6" t="n">
        <v>8430951.87768815</v>
      </c>
      <c r="D117" s="6" t="n">
        <v>3760.89725214739</v>
      </c>
      <c r="E117" s="6" t="n">
        <v>13</v>
      </c>
      <c r="F117" s="6" t="n">
        <v>1.9</v>
      </c>
      <c r="G117" s="6" t="n">
        <v>10.6</v>
      </c>
      <c r="H117" s="6" t="n">
        <v>0</v>
      </c>
      <c r="I117" s="13" t="s">
        <v>102</v>
      </c>
      <c r="J117" s="14" t="n">
        <f aca="false">IF(I117="SUSPENSION",0,IF(I117="TERMINAL",1,2))</f>
        <v>1</v>
      </c>
      <c r="K117" s="14" t="n">
        <f aca="false">1</f>
        <v>1</v>
      </c>
      <c r="L117" s="14" t="n">
        <f aca="false">1</f>
        <v>1</v>
      </c>
      <c r="M117" s="15" t="n">
        <f aca="false">O117*Parametros!$E$6</f>
        <v>6</v>
      </c>
      <c r="N117" s="0" t="str">
        <f aca="false">IF(I117="SUSPENSION","CAC-S",IF(I117="ANGULO","CAC-A",IF(I117="TERMINAL","CAC-T",IF(OR(I117="ANCLAJE",I117="ANCLAJE_PROPUESTO"),"CAC-R","SIN-RECETA"))))</f>
        <v>CAC-T</v>
      </c>
      <c r="O117" s="0" t="n">
        <f aca="false">IF(OR(I117="ANCLAJE",I117="ANCLAJE_PROPUESTO",I117="TERMINAL"),Parametros!$E$5,0)</f>
        <v>3</v>
      </c>
      <c r="P117" s="0" t="n">
        <f aca="false">G117/SIN(RADIANS(Criterios_M01!$C$2))+Criterios_M01!$C$3</f>
        <v>17.9906637611548</v>
      </c>
      <c r="Q117" s="0" t="n">
        <f aca="false">G117+Criterios_M01!$C$4</f>
        <v>13.6</v>
      </c>
      <c r="R117" s="0" t="n">
        <f aca="false">ROUNDUP(G117/Criterios_M01!$C$5,0)+1</f>
        <v>12</v>
      </c>
      <c r="S117" s="0" t="n">
        <f aca="false">(SUMIF(Vanos!$B$7:$B$116,A117,Vanos!$N$7:$N$116)+SUMIF(Vanos!$C$7:$C$116,A117,Vanos!$N$7:$N$116))/2</f>
        <v>29.5887867449061</v>
      </c>
    </row>
    <row r="118" customFormat="false" ht="21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customFormat="false" ht="21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customFormat="false" ht="21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customFormat="false" ht="21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customFormat="false" ht="21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customFormat="false" ht="21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customFormat="false" ht="21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customFormat="false" ht="21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customFormat="false" ht="21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customFormat="false" ht="21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customFormat="false" ht="21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customFormat="false" ht="21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customFormat="false" ht="21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customFormat="false" ht="21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customFormat="false" ht="21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customFormat="false" ht="21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customFormat="false" ht="21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customFormat="false" ht="21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customFormat="false" ht="21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customFormat="false" ht="21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customFormat="false" ht="21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customFormat="false" ht="21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customFormat="false" ht="21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</sheetData>
  <dataValidations count="1">
    <dataValidation allowBlank="false" errorStyle="stop" operator="between" showDropDown="false" showErrorMessage="false" showInputMessage="false" sqref="I7:I117" type="list">
      <formula1>"SUSPENSION,ANGULO,ANCLAJE,ANCLAJE_PROPUESTO,TERMINAL"</formula1>
      <formula2>0</formula2>
    </dataValidation>
  </dataValidations>
  <printOptions headings="false" gridLines="false" gridLinesSet="true" horizontalCentered="false" verticalCentered="false"/>
  <pageMargins left="0.39375" right="0.39375" top="0.551388888888889" bottom="0.551388888888889" header="0.511811023622047" footer="0.3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&amp;CInstalaciones Eléctricas II | Aquiles Taylor Ramos Yapo | 227368&amp;RHoja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4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3" min="2" style="0" width="10"/>
    <col collapsed="false" customWidth="true" hidden="false" outlineLevel="0" max="7" min="4" style="0" width="14"/>
    <col collapsed="false" customWidth="true" hidden="false" outlineLevel="0" max="8" min="8" style="0" width="16"/>
    <col collapsed="false" customWidth="true" hidden="false" outlineLevel="0" max="12" min="9" style="0" width="14"/>
    <col collapsed="false" customWidth="true" hidden="false" outlineLevel="0" max="14" min="13" style="0" width="17"/>
  </cols>
  <sheetData>
    <row r="1" customFormat="false" ht="21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" hidden="false" customHeight="true" outlineLevel="0" collapsed="false">
      <c r="A2" s="2" t="s">
        <v>217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1" hidden="false" customHeight="tru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customFormat="false" ht="21" hidden="false" customHeight="tru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21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customFormat="false" ht="36" hidden="false" customHeight="true" outlineLevel="0" collapsed="false">
      <c r="A6" s="4" t="s">
        <v>218</v>
      </c>
      <c r="B6" s="4" t="s">
        <v>219</v>
      </c>
      <c r="C6" s="4" t="s">
        <v>220</v>
      </c>
      <c r="D6" s="4" t="s">
        <v>221</v>
      </c>
      <c r="E6" s="4" t="s">
        <v>222</v>
      </c>
      <c r="F6" s="4" t="s">
        <v>223</v>
      </c>
      <c r="G6" s="4" t="s">
        <v>224</v>
      </c>
      <c r="H6" s="4" t="s">
        <v>225</v>
      </c>
      <c r="I6" s="4" t="s">
        <v>226</v>
      </c>
      <c r="J6" s="4" t="s">
        <v>227</v>
      </c>
      <c r="K6" s="4" t="s">
        <v>228</v>
      </c>
      <c r="L6" s="4" t="s">
        <v>229</v>
      </c>
      <c r="M6" s="4" t="s">
        <v>230</v>
      </c>
      <c r="N6" s="4" t="s">
        <v>231</v>
      </c>
    </row>
    <row r="7" customFormat="false" ht="21" hidden="false" customHeight="true" outlineLevel="0" collapsed="false">
      <c r="A7" s="1" t="s">
        <v>232</v>
      </c>
      <c r="B7" s="1" t="s">
        <v>101</v>
      </c>
      <c r="C7" s="1" t="s">
        <v>103</v>
      </c>
      <c r="D7" s="5" t="n">
        <f aca="false">SQRT((INDEX(Postes!$B$7:$B$117,MATCH(C7,Postes!$A$7:$A$117,0))-INDEX(Postes!$B$7:$B$117,MATCH(B7,Postes!$A$7:$A$117,0)))^2+(INDEX(Postes!$C$7:$C$117,MATCH(C7,Postes!$A$7:$A$117,0))-INDEX(Postes!$C$7:$C$117,MATCH(B7,Postes!$A$7:$A$117,0)))^2)</f>
        <v>47.1465965707166</v>
      </c>
      <c r="E7" s="5" t="n">
        <f aca="false">INDEX(Postes!$D$7:$D$117,MATCH(C7,Postes!$A$7:$A$117,0))+INDEX(Postes!$G$7:$G$117,MATCH(C7,Postes!$A$7:$A$117,0))-INDEX(Postes!$D$7:$D$117,MATCH(B7,Postes!$A$7:$A$117,0))-INDEX(Postes!$G$7:$G$117,MATCH(B7,Postes!$A$7:$A$117,0))</f>
        <v>14.3153865381791</v>
      </c>
      <c r="F7" s="5" t="n">
        <f aca="false">Parametros!$E$8*Parametros!$E$9</f>
        <v>2205</v>
      </c>
      <c r="G7" s="5" t="n">
        <f aca="false">Parametros!$E$10/1000*Parametros!$E$11</f>
        <v>1.32389775</v>
      </c>
      <c r="H7" s="5" t="n">
        <f aca="false">F7/G7</f>
        <v>1665.53648119728</v>
      </c>
      <c r="I7" s="5" t="n">
        <f aca="false">ASINH(E7/(2*H7*SINH(D7/(2*H7))))</f>
        <v>0.299143901667475</v>
      </c>
      <c r="J7" s="5" t="n">
        <f aca="false">D7/2-H7*I7</f>
        <v>-474.661783069514</v>
      </c>
      <c r="K7" s="5" t="n">
        <f aca="false">-J7/H7</f>
        <v>0.284990324996244</v>
      </c>
      <c r="L7" s="5" t="n">
        <f aca="false">(D7-J7)/H7</f>
        <v>0.313297478338706</v>
      </c>
      <c r="M7" s="5" t="n">
        <f aca="false">H7*(SINH(L7)-SINH(K7))</f>
        <v>49.2735252497684</v>
      </c>
      <c r="N7" s="5" t="n">
        <f aca="false">M7*Parametros!$E$5</f>
        <v>147.820575749305</v>
      </c>
    </row>
    <row r="8" customFormat="false" ht="21" hidden="false" customHeight="true" outlineLevel="0" collapsed="false">
      <c r="A8" s="1" t="s">
        <v>233</v>
      </c>
      <c r="B8" s="1" t="s">
        <v>103</v>
      </c>
      <c r="C8" s="1" t="s">
        <v>105</v>
      </c>
      <c r="D8" s="5" t="n">
        <f aca="false">SQRT((INDEX(Postes!$B$7:$B$117,MATCH(C8,Postes!$A$7:$A$117,0))-INDEX(Postes!$B$7:$B$117,MATCH(B8,Postes!$A$7:$A$117,0)))^2+(INDEX(Postes!$C$7:$C$117,MATCH(C8,Postes!$A$7:$A$117,0))-INDEX(Postes!$C$7:$C$117,MATCH(B8,Postes!$A$7:$A$117,0)))^2)</f>
        <v>47.146596569136</v>
      </c>
      <c r="E8" s="5" t="n">
        <f aca="false">INDEX(Postes!$D$7:$D$117,MATCH(C8,Postes!$A$7:$A$117,0))+INDEX(Postes!$G$7:$G$117,MATCH(C8,Postes!$A$7:$A$117,0))-INDEX(Postes!$D$7:$D$117,MATCH(B8,Postes!$A$7:$A$117,0))-INDEX(Postes!$G$7:$G$117,MATCH(B8,Postes!$A$7:$A$117,0))</f>
        <v>13.2652472247409</v>
      </c>
      <c r="F8" s="5" t="n">
        <f aca="false">Parametros!$E$8*Parametros!$E$9</f>
        <v>2205</v>
      </c>
      <c r="G8" s="5" t="n">
        <f aca="false">Parametros!$E$10/1000*Parametros!$E$11</f>
        <v>1.32389775</v>
      </c>
      <c r="H8" s="5" t="n">
        <f aca="false">F8/G8</f>
        <v>1665.53648119728</v>
      </c>
      <c r="I8" s="5" t="n">
        <f aca="false">ASINH(E8/(2*H8*SINH(D8/(2*H8))))</f>
        <v>0.27776669836035</v>
      </c>
      <c r="J8" s="5" t="n">
        <f aca="false">D8/2-H8*I8</f>
        <v>-439.057271096316</v>
      </c>
      <c r="K8" s="5" t="n">
        <f aca="false">-J8/H8</f>
        <v>0.263613121689593</v>
      </c>
      <c r="L8" s="5" t="n">
        <f aca="false">(D8-J8)/H8</f>
        <v>0.291920275031106</v>
      </c>
      <c r="M8" s="5" t="n">
        <f aca="false">H8*(SINH(L8)-SINH(K8))</f>
        <v>48.9787380664967</v>
      </c>
      <c r="N8" s="5" t="n">
        <f aca="false">M8*Parametros!$E$5</f>
        <v>146.93621419949</v>
      </c>
    </row>
    <row r="9" customFormat="false" ht="21" hidden="false" customHeight="true" outlineLevel="0" collapsed="false">
      <c r="A9" s="1" t="s">
        <v>234</v>
      </c>
      <c r="B9" s="1" t="s">
        <v>105</v>
      </c>
      <c r="C9" s="1" t="s">
        <v>107</v>
      </c>
      <c r="D9" s="5" t="n">
        <f aca="false">SQRT((INDEX(Postes!$B$7:$B$117,MATCH(C9,Postes!$A$7:$A$117,0))-INDEX(Postes!$B$7:$B$117,MATCH(B9,Postes!$A$7:$A$117,0)))^2+(INDEX(Postes!$C$7:$C$117,MATCH(C9,Postes!$A$7:$A$117,0))-INDEX(Postes!$C$7:$C$117,MATCH(B9,Postes!$A$7:$A$117,0)))^2)</f>
        <v>75.5646489241475</v>
      </c>
      <c r="E9" s="5" t="n">
        <f aca="false">INDEX(Postes!$D$7:$D$117,MATCH(C9,Postes!$A$7:$A$117,0))+INDEX(Postes!$G$7:$G$117,MATCH(C9,Postes!$A$7:$A$117,0))-INDEX(Postes!$D$7:$D$117,MATCH(B9,Postes!$A$7:$A$117,0))-INDEX(Postes!$G$7:$G$117,MATCH(B9,Postes!$A$7:$A$117,0))</f>
        <v>0.0139079407941605</v>
      </c>
      <c r="F9" s="5" t="n">
        <f aca="false">Parametros!$E$8*Parametros!$E$9</f>
        <v>2205</v>
      </c>
      <c r="G9" s="5" t="n">
        <f aca="false">Parametros!$E$10/1000*Parametros!$E$11</f>
        <v>1.32389775</v>
      </c>
      <c r="H9" s="5" t="n">
        <f aca="false">F9/G9</f>
        <v>1665.53648119728</v>
      </c>
      <c r="I9" s="5" t="n">
        <f aca="false">ASINH(E9/(2*H9*SINH(D9/(2*H9))))</f>
        <v>0.000184037749788565</v>
      </c>
      <c r="J9" s="5" t="n">
        <f aca="false">D9/2-H9*I9</f>
        <v>37.4758028758834</v>
      </c>
      <c r="K9" s="5" t="n">
        <f aca="false">-J9/H9</f>
        <v>-0.0225007397309867</v>
      </c>
      <c r="L9" s="5" t="n">
        <f aca="false">(D9-J9)/H9</f>
        <v>0.0228688152305638</v>
      </c>
      <c r="M9" s="5" t="n">
        <f aca="false">H9*(SINH(L9)-SINH(K9))</f>
        <v>75.5711312877873</v>
      </c>
      <c r="N9" s="5" t="n">
        <f aca="false">M9*Parametros!$E$5</f>
        <v>226.713393863362</v>
      </c>
    </row>
    <row r="10" customFormat="false" ht="21" hidden="false" customHeight="true" outlineLevel="0" collapsed="false">
      <c r="A10" s="1" t="s">
        <v>235</v>
      </c>
      <c r="B10" s="1" t="s">
        <v>107</v>
      </c>
      <c r="C10" s="1" t="s">
        <v>108</v>
      </c>
      <c r="D10" s="5" t="n">
        <f aca="false">SQRT((INDEX(Postes!$B$7:$B$117,MATCH(C10,Postes!$A$7:$A$117,0))-INDEX(Postes!$B$7:$B$117,MATCH(B10,Postes!$A$7:$A$117,0)))^2+(INDEX(Postes!$C$7:$C$117,MATCH(C10,Postes!$A$7:$A$117,0))-INDEX(Postes!$C$7:$C$117,MATCH(B10,Postes!$A$7:$A$117,0)))^2)</f>
        <v>75.5646489241475</v>
      </c>
      <c r="E10" s="5" t="n">
        <f aca="false">INDEX(Postes!$D$7:$D$117,MATCH(C10,Postes!$A$7:$A$117,0))+INDEX(Postes!$G$7:$G$117,MATCH(C10,Postes!$A$7:$A$117,0))-INDEX(Postes!$D$7:$D$117,MATCH(B10,Postes!$A$7:$A$117,0))-INDEX(Postes!$G$7:$G$117,MATCH(B10,Postes!$A$7:$A$117,0))</f>
        <v>-0.986426915368975</v>
      </c>
      <c r="F10" s="5" t="n">
        <f aca="false">Parametros!$E$8*Parametros!$E$9</f>
        <v>2205</v>
      </c>
      <c r="G10" s="5" t="n">
        <f aca="false">Parametros!$E$10/1000*Parametros!$E$11</f>
        <v>1.32389775</v>
      </c>
      <c r="H10" s="5" t="n">
        <f aca="false">F10/G10</f>
        <v>1665.53648119728</v>
      </c>
      <c r="I10" s="5" t="n">
        <f aca="false">ASINH(E10/(2*H10*SINH(D10/(2*H10))))</f>
        <v>-0.0130525890801905</v>
      </c>
      <c r="J10" s="5" t="n">
        <f aca="false">D10/2-H10*I10</f>
        <v>59.5218877492084</v>
      </c>
      <c r="K10" s="5" t="n">
        <f aca="false">-J10/H10</f>
        <v>-0.0357373665609658</v>
      </c>
      <c r="L10" s="5" t="n">
        <f aca="false">(D10-J10)/H10</f>
        <v>0.00963218840058469</v>
      </c>
      <c r="M10" s="5" t="n">
        <f aca="false">H10*(SINH(L10)-SINH(K10))</f>
        <v>75.5775676291883</v>
      </c>
      <c r="N10" s="5" t="n">
        <f aca="false">M10*Parametros!$E$5</f>
        <v>226.732702887565</v>
      </c>
    </row>
    <row r="11" customFormat="false" ht="21" hidden="false" customHeight="true" outlineLevel="0" collapsed="false">
      <c r="A11" s="1" t="s">
        <v>236</v>
      </c>
      <c r="B11" s="1" t="s">
        <v>108</v>
      </c>
      <c r="C11" s="1" t="s">
        <v>110</v>
      </c>
      <c r="D11" s="5" t="n">
        <f aca="false">SQRT((INDEX(Postes!$B$7:$B$117,MATCH(C11,Postes!$A$7:$A$117,0))-INDEX(Postes!$B$7:$B$117,MATCH(B11,Postes!$A$7:$A$117,0)))^2+(INDEX(Postes!$C$7:$C$117,MATCH(C11,Postes!$A$7:$A$117,0))-INDEX(Postes!$C$7:$C$117,MATCH(B11,Postes!$A$7:$A$117,0)))^2)</f>
        <v>71.0245484987083</v>
      </c>
      <c r="E11" s="5" t="n">
        <f aca="false">INDEX(Postes!$D$7:$D$117,MATCH(C11,Postes!$A$7:$A$117,0))+INDEX(Postes!$G$7:$G$117,MATCH(C11,Postes!$A$7:$A$117,0))-INDEX(Postes!$D$7:$D$117,MATCH(B11,Postes!$A$7:$A$117,0))-INDEX(Postes!$G$7:$G$117,MATCH(B11,Postes!$A$7:$A$117,0))</f>
        <v>7.39403427773696</v>
      </c>
      <c r="F11" s="5" t="n">
        <f aca="false">Parametros!$E$8*Parametros!$E$9</f>
        <v>2205</v>
      </c>
      <c r="G11" s="5" t="n">
        <f aca="false">Parametros!$E$10/1000*Parametros!$E$11</f>
        <v>1.32389775</v>
      </c>
      <c r="H11" s="5" t="n">
        <f aca="false">F11/G11</f>
        <v>1665.53648119728</v>
      </c>
      <c r="I11" s="5" t="n">
        <f aca="false">ASINH(E11/(2*H11*SINH(D11/(2*H11))))</f>
        <v>0.103910351517085</v>
      </c>
      <c r="J11" s="5" t="n">
        <f aca="false">D11/2-H11*I11</f>
        <v>-137.554206976385</v>
      </c>
      <c r="K11" s="5" t="n">
        <f aca="false">-J11/H11</f>
        <v>0.0825885283986712</v>
      </c>
      <c r="L11" s="5" t="n">
        <f aca="false">(D11-J11)/H11</f>
        <v>0.125232174635499</v>
      </c>
      <c r="M11" s="5" t="n">
        <f aca="false">H11*(SINH(L11)-SINH(K11))</f>
        <v>71.4137432179863</v>
      </c>
      <c r="N11" s="5" t="n">
        <f aca="false">M11*Parametros!$E$5</f>
        <v>214.241229653959</v>
      </c>
    </row>
    <row r="12" customFormat="false" ht="21" hidden="false" customHeight="true" outlineLevel="0" collapsed="false">
      <c r="A12" s="1" t="s">
        <v>237</v>
      </c>
      <c r="B12" s="1" t="s">
        <v>110</v>
      </c>
      <c r="C12" s="1" t="s">
        <v>111</v>
      </c>
      <c r="D12" s="5" t="n">
        <f aca="false">SQRT((INDEX(Postes!$B$7:$B$117,MATCH(C12,Postes!$A$7:$A$117,0))-INDEX(Postes!$B$7:$B$117,MATCH(B12,Postes!$A$7:$A$117,0)))^2+(INDEX(Postes!$C$7:$C$117,MATCH(C12,Postes!$A$7:$A$117,0))-INDEX(Postes!$C$7:$C$117,MATCH(B12,Postes!$A$7:$A$117,0)))^2)</f>
        <v>71.0245485000148</v>
      </c>
      <c r="E12" s="5" t="n">
        <f aca="false">INDEX(Postes!$D$7:$D$117,MATCH(C12,Postes!$A$7:$A$117,0))+INDEX(Postes!$G$7:$G$117,MATCH(C12,Postes!$A$7:$A$117,0))-INDEX(Postes!$D$7:$D$117,MATCH(B12,Postes!$A$7:$A$117,0))-INDEX(Postes!$G$7:$G$117,MATCH(B12,Postes!$A$7:$A$117,0))</f>
        <v>2.59166161774674</v>
      </c>
      <c r="F12" s="5" t="n">
        <f aca="false">Parametros!$E$8*Parametros!$E$9</f>
        <v>2205</v>
      </c>
      <c r="G12" s="5" t="n">
        <f aca="false">Parametros!$E$10/1000*Parametros!$E$11</f>
        <v>1.32389775</v>
      </c>
      <c r="H12" s="5" t="n">
        <f aca="false">F12/G12</f>
        <v>1665.53648119728</v>
      </c>
      <c r="I12" s="5" t="n">
        <f aca="false">ASINH(E12/(2*H12*SINH(D12/(2*H12))))</f>
        <v>0.0364788042538183</v>
      </c>
      <c r="J12" s="5" t="n">
        <f aca="false">D12/2-H12*I12</f>
        <v>-25.2445050251816</v>
      </c>
      <c r="K12" s="5" t="n">
        <f aca="false">-J12/H12</f>
        <v>0.015156981135012</v>
      </c>
      <c r="L12" s="5" t="n">
        <f aca="false">(D12-J12)/H12</f>
        <v>0.0578006273726245</v>
      </c>
      <c r="M12" s="5" t="n">
        <f aca="false">H12*(SINH(L12)-SINH(K12))</f>
        <v>71.0771952712731</v>
      </c>
      <c r="N12" s="5" t="n">
        <f aca="false">M12*Parametros!$E$5</f>
        <v>213.231585813819</v>
      </c>
    </row>
    <row r="13" customFormat="false" ht="21" hidden="false" customHeight="true" outlineLevel="0" collapsed="false">
      <c r="A13" s="1" t="s">
        <v>238</v>
      </c>
      <c r="B13" s="1" t="s">
        <v>111</v>
      </c>
      <c r="C13" s="1" t="s">
        <v>112</v>
      </c>
      <c r="D13" s="5" t="n">
        <f aca="false">SQRT((INDEX(Postes!$B$7:$B$117,MATCH(C13,Postes!$A$7:$A$117,0))-INDEX(Postes!$B$7:$B$117,MATCH(B13,Postes!$A$7:$A$117,0)))^2+(INDEX(Postes!$C$7:$C$117,MATCH(C13,Postes!$A$7:$A$117,0))-INDEX(Postes!$C$7:$C$117,MATCH(B13,Postes!$A$7:$A$117,0)))^2)</f>
        <v>57.5073916922193</v>
      </c>
      <c r="E13" s="5" t="n">
        <f aca="false">INDEX(Postes!$D$7:$D$117,MATCH(C13,Postes!$A$7:$A$117,0))+INDEX(Postes!$G$7:$G$117,MATCH(C13,Postes!$A$7:$A$117,0))-INDEX(Postes!$D$7:$D$117,MATCH(B13,Postes!$A$7:$A$117,0))-INDEX(Postes!$G$7:$G$117,MATCH(B13,Postes!$A$7:$A$117,0))</f>
        <v>-1.50501791644083</v>
      </c>
      <c r="F13" s="5" t="n">
        <f aca="false">Parametros!$E$8*Parametros!$E$9</f>
        <v>2205</v>
      </c>
      <c r="G13" s="5" t="n">
        <f aca="false">Parametros!$E$10/1000*Parametros!$E$11</f>
        <v>1.32389775</v>
      </c>
      <c r="H13" s="5" t="n">
        <f aca="false">F13/G13</f>
        <v>1665.53648119728</v>
      </c>
      <c r="I13" s="5" t="n">
        <f aca="false">ASINH(E13/(2*H13*SINH(D13/(2*H13))))</f>
        <v>-0.0261665742777945</v>
      </c>
      <c r="J13" s="5" t="n">
        <f aca="false">D13/2-H13*I13</f>
        <v>72.3350798937348</v>
      </c>
      <c r="K13" s="5" t="n">
        <f aca="false">-J13/H13</f>
        <v>-0.0434304986473405</v>
      </c>
      <c r="L13" s="5" t="n">
        <f aca="false">(D13-J13)/H13</f>
        <v>-0.0089026499082485</v>
      </c>
      <c r="M13" s="5" t="n">
        <f aca="false">H13*(SINH(L13)-SINH(K13))</f>
        <v>57.529937806323</v>
      </c>
      <c r="N13" s="5" t="n">
        <f aca="false">M13*Parametros!$E$5</f>
        <v>172.589813418969</v>
      </c>
    </row>
    <row r="14" customFormat="false" ht="21" hidden="false" customHeight="true" outlineLevel="0" collapsed="false">
      <c r="A14" s="1" t="s">
        <v>239</v>
      </c>
      <c r="B14" s="1" t="s">
        <v>112</v>
      </c>
      <c r="C14" s="1" t="s">
        <v>113</v>
      </c>
      <c r="D14" s="5" t="n">
        <f aca="false">SQRT((INDEX(Postes!$B$7:$B$117,MATCH(C14,Postes!$A$7:$A$117,0))-INDEX(Postes!$B$7:$B$117,MATCH(B14,Postes!$A$7:$A$117,0)))^2+(INDEX(Postes!$C$7:$C$117,MATCH(C14,Postes!$A$7:$A$117,0))-INDEX(Postes!$C$7:$C$117,MATCH(B14,Postes!$A$7:$A$117,0)))^2)</f>
        <v>70.1143197817548</v>
      </c>
      <c r="E14" s="5" t="n">
        <f aca="false">INDEX(Postes!$D$7:$D$117,MATCH(C14,Postes!$A$7:$A$117,0))+INDEX(Postes!$G$7:$G$117,MATCH(C14,Postes!$A$7:$A$117,0))-INDEX(Postes!$D$7:$D$117,MATCH(B14,Postes!$A$7:$A$117,0))-INDEX(Postes!$G$7:$G$117,MATCH(B14,Postes!$A$7:$A$117,0))</f>
        <v>1.85401415717606</v>
      </c>
      <c r="F14" s="5" t="n">
        <f aca="false">Parametros!$E$8*Parametros!$E$9</f>
        <v>2205</v>
      </c>
      <c r="G14" s="5" t="n">
        <f aca="false">Parametros!$E$10/1000*Parametros!$E$11</f>
        <v>1.32389775</v>
      </c>
      <c r="H14" s="5" t="n">
        <f aca="false">F14/G14</f>
        <v>1665.53648119728</v>
      </c>
      <c r="I14" s="5" t="n">
        <f aca="false">ASINH(E14/(2*H14*SINH(D14/(2*H14))))</f>
        <v>0.0264376995265577</v>
      </c>
      <c r="J14" s="5" t="n">
        <f aca="false">D14/2-H14*I14</f>
        <v>-8.9757931495365</v>
      </c>
      <c r="K14" s="5" t="n">
        <f aca="false">-J14/H14</f>
        <v>0.00538913031978993</v>
      </c>
      <c r="L14" s="5" t="n">
        <f aca="false">(D14-J14)/H14</f>
        <v>0.0474862687333254</v>
      </c>
      <c r="M14" s="5" t="n">
        <f aca="false">H14*(SINH(L14)-SINH(K14))</f>
        <v>70.1440036715053</v>
      </c>
      <c r="N14" s="5" t="n">
        <f aca="false">M14*Parametros!$E$5</f>
        <v>210.432011014516</v>
      </c>
    </row>
    <row r="15" customFormat="false" ht="21" hidden="false" customHeight="true" outlineLevel="0" collapsed="false">
      <c r="A15" s="1" t="s">
        <v>240</v>
      </c>
      <c r="B15" s="1" t="s">
        <v>113</v>
      </c>
      <c r="C15" s="1" t="s">
        <v>115</v>
      </c>
      <c r="D15" s="5" t="n">
        <f aca="false">SQRT((INDEX(Postes!$B$7:$B$117,MATCH(C15,Postes!$A$7:$A$117,0))-INDEX(Postes!$B$7:$B$117,MATCH(B15,Postes!$A$7:$A$117,0)))^2+(INDEX(Postes!$C$7:$C$117,MATCH(C15,Postes!$A$7:$A$117,0))-INDEX(Postes!$C$7:$C$117,MATCH(B15,Postes!$A$7:$A$117,0)))^2)</f>
        <v>70.1143197835491</v>
      </c>
      <c r="E15" s="5" t="n">
        <f aca="false">INDEX(Postes!$D$7:$D$117,MATCH(C15,Postes!$A$7:$A$117,0))+INDEX(Postes!$G$7:$G$117,MATCH(C15,Postes!$A$7:$A$117,0))-INDEX(Postes!$D$7:$D$117,MATCH(B15,Postes!$A$7:$A$117,0))-INDEX(Postes!$G$7:$G$117,MATCH(B15,Postes!$A$7:$A$117,0))</f>
        <v>6.29282935238589</v>
      </c>
      <c r="F15" s="5" t="n">
        <f aca="false">Parametros!$E$8*Parametros!$E$9</f>
        <v>2205</v>
      </c>
      <c r="G15" s="5" t="n">
        <f aca="false">Parametros!$E$10/1000*Parametros!$E$11</f>
        <v>1.32389775</v>
      </c>
      <c r="H15" s="5" t="n">
        <f aca="false">F15/G15</f>
        <v>1665.53648119728</v>
      </c>
      <c r="I15" s="5" t="n">
        <f aca="false">ASINH(E15/(2*H15*SINH(D15/(2*H15))))</f>
        <v>0.0896243263062868</v>
      </c>
      <c r="J15" s="5" t="n">
        <f aca="false">D15/2-H15*I15</f>
        <v>-114.215425174075</v>
      </c>
      <c r="K15" s="5" t="n">
        <f aca="false">-J15/H15</f>
        <v>0.0685757570989804</v>
      </c>
      <c r="L15" s="5" t="n">
        <f aca="false">(D15-J15)/H15</f>
        <v>0.110672895513593</v>
      </c>
      <c r="M15" s="5" t="n">
        <f aca="false">H15*(SINH(L15)-SINH(K15))</f>
        <v>70.4013038521523</v>
      </c>
      <c r="N15" s="5" t="n">
        <f aca="false">M15*Parametros!$E$5</f>
        <v>211.203911556457</v>
      </c>
    </row>
    <row r="16" customFormat="false" ht="21" hidden="false" customHeight="true" outlineLevel="0" collapsed="false">
      <c r="A16" s="1" t="s">
        <v>241</v>
      </c>
      <c r="B16" s="1" t="s">
        <v>115</v>
      </c>
      <c r="C16" s="1" t="s">
        <v>116</v>
      </c>
      <c r="D16" s="5" t="n">
        <f aca="false">SQRT((INDEX(Postes!$B$7:$B$117,MATCH(C16,Postes!$A$7:$A$117,0))-INDEX(Postes!$B$7:$B$117,MATCH(B16,Postes!$A$7:$A$117,0)))^2+(INDEX(Postes!$C$7:$C$117,MATCH(C16,Postes!$A$7:$A$117,0))-INDEX(Postes!$C$7:$C$117,MATCH(B16,Postes!$A$7:$A$117,0)))^2)</f>
        <v>50.2141967354048</v>
      </c>
      <c r="E16" s="5" t="n">
        <f aca="false">INDEX(Postes!$D$7:$D$117,MATCH(C16,Postes!$A$7:$A$117,0))+INDEX(Postes!$G$7:$G$117,MATCH(C16,Postes!$A$7:$A$117,0))-INDEX(Postes!$D$7:$D$117,MATCH(B16,Postes!$A$7:$A$117,0))-INDEX(Postes!$G$7:$G$117,MATCH(B16,Postes!$A$7:$A$117,0))</f>
        <v>10.4809519003856</v>
      </c>
      <c r="F16" s="5" t="n">
        <f aca="false">Parametros!$E$8*Parametros!$E$9</f>
        <v>2205</v>
      </c>
      <c r="G16" s="5" t="n">
        <f aca="false">Parametros!$E$10/1000*Parametros!$E$11</f>
        <v>1.32389775</v>
      </c>
      <c r="H16" s="5" t="n">
        <f aca="false">F16/G16</f>
        <v>1665.53648119728</v>
      </c>
      <c r="I16" s="5" t="n">
        <f aca="false">ASINH(E16/(2*H16*SINH(D16/(2*H16))))</f>
        <v>0.207230545944635</v>
      </c>
      <c r="J16" s="5" t="n">
        <f aca="false">D16/2-H16*I16</f>
        <v>-320.042935921517</v>
      </c>
      <c r="K16" s="5" t="n">
        <f aca="false">-J16/H16</f>
        <v>0.19215606474825</v>
      </c>
      <c r="L16" s="5" t="n">
        <f aca="false">(D16-J16)/H16</f>
        <v>0.22230502714102</v>
      </c>
      <c r="M16" s="5" t="n">
        <f aca="false">H16*(SINH(L16)-SINH(K16))</f>
        <v>51.2982154163657</v>
      </c>
      <c r="N16" s="5" t="n">
        <f aca="false">M16*Parametros!$E$5</f>
        <v>153.894646249097</v>
      </c>
    </row>
    <row r="17" customFormat="false" ht="21" hidden="false" customHeight="true" outlineLevel="0" collapsed="false">
      <c r="A17" s="1" t="s">
        <v>242</v>
      </c>
      <c r="B17" s="1" t="s">
        <v>116</v>
      </c>
      <c r="C17" s="1" t="s">
        <v>117</v>
      </c>
      <c r="D17" s="5" t="n">
        <f aca="false">SQRT((INDEX(Postes!$B$7:$B$117,MATCH(C17,Postes!$A$7:$A$117,0))-INDEX(Postes!$B$7:$B$117,MATCH(B17,Postes!$A$7:$A$117,0)))^2+(INDEX(Postes!$C$7:$C$117,MATCH(C17,Postes!$A$7:$A$117,0))-INDEX(Postes!$C$7:$C$117,MATCH(B17,Postes!$A$7:$A$117,0)))^2)</f>
        <v>60.9689454913138</v>
      </c>
      <c r="E17" s="5" t="n">
        <f aca="false">INDEX(Postes!$D$7:$D$117,MATCH(C17,Postes!$A$7:$A$117,0))+INDEX(Postes!$G$7:$G$117,MATCH(C17,Postes!$A$7:$A$117,0))-INDEX(Postes!$D$7:$D$117,MATCH(B17,Postes!$A$7:$A$117,0))-INDEX(Postes!$G$7:$G$117,MATCH(B17,Postes!$A$7:$A$117,0))</f>
        <v>3.73923043857203</v>
      </c>
      <c r="F17" s="5" t="n">
        <f aca="false">Parametros!$E$8*Parametros!$E$9</f>
        <v>2205</v>
      </c>
      <c r="G17" s="5" t="n">
        <f aca="false">Parametros!$E$10/1000*Parametros!$E$11</f>
        <v>1.32389775</v>
      </c>
      <c r="H17" s="5" t="n">
        <f aca="false">F17/G17</f>
        <v>1665.53648119728</v>
      </c>
      <c r="I17" s="5" t="n">
        <f aca="false">ASINH(E17/(2*H17*SINH(D17/(2*H17))))</f>
        <v>0.0612882817758125</v>
      </c>
      <c r="J17" s="5" t="n">
        <f aca="false">D17/2-H17*I17</f>
        <v>-71.5933964218574</v>
      </c>
      <c r="K17" s="5" t="n">
        <f aca="false">-J17/H17</f>
        <v>0.0429851865930862</v>
      </c>
      <c r="L17" s="5" t="n">
        <f aca="false">(D17-J17)/H17</f>
        <v>0.0795913769585388</v>
      </c>
      <c r="M17" s="5" t="n">
        <f aca="false">H17*(SINH(L17)-SINH(K17))</f>
        <v>61.0868993314115</v>
      </c>
      <c r="N17" s="5" t="n">
        <f aca="false">M17*Parametros!$E$5</f>
        <v>183.260697994235</v>
      </c>
    </row>
    <row r="18" customFormat="false" ht="21" hidden="false" customHeight="true" outlineLevel="0" collapsed="false">
      <c r="A18" s="1" t="s">
        <v>243</v>
      </c>
      <c r="B18" s="1" t="s">
        <v>117</v>
      </c>
      <c r="C18" s="1" t="s">
        <v>118</v>
      </c>
      <c r="D18" s="5" t="n">
        <f aca="false">SQRT((INDEX(Postes!$B$7:$B$117,MATCH(C18,Postes!$A$7:$A$117,0))-INDEX(Postes!$B$7:$B$117,MATCH(B18,Postes!$A$7:$A$117,0)))^2+(INDEX(Postes!$C$7:$C$117,MATCH(C18,Postes!$A$7:$A$117,0))-INDEX(Postes!$C$7:$C$117,MATCH(B18,Postes!$A$7:$A$117,0)))^2)</f>
        <v>54.3081891666986</v>
      </c>
      <c r="E18" s="5" t="n">
        <f aca="false">INDEX(Postes!$D$7:$D$117,MATCH(C18,Postes!$A$7:$A$117,0))+INDEX(Postes!$G$7:$G$117,MATCH(C18,Postes!$A$7:$A$117,0))-INDEX(Postes!$D$7:$D$117,MATCH(B18,Postes!$A$7:$A$117,0))-INDEX(Postes!$G$7:$G$117,MATCH(B18,Postes!$A$7:$A$117,0))</f>
        <v>3.54968131670912</v>
      </c>
      <c r="F18" s="5" t="n">
        <f aca="false">Parametros!$E$8*Parametros!$E$9</f>
        <v>2205</v>
      </c>
      <c r="G18" s="5" t="n">
        <f aca="false">Parametros!$E$10/1000*Parametros!$E$11</f>
        <v>1.32389775</v>
      </c>
      <c r="H18" s="5" t="n">
        <f aca="false">F18/G18</f>
        <v>1665.53648119728</v>
      </c>
      <c r="I18" s="5" t="n">
        <f aca="false">ASINH(E18/(2*H18*SINH(D18/(2*H18))))</f>
        <v>0.0653124663671823</v>
      </c>
      <c r="J18" s="5" t="n">
        <f aca="false">D18/2-H18*I18</f>
        <v>-81.6262008281634</v>
      </c>
      <c r="K18" s="5" t="n">
        <f aca="false">-J18/H18</f>
        <v>0.049008954021521</v>
      </c>
      <c r="L18" s="5" t="n">
        <f aca="false">(D18-J18)/H18</f>
        <v>0.0816159787128437</v>
      </c>
      <c r="M18" s="5" t="n">
        <f aca="false">H18*(SINH(L18)-SINH(K18))</f>
        <v>54.4264731241333</v>
      </c>
      <c r="N18" s="5" t="n">
        <f aca="false">M18*Parametros!$E$5</f>
        <v>163.2794193724</v>
      </c>
    </row>
    <row r="19" customFormat="false" ht="21" hidden="false" customHeight="true" outlineLevel="0" collapsed="false">
      <c r="A19" s="1" t="s">
        <v>244</v>
      </c>
      <c r="B19" s="1" t="s">
        <v>118</v>
      </c>
      <c r="C19" s="1" t="s">
        <v>119</v>
      </c>
      <c r="D19" s="5" t="n">
        <f aca="false">SQRT((INDEX(Postes!$B$7:$B$117,MATCH(C19,Postes!$A$7:$A$117,0))-INDEX(Postes!$B$7:$B$117,MATCH(B19,Postes!$A$7:$A$117,0)))^2+(INDEX(Postes!$C$7:$C$117,MATCH(C19,Postes!$A$7:$A$117,0))-INDEX(Postes!$C$7:$C$117,MATCH(B19,Postes!$A$7:$A$117,0)))^2)</f>
        <v>39.6609039110073</v>
      </c>
      <c r="E19" s="5" t="n">
        <f aca="false">INDEX(Postes!$D$7:$D$117,MATCH(C19,Postes!$A$7:$A$117,0))+INDEX(Postes!$G$7:$G$117,MATCH(C19,Postes!$A$7:$A$117,0))-INDEX(Postes!$D$7:$D$117,MATCH(B19,Postes!$A$7:$A$117,0))-INDEX(Postes!$G$7:$G$117,MATCH(B19,Postes!$A$7:$A$117,0))</f>
        <v>11.7147598495448</v>
      </c>
      <c r="F19" s="5" t="n">
        <f aca="false">Parametros!$E$8*Parametros!$E$9</f>
        <v>2205</v>
      </c>
      <c r="G19" s="5" t="n">
        <f aca="false">Parametros!$E$10/1000*Parametros!$E$11</f>
        <v>1.32389775</v>
      </c>
      <c r="H19" s="5" t="n">
        <f aca="false">F19/G19</f>
        <v>1665.53648119728</v>
      </c>
      <c r="I19" s="5" t="n">
        <f aca="false">ASINH(E19/(2*H19*SINH(D19/(2*H19))))</f>
        <v>0.291231673792657</v>
      </c>
      <c r="J19" s="5" t="n">
        <f aca="false">D19/2-H19*I19</f>
        <v>-465.226525226313</v>
      </c>
      <c r="K19" s="5" t="n">
        <f aca="false">-J19/H19</f>
        <v>0.279325328792487</v>
      </c>
      <c r="L19" s="5" t="n">
        <f aca="false">(D19-J19)/H19</f>
        <v>0.303138018792827</v>
      </c>
      <c r="M19" s="5" t="n">
        <f aca="false">H19*(SINH(L19)-SINH(K19))</f>
        <v>41.3557399670226</v>
      </c>
      <c r="N19" s="5" t="n">
        <f aca="false">M19*Parametros!$E$5</f>
        <v>124.067219901068</v>
      </c>
    </row>
    <row r="20" customFormat="false" ht="21" hidden="false" customHeight="true" outlineLevel="0" collapsed="false">
      <c r="A20" s="1" t="s">
        <v>245</v>
      </c>
      <c r="B20" s="1" t="s">
        <v>119</v>
      </c>
      <c r="C20" s="1" t="s">
        <v>120</v>
      </c>
      <c r="D20" s="5" t="n">
        <f aca="false">SQRT((INDEX(Postes!$B$7:$B$117,MATCH(C20,Postes!$A$7:$A$117,0))-INDEX(Postes!$B$7:$B$117,MATCH(B20,Postes!$A$7:$A$117,0)))^2+(INDEX(Postes!$C$7:$C$117,MATCH(C20,Postes!$A$7:$A$117,0))-INDEX(Postes!$C$7:$C$117,MATCH(B20,Postes!$A$7:$A$117,0)))^2)</f>
        <v>71.8252161363924</v>
      </c>
      <c r="E20" s="5" t="n">
        <f aca="false">INDEX(Postes!$D$7:$D$117,MATCH(C20,Postes!$A$7:$A$117,0))+INDEX(Postes!$G$7:$G$117,MATCH(C20,Postes!$A$7:$A$117,0))-INDEX(Postes!$D$7:$D$117,MATCH(B20,Postes!$A$7:$A$117,0))-INDEX(Postes!$G$7:$G$117,MATCH(B20,Postes!$A$7:$A$117,0))</f>
        <v>12.506880037556</v>
      </c>
      <c r="F20" s="5" t="n">
        <f aca="false">Parametros!$E$8*Parametros!$E$9</f>
        <v>2205</v>
      </c>
      <c r="G20" s="5" t="n">
        <f aca="false">Parametros!$E$10/1000*Parametros!$E$11</f>
        <v>1.32389775</v>
      </c>
      <c r="H20" s="5" t="n">
        <f aca="false">F20/G20</f>
        <v>1665.53648119728</v>
      </c>
      <c r="I20" s="5" t="n">
        <f aca="false">ASINH(E20/(2*H20*SINH(D20/(2*H20))))</f>
        <v>0.173247913757015</v>
      </c>
      <c r="J20" s="5" t="n">
        <f aca="false">D20/2-H20*I20</f>
        <v>-252.638112585433</v>
      </c>
      <c r="K20" s="5" t="n">
        <f aca="false">-J20/H20</f>
        <v>0.151685727354241</v>
      </c>
      <c r="L20" s="5" t="n">
        <f aca="false">(D20-J20)/H20</f>
        <v>0.194810100159789</v>
      </c>
      <c r="M20" s="5" t="n">
        <f aca="false">H20*(SINH(L20)-SINH(K20))</f>
        <v>72.9114755742933</v>
      </c>
      <c r="N20" s="5" t="n">
        <f aca="false">M20*Parametros!$E$5</f>
        <v>218.73442672288</v>
      </c>
    </row>
    <row r="21" customFormat="false" ht="21" hidden="false" customHeight="true" outlineLevel="0" collapsed="false">
      <c r="A21" s="1" t="s">
        <v>246</v>
      </c>
      <c r="B21" s="1" t="s">
        <v>120</v>
      </c>
      <c r="C21" s="1" t="s">
        <v>121</v>
      </c>
      <c r="D21" s="5" t="n">
        <f aca="false">SQRT((INDEX(Postes!$B$7:$B$117,MATCH(C21,Postes!$A$7:$A$117,0))-INDEX(Postes!$B$7:$B$117,MATCH(B21,Postes!$A$7:$A$117,0)))^2+(INDEX(Postes!$C$7:$C$117,MATCH(C21,Postes!$A$7:$A$117,0))-INDEX(Postes!$C$7:$C$117,MATCH(B21,Postes!$A$7:$A$117,0)))^2)</f>
        <v>71.8252161346343</v>
      </c>
      <c r="E21" s="5" t="n">
        <f aca="false">INDEX(Postes!$D$7:$D$117,MATCH(C21,Postes!$A$7:$A$117,0))+INDEX(Postes!$G$7:$G$117,MATCH(C21,Postes!$A$7:$A$117,0))-INDEX(Postes!$D$7:$D$117,MATCH(B21,Postes!$A$7:$A$117,0))-INDEX(Postes!$G$7:$G$117,MATCH(B21,Postes!$A$7:$A$117,0))</f>
        <v>11.3305582491281</v>
      </c>
      <c r="F21" s="5" t="n">
        <f aca="false">Parametros!$E$8*Parametros!$E$9</f>
        <v>2205</v>
      </c>
      <c r="G21" s="5" t="n">
        <f aca="false">Parametros!$E$10/1000*Parametros!$E$11</f>
        <v>1.32389775</v>
      </c>
      <c r="H21" s="5" t="n">
        <f aca="false">F21/G21</f>
        <v>1665.53648119728</v>
      </c>
      <c r="I21" s="5" t="n">
        <f aca="false">ASINH(E21/(2*H21*SINH(D21/(2*H21))))</f>
        <v>0.157092669691765</v>
      </c>
      <c r="J21" s="5" t="n">
        <f aca="false">D21/2-H21*I21</f>
        <v>-225.730964232992</v>
      </c>
      <c r="K21" s="5" t="n">
        <f aca="false">-J21/H21</f>
        <v>0.135530483289518</v>
      </c>
      <c r="L21" s="5" t="n">
        <f aca="false">(D21-J21)/H21</f>
        <v>0.178654856094011</v>
      </c>
      <c r="M21" s="5" t="n">
        <f aca="false">H21*(SINH(L21)-SINH(K21))</f>
        <v>72.7189299435244</v>
      </c>
      <c r="N21" s="5" t="n">
        <f aca="false">M21*Parametros!$E$5</f>
        <v>218.156789830573</v>
      </c>
    </row>
    <row r="22" customFormat="false" ht="21" hidden="false" customHeight="true" outlineLevel="0" collapsed="false">
      <c r="A22" s="1" t="s">
        <v>247</v>
      </c>
      <c r="B22" s="1" t="s">
        <v>121</v>
      </c>
      <c r="C22" s="1" t="s">
        <v>122</v>
      </c>
      <c r="D22" s="5" t="n">
        <f aca="false">SQRT((INDEX(Postes!$B$7:$B$117,MATCH(C22,Postes!$A$7:$A$117,0))-INDEX(Postes!$B$7:$B$117,MATCH(B22,Postes!$A$7:$A$117,0)))^2+(INDEX(Postes!$C$7:$C$117,MATCH(C22,Postes!$A$7:$A$117,0))-INDEX(Postes!$C$7:$C$117,MATCH(B22,Postes!$A$7:$A$117,0)))^2)</f>
        <v>71.8252161363924</v>
      </c>
      <c r="E22" s="5" t="n">
        <f aca="false">INDEX(Postes!$D$7:$D$117,MATCH(C22,Postes!$A$7:$A$117,0))+INDEX(Postes!$G$7:$G$117,MATCH(C22,Postes!$A$7:$A$117,0))-INDEX(Postes!$D$7:$D$117,MATCH(B22,Postes!$A$7:$A$117,0))-INDEX(Postes!$G$7:$G$117,MATCH(B22,Postes!$A$7:$A$117,0))</f>
        <v>5.48674506713596</v>
      </c>
      <c r="F22" s="5" t="n">
        <f aca="false">Parametros!$E$8*Parametros!$E$9</f>
        <v>2205</v>
      </c>
      <c r="G22" s="5" t="n">
        <f aca="false">Parametros!$E$10/1000*Parametros!$E$11</f>
        <v>1.32389775</v>
      </c>
      <c r="H22" s="5" t="n">
        <f aca="false">F22/G22</f>
        <v>1665.53648119728</v>
      </c>
      <c r="I22" s="5" t="n">
        <f aca="false">ASINH(E22/(2*H22*SINH(D22/(2*H22))))</f>
        <v>0.0763102311438332</v>
      </c>
      <c r="J22" s="5" t="n">
        <f aca="false">D22/2-H22*I22</f>
        <v>-91.1848657904551</v>
      </c>
      <c r="K22" s="5" t="n">
        <f aca="false">-J22/H22</f>
        <v>0.0547480447410592</v>
      </c>
      <c r="L22" s="5" t="n">
        <f aca="false">(D22-J22)/H22</f>
        <v>0.0978724175466073</v>
      </c>
      <c r="M22" s="5" t="n">
        <f aca="false">H22*(SINH(L22)-SINH(K22))</f>
        <v>72.0400277177812</v>
      </c>
      <c r="N22" s="5" t="n">
        <f aca="false">M22*Parametros!$E$5</f>
        <v>216.120083153344</v>
      </c>
    </row>
    <row r="23" customFormat="false" ht="21" hidden="false" customHeight="true" outlineLevel="0" collapsed="false">
      <c r="A23" s="1" t="s">
        <v>248</v>
      </c>
      <c r="B23" s="1" t="s">
        <v>122</v>
      </c>
      <c r="C23" s="1" t="s">
        <v>123</v>
      </c>
      <c r="D23" s="5" t="n">
        <f aca="false">SQRT((INDEX(Postes!$B$7:$B$117,MATCH(C23,Postes!$A$7:$A$117,0))-INDEX(Postes!$B$7:$B$117,MATCH(B23,Postes!$A$7:$A$117,0)))^2+(INDEX(Postes!$C$7:$C$117,MATCH(C23,Postes!$A$7:$A$117,0))-INDEX(Postes!$C$7:$C$117,MATCH(B23,Postes!$A$7:$A$117,0)))^2)</f>
        <v>48.1663783151692</v>
      </c>
      <c r="E23" s="5" t="n">
        <f aca="false">INDEX(Postes!$D$7:$D$117,MATCH(C23,Postes!$A$7:$A$117,0))+INDEX(Postes!$G$7:$G$117,MATCH(C23,Postes!$A$7:$A$117,0))-INDEX(Postes!$D$7:$D$117,MATCH(B23,Postes!$A$7:$A$117,0))-INDEX(Postes!$G$7:$G$117,MATCH(B23,Postes!$A$7:$A$117,0))</f>
        <v>2.3357816921929</v>
      </c>
      <c r="F23" s="5" t="n">
        <f aca="false">Parametros!$E$8*Parametros!$E$9</f>
        <v>2205</v>
      </c>
      <c r="G23" s="5" t="n">
        <f aca="false">Parametros!$E$10/1000*Parametros!$E$11</f>
        <v>1.32389775</v>
      </c>
      <c r="H23" s="5" t="n">
        <f aca="false">F23/G23</f>
        <v>1665.53648119728</v>
      </c>
      <c r="I23" s="5" t="n">
        <f aca="false">ASINH(E23/(2*H23*SINH(D23/(2*H23))))</f>
        <v>0.0484733530951724</v>
      </c>
      <c r="J23" s="5" t="n">
        <f aca="false">D23/2-H23*I23</f>
        <v>-56.6509487883822</v>
      </c>
      <c r="K23" s="5" t="n">
        <f aca="false">-J23/H23</f>
        <v>0.0340136343021789</v>
      </c>
      <c r="L23" s="5" t="n">
        <f aca="false">(D23-J23)/H23</f>
        <v>0.0629330718881658</v>
      </c>
      <c r="M23" s="5" t="n">
        <f aca="false">H23*(SINH(L23)-SINH(K23))</f>
        <v>48.2246573013865</v>
      </c>
      <c r="N23" s="5" t="n">
        <f aca="false">M23*Parametros!$E$5</f>
        <v>144.673971904159</v>
      </c>
    </row>
    <row r="24" customFormat="false" ht="21" hidden="false" customHeight="true" outlineLevel="0" collapsed="false">
      <c r="A24" s="1" t="s">
        <v>249</v>
      </c>
      <c r="B24" s="1" t="s">
        <v>123</v>
      </c>
      <c r="C24" s="1" t="s">
        <v>124</v>
      </c>
      <c r="D24" s="5" t="n">
        <f aca="false">SQRT((INDEX(Postes!$B$7:$B$117,MATCH(C24,Postes!$A$7:$A$117,0))-INDEX(Postes!$B$7:$B$117,MATCH(B24,Postes!$A$7:$A$117,0)))^2+(INDEX(Postes!$C$7:$C$117,MATCH(C24,Postes!$A$7:$A$117,0))-INDEX(Postes!$C$7:$C$117,MATCH(B24,Postes!$A$7:$A$117,0)))^2)</f>
        <v>48.0464084334921</v>
      </c>
      <c r="E24" s="5" t="n">
        <f aca="false">INDEX(Postes!$D$7:$D$117,MATCH(C24,Postes!$A$7:$A$117,0))+INDEX(Postes!$G$7:$G$117,MATCH(C24,Postes!$A$7:$A$117,0))-INDEX(Postes!$D$7:$D$117,MATCH(B24,Postes!$A$7:$A$117,0))-INDEX(Postes!$G$7:$G$117,MATCH(B24,Postes!$A$7:$A$117,0))</f>
        <v>4.08132371244883</v>
      </c>
      <c r="F24" s="5" t="n">
        <f aca="false">Parametros!$E$8*Parametros!$E$9</f>
        <v>2205</v>
      </c>
      <c r="G24" s="5" t="n">
        <f aca="false">Parametros!$E$10/1000*Parametros!$E$11</f>
        <v>1.32389775</v>
      </c>
      <c r="H24" s="5" t="n">
        <f aca="false">F24/G24</f>
        <v>1665.53648119728</v>
      </c>
      <c r="I24" s="5" t="n">
        <f aca="false">ASINH(E24/(2*H24*SINH(D24/(2*H24))))</f>
        <v>0.0848406868062088</v>
      </c>
      <c r="J24" s="5" t="n">
        <f aca="false">D24/2-H24*I24</f>
        <v>-117.282054748828</v>
      </c>
      <c r="K24" s="5" t="n">
        <f aca="false">-J24/H24</f>
        <v>0.0704169834001587</v>
      </c>
      <c r="L24" s="5" t="n">
        <f aca="false">(D24-J24)/H24</f>
        <v>0.099264390212259</v>
      </c>
      <c r="M24" s="5" t="n">
        <f aca="false">H24*(SINH(L24)-SINH(K24))</f>
        <v>48.221101784856</v>
      </c>
      <c r="N24" s="5" t="n">
        <f aca="false">M24*Parametros!$E$5</f>
        <v>144.663305354568</v>
      </c>
    </row>
    <row r="25" customFormat="false" ht="21" hidden="false" customHeight="true" outlineLevel="0" collapsed="false">
      <c r="A25" s="1" t="s">
        <v>250</v>
      </c>
      <c r="B25" s="1" t="s">
        <v>124</v>
      </c>
      <c r="C25" s="1" t="s">
        <v>125</v>
      </c>
      <c r="D25" s="5" t="n">
        <f aca="false">SQRT((INDEX(Postes!$B$7:$B$117,MATCH(C25,Postes!$A$7:$A$117,0))-INDEX(Postes!$B$7:$B$117,MATCH(B25,Postes!$A$7:$A$117,0)))^2+(INDEX(Postes!$C$7:$C$117,MATCH(C25,Postes!$A$7:$A$117,0))-INDEX(Postes!$C$7:$C$117,MATCH(B25,Postes!$A$7:$A$117,0)))^2)</f>
        <v>26</v>
      </c>
      <c r="E25" s="5" t="n">
        <f aca="false">INDEX(Postes!$D$7:$D$117,MATCH(C25,Postes!$A$7:$A$117,0))+INDEX(Postes!$G$7:$G$117,MATCH(C25,Postes!$A$7:$A$117,0))-INDEX(Postes!$D$7:$D$117,MATCH(B25,Postes!$A$7:$A$117,0))-INDEX(Postes!$G$7:$G$117,MATCH(B25,Postes!$A$7:$A$117,0))</f>
        <v>4.79572382813503</v>
      </c>
      <c r="F25" s="5" t="n">
        <f aca="false">Parametros!$E$8*Parametros!$E$9</f>
        <v>2205</v>
      </c>
      <c r="G25" s="5" t="n">
        <f aca="false">Parametros!$E$10/1000*Parametros!$E$11</f>
        <v>1.32389775</v>
      </c>
      <c r="H25" s="5" t="n">
        <f aca="false">F25/G25</f>
        <v>1665.53648119728</v>
      </c>
      <c r="I25" s="5" t="n">
        <f aca="false">ASINH(E25/(2*H25*SINH(D25/(2*H25))))</f>
        <v>0.183418867950948</v>
      </c>
      <c r="J25" s="5" t="n">
        <f aca="false">D25/2-H25*I25</f>
        <v>-292.490815912211</v>
      </c>
      <c r="K25" s="5" t="n">
        <f aca="false">-J25/H25</f>
        <v>0.175613575093805</v>
      </c>
      <c r="L25" s="5" t="n">
        <f aca="false">(D25-J25)/H25</f>
        <v>0.191224160808091</v>
      </c>
      <c r="M25" s="5" t="n">
        <f aca="false">H25*(SINH(L25)-SINH(K25))</f>
        <v>26.4388482169519</v>
      </c>
      <c r="N25" s="5" t="n">
        <f aca="false">M25*Parametros!$E$5</f>
        <v>79.3165446508556</v>
      </c>
    </row>
    <row r="26" customFormat="false" ht="21" hidden="false" customHeight="true" outlineLevel="0" collapsed="false">
      <c r="A26" s="1" t="s">
        <v>251</v>
      </c>
      <c r="B26" s="1" t="s">
        <v>125</v>
      </c>
      <c r="C26" s="1" t="s">
        <v>126</v>
      </c>
      <c r="D26" s="5" t="n">
        <f aca="false">SQRT((INDEX(Postes!$B$7:$B$117,MATCH(C26,Postes!$A$7:$A$117,0))-INDEX(Postes!$B$7:$B$117,MATCH(B26,Postes!$A$7:$A$117,0)))^2+(INDEX(Postes!$C$7:$C$117,MATCH(C26,Postes!$A$7:$A$117,0))-INDEX(Postes!$C$7:$C$117,MATCH(B26,Postes!$A$7:$A$117,0)))^2)</f>
        <v>26.3058928759318</v>
      </c>
      <c r="E26" s="5" t="n">
        <f aca="false">INDEX(Postes!$D$7:$D$117,MATCH(C26,Postes!$A$7:$A$117,0))+INDEX(Postes!$G$7:$G$117,MATCH(C26,Postes!$A$7:$A$117,0))-INDEX(Postes!$D$7:$D$117,MATCH(B26,Postes!$A$7:$A$117,0))-INDEX(Postes!$G$7:$G$117,MATCH(B26,Postes!$A$7:$A$117,0))</f>
        <v>2.90293645517195</v>
      </c>
      <c r="F26" s="5" t="n">
        <f aca="false">Parametros!$E$8*Parametros!$E$9</f>
        <v>2205</v>
      </c>
      <c r="G26" s="5" t="n">
        <f aca="false">Parametros!$E$10/1000*Parametros!$E$11</f>
        <v>1.32389775</v>
      </c>
      <c r="H26" s="5" t="n">
        <f aca="false">F26/G26</f>
        <v>1665.53648119728</v>
      </c>
      <c r="I26" s="5" t="n">
        <f aca="false">ASINH(E26/(2*H26*SINH(D26/(2*H26))))</f>
        <v>0.110129187971662</v>
      </c>
      <c r="J26" s="5" t="n">
        <f aca="false">D26/2-H26*I26</f>
        <v>-170.271233773469</v>
      </c>
      <c r="K26" s="5" t="n">
        <f aca="false">-J26/H26</f>
        <v>0.102232064980689</v>
      </c>
      <c r="L26" s="5" t="n">
        <f aca="false">(D26-J26)/H26</f>
        <v>0.118026310962634</v>
      </c>
      <c r="M26" s="5" t="n">
        <f aca="false">H26*(SINH(L26)-SINH(K26))</f>
        <v>26.465853955722</v>
      </c>
      <c r="N26" s="5" t="n">
        <f aca="false">M26*Parametros!$E$5</f>
        <v>79.397561867166</v>
      </c>
    </row>
    <row r="27" customFormat="false" ht="21" hidden="false" customHeight="true" outlineLevel="0" collapsed="false">
      <c r="A27" s="1" t="s">
        <v>252</v>
      </c>
      <c r="B27" s="1" t="s">
        <v>126</v>
      </c>
      <c r="C27" s="1" t="s">
        <v>127</v>
      </c>
      <c r="D27" s="5" t="n">
        <f aca="false">SQRT((INDEX(Postes!$B$7:$B$117,MATCH(C27,Postes!$A$7:$A$117,0))-INDEX(Postes!$B$7:$B$117,MATCH(B27,Postes!$A$7:$A$117,0)))^2+(INDEX(Postes!$C$7:$C$117,MATCH(C27,Postes!$A$7:$A$117,0))-INDEX(Postes!$C$7:$C$117,MATCH(B27,Postes!$A$7:$A$117,0)))^2)</f>
        <v>61.3478243756995</v>
      </c>
      <c r="E27" s="5" t="n">
        <f aca="false">INDEX(Postes!$D$7:$D$117,MATCH(C27,Postes!$A$7:$A$117,0))+INDEX(Postes!$G$7:$G$117,MATCH(C27,Postes!$A$7:$A$117,0))-INDEX(Postes!$D$7:$D$117,MATCH(B27,Postes!$A$7:$A$117,0))-INDEX(Postes!$G$7:$G$117,MATCH(B27,Postes!$A$7:$A$117,0))</f>
        <v>10.972472814823</v>
      </c>
      <c r="F27" s="5" t="n">
        <f aca="false">Parametros!$E$8*Parametros!$E$9</f>
        <v>2205</v>
      </c>
      <c r="G27" s="5" t="n">
        <f aca="false">Parametros!$E$10/1000*Parametros!$E$11</f>
        <v>1.32389775</v>
      </c>
      <c r="H27" s="5" t="n">
        <f aca="false">F27/G27</f>
        <v>1665.53648119728</v>
      </c>
      <c r="I27" s="5" t="n">
        <f aca="false">ASINH(E27/(2*H27*SINH(D27/(2*H27))))</f>
        <v>0.177906677637675</v>
      </c>
      <c r="J27" s="5" t="n">
        <f aca="false">D27/2-H27*I27</f>
        <v>-265.636149666303</v>
      </c>
      <c r="K27" s="5" t="n">
        <f aca="false">-J27/H27</f>
        <v>0.159489841660717</v>
      </c>
      <c r="L27" s="5" t="n">
        <f aca="false">(D27-J27)/H27</f>
        <v>0.196323513614633</v>
      </c>
      <c r="M27" s="5" t="n">
        <f aca="false">H27*(SINH(L27)-SINH(K27))</f>
        <v>62.3247642751016</v>
      </c>
      <c r="N27" s="5" t="n">
        <f aca="false">M27*Parametros!$E$5</f>
        <v>186.974292825305</v>
      </c>
    </row>
    <row r="28" customFormat="false" ht="21" hidden="false" customHeight="true" outlineLevel="0" collapsed="false">
      <c r="A28" s="1" t="s">
        <v>253</v>
      </c>
      <c r="B28" s="1" t="s">
        <v>127</v>
      </c>
      <c r="C28" s="1" t="s">
        <v>128</v>
      </c>
      <c r="D28" s="5" t="n">
        <f aca="false">SQRT((INDEX(Postes!$B$7:$B$117,MATCH(C28,Postes!$A$7:$A$117,0))-INDEX(Postes!$B$7:$B$117,MATCH(B28,Postes!$A$7:$A$117,0)))^2+(INDEX(Postes!$C$7:$C$117,MATCH(C28,Postes!$A$7:$A$117,0))-INDEX(Postes!$C$7:$C$117,MATCH(B28,Postes!$A$7:$A$117,0)))^2)</f>
        <v>61.3478243738385</v>
      </c>
      <c r="E28" s="5" t="n">
        <f aca="false">INDEX(Postes!$D$7:$D$117,MATCH(C28,Postes!$A$7:$A$117,0))+INDEX(Postes!$G$7:$G$117,MATCH(C28,Postes!$A$7:$A$117,0))-INDEX(Postes!$D$7:$D$117,MATCH(B28,Postes!$A$7:$A$117,0))-INDEX(Postes!$G$7:$G$117,MATCH(B28,Postes!$A$7:$A$117,0))</f>
        <v>9.0160885470099</v>
      </c>
      <c r="F28" s="5" t="n">
        <f aca="false">Parametros!$E$8*Parametros!$E$9</f>
        <v>2205</v>
      </c>
      <c r="G28" s="5" t="n">
        <f aca="false">Parametros!$E$10/1000*Parametros!$E$11</f>
        <v>1.32389775</v>
      </c>
      <c r="H28" s="5" t="n">
        <f aca="false">F28/G28</f>
        <v>1665.53648119728</v>
      </c>
      <c r="I28" s="5" t="n">
        <f aca="false">ASINH(E28/(2*H28*SINH(D28/(2*H28))))</f>
        <v>0.146434517030712</v>
      </c>
      <c r="J28" s="5" t="n">
        <f aca="false">D28/2-H28*I28</f>
        <v>-213.218118034236</v>
      </c>
      <c r="K28" s="5" t="n">
        <f aca="false">-J28/H28</f>
        <v>0.128017681054313</v>
      </c>
      <c r="L28" s="5" t="n">
        <f aca="false">(D28-J28)/H28</f>
        <v>0.164851353007111</v>
      </c>
      <c r="M28" s="5" t="n">
        <f aca="false">H28*(SINH(L28)-SINH(K28))</f>
        <v>62.0102486266109</v>
      </c>
      <c r="N28" s="5" t="n">
        <f aca="false">M28*Parametros!$E$5</f>
        <v>186.030745879833</v>
      </c>
    </row>
    <row r="29" customFormat="false" ht="21" hidden="false" customHeight="true" outlineLevel="0" collapsed="false">
      <c r="A29" s="1" t="s">
        <v>254</v>
      </c>
      <c r="B29" s="1" t="s">
        <v>128</v>
      </c>
      <c r="C29" s="1" t="s">
        <v>129</v>
      </c>
      <c r="D29" s="5" t="n">
        <f aca="false">SQRT((INDEX(Postes!$B$7:$B$117,MATCH(C29,Postes!$A$7:$A$117,0))-INDEX(Postes!$B$7:$B$117,MATCH(B29,Postes!$A$7:$A$117,0)))^2+(INDEX(Postes!$C$7:$C$117,MATCH(C29,Postes!$A$7:$A$117,0))-INDEX(Postes!$C$7:$C$117,MATCH(B29,Postes!$A$7:$A$117,0)))^2)</f>
        <v>61.3478243756995</v>
      </c>
      <c r="E29" s="5" t="n">
        <f aca="false">INDEX(Postes!$D$7:$D$117,MATCH(C29,Postes!$A$7:$A$117,0))+INDEX(Postes!$G$7:$G$117,MATCH(C29,Postes!$A$7:$A$117,0))-INDEX(Postes!$D$7:$D$117,MATCH(B29,Postes!$A$7:$A$117,0))-INDEX(Postes!$G$7:$G$117,MATCH(B29,Postes!$A$7:$A$117,0))</f>
        <v>10.6595641759978</v>
      </c>
      <c r="F29" s="5" t="n">
        <f aca="false">Parametros!$E$8*Parametros!$E$9</f>
        <v>2205</v>
      </c>
      <c r="G29" s="5" t="n">
        <f aca="false">Parametros!$E$10/1000*Parametros!$E$11</f>
        <v>1.32389775</v>
      </c>
      <c r="H29" s="5" t="n">
        <f aca="false">F29/G29</f>
        <v>1665.53648119728</v>
      </c>
      <c r="I29" s="5" t="n">
        <f aca="false">ASINH(E29/(2*H29*SINH(D29/(2*H29))))</f>
        <v>0.172883863080828</v>
      </c>
      <c r="J29" s="5" t="n">
        <f aca="false">D29/2-H29*I29</f>
        <v>-257.270468783585</v>
      </c>
      <c r="K29" s="5" t="n">
        <f aca="false">-J29/H29</f>
        <v>0.15446702710387</v>
      </c>
      <c r="L29" s="5" t="n">
        <f aca="false">(D29-J29)/H29</f>
        <v>0.191300699057785</v>
      </c>
      <c r="M29" s="5" t="n">
        <f aca="false">H29*(SINH(L29)-SINH(K29))</f>
        <v>62.2704375341716</v>
      </c>
      <c r="N29" s="5" t="n">
        <f aca="false">M29*Parametros!$E$5</f>
        <v>186.811312602515</v>
      </c>
    </row>
    <row r="30" customFormat="false" ht="21" hidden="false" customHeight="true" outlineLevel="0" collapsed="false">
      <c r="A30" s="1" t="s">
        <v>255</v>
      </c>
      <c r="B30" s="1" t="s">
        <v>129</v>
      </c>
      <c r="C30" s="1" t="s">
        <v>130</v>
      </c>
      <c r="D30" s="5" t="n">
        <f aca="false">SQRT((INDEX(Postes!$B$7:$B$117,MATCH(C30,Postes!$A$7:$A$117,0))-INDEX(Postes!$B$7:$B$117,MATCH(B30,Postes!$A$7:$A$117,0)))^2+(INDEX(Postes!$C$7:$C$117,MATCH(C30,Postes!$A$7:$A$117,0))-INDEX(Postes!$C$7:$C$117,MATCH(B30,Postes!$A$7:$A$117,0)))^2)</f>
        <v>73.109506905737</v>
      </c>
      <c r="E30" s="5" t="n">
        <f aca="false">INDEX(Postes!$D$7:$D$117,MATCH(C30,Postes!$A$7:$A$117,0))+INDEX(Postes!$G$7:$G$117,MATCH(C30,Postes!$A$7:$A$117,0))-INDEX(Postes!$D$7:$D$117,MATCH(B30,Postes!$A$7:$A$117,0))-INDEX(Postes!$G$7:$G$117,MATCH(B30,Postes!$A$7:$A$117,0))</f>
        <v>-2.11726832516724</v>
      </c>
      <c r="F30" s="5" t="n">
        <f aca="false">Parametros!$E$8*Parametros!$E$9</f>
        <v>2205</v>
      </c>
      <c r="G30" s="5" t="n">
        <f aca="false">Parametros!$E$10/1000*Parametros!$E$11</f>
        <v>1.32389775</v>
      </c>
      <c r="H30" s="5" t="n">
        <f aca="false">F30/G30</f>
        <v>1665.53648119728</v>
      </c>
      <c r="I30" s="5" t="n">
        <f aca="false">ASINH(E30/(2*H30*SINH(D30/(2*H30))))</f>
        <v>-0.0289538620577665</v>
      </c>
      <c r="J30" s="5" t="n">
        <f aca="false">D30/2-H30*I30</f>
        <v>84.7784669816324</v>
      </c>
      <c r="K30" s="5" t="n">
        <f aca="false">-J30/H30</f>
        <v>-0.0509015971362506</v>
      </c>
      <c r="L30" s="5" t="n">
        <f aca="false">(D30-J30)/H30</f>
        <v>-0.00700612697928247</v>
      </c>
      <c r="M30" s="5" t="n">
        <f aca="false">H30*(SINH(L30)-SINH(K30))</f>
        <v>73.1460259658488</v>
      </c>
      <c r="N30" s="5" t="n">
        <f aca="false">M30*Parametros!$E$5</f>
        <v>219.438077897546</v>
      </c>
    </row>
    <row r="31" customFormat="false" ht="21" hidden="false" customHeight="true" outlineLevel="0" collapsed="false">
      <c r="A31" s="1" t="s">
        <v>256</v>
      </c>
      <c r="B31" s="1" t="s">
        <v>130</v>
      </c>
      <c r="C31" s="1" t="s">
        <v>131</v>
      </c>
      <c r="D31" s="5" t="n">
        <f aca="false">SQRT((INDEX(Postes!$B$7:$B$117,MATCH(C31,Postes!$A$7:$A$117,0))-INDEX(Postes!$B$7:$B$117,MATCH(B31,Postes!$A$7:$A$117,0)))^2+(INDEX(Postes!$C$7:$C$117,MATCH(C31,Postes!$A$7:$A$117,0))-INDEX(Postes!$C$7:$C$117,MATCH(B31,Postes!$A$7:$A$117,0)))^2)</f>
        <v>73.109506905737</v>
      </c>
      <c r="E31" s="5" t="n">
        <f aca="false">INDEX(Postes!$D$7:$D$117,MATCH(C31,Postes!$A$7:$A$117,0))+INDEX(Postes!$G$7:$G$117,MATCH(C31,Postes!$A$7:$A$117,0))-INDEX(Postes!$D$7:$D$117,MATCH(B31,Postes!$A$7:$A$117,0))-INDEX(Postes!$G$7:$G$117,MATCH(B31,Postes!$A$7:$A$117,0))</f>
        <v>1.49158687482104</v>
      </c>
      <c r="F31" s="5" t="n">
        <f aca="false">Parametros!$E$8*Parametros!$E$9</f>
        <v>2205</v>
      </c>
      <c r="G31" s="5" t="n">
        <f aca="false">Parametros!$E$10/1000*Parametros!$E$11</f>
        <v>1.32389775</v>
      </c>
      <c r="H31" s="5" t="n">
        <f aca="false">F31/G31</f>
        <v>1665.53648119728</v>
      </c>
      <c r="I31" s="5" t="n">
        <f aca="false">ASINH(E31/(2*H31*SINH(D31/(2*H31))))</f>
        <v>0.0203990392076915</v>
      </c>
      <c r="J31" s="5" t="n">
        <f aca="false">D31/2-H31*I31</f>
        <v>2.57940947108461</v>
      </c>
      <c r="K31" s="5" t="n">
        <f aca="false">-J31/H31</f>
        <v>-0.00154869587079256</v>
      </c>
      <c r="L31" s="5" t="n">
        <f aca="false">(D31-J31)/H31</f>
        <v>0.0423467742861755</v>
      </c>
      <c r="M31" s="5" t="n">
        <f aca="false">H31*(SINH(L31)-SINH(K31))</f>
        <v>73.1305895015281</v>
      </c>
      <c r="N31" s="5" t="n">
        <f aca="false">M31*Parametros!$E$5</f>
        <v>219.391768504584</v>
      </c>
    </row>
    <row r="32" customFormat="false" ht="21" hidden="false" customHeight="true" outlineLevel="0" collapsed="false">
      <c r="A32" s="1" t="s">
        <v>257</v>
      </c>
      <c r="B32" s="1" t="s">
        <v>131</v>
      </c>
      <c r="C32" s="1" t="s">
        <v>132</v>
      </c>
      <c r="D32" s="5" t="n">
        <f aca="false">SQRT((INDEX(Postes!$B$7:$B$117,MATCH(C32,Postes!$A$7:$A$117,0))-INDEX(Postes!$B$7:$B$117,MATCH(B32,Postes!$A$7:$A$117,0)))^2+(INDEX(Postes!$C$7:$C$117,MATCH(C32,Postes!$A$7:$A$117,0))-INDEX(Postes!$C$7:$C$117,MATCH(B32,Postes!$A$7:$A$117,0)))^2)</f>
        <v>73.109506905737</v>
      </c>
      <c r="E32" s="5" t="n">
        <f aca="false">INDEX(Postes!$D$7:$D$117,MATCH(C32,Postes!$A$7:$A$117,0))+INDEX(Postes!$G$7:$G$117,MATCH(C32,Postes!$A$7:$A$117,0))-INDEX(Postes!$D$7:$D$117,MATCH(B32,Postes!$A$7:$A$117,0))-INDEX(Postes!$G$7:$G$117,MATCH(B32,Postes!$A$7:$A$117,0))</f>
        <v>6.83452766387709</v>
      </c>
      <c r="F32" s="5" t="n">
        <f aca="false">Parametros!$E$8*Parametros!$E$9</f>
        <v>2205</v>
      </c>
      <c r="G32" s="5" t="n">
        <f aca="false">Parametros!$E$10/1000*Parametros!$E$11</f>
        <v>1.32389775</v>
      </c>
      <c r="H32" s="5" t="n">
        <f aca="false">F32/G32</f>
        <v>1665.53648119728</v>
      </c>
      <c r="I32" s="5" t="n">
        <f aca="false">ASINH(E32/(2*H32*SINH(D32/(2*H32))))</f>
        <v>0.0933403321346725</v>
      </c>
      <c r="J32" s="5" t="n">
        <f aca="false">D32/2-H32*I32</f>
        <v>-118.9069748845</v>
      </c>
      <c r="K32" s="5" t="n">
        <f aca="false">-J32/H32</f>
        <v>0.0713925970561885</v>
      </c>
      <c r="L32" s="5" t="n">
        <f aca="false">(D32-J32)/H32</f>
        <v>0.115288067213157</v>
      </c>
      <c r="M32" s="5" t="n">
        <f aca="false">H32*(SINH(L32)-SINH(K32))</f>
        <v>73.4341137198793</v>
      </c>
      <c r="N32" s="5" t="n">
        <f aca="false">M32*Parametros!$E$5</f>
        <v>220.302341159638</v>
      </c>
    </row>
    <row r="33" customFormat="false" ht="21" hidden="false" customHeight="true" outlineLevel="0" collapsed="false">
      <c r="A33" s="1" t="s">
        <v>258</v>
      </c>
      <c r="B33" s="1" t="s">
        <v>132</v>
      </c>
      <c r="C33" s="1" t="s">
        <v>133</v>
      </c>
      <c r="D33" s="5" t="n">
        <f aca="false">SQRT((INDEX(Postes!$B$7:$B$117,MATCH(C33,Postes!$A$7:$A$117,0))-INDEX(Postes!$B$7:$B$117,MATCH(B33,Postes!$A$7:$A$117,0)))^2+(INDEX(Postes!$C$7:$C$117,MATCH(C33,Postes!$A$7:$A$117,0))-INDEX(Postes!$C$7:$C$117,MATCH(B33,Postes!$A$7:$A$117,0)))^2)</f>
        <v>73.109506905737</v>
      </c>
      <c r="E33" s="5" t="n">
        <f aca="false">INDEX(Postes!$D$7:$D$117,MATCH(C33,Postes!$A$7:$A$117,0))+INDEX(Postes!$G$7:$G$117,MATCH(C33,Postes!$A$7:$A$117,0))-INDEX(Postes!$D$7:$D$117,MATCH(B33,Postes!$A$7:$A$117,0))-INDEX(Postes!$G$7:$G$117,MATCH(B33,Postes!$A$7:$A$117,0))</f>
        <v>8.18310188827318</v>
      </c>
      <c r="F33" s="5" t="n">
        <f aca="false">Parametros!$E$8*Parametros!$E$9</f>
        <v>2205</v>
      </c>
      <c r="G33" s="5" t="n">
        <f aca="false">Parametros!$E$10/1000*Parametros!$E$11</f>
        <v>1.32389775</v>
      </c>
      <c r="H33" s="5" t="n">
        <f aca="false">F33/G33</f>
        <v>1665.53648119728</v>
      </c>
      <c r="I33" s="5" t="n">
        <f aca="false">ASINH(E33/(2*H33*SINH(D33/(2*H33))))</f>
        <v>0.111688047448125</v>
      </c>
      <c r="J33" s="5" t="n">
        <f aca="false">D33/2-H33*I33</f>
        <v>-149.465764085677</v>
      </c>
      <c r="K33" s="5" t="n">
        <f aca="false">-J33/H33</f>
        <v>0.0897403123696413</v>
      </c>
      <c r="L33" s="5" t="n">
        <f aca="false">(D33-J33)/H33</f>
        <v>0.133635782526609</v>
      </c>
      <c r="M33" s="5" t="n">
        <f aca="false">H33*(SINH(L33)-SINH(K33))</f>
        <v>73.5718794509813</v>
      </c>
      <c r="N33" s="5" t="n">
        <f aca="false">M33*Parametros!$E$5</f>
        <v>220.715638352944</v>
      </c>
    </row>
    <row r="34" customFormat="false" ht="21" hidden="false" customHeight="true" outlineLevel="0" collapsed="false">
      <c r="A34" s="1" t="s">
        <v>259</v>
      </c>
      <c r="B34" s="1" t="s">
        <v>133</v>
      </c>
      <c r="C34" s="1" t="s">
        <v>134</v>
      </c>
      <c r="D34" s="5" t="n">
        <f aca="false">SQRT((INDEX(Postes!$B$7:$B$117,MATCH(C34,Postes!$A$7:$A$117,0))-INDEX(Postes!$B$7:$B$117,MATCH(B34,Postes!$A$7:$A$117,0)))^2+(INDEX(Postes!$C$7:$C$117,MATCH(C34,Postes!$A$7:$A$117,0))-INDEX(Postes!$C$7:$C$117,MATCH(B34,Postes!$A$7:$A$117,0)))^2)</f>
        <v>59.012595568569</v>
      </c>
      <c r="E34" s="5" t="n">
        <f aca="false">INDEX(Postes!$D$7:$D$117,MATCH(C34,Postes!$A$7:$A$117,0))+INDEX(Postes!$G$7:$G$117,MATCH(C34,Postes!$A$7:$A$117,0))-INDEX(Postes!$D$7:$D$117,MATCH(B34,Postes!$A$7:$A$117,0))-INDEX(Postes!$G$7:$G$117,MATCH(B34,Postes!$A$7:$A$117,0))</f>
        <v>5.31581794660506</v>
      </c>
      <c r="F34" s="5" t="n">
        <f aca="false">Parametros!$E$8*Parametros!$E$9</f>
        <v>2205</v>
      </c>
      <c r="G34" s="5" t="n">
        <f aca="false">Parametros!$E$10/1000*Parametros!$E$11</f>
        <v>1.32389775</v>
      </c>
      <c r="H34" s="5" t="n">
        <f aca="false">F34/G34</f>
        <v>1665.53648119728</v>
      </c>
      <c r="I34" s="5" t="n">
        <f aca="false">ASINH(E34/(2*H34*SINH(D34/(2*H34))))</f>
        <v>0.0899533069396683</v>
      </c>
      <c r="J34" s="5" t="n">
        <f aca="false">D34/2-H34*I34</f>
        <v>-120.31421652807</v>
      </c>
      <c r="K34" s="5" t="n">
        <f aca="false">-J34/H34</f>
        <v>0.072237514990714</v>
      </c>
      <c r="L34" s="5" t="n">
        <f aca="false">(D34-J34)/H34</f>
        <v>0.107669098888623</v>
      </c>
      <c r="M34" s="5" t="n">
        <f aca="false">H34*(SINH(L34)-SINH(K34))</f>
        <v>59.2546090757415</v>
      </c>
      <c r="N34" s="5" t="n">
        <f aca="false">M34*Parametros!$E$5</f>
        <v>177.763827227225</v>
      </c>
    </row>
    <row r="35" customFormat="false" ht="21" hidden="false" customHeight="true" outlineLevel="0" collapsed="false">
      <c r="A35" s="1" t="s">
        <v>260</v>
      </c>
      <c r="B35" s="1" t="s">
        <v>134</v>
      </c>
      <c r="C35" s="1" t="s">
        <v>135</v>
      </c>
      <c r="D35" s="5" t="n">
        <f aca="false">SQRT((INDEX(Postes!$B$7:$B$117,MATCH(C35,Postes!$A$7:$A$117,0))-INDEX(Postes!$B$7:$B$117,MATCH(B35,Postes!$A$7:$A$117,0)))^2+(INDEX(Postes!$C$7:$C$117,MATCH(C35,Postes!$A$7:$A$117,0))-INDEX(Postes!$C$7:$C$117,MATCH(B35,Postes!$A$7:$A$117,0)))^2)</f>
        <v>14.142135623731</v>
      </c>
      <c r="E35" s="5" t="n">
        <f aca="false">INDEX(Postes!$D$7:$D$117,MATCH(C35,Postes!$A$7:$A$117,0))+INDEX(Postes!$G$7:$G$117,MATCH(C35,Postes!$A$7:$A$117,0))-INDEX(Postes!$D$7:$D$117,MATCH(B35,Postes!$A$7:$A$117,0))-INDEX(Postes!$G$7:$G$117,MATCH(B35,Postes!$A$7:$A$117,0))</f>
        <v>3.34932084785523</v>
      </c>
      <c r="F35" s="5" t="n">
        <f aca="false">Parametros!$E$8*Parametros!$E$9</f>
        <v>2205</v>
      </c>
      <c r="G35" s="5" t="n">
        <f aca="false">Parametros!$E$10/1000*Parametros!$E$11</f>
        <v>1.32389775</v>
      </c>
      <c r="H35" s="5" t="n">
        <f aca="false">F35/G35</f>
        <v>1665.53648119728</v>
      </c>
      <c r="I35" s="5" t="n">
        <f aca="false">ASINH(E35/(2*H35*SINH(D35/(2*H35))))</f>
        <v>0.234672158885935</v>
      </c>
      <c r="J35" s="5" t="n">
        <f aca="false">D35/2-H35*I35</f>
        <v>-383.783973933984</v>
      </c>
      <c r="K35" s="5" t="n">
        <f aca="false">-J35/H35</f>
        <v>0.230426639264064</v>
      </c>
      <c r="L35" s="5" t="n">
        <f aca="false">(D35-J35)/H35</f>
        <v>0.238917678507806</v>
      </c>
      <c r="M35" s="5" t="n">
        <f aca="false">H35*(SINH(L35)-SINH(K35))</f>
        <v>14.5333806037648</v>
      </c>
      <c r="N35" s="5" t="n">
        <f aca="false">M35*Parametros!$E$5</f>
        <v>43.6001418112944</v>
      </c>
    </row>
    <row r="36" customFormat="false" ht="21" hidden="false" customHeight="true" outlineLevel="0" collapsed="false">
      <c r="A36" s="1" t="s">
        <v>261</v>
      </c>
      <c r="B36" s="1" t="s">
        <v>135</v>
      </c>
      <c r="C36" s="1" t="s">
        <v>136</v>
      </c>
      <c r="D36" s="5" t="n">
        <f aca="false">SQRT((INDEX(Postes!$B$7:$B$117,MATCH(C36,Postes!$A$7:$A$117,0))-INDEX(Postes!$B$7:$B$117,MATCH(B36,Postes!$A$7:$A$117,0)))^2+(INDEX(Postes!$C$7:$C$117,MATCH(C36,Postes!$A$7:$A$117,0))-INDEX(Postes!$C$7:$C$117,MATCH(B36,Postes!$A$7:$A$117,0)))^2)</f>
        <v>81.9021902153393</v>
      </c>
      <c r="E36" s="5" t="n">
        <f aca="false">INDEX(Postes!$D$7:$D$117,MATCH(C36,Postes!$A$7:$A$117,0))+INDEX(Postes!$G$7:$G$117,MATCH(C36,Postes!$A$7:$A$117,0))-INDEX(Postes!$D$7:$D$117,MATCH(B36,Postes!$A$7:$A$117,0))-INDEX(Postes!$G$7:$G$117,MATCH(B36,Postes!$A$7:$A$117,0))</f>
        <v>8.12235958309939</v>
      </c>
      <c r="F36" s="5" t="n">
        <f aca="false">Parametros!$E$8*Parametros!$E$9</f>
        <v>2205</v>
      </c>
      <c r="G36" s="5" t="n">
        <f aca="false">Parametros!$E$10/1000*Parametros!$E$11</f>
        <v>1.32389775</v>
      </c>
      <c r="H36" s="5" t="n">
        <f aca="false">F36/G36</f>
        <v>1665.53648119728</v>
      </c>
      <c r="I36" s="5" t="n">
        <f aca="false">ASINH(E36/(2*H36*SINH(D36/(2*H36))))</f>
        <v>0.0989996719986421</v>
      </c>
      <c r="J36" s="5" t="n">
        <f aca="false">D36/2-H36*I36</f>
        <v>-123.936470232634</v>
      </c>
      <c r="K36" s="5" t="n">
        <f aca="false">-J36/H36</f>
        <v>0.0744123419881751</v>
      </c>
      <c r="L36" s="5" t="n">
        <f aca="false">(D36-J36)/H36</f>
        <v>0.123587002009109</v>
      </c>
      <c r="M36" s="5" t="n">
        <f aca="false">H36*(SINH(L36)-SINH(K36))</f>
        <v>82.3121700249214</v>
      </c>
      <c r="N36" s="5" t="n">
        <f aca="false">M36*Parametros!$E$5</f>
        <v>246.936510074764</v>
      </c>
    </row>
    <row r="37" customFormat="false" ht="21" hidden="false" customHeight="true" outlineLevel="0" collapsed="false">
      <c r="A37" s="1" t="s">
        <v>262</v>
      </c>
      <c r="B37" s="1" t="s">
        <v>136</v>
      </c>
      <c r="C37" s="1" t="s">
        <v>137</v>
      </c>
      <c r="D37" s="5" t="n">
        <f aca="false">SQRT((INDEX(Postes!$B$7:$B$117,MATCH(C37,Postes!$A$7:$A$117,0))-INDEX(Postes!$B$7:$B$117,MATCH(B37,Postes!$A$7:$A$117,0)))^2+(INDEX(Postes!$C$7:$C$117,MATCH(C37,Postes!$A$7:$A$117,0))-INDEX(Postes!$C$7:$C$117,MATCH(B37,Postes!$A$7:$A$117,0)))^2)</f>
        <v>81.9021902153393</v>
      </c>
      <c r="E37" s="5" t="n">
        <f aca="false">INDEX(Postes!$D$7:$D$117,MATCH(C37,Postes!$A$7:$A$117,0))+INDEX(Postes!$G$7:$G$117,MATCH(C37,Postes!$A$7:$A$117,0))-INDEX(Postes!$D$7:$D$117,MATCH(B37,Postes!$A$7:$A$117,0))-INDEX(Postes!$G$7:$G$117,MATCH(B37,Postes!$A$7:$A$117,0))</f>
        <v>4.34657977362013</v>
      </c>
      <c r="F37" s="5" t="n">
        <f aca="false">Parametros!$E$8*Parametros!$E$9</f>
        <v>2205</v>
      </c>
      <c r="G37" s="5" t="n">
        <f aca="false">Parametros!$E$10/1000*Parametros!$E$11</f>
        <v>1.32389775</v>
      </c>
      <c r="H37" s="5" t="n">
        <f aca="false">F37/G37</f>
        <v>1665.53648119728</v>
      </c>
      <c r="I37" s="5" t="n">
        <f aca="false">ASINH(E37/(2*H37*SINH(D37/(2*H37))))</f>
        <v>0.053040153312028</v>
      </c>
      <c r="J37" s="5" t="n">
        <f aca="false">D37/2-H37*I37</f>
        <v>-47.3892152018099</v>
      </c>
      <c r="K37" s="5" t="n">
        <f aca="false">-J37/H37</f>
        <v>0.0284528233015609</v>
      </c>
      <c r="L37" s="5" t="n">
        <f aca="false">(D37-J37)/H37</f>
        <v>0.077627483322495</v>
      </c>
      <c r="M37" s="5" t="n">
        <f aca="false">H37*(SINH(L37)-SINH(K37))</f>
        <v>82.0256872250568</v>
      </c>
      <c r="N37" s="5" t="n">
        <f aca="false">M37*Parametros!$E$5</f>
        <v>246.07706167517</v>
      </c>
    </row>
    <row r="38" customFormat="false" ht="21" hidden="false" customHeight="true" outlineLevel="0" collapsed="false">
      <c r="A38" s="1" t="s">
        <v>263</v>
      </c>
      <c r="B38" s="1" t="s">
        <v>137</v>
      </c>
      <c r="C38" s="1" t="s">
        <v>138</v>
      </c>
      <c r="D38" s="5" t="n">
        <f aca="false">SQRT((INDEX(Postes!$B$7:$B$117,MATCH(C38,Postes!$A$7:$A$117,0))-INDEX(Postes!$B$7:$B$117,MATCH(B38,Postes!$A$7:$A$117,0)))^2+(INDEX(Postes!$C$7:$C$117,MATCH(C38,Postes!$A$7:$A$117,0))-INDEX(Postes!$C$7:$C$117,MATCH(B38,Postes!$A$7:$A$117,0)))^2)</f>
        <v>73.4598199243593</v>
      </c>
      <c r="E38" s="5" t="n">
        <f aca="false">INDEX(Postes!$D$7:$D$117,MATCH(C38,Postes!$A$7:$A$117,0))+INDEX(Postes!$G$7:$G$117,MATCH(C38,Postes!$A$7:$A$117,0))-INDEX(Postes!$D$7:$D$117,MATCH(B38,Postes!$A$7:$A$117,0))-INDEX(Postes!$G$7:$G$117,MATCH(B38,Postes!$A$7:$A$117,0))</f>
        <v>4.67190123358441</v>
      </c>
      <c r="F38" s="5" t="n">
        <f aca="false">Parametros!$E$8*Parametros!$E$9</f>
        <v>2205</v>
      </c>
      <c r="G38" s="5" t="n">
        <f aca="false">Parametros!$E$10/1000*Parametros!$E$11</f>
        <v>1.32389775</v>
      </c>
      <c r="H38" s="5" t="n">
        <f aca="false">F38/G38</f>
        <v>1665.53648119728</v>
      </c>
      <c r="I38" s="5" t="n">
        <f aca="false">ASINH(E38/(2*H38*SINH(D38/(2*H38))))</f>
        <v>0.0635501100445075</v>
      </c>
      <c r="J38" s="5" t="n">
        <f aca="false">D38/2-H38*I38</f>
        <v>-69.1151167010494</v>
      </c>
      <c r="K38" s="5" t="n">
        <f aca="false">-J38/H38</f>
        <v>0.0414972097467151</v>
      </c>
      <c r="L38" s="5" t="n">
        <f aca="false">(D38-J38)/H38</f>
        <v>0.0856030103422999</v>
      </c>
      <c r="M38" s="5" t="n">
        <f aca="false">H38*(SINH(L38)-SINH(K38))</f>
        <v>73.6141743377919</v>
      </c>
      <c r="N38" s="5" t="n">
        <f aca="false">M38*Parametros!$E$5</f>
        <v>220.842523013376</v>
      </c>
    </row>
    <row r="39" customFormat="false" ht="21" hidden="false" customHeight="true" outlineLevel="0" collapsed="false">
      <c r="A39" s="1" t="s">
        <v>264</v>
      </c>
      <c r="B39" s="1" t="s">
        <v>138</v>
      </c>
      <c r="C39" s="1" t="s">
        <v>139</v>
      </c>
      <c r="D39" s="5" t="n">
        <f aca="false">SQRT((INDEX(Postes!$B$7:$B$117,MATCH(C39,Postes!$A$7:$A$117,0))-INDEX(Postes!$B$7:$B$117,MATCH(B39,Postes!$A$7:$A$117,0)))^2+(INDEX(Postes!$C$7:$C$117,MATCH(C39,Postes!$A$7:$A$117,0))-INDEX(Postes!$C$7:$C$117,MATCH(B39,Postes!$A$7:$A$117,0)))^2)</f>
        <v>73.4598199224964</v>
      </c>
      <c r="E39" s="5" t="n">
        <f aca="false">INDEX(Postes!$D$7:$D$117,MATCH(C39,Postes!$A$7:$A$117,0))+INDEX(Postes!$G$7:$G$117,MATCH(C39,Postes!$A$7:$A$117,0))-INDEX(Postes!$D$7:$D$117,MATCH(B39,Postes!$A$7:$A$117,0))-INDEX(Postes!$G$7:$G$117,MATCH(B39,Postes!$A$7:$A$117,0))</f>
        <v>7.67824067838783</v>
      </c>
      <c r="F39" s="5" t="n">
        <f aca="false">Parametros!$E$8*Parametros!$E$9</f>
        <v>2205</v>
      </c>
      <c r="G39" s="5" t="n">
        <f aca="false">Parametros!$E$10/1000*Parametros!$E$11</f>
        <v>1.32389775</v>
      </c>
      <c r="H39" s="5" t="n">
        <f aca="false">F39/G39</f>
        <v>1665.53648119728</v>
      </c>
      <c r="I39" s="5" t="n">
        <f aca="false">ASINH(E39/(2*H39*SINH(D39/(2*H39))))</f>
        <v>0.104325182845329</v>
      </c>
      <c r="J39" s="5" t="n">
        <f aca="false">D39/2-H39*I39</f>
        <v>-137.027487975223</v>
      </c>
      <c r="K39" s="5" t="n">
        <f aca="false">-J39/H39</f>
        <v>0.0822722825480954</v>
      </c>
      <c r="L39" s="5" t="n">
        <f aca="false">(D39-J39)/H39</f>
        <v>0.126378083142562</v>
      </c>
      <c r="M39" s="5" t="n">
        <f aca="false">H39*(SINH(L39)-SINH(K39))</f>
        <v>73.865928424003</v>
      </c>
      <c r="N39" s="5" t="n">
        <f aca="false">M39*Parametros!$E$5</f>
        <v>221.597785272009</v>
      </c>
    </row>
    <row r="40" customFormat="false" ht="21" hidden="false" customHeight="true" outlineLevel="0" collapsed="false">
      <c r="A40" s="1" t="s">
        <v>265</v>
      </c>
      <c r="B40" s="1" t="s">
        <v>139</v>
      </c>
      <c r="C40" s="1" t="s">
        <v>140</v>
      </c>
      <c r="D40" s="5" t="n">
        <f aca="false">SQRT((INDEX(Postes!$B$7:$B$117,MATCH(C40,Postes!$A$7:$A$117,0))-INDEX(Postes!$B$7:$B$117,MATCH(B40,Postes!$A$7:$A$117,0)))^2+(INDEX(Postes!$C$7:$C$117,MATCH(C40,Postes!$A$7:$A$117,0))-INDEX(Postes!$C$7:$C$117,MATCH(B40,Postes!$A$7:$A$117,0)))^2)</f>
        <v>73.459819924349</v>
      </c>
      <c r="E40" s="5" t="n">
        <f aca="false">INDEX(Postes!$D$7:$D$117,MATCH(C40,Postes!$A$7:$A$117,0))+INDEX(Postes!$G$7:$G$117,MATCH(C40,Postes!$A$7:$A$117,0))-INDEX(Postes!$D$7:$D$117,MATCH(B40,Postes!$A$7:$A$117,0))-INDEX(Postes!$G$7:$G$117,MATCH(B40,Postes!$A$7:$A$117,0))</f>
        <v>0.165979511226032</v>
      </c>
      <c r="F40" s="5" t="n">
        <f aca="false">Parametros!$E$8*Parametros!$E$9</f>
        <v>2205</v>
      </c>
      <c r="G40" s="5" t="n">
        <f aca="false">Parametros!$E$10/1000*Parametros!$E$11</f>
        <v>1.32389775</v>
      </c>
      <c r="H40" s="5" t="n">
        <f aca="false">F40/G40</f>
        <v>1665.53648119728</v>
      </c>
      <c r="I40" s="5" t="n">
        <f aca="false">ASINH(E40/(2*H40*SINH(D40/(2*H40))))</f>
        <v>0.00225927476393141</v>
      </c>
      <c r="J40" s="5" t="n">
        <f aca="false">D40/2-H40*I40</f>
        <v>32.9670054217984</v>
      </c>
      <c r="K40" s="5" t="n">
        <f aca="false">-J40/H40</f>
        <v>-0.0197936255338579</v>
      </c>
      <c r="L40" s="5" t="n">
        <f aca="false">(D40-J40)/H40</f>
        <v>0.0243121750617207</v>
      </c>
      <c r="M40" s="5" t="n">
        <f aca="false">H40*(SINH(L40)-SINH(K40))</f>
        <v>73.4659618564617</v>
      </c>
      <c r="N40" s="5" t="n">
        <f aca="false">M40*Parametros!$E$5</f>
        <v>220.397885569385</v>
      </c>
    </row>
    <row r="41" customFormat="false" ht="21" hidden="false" customHeight="true" outlineLevel="0" collapsed="false">
      <c r="A41" s="1" t="s">
        <v>266</v>
      </c>
      <c r="B41" s="1" t="s">
        <v>140</v>
      </c>
      <c r="C41" s="1" t="s">
        <v>141</v>
      </c>
      <c r="D41" s="5" t="n">
        <f aca="false">SQRT((INDEX(Postes!$B$7:$B$117,MATCH(C41,Postes!$A$7:$A$117,0))-INDEX(Postes!$B$7:$B$117,MATCH(B41,Postes!$A$7:$A$117,0)))^2+(INDEX(Postes!$C$7:$C$117,MATCH(C41,Postes!$A$7:$A$117,0))-INDEX(Postes!$C$7:$C$117,MATCH(B41,Postes!$A$7:$A$117,0)))^2)</f>
        <v>24.9444216685263</v>
      </c>
      <c r="E41" s="5" t="n">
        <f aca="false">INDEX(Postes!$D$7:$D$117,MATCH(C41,Postes!$A$7:$A$117,0))+INDEX(Postes!$G$7:$G$117,MATCH(C41,Postes!$A$7:$A$117,0))-INDEX(Postes!$D$7:$D$117,MATCH(B41,Postes!$A$7:$A$117,0))-INDEX(Postes!$G$7:$G$117,MATCH(B41,Postes!$A$7:$A$117,0))</f>
        <v>7.45347118454211</v>
      </c>
      <c r="F41" s="5" t="n">
        <f aca="false">Parametros!$E$8*Parametros!$E$9</f>
        <v>2205</v>
      </c>
      <c r="G41" s="5" t="n">
        <f aca="false">Parametros!$E$10/1000*Parametros!$E$11</f>
        <v>1.32389775</v>
      </c>
      <c r="H41" s="5" t="n">
        <f aca="false">F41/G41</f>
        <v>1665.53648119728</v>
      </c>
      <c r="I41" s="5" t="n">
        <f aca="false">ASINH(E41/(2*H41*SINH(D41/(2*H41))))</f>
        <v>0.29452378637013</v>
      </c>
      <c r="J41" s="5" t="n">
        <f aca="false">D41/2-H41*I41</f>
        <v>-478.067899945544</v>
      </c>
      <c r="K41" s="5" t="n">
        <f aca="false">-J41/H41</f>
        <v>0.287035381898019</v>
      </c>
      <c r="L41" s="5" t="n">
        <f aca="false">(D41-J41)/H41</f>
        <v>0.302012190842242</v>
      </c>
      <c r="M41" s="5" t="n">
        <f aca="false">H41*(SINH(L41)-SINH(K41))</f>
        <v>26.0344010074946</v>
      </c>
      <c r="N41" s="5" t="n">
        <f aca="false">M41*Parametros!$E$5</f>
        <v>78.1032030224837</v>
      </c>
    </row>
    <row r="42" customFormat="false" ht="21" hidden="false" customHeight="true" outlineLevel="0" collapsed="false">
      <c r="A42" s="1" t="s">
        <v>267</v>
      </c>
      <c r="B42" s="1" t="s">
        <v>141</v>
      </c>
      <c r="C42" s="1" t="s">
        <v>142</v>
      </c>
      <c r="D42" s="5" t="n">
        <f aca="false">SQRT((INDEX(Postes!$B$7:$B$117,MATCH(C42,Postes!$A$7:$A$117,0))-INDEX(Postes!$B$7:$B$117,MATCH(B42,Postes!$A$7:$A$117,0)))^2+(INDEX(Postes!$C$7:$C$117,MATCH(C42,Postes!$A$7:$A$117,0))-INDEX(Postes!$C$7:$C$117,MATCH(B42,Postes!$A$7:$A$117,0)))^2)</f>
        <v>20.0053352518434</v>
      </c>
      <c r="E42" s="5" t="n">
        <f aca="false">INDEX(Postes!$D$7:$D$117,MATCH(C42,Postes!$A$7:$A$117,0))+INDEX(Postes!$G$7:$G$117,MATCH(C42,Postes!$A$7:$A$117,0))-INDEX(Postes!$D$7:$D$117,MATCH(B42,Postes!$A$7:$A$117,0))-INDEX(Postes!$G$7:$G$117,MATCH(B42,Postes!$A$7:$A$117,0))</f>
        <v>12.5950314215796</v>
      </c>
      <c r="F42" s="5" t="n">
        <f aca="false">Parametros!$E$8*Parametros!$E$9</f>
        <v>2205</v>
      </c>
      <c r="G42" s="5" t="n">
        <f aca="false">Parametros!$E$10/1000*Parametros!$E$11</f>
        <v>1.32389775</v>
      </c>
      <c r="H42" s="5" t="n">
        <f aca="false">F42/G42</f>
        <v>1665.53648119728</v>
      </c>
      <c r="I42" s="5" t="n">
        <f aca="false">ASINH(E42/(2*H42*SINH(D42/(2*H42))))</f>
        <v>0.594023381344888</v>
      </c>
      <c r="J42" s="5" t="n">
        <f aca="false">D42/2-H42*I42</f>
        <v>-979.364944688155</v>
      </c>
      <c r="K42" s="5" t="n">
        <f aca="false">-J42/H42</f>
        <v>0.588017708254659</v>
      </c>
      <c r="L42" s="5" t="n">
        <f aca="false">(D42-J42)/H42</f>
        <v>0.600029054435117</v>
      </c>
      <c r="M42" s="5" t="n">
        <f aca="false">H42*(SINH(L42)-SINH(K42))</f>
        <v>23.640073323061</v>
      </c>
      <c r="N42" s="5" t="n">
        <f aca="false">M42*Parametros!$E$5</f>
        <v>70.9202199691829</v>
      </c>
    </row>
    <row r="43" customFormat="false" ht="21" hidden="false" customHeight="true" outlineLevel="0" collapsed="false">
      <c r="A43" s="1" t="s">
        <v>268</v>
      </c>
      <c r="B43" s="1" t="s">
        <v>142</v>
      </c>
      <c r="C43" s="1" t="s">
        <v>143</v>
      </c>
      <c r="D43" s="5" t="n">
        <f aca="false">SQRT((INDEX(Postes!$B$7:$B$117,MATCH(C43,Postes!$A$7:$A$117,0))-INDEX(Postes!$B$7:$B$117,MATCH(B43,Postes!$A$7:$A$117,0)))^2+(INDEX(Postes!$C$7:$C$117,MATCH(C43,Postes!$A$7:$A$117,0))-INDEX(Postes!$C$7:$C$117,MATCH(B43,Postes!$A$7:$A$117,0)))^2)</f>
        <v>30.4170679503427</v>
      </c>
      <c r="E43" s="5" t="n">
        <f aca="false">INDEX(Postes!$D$7:$D$117,MATCH(C43,Postes!$A$7:$A$117,0))+INDEX(Postes!$G$7:$G$117,MATCH(C43,Postes!$A$7:$A$117,0))-INDEX(Postes!$D$7:$D$117,MATCH(B43,Postes!$A$7:$A$117,0))-INDEX(Postes!$G$7:$G$117,MATCH(B43,Postes!$A$7:$A$117,0))</f>
        <v>20.6473552565548</v>
      </c>
      <c r="F43" s="5" t="n">
        <f aca="false">Parametros!$E$8*Parametros!$E$9</f>
        <v>2205</v>
      </c>
      <c r="G43" s="5" t="n">
        <f aca="false">Parametros!$E$10/1000*Parametros!$E$11</f>
        <v>1.32389775</v>
      </c>
      <c r="H43" s="5" t="n">
        <f aca="false">F43/G43</f>
        <v>1665.53648119728</v>
      </c>
      <c r="I43" s="5" t="n">
        <f aca="false">ASINH(E43/(2*H43*SINH(D43/(2*H43))))</f>
        <v>0.635211363880692</v>
      </c>
      <c r="J43" s="5" t="n">
        <f aca="false">D43/2-H43*I43</f>
        <v>-1042.7591658392</v>
      </c>
      <c r="K43" s="5" t="n">
        <f aca="false">-J43/H43</f>
        <v>0.626080051449613</v>
      </c>
      <c r="L43" s="5" t="n">
        <f aca="false">(D43-J43)/H43</f>
        <v>0.64434267631177</v>
      </c>
      <c r="M43" s="5" t="n">
        <f aca="false">H43*(SINH(L43)-SINH(K43))</f>
        <v>36.7632563393992</v>
      </c>
      <c r="N43" s="5" t="n">
        <f aca="false">M43*Parametros!$E$5</f>
        <v>110.289769018197</v>
      </c>
    </row>
    <row r="44" customFormat="false" ht="21" hidden="false" customHeight="true" outlineLevel="0" collapsed="false">
      <c r="A44" s="1" t="s">
        <v>269</v>
      </c>
      <c r="B44" s="1" t="s">
        <v>143</v>
      </c>
      <c r="C44" s="1" t="s">
        <v>144</v>
      </c>
      <c r="D44" s="5" t="n">
        <f aca="false">SQRT((INDEX(Postes!$B$7:$B$117,MATCH(C44,Postes!$A$7:$A$117,0))-INDEX(Postes!$B$7:$B$117,MATCH(B44,Postes!$A$7:$A$117,0)))^2+(INDEX(Postes!$C$7:$C$117,MATCH(C44,Postes!$A$7:$A$117,0))-INDEX(Postes!$C$7:$C$117,MATCH(B44,Postes!$A$7:$A$117,0)))^2)</f>
        <v>75.7245307138192</v>
      </c>
      <c r="E44" s="5" t="n">
        <f aca="false">INDEX(Postes!$D$7:$D$117,MATCH(C44,Postes!$A$7:$A$117,0))+INDEX(Postes!$G$7:$G$117,MATCH(C44,Postes!$A$7:$A$117,0))-INDEX(Postes!$D$7:$D$117,MATCH(B44,Postes!$A$7:$A$117,0))-INDEX(Postes!$G$7:$G$117,MATCH(B44,Postes!$A$7:$A$117,0))</f>
        <v>1.47684093770513</v>
      </c>
      <c r="F44" s="5" t="n">
        <f aca="false">Parametros!$E$8*Parametros!$E$9</f>
        <v>2205</v>
      </c>
      <c r="G44" s="5" t="n">
        <f aca="false">Parametros!$E$10/1000*Parametros!$E$11</f>
        <v>1.32389775</v>
      </c>
      <c r="H44" s="5" t="n">
        <f aca="false">F44/G44</f>
        <v>1665.53648119728</v>
      </c>
      <c r="I44" s="5" t="n">
        <f aca="false">ASINH(E44/(2*H44*SINH(D44/(2*H44))))</f>
        <v>0.0194998919086879</v>
      </c>
      <c r="J44" s="5" t="n">
        <f aca="false">D44/2-H44*I44</f>
        <v>5.38448400358619</v>
      </c>
      <c r="K44" s="5" t="n">
        <f aca="false">-J44/H44</f>
        <v>-0.00323288265635317</v>
      </c>
      <c r="L44" s="5" t="n">
        <f aca="false">(D44-J44)/H44</f>
        <v>0.042232666473729</v>
      </c>
      <c r="M44" s="5" t="n">
        <f aca="false">H44*(SINH(L44)-SINH(K44))</f>
        <v>75.7454516871298</v>
      </c>
      <c r="N44" s="5" t="n">
        <f aca="false">M44*Parametros!$E$5</f>
        <v>227.23635506139</v>
      </c>
    </row>
    <row r="45" customFormat="false" ht="21" hidden="false" customHeight="true" outlineLevel="0" collapsed="false">
      <c r="A45" s="1" t="s">
        <v>270</v>
      </c>
      <c r="B45" s="1" t="s">
        <v>144</v>
      </c>
      <c r="C45" s="1" t="s">
        <v>145</v>
      </c>
      <c r="D45" s="5" t="n">
        <f aca="false">SQRT((INDEX(Postes!$B$7:$B$117,MATCH(C45,Postes!$A$7:$A$117,0))-INDEX(Postes!$B$7:$B$117,MATCH(B45,Postes!$A$7:$A$117,0)))^2+(INDEX(Postes!$C$7:$C$117,MATCH(C45,Postes!$A$7:$A$117,0))-INDEX(Postes!$C$7:$C$117,MATCH(B45,Postes!$A$7:$A$117,0)))^2)</f>
        <v>82.3737077251268</v>
      </c>
      <c r="E45" s="5" t="n">
        <f aca="false">INDEX(Postes!$D$7:$D$117,MATCH(C45,Postes!$A$7:$A$117,0))+INDEX(Postes!$G$7:$G$117,MATCH(C45,Postes!$A$7:$A$117,0))-INDEX(Postes!$D$7:$D$117,MATCH(B45,Postes!$A$7:$A$117,0))-INDEX(Postes!$G$7:$G$117,MATCH(B45,Postes!$A$7:$A$117,0))</f>
        <v>8.01755726877382</v>
      </c>
      <c r="F45" s="5" t="n">
        <f aca="false">Parametros!$E$8*Parametros!$E$9</f>
        <v>2205</v>
      </c>
      <c r="G45" s="5" t="n">
        <f aca="false">Parametros!$E$10/1000*Parametros!$E$11</f>
        <v>1.32389775</v>
      </c>
      <c r="H45" s="5" t="n">
        <f aca="false">F45/G45</f>
        <v>1665.53648119728</v>
      </c>
      <c r="I45" s="5" t="n">
        <f aca="false">ASINH(E45/(2*H45*SINH(D45/(2*H45))))</f>
        <v>0.0971686106697327</v>
      </c>
      <c r="J45" s="5" t="n">
        <f aca="false">D45/2-H45*I45</f>
        <v>-120.651012035132</v>
      </c>
      <c r="K45" s="5" t="n">
        <f aca="false">-J45/H45</f>
        <v>0.0724397294188363</v>
      </c>
      <c r="L45" s="5" t="n">
        <f aca="false">(D45-J45)/H45</f>
        <v>0.121897491920629</v>
      </c>
      <c r="M45" s="5" t="n">
        <f aca="false">H45*(SINH(L45)-SINH(K45))</f>
        <v>82.7713247315094</v>
      </c>
      <c r="N45" s="5" t="n">
        <f aca="false">M45*Parametros!$E$5</f>
        <v>248.313974194528</v>
      </c>
    </row>
    <row r="46" customFormat="false" ht="21" hidden="false" customHeight="true" outlineLevel="0" collapsed="false">
      <c r="A46" s="1" t="s">
        <v>271</v>
      </c>
      <c r="B46" s="1" t="s">
        <v>145</v>
      </c>
      <c r="C46" s="1" t="s">
        <v>146</v>
      </c>
      <c r="D46" s="5" t="n">
        <f aca="false">SQRT((INDEX(Postes!$B$7:$B$117,MATCH(C46,Postes!$A$7:$A$117,0))-INDEX(Postes!$B$7:$B$117,MATCH(B46,Postes!$A$7:$A$117,0)))^2+(INDEX(Postes!$C$7:$C$117,MATCH(C46,Postes!$A$7:$A$117,0))-INDEX(Postes!$C$7:$C$117,MATCH(B46,Postes!$A$7:$A$117,0)))^2)</f>
        <v>82.373707723345</v>
      </c>
      <c r="E46" s="5" t="n">
        <f aca="false">INDEX(Postes!$D$7:$D$117,MATCH(C46,Postes!$A$7:$A$117,0))+INDEX(Postes!$G$7:$G$117,MATCH(C46,Postes!$A$7:$A$117,0))-INDEX(Postes!$D$7:$D$117,MATCH(B46,Postes!$A$7:$A$117,0))-INDEX(Postes!$G$7:$G$117,MATCH(B46,Postes!$A$7:$A$117,0))</f>
        <v>22.7341572000499</v>
      </c>
      <c r="F46" s="5" t="n">
        <f aca="false">Parametros!$E$8*Parametros!$E$9</f>
        <v>2205</v>
      </c>
      <c r="G46" s="5" t="n">
        <f aca="false">Parametros!$E$10/1000*Parametros!$E$11</f>
        <v>1.32389775</v>
      </c>
      <c r="H46" s="5" t="n">
        <f aca="false">F46/G46</f>
        <v>1665.53648119728</v>
      </c>
      <c r="I46" s="5" t="n">
        <f aca="false">ASINH(E46/(2*H46*SINH(D46/(2*H46))))</f>
        <v>0.272572189507154</v>
      </c>
      <c r="J46" s="5" t="n">
        <f aca="false">D46/2-H46*I46</f>
        <v>-412.792071522311</v>
      </c>
      <c r="K46" s="5" t="n">
        <f aca="false">-J46/H46</f>
        <v>0.247843308256792</v>
      </c>
      <c r="L46" s="5" t="n">
        <f aca="false">(D46-J46)/H46</f>
        <v>0.297301070757515</v>
      </c>
      <c r="M46" s="5" t="n">
        <f aca="false">H46*(SINH(L46)-SINH(K46))</f>
        <v>85.4614116227542</v>
      </c>
      <c r="N46" s="5" t="n">
        <f aca="false">M46*Parametros!$E$5</f>
        <v>256.384234868263</v>
      </c>
    </row>
    <row r="47" customFormat="false" ht="21" hidden="false" customHeight="true" outlineLevel="0" collapsed="false">
      <c r="A47" s="1" t="s">
        <v>272</v>
      </c>
      <c r="B47" s="1" t="s">
        <v>146</v>
      </c>
      <c r="C47" s="1" t="s">
        <v>147</v>
      </c>
      <c r="D47" s="5" t="n">
        <f aca="false">SQRT((INDEX(Postes!$B$7:$B$117,MATCH(C47,Postes!$A$7:$A$117,0))-INDEX(Postes!$B$7:$B$117,MATCH(B47,Postes!$A$7:$A$117,0)))^2+(INDEX(Postes!$C$7:$C$117,MATCH(C47,Postes!$A$7:$A$117,0))-INDEX(Postes!$C$7:$C$117,MATCH(B47,Postes!$A$7:$A$117,0)))^2)</f>
        <v>63.0281944512418</v>
      </c>
      <c r="E47" s="5" t="n">
        <f aca="false">INDEX(Postes!$D$7:$D$117,MATCH(C47,Postes!$A$7:$A$117,0))+INDEX(Postes!$G$7:$G$117,MATCH(C47,Postes!$A$7:$A$117,0))-INDEX(Postes!$D$7:$D$117,MATCH(B47,Postes!$A$7:$A$117,0))-INDEX(Postes!$G$7:$G$117,MATCH(B47,Postes!$A$7:$A$117,0))</f>
        <v>-5.11450169498421</v>
      </c>
      <c r="F47" s="5" t="n">
        <f aca="false">Parametros!$E$8*Parametros!$E$9</f>
        <v>2205</v>
      </c>
      <c r="G47" s="5" t="n">
        <f aca="false">Parametros!$E$10/1000*Parametros!$E$11</f>
        <v>1.32389775</v>
      </c>
      <c r="H47" s="5" t="n">
        <f aca="false">F47/G47</f>
        <v>1665.53648119728</v>
      </c>
      <c r="I47" s="5" t="n">
        <f aca="false">ASINH(E47/(2*H47*SINH(D47/(2*H47))))</f>
        <v>-0.0810526339634497</v>
      </c>
      <c r="J47" s="5" t="n">
        <f aca="false">D47/2-H47*I47</f>
        <v>166.510215988876</v>
      </c>
      <c r="K47" s="5" t="n">
        <f aca="false">-J47/H47</f>
        <v>-0.099973923038407</v>
      </c>
      <c r="L47" s="5" t="n">
        <f aca="false">(D47-J47)/H47</f>
        <v>-0.0621313448884925</v>
      </c>
      <c r="M47" s="5" t="n">
        <f aca="false">H47*(SINH(L47)-SINH(K47))</f>
        <v>63.2391138784416</v>
      </c>
      <c r="N47" s="5" t="n">
        <f aca="false">M47*Parametros!$E$5</f>
        <v>189.717341635325</v>
      </c>
    </row>
    <row r="48" customFormat="false" ht="21" hidden="false" customHeight="true" outlineLevel="0" collapsed="false">
      <c r="A48" s="1" t="s">
        <v>273</v>
      </c>
      <c r="B48" s="1" t="s">
        <v>147</v>
      </c>
      <c r="C48" s="1" t="s">
        <v>148</v>
      </c>
      <c r="D48" s="5" t="n">
        <f aca="false">SQRT((INDEX(Postes!$B$7:$B$117,MATCH(C48,Postes!$A$7:$A$117,0))-INDEX(Postes!$B$7:$B$117,MATCH(B48,Postes!$A$7:$A$117,0)))^2+(INDEX(Postes!$C$7:$C$117,MATCH(C48,Postes!$A$7:$A$117,0))-INDEX(Postes!$C$7:$C$117,MATCH(B48,Postes!$A$7:$A$117,0)))^2)</f>
        <v>49.8786232746179</v>
      </c>
      <c r="E48" s="5" t="n">
        <f aca="false">INDEX(Postes!$D$7:$D$117,MATCH(C48,Postes!$A$7:$A$117,0))+INDEX(Postes!$G$7:$G$117,MATCH(C48,Postes!$A$7:$A$117,0))-INDEX(Postes!$D$7:$D$117,MATCH(B48,Postes!$A$7:$A$117,0))-INDEX(Postes!$G$7:$G$117,MATCH(B48,Postes!$A$7:$A$117,0))</f>
        <v>6.07170067925818</v>
      </c>
      <c r="F48" s="5" t="n">
        <f aca="false">Parametros!$E$8*Parametros!$E$9</f>
        <v>2205</v>
      </c>
      <c r="G48" s="5" t="n">
        <f aca="false">Parametros!$E$10/1000*Parametros!$E$11</f>
        <v>1.32389775</v>
      </c>
      <c r="H48" s="5" t="n">
        <f aca="false">F48/G48</f>
        <v>1665.53648119728</v>
      </c>
      <c r="I48" s="5" t="n">
        <f aca="false">ASINH(E48/(2*H48*SINH(D48/(2*H48))))</f>
        <v>0.121426355050262</v>
      </c>
      <c r="J48" s="5" t="n">
        <f aca="false">D48/2-H48*I48</f>
        <v>-177.300712477717</v>
      </c>
      <c r="K48" s="5" t="n">
        <f aca="false">-J48/H48</f>
        <v>0.106452614205282</v>
      </c>
      <c r="L48" s="5" t="n">
        <f aca="false">(D48-J48)/H48</f>
        <v>0.136400095895243</v>
      </c>
      <c r="M48" s="5" t="n">
        <f aca="false">H48*(SINH(L48)-SINH(K48))</f>
        <v>50.2486671716206</v>
      </c>
      <c r="N48" s="5" t="n">
        <f aca="false">M48*Parametros!$E$5</f>
        <v>150.746001514862</v>
      </c>
    </row>
    <row r="49" customFormat="false" ht="21" hidden="false" customHeight="true" outlineLevel="0" collapsed="false">
      <c r="A49" s="1" t="s">
        <v>274</v>
      </c>
      <c r="B49" s="1" t="s">
        <v>148</v>
      </c>
      <c r="C49" s="1" t="s">
        <v>149</v>
      </c>
      <c r="D49" s="5" t="n">
        <f aca="false">SQRT((INDEX(Postes!$B$7:$B$117,MATCH(C49,Postes!$A$7:$A$117,0))-INDEX(Postes!$B$7:$B$117,MATCH(B49,Postes!$A$7:$A$117,0)))^2+(INDEX(Postes!$C$7:$C$117,MATCH(C49,Postes!$A$7:$A$117,0))-INDEX(Postes!$C$7:$C$117,MATCH(B49,Postes!$A$7:$A$117,0)))^2)</f>
        <v>80.0179103511325</v>
      </c>
      <c r="E49" s="5" t="n">
        <f aca="false">INDEX(Postes!$D$7:$D$117,MATCH(C49,Postes!$A$7:$A$117,0))+INDEX(Postes!$G$7:$G$117,MATCH(C49,Postes!$A$7:$A$117,0))-INDEX(Postes!$D$7:$D$117,MATCH(B49,Postes!$A$7:$A$117,0))-INDEX(Postes!$G$7:$G$117,MATCH(B49,Postes!$A$7:$A$117,0))</f>
        <v>3.57645516314196</v>
      </c>
      <c r="F49" s="5" t="n">
        <f aca="false">Parametros!$E$8*Parametros!$E$9</f>
        <v>2205</v>
      </c>
      <c r="G49" s="5" t="n">
        <f aca="false">Parametros!$E$10/1000*Parametros!$E$11</f>
        <v>1.32389775</v>
      </c>
      <c r="H49" s="5" t="n">
        <f aca="false">F49/G49</f>
        <v>1665.53648119728</v>
      </c>
      <c r="I49" s="5" t="n">
        <f aca="false">ASINH(E49/(2*H49*SINH(D49/(2*H49))))</f>
        <v>0.0446765210419806</v>
      </c>
      <c r="J49" s="5" t="n">
        <f aca="false">D49/2-H49*I49</f>
        <v>-34.4014204728305</v>
      </c>
      <c r="K49" s="5" t="n">
        <f aca="false">-J49/H49</f>
        <v>0.0206548585763194</v>
      </c>
      <c r="L49" s="5" t="n">
        <f aca="false">(D49-J49)/H49</f>
        <v>0.0686981835076418</v>
      </c>
      <c r="M49" s="5" t="n">
        <f aca="false">H49*(SINH(L49)-SINH(K49))</f>
        <v>80.1054846671196</v>
      </c>
      <c r="N49" s="5" t="n">
        <f aca="false">M49*Parametros!$E$5</f>
        <v>240.316454001359</v>
      </c>
    </row>
    <row r="50" customFormat="false" ht="21" hidden="false" customHeight="true" outlineLevel="0" collapsed="false">
      <c r="A50" s="1" t="s">
        <v>275</v>
      </c>
      <c r="B50" s="1" t="s">
        <v>149</v>
      </c>
      <c r="C50" s="1" t="s">
        <v>150</v>
      </c>
      <c r="D50" s="5" t="n">
        <f aca="false">SQRT((INDEX(Postes!$B$7:$B$117,MATCH(C50,Postes!$A$7:$A$117,0))-INDEX(Postes!$B$7:$B$117,MATCH(B50,Postes!$A$7:$A$117,0)))^2+(INDEX(Postes!$C$7:$C$117,MATCH(C50,Postes!$A$7:$A$117,0))-INDEX(Postes!$C$7:$C$117,MATCH(B50,Postes!$A$7:$A$117,0)))^2)</f>
        <v>80.0179103492725</v>
      </c>
      <c r="E50" s="5" t="n">
        <f aca="false">INDEX(Postes!$D$7:$D$117,MATCH(C50,Postes!$A$7:$A$117,0))+INDEX(Postes!$G$7:$G$117,MATCH(C50,Postes!$A$7:$A$117,0))-INDEX(Postes!$D$7:$D$117,MATCH(B50,Postes!$A$7:$A$117,0))-INDEX(Postes!$G$7:$G$117,MATCH(B50,Postes!$A$7:$A$117,0))</f>
        <v>8.36857539298862</v>
      </c>
      <c r="F50" s="5" t="n">
        <f aca="false">Parametros!$E$8*Parametros!$E$9</f>
        <v>2205</v>
      </c>
      <c r="G50" s="5" t="n">
        <f aca="false">Parametros!$E$10/1000*Parametros!$E$11</f>
        <v>1.32389775</v>
      </c>
      <c r="H50" s="5" t="n">
        <f aca="false">F50/G50</f>
        <v>1665.53648119728</v>
      </c>
      <c r="I50" s="5" t="n">
        <f aca="false">ASINH(E50/(2*H50*SINH(D50/(2*H50))))</f>
        <v>0.10438405547906</v>
      </c>
      <c r="J50" s="5" t="n">
        <f aca="false">D50/2-H50*I50</f>
        <v>-133.846497281059</v>
      </c>
      <c r="K50" s="5" t="n">
        <f aca="false">-J50/H50</f>
        <v>0.0803623930139571</v>
      </c>
      <c r="L50" s="5" t="n">
        <f aca="false">(D50-J50)/H50</f>
        <v>0.128405717944163</v>
      </c>
      <c r="M50" s="5" t="n">
        <f aca="false">H50*(SINH(L50)-SINH(K50))</f>
        <v>80.461982923804</v>
      </c>
      <c r="N50" s="5" t="n">
        <f aca="false">M50*Parametros!$E$5</f>
        <v>241.385948771412</v>
      </c>
    </row>
    <row r="51" customFormat="false" ht="21" hidden="false" customHeight="true" outlineLevel="0" collapsed="false">
      <c r="A51" s="1" t="s">
        <v>276</v>
      </c>
      <c r="B51" s="1" t="s">
        <v>150</v>
      </c>
      <c r="C51" s="1" t="s">
        <v>151</v>
      </c>
      <c r="D51" s="5" t="n">
        <f aca="false">SQRT((INDEX(Postes!$B$7:$B$117,MATCH(C51,Postes!$A$7:$A$117,0))-INDEX(Postes!$B$7:$B$117,MATCH(B51,Postes!$A$7:$A$117,0)))^2+(INDEX(Postes!$C$7:$C$117,MATCH(C51,Postes!$A$7:$A$117,0))-INDEX(Postes!$C$7:$C$117,MATCH(B51,Postes!$A$7:$A$117,0)))^2)</f>
        <v>61.4282655706483</v>
      </c>
      <c r="E51" s="5" t="n">
        <f aca="false">INDEX(Postes!$D$7:$D$117,MATCH(C51,Postes!$A$7:$A$117,0))+INDEX(Postes!$G$7:$G$117,MATCH(C51,Postes!$A$7:$A$117,0))-INDEX(Postes!$D$7:$D$117,MATCH(B51,Postes!$A$7:$A$117,0))-INDEX(Postes!$G$7:$G$117,MATCH(B51,Postes!$A$7:$A$117,0))</f>
        <v>-1.22441851156609</v>
      </c>
      <c r="F51" s="5" t="n">
        <f aca="false">Parametros!$E$8*Parametros!$E$9</f>
        <v>2205</v>
      </c>
      <c r="G51" s="5" t="n">
        <f aca="false">Parametros!$E$10/1000*Parametros!$E$11</f>
        <v>1.32389775</v>
      </c>
      <c r="H51" s="5" t="n">
        <f aca="false">F51/G51</f>
        <v>1665.53648119728</v>
      </c>
      <c r="I51" s="5" t="n">
        <f aca="false">ASINH(E51/(2*H51*SINH(D51/(2*H51))))</f>
        <v>-0.0199300445071205</v>
      </c>
      <c r="J51" s="5" t="n">
        <f aca="false">D51/2-H51*I51</f>
        <v>63.9083489838189</v>
      </c>
      <c r="K51" s="5" t="n">
        <f aca="false">-J51/H51</f>
        <v>-0.0383710292180919</v>
      </c>
      <c r="L51" s="5" t="n">
        <f aca="false">(D51-J51)/H51</f>
        <v>-0.00148905979614914</v>
      </c>
      <c r="M51" s="5" t="n">
        <f aca="false">H51*(SINH(L51)-SINH(K51))</f>
        <v>61.4439482345722</v>
      </c>
      <c r="N51" s="5" t="n">
        <f aca="false">M51*Parametros!$E$5</f>
        <v>184.331844703717</v>
      </c>
    </row>
    <row r="52" customFormat="false" ht="21" hidden="false" customHeight="true" outlineLevel="0" collapsed="false">
      <c r="A52" s="1" t="s">
        <v>277</v>
      </c>
      <c r="B52" s="1" t="s">
        <v>151</v>
      </c>
      <c r="C52" s="1" t="s">
        <v>152</v>
      </c>
      <c r="D52" s="5" t="n">
        <f aca="false">SQRT((INDEX(Postes!$B$7:$B$117,MATCH(C52,Postes!$A$7:$A$117,0))-INDEX(Postes!$B$7:$B$117,MATCH(B52,Postes!$A$7:$A$117,0)))^2+(INDEX(Postes!$C$7:$C$117,MATCH(C52,Postes!$A$7:$A$117,0))-INDEX(Postes!$C$7:$C$117,MATCH(B52,Postes!$A$7:$A$117,0)))^2)</f>
        <v>61.4282655722358</v>
      </c>
      <c r="E52" s="5" t="n">
        <f aca="false">INDEX(Postes!$D$7:$D$117,MATCH(C52,Postes!$A$7:$A$117,0))+INDEX(Postes!$G$7:$G$117,MATCH(C52,Postes!$A$7:$A$117,0))-INDEX(Postes!$D$7:$D$117,MATCH(B52,Postes!$A$7:$A$117,0))-INDEX(Postes!$G$7:$G$117,MATCH(B52,Postes!$A$7:$A$117,0))</f>
        <v>1.39271571979216</v>
      </c>
      <c r="F52" s="5" t="n">
        <f aca="false">Parametros!$E$8*Parametros!$E$9</f>
        <v>2205</v>
      </c>
      <c r="G52" s="5" t="n">
        <f aca="false">Parametros!$E$10/1000*Parametros!$E$11</f>
        <v>1.32389775</v>
      </c>
      <c r="H52" s="5" t="n">
        <f aca="false">F52/G52</f>
        <v>1665.53648119728</v>
      </c>
      <c r="I52" s="5" t="n">
        <f aca="false">ASINH(E52/(2*H52*SINH(D52/(2*H52))))</f>
        <v>0.0226690026938304</v>
      </c>
      <c r="J52" s="5" t="n">
        <f aca="false">D52/2-H52*I52</f>
        <v>-7.04191819281618</v>
      </c>
      <c r="K52" s="5" t="n">
        <f aca="false">-J52/H52</f>
        <v>0.0042280179823825</v>
      </c>
      <c r="L52" s="5" t="n">
        <f aca="false">(D52-J52)/H52</f>
        <v>0.0411099874052784</v>
      </c>
      <c r="M52" s="5" t="n">
        <f aca="false">H52*(SINH(L52)-SINH(K52))</f>
        <v>61.4475323445341</v>
      </c>
      <c r="N52" s="5" t="n">
        <f aca="false">M52*Parametros!$E$5</f>
        <v>184.342597033602</v>
      </c>
    </row>
    <row r="53" customFormat="false" ht="21" hidden="false" customHeight="true" outlineLevel="0" collapsed="false">
      <c r="A53" s="1" t="s">
        <v>278</v>
      </c>
      <c r="B53" s="1" t="s">
        <v>152</v>
      </c>
      <c r="C53" s="1" t="s">
        <v>153</v>
      </c>
      <c r="D53" s="5" t="n">
        <f aca="false">SQRT((INDEX(Postes!$B$7:$B$117,MATCH(C53,Postes!$A$7:$A$117,0))-INDEX(Postes!$B$7:$B$117,MATCH(B53,Postes!$A$7:$A$117,0)))^2+(INDEX(Postes!$C$7:$C$117,MATCH(C53,Postes!$A$7:$A$117,0))-INDEX(Postes!$C$7:$C$117,MATCH(B53,Postes!$A$7:$A$117,0)))^2)</f>
        <v>61.4282655706483</v>
      </c>
      <c r="E53" s="5" t="n">
        <f aca="false">INDEX(Postes!$D$7:$D$117,MATCH(C53,Postes!$A$7:$A$117,0))+INDEX(Postes!$G$7:$G$117,MATCH(C53,Postes!$A$7:$A$117,0))-INDEX(Postes!$D$7:$D$117,MATCH(B53,Postes!$A$7:$A$117,0))-INDEX(Postes!$G$7:$G$117,MATCH(B53,Postes!$A$7:$A$117,0))</f>
        <v>4.49905944039792</v>
      </c>
      <c r="F53" s="5" t="n">
        <f aca="false">Parametros!$E$8*Parametros!$E$9</f>
        <v>2205</v>
      </c>
      <c r="G53" s="5" t="n">
        <f aca="false">Parametros!$E$10/1000*Parametros!$E$11</f>
        <v>1.32389775</v>
      </c>
      <c r="H53" s="5" t="n">
        <f aca="false">F53/G53</f>
        <v>1665.53648119728</v>
      </c>
      <c r="I53" s="5" t="n">
        <f aca="false">ASINH(E53/(2*H53*SINH(D53/(2*H53))))</f>
        <v>0.0731714047564116</v>
      </c>
      <c r="J53" s="5" t="n">
        <f aca="false">D53/2-H53*I53</f>
        <v>-91.1555112169318</v>
      </c>
      <c r="K53" s="5" t="n">
        <f aca="false">-J53/H53</f>
        <v>0.0547304200454403</v>
      </c>
      <c r="L53" s="5" t="n">
        <f aca="false">(D53-J53)/H53</f>
        <v>0.091612389467383</v>
      </c>
      <c r="M53" s="5" t="n">
        <f aca="false">H53*(SINH(L53)-SINH(K53))</f>
        <v>61.5962751293417</v>
      </c>
      <c r="N53" s="5" t="n">
        <f aca="false">M53*Parametros!$E$5</f>
        <v>184.788825388025</v>
      </c>
    </row>
    <row r="54" customFormat="false" ht="21" hidden="false" customHeight="true" outlineLevel="0" collapsed="false">
      <c r="A54" s="1" t="s">
        <v>279</v>
      </c>
      <c r="B54" s="1" t="s">
        <v>153</v>
      </c>
      <c r="C54" s="1" t="s">
        <v>154</v>
      </c>
      <c r="D54" s="5" t="n">
        <f aca="false">SQRT((INDEX(Postes!$B$7:$B$117,MATCH(C54,Postes!$A$7:$A$117,0))-INDEX(Postes!$B$7:$B$117,MATCH(B54,Postes!$A$7:$A$117,0)))^2+(INDEX(Postes!$C$7:$C$117,MATCH(C54,Postes!$A$7:$A$117,0))-INDEX(Postes!$C$7:$C$117,MATCH(B54,Postes!$A$7:$A$117,0)))^2)</f>
        <v>38.4378051466049</v>
      </c>
      <c r="E54" s="5" t="n">
        <f aca="false">INDEX(Postes!$D$7:$D$117,MATCH(C54,Postes!$A$7:$A$117,0))+INDEX(Postes!$G$7:$G$117,MATCH(C54,Postes!$A$7:$A$117,0))-INDEX(Postes!$D$7:$D$117,MATCH(B54,Postes!$A$7:$A$117,0))-INDEX(Postes!$G$7:$G$117,MATCH(B54,Postes!$A$7:$A$117,0))</f>
        <v>9.91610789095776</v>
      </c>
      <c r="F54" s="5" t="n">
        <f aca="false">Parametros!$E$8*Parametros!$E$9</f>
        <v>2205</v>
      </c>
      <c r="G54" s="5" t="n">
        <f aca="false">Parametros!$E$10/1000*Parametros!$E$11</f>
        <v>1.32389775</v>
      </c>
      <c r="H54" s="5" t="n">
        <f aca="false">F54/G54</f>
        <v>1665.53648119728</v>
      </c>
      <c r="I54" s="5" t="n">
        <f aca="false">ASINH(E54/(2*H54*SINH(D54/(2*H54))))</f>
        <v>0.255193381937781</v>
      </c>
      <c r="J54" s="5" t="n">
        <f aca="false">D54/2-H54*I54</f>
        <v>-405.814984804183</v>
      </c>
      <c r="K54" s="5" t="n">
        <f aca="false">-J54/H54</f>
        <v>0.243654215554894</v>
      </c>
      <c r="L54" s="5" t="n">
        <f aca="false">(D54-J54)/H54</f>
        <v>0.266732548320667</v>
      </c>
      <c r="M54" s="5" t="n">
        <f aca="false">H54*(SINH(L54)-SINH(K54))</f>
        <v>39.6970986009802</v>
      </c>
      <c r="N54" s="5" t="n">
        <f aca="false">M54*Parametros!$E$5</f>
        <v>119.091295802941</v>
      </c>
    </row>
    <row r="55" customFormat="false" ht="21" hidden="false" customHeight="true" outlineLevel="0" collapsed="false">
      <c r="A55" s="1" t="s">
        <v>280</v>
      </c>
      <c r="B55" s="1" t="s">
        <v>154</v>
      </c>
      <c r="C55" s="1" t="s">
        <v>155</v>
      </c>
      <c r="D55" s="5" t="n">
        <f aca="false">SQRT((INDEX(Postes!$B$7:$B$117,MATCH(C55,Postes!$A$7:$A$117,0))-INDEX(Postes!$B$7:$B$117,MATCH(B55,Postes!$A$7:$A$117,0)))^2+(INDEX(Postes!$C$7:$C$117,MATCH(C55,Postes!$A$7:$A$117,0))-INDEX(Postes!$C$7:$C$117,MATCH(B55,Postes!$A$7:$A$117,0)))^2)</f>
        <v>79.6682606764866</v>
      </c>
      <c r="E55" s="5" t="n">
        <f aca="false">INDEX(Postes!$D$7:$D$117,MATCH(C55,Postes!$A$7:$A$117,0))+INDEX(Postes!$G$7:$G$117,MATCH(C55,Postes!$A$7:$A$117,0))-INDEX(Postes!$D$7:$D$117,MATCH(B55,Postes!$A$7:$A$117,0))-INDEX(Postes!$G$7:$G$117,MATCH(B55,Postes!$A$7:$A$117,0))</f>
        <v>8.39021926377509</v>
      </c>
      <c r="F55" s="5" t="n">
        <f aca="false">Parametros!$E$8*Parametros!$E$9</f>
        <v>2205</v>
      </c>
      <c r="G55" s="5" t="n">
        <f aca="false">Parametros!$E$10/1000*Parametros!$E$11</f>
        <v>1.32389775</v>
      </c>
      <c r="H55" s="5" t="n">
        <f aca="false">F55/G55</f>
        <v>1665.53648119728</v>
      </c>
      <c r="I55" s="5" t="n">
        <f aca="false">ASINH(E55/(2*H55*SINH(D55/(2*H55))))</f>
        <v>0.105110757516217</v>
      </c>
      <c r="J55" s="5" t="n">
        <f aca="false">D55/2-H55*I55</f>
        <v>-135.231670871298</v>
      </c>
      <c r="K55" s="5" t="n">
        <f aca="false">-J55/H55</f>
        <v>0.0811940611316334</v>
      </c>
      <c r="L55" s="5" t="n">
        <f aca="false">(D55-J55)/H55</f>
        <v>0.129027453900801</v>
      </c>
      <c r="M55" s="5" t="n">
        <f aca="false">H55*(SINH(L55)-SINH(K55))</f>
        <v>80.1164016659583</v>
      </c>
      <c r="N55" s="5" t="n">
        <f aca="false">M55*Parametros!$E$5</f>
        <v>240.349204997875</v>
      </c>
    </row>
    <row r="56" customFormat="false" ht="21" hidden="false" customHeight="true" outlineLevel="0" collapsed="false">
      <c r="A56" s="1" t="s">
        <v>281</v>
      </c>
      <c r="B56" s="1" t="s">
        <v>155</v>
      </c>
      <c r="C56" s="1" t="s">
        <v>156</v>
      </c>
      <c r="D56" s="5" t="n">
        <f aca="false">SQRT((INDEX(Postes!$B$7:$B$117,MATCH(C56,Postes!$A$7:$A$117,0))-INDEX(Postes!$B$7:$B$117,MATCH(B56,Postes!$A$7:$A$117,0)))^2+(INDEX(Postes!$C$7:$C$117,MATCH(C56,Postes!$A$7:$A$117,0))-INDEX(Postes!$C$7:$C$117,MATCH(B56,Postes!$A$7:$A$117,0)))^2)</f>
        <v>57.8548116044985</v>
      </c>
      <c r="E56" s="5" t="n">
        <f aca="false">INDEX(Postes!$D$7:$D$117,MATCH(C56,Postes!$A$7:$A$117,0))+INDEX(Postes!$G$7:$G$117,MATCH(C56,Postes!$A$7:$A$117,0))-INDEX(Postes!$D$7:$D$117,MATCH(B56,Postes!$A$7:$A$117,0))-INDEX(Postes!$G$7:$G$117,MATCH(B56,Postes!$A$7:$A$117,0))</f>
        <v>-0.182251600328163</v>
      </c>
      <c r="F56" s="5" t="n">
        <f aca="false">Parametros!$E$8*Parametros!$E$9</f>
        <v>2205</v>
      </c>
      <c r="G56" s="5" t="n">
        <f aca="false">Parametros!$E$10/1000*Parametros!$E$11</f>
        <v>1.32389775</v>
      </c>
      <c r="H56" s="5" t="n">
        <f aca="false">F56/G56</f>
        <v>1665.53648119728</v>
      </c>
      <c r="I56" s="5" t="n">
        <f aca="false">ASINH(E56/(2*H56*SINH(D56/(2*H56))))</f>
        <v>-0.00314999100957881</v>
      </c>
      <c r="J56" s="5" t="n">
        <f aca="false">D56/2-H56*I56</f>
        <v>34.1738307441462</v>
      </c>
      <c r="K56" s="5" t="n">
        <f aca="false">-J56/H56</f>
        <v>-0.0205182120775764</v>
      </c>
      <c r="L56" s="5" t="n">
        <f aca="false">(D56-J56)/H56</f>
        <v>0.0142182300584188</v>
      </c>
      <c r="M56" s="5" t="n">
        <f aca="false">H56*(SINH(L56)-SINH(K56))</f>
        <v>57.8580073934435</v>
      </c>
      <c r="N56" s="5" t="n">
        <f aca="false">M56*Parametros!$E$5</f>
        <v>173.574022180331</v>
      </c>
    </row>
    <row r="57" customFormat="false" ht="21" hidden="false" customHeight="true" outlineLevel="0" collapsed="false">
      <c r="A57" s="1" t="s">
        <v>282</v>
      </c>
      <c r="B57" s="1" t="s">
        <v>156</v>
      </c>
      <c r="C57" s="1" t="s">
        <v>157</v>
      </c>
      <c r="D57" s="5" t="n">
        <f aca="false">SQRT((INDEX(Postes!$B$7:$B$117,MATCH(C57,Postes!$A$7:$A$117,0))-INDEX(Postes!$B$7:$B$117,MATCH(B57,Postes!$A$7:$A$117,0)))^2+(INDEX(Postes!$C$7:$C$117,MATCH(C57,Postes!$A$7:$A$117,0))-INDEX(Postes!$C$7:$C$117,MATCH(B57,Postes!$A$7:$A$117,0)))^2)</f>
        <v>57.8548116060001</v>
      </c>
      <c r="E57" s="5" t="n">
        <f aca="false">INDEX(Postes!$D$7:$D$117,MATCH(C57,Postes!$A$7:$A$117,0))+INDEX(Postes!$G$7:$G$117,MATCH(C57,Postes!$A$7:$A$117,0))-INDEX(Postes!$D$7:$D$117,MATCH(B57,Postes!$A$7:$A$117,0))-INDEX(Postes!$G$7:$G$117,MATCH(B57,Postes!$A$7:$A$117,0))</f>
        <v>3.13257216273305</v>
      </c>
      <c r="F57" s="5" t="n">
        <f aca="false">Parametros!$E$8*Parametros!$E$9</f>
        <v>2205</v>
      </c>
      <c r="G57" s="5" t="n">
        <f aca="false">Parametros!$E$10/1000*Parametros!$E$11</f>
        <v>1.32389775</v>
      </c>
      <c r="H57" s="5" t="n">
        <f aca="false">F57/G57</f>
        <v>1665.53648119728</v>
      </c>
      <c r="I57" s="5" t="n">
        <f aca="false">ASINH(E57/(2*H57*SINH(D57/(2*H57))))</f>
        <v>0.0541162644017686</v>
      </c>
      <c r="J57" s="5" t="n">
        <f aca="false">D57/2-H57*I57</f>
        <v>-61.2052067842634</v>
      </c>
      <c r="K57" s="5" t="n">
        <f aca="false">-J57/H57</f>
        <v>0.0367480433333202</v>
      </c>
      <c r="L57" s="5" t="n">
        <f aca="false">(D57-J57)/H57</f>
        <v>0.071484485470217</v>
      </c>
      <c r="M57" s="5" t="n">
        <f aca="false">H57*(SINH(L57)-SINH(K57))</f>
        <v>57.9424612216503</v>
      </c>
      <c r="N57" s="5" t="n">
        <f aca="false">M57*Parametros!$E$5</f>
        <v>173.827383664951</v>
      </c>
    </row>
    <row r="58" customFormat="false" ht="21" hidden="false" customHeight="true" outlineLevel="0" collapsed="false">
      <c r="A58" s="1" t="s">
        <v>283</v>
      </c>
      <c r="B58" s="1" t="s">
        <v>157</v>
      </c>
      <c r="C58" s="1" t="s">
        <v>158</v>
      </c>
      <c r="D58" s="5" t="n">
        <f aca="false">SQRT((INDEX(Postes!$B$7:$B$117,MATCH(C58,Postes!$A$7:$A$117,0))-INDEX(Postes!$B$7:$B$117,MATCH(B58,Postes!$A$7:$A$117,0)))^2+(INDEX(Postes!$C$7:$C$117,MATCH(C58,Postes!$A$7:$A$117,0))-INDEX(Postes!$C$7:$C$117,MATCH(B58,Postes!$A$7:$A$117,0)))^2)</f>
        <v>82.7152464731644</v>
      </c>
      <c r="E58" s="5" t="n">
        <f aca="false">INDEX(Postes!$D$7:$D$117,MATCH(C58,Postes!$A$7:$A$117,0))+INDEX(Postes!$G$7:$G$117,MATCH(C58,Postes!$A$7:$A$117,0))-INDEX(Postes!$D$7:$D$117,MATCH(B58,Postes!$A$7:$A$117,0))-INDEX(Postes!$G$7:$G$117,MATCH(B58,Postes!$A$7:$A$117,0))</f>
        <v>21.5266530307548</v>
      </c>
      <c r="F58" s="5" t="n">
        <f aca="false">Parametros!$E$8*Parametros!$E$9</f>
        <v>2205</v>
      </c>
      <c r="G58" s="5" t="n">
        <f aca="false">Parametros!$E$10/1000*Parametros!$E$11</f>
        <v>1.32389775</v>
      </c>
      <c r="H58" s="5" t="n">
        <f aca="false">F58/G58</f>
        <v>1665.53648119728</v>
      </c>
      <c r="I58" s="5" t="n">
        <f aca="false">ASINH(E58/(2*H58*SINH(D58/(2*H58))))</f>
        <v>0.25737253430978</v>
      </c>
      <c r="J58" s="5" t="n">
        <f aca="false">D58/2-H58*I58</f>
        <v>-387.305721914556</v>
      </c>
      <c r="K58" s="5" t="n">
        <f aca="false">-J58/H58</f>
        <v>0.232541121906942</v>
      </c>
      <c r="L58" s="5" t="n">
        <f aca="false">(D58-J58)/H58</f>
        <v>0.282203946712619</v>
      </c>
      <c r="M58" s="5" t="n">
        <f aca="false">H58*(SINH(L58)-SINH(K58))</f>
        <v>85.4787407703159</v>
      </c>
      <c r="N58" s="5" t="n">
        <f aca="false">M58*Parametros!$E$5</f>
        <v>256.436222310948</v>
      </c>
    </row>
    <row r="59" customFormat="false" ht="21" hidden="false" customHeight="true" outlineLevel="0" collapsed="false">
      <c r="A59" s="1" t="s">
        <v>284</v>
      </c>
      <c r="B59" s="1" t="s">
        <v>158</v>
      </c>
      <c r="C59" s="1" t="s">
        <v>159</v>
      </c>
      <c r="D59" s="5" t="n">
        <f aca="false">SQRT((INDEX(Postes!$B$7:$B$117,MATCH(C59,Postes!$A$7:$A$117,0))-INDEX(Postes!$B$7:$B$117,MATCH(B59,Postes!$A$7:$A$117,0)))^2+(INDEX(Postes!$C$7:$C$117,MATCH(C59,Postes!$A$7:$A$117,0))-INDEX(Postes!$C$7:$C$117,MATCH(B59,Postes!$A$7:$A$117,0)))^2)</f>
        <v>48.0005518821749</v>
      </c>
      <c r="E59" s="5" t="n">
        <f aca="false">INDEX(Postes!$D$7:$D$117,MATCH(C59,Postes!$A$7:$A$117,0))+INDEX(Postes!$G$7:$G$117,MATCH(C59,Postes!$A$7:$A$117,0))-INDEX(Postes!$D$7:$D$117,MATCH(B59,Postes!$A$7:$A$117,0))-INDEX(Postes!$G$7:$G$117,MATCH(B59,Postes!$A$7:$A$117,0))</f>
        <v>1.89355230791389</v>
      </c>
      <c r="F59" s="5" t="n">
        <f aca="false">Parametros!$E$8*Parametros!$E$9</f>
        <v>2205</v>
      </c>
      <c r="G59" s="5" t="n">
        <f aca="false">Parametros!$E$10/1000*Parametros!$E$11</f>
        <v>1.32389775</v>
      </c>
      <c r="H59" s="5" t="n">
        <f aca="false">F59/G59</f>
        <v>1665.53648119728</v>
      </c>
      <c r="I59" s="5" t="n">
        <f aca="false">ASINH(E59/(2*H59*SINH(D59/(2*H59))))</f>
        <v>0.0394369643186341</v>
      </c>
      <c r="J59" s="5" t="n">
        <f aca="false">D59/2-H59*I59</f>
        <v>-41.6834268392732</v>
      </c>
      <c r="K59" s="5" t="n">
        <f aca="false">-J59/H59</f>
        <v>0.0250270272130628</v>
      </c>
      <c r="L59" s="5" t="n">
        <f aca="false">(D59-J59)/H59</f>
        <v>0.0538469014242054</v>
      </c>
      <c r="M59" s="5" t="n">
        <f aca="false">H59*(SINH(L59)-SINH(K59))</f>
        <v>48.0395462277417</v>
      </c>
      <c r="N59" s="5" t="n">
        <f aca="false">M59*Parametros!$E$5</f>
        <v>144.118638683225</v>
      </c>
    </row>
    <row r="60" customFormat="false" ht="21" hidden="false" customHeight="true" outlineLevel="0" collapsed="false">
      <c r="A60" s="1" t="s">
        <v>285</v>
      </c>
      <c r="B60" s="1" t="s">
        <v>159</v>
      </c>
      <c r="C60" s="1" t="s">
        <v>160</v>
      </c>
      <c r="D60" s="5" t="n">
        <f aca="false">SQRT((INDEX(Postes!$B$7:$B$117,MATCH(C60,Postes!$A$7:$A$117,0))-INDEX(Postes!$B$7:$B$117,MATCH(B60,Postes!$A$7:$A$117,0)))^2+(INDEX(Postes!$C$7:$C$117,MATCH(C60,Postes!$A$7:$A$117,0))-INDEX(Postes!$C$7:$C$117,MATCH(B60,Postes!$A$7:$A$117,0)))^2)</f>
        <v>48.0005518821975</v>
      </c>
      <c r="E60" s="5" t="n">
        <f aca="false">INDEX(Postes!$D$7:$D$117,MATCH(C60,Postes!$A$7:$A$117,0))+INDEX(Postes!$G$7:$G$117,MATCH(C60,Postes!$A$7:$A$117,0))-INDEX(Postes!$D$7:$D$117,MATCH(B60,Postes!$A$7:$A$117,0))-INDEX(Postes!$G$7:$G$117,MATCH(B60,Postes!$A$7:$A$117,0))</f>
        <v>-1.29258545403909</v>
      </c>
      <c r="F60" s="5" t="n">
        <f aca="false">Parametros!$E$8*Parametros!$E$9</f>
        <v>2205</v>
      </c>
      <c r="G60" s="5" t="n">
        <f aca="false">Parametros!$E$10/1000*Parametros!$E$11</f>
        <v>1.32389775</v>
      </c>
      <c r="H60" s="5" t="n">
        <f aca="false">F60/G60</f>
        <v>1665.53648119728</v>
      </c>
      <c r="I60" s="5" t="n">
        <f aca="false">ASINH(E60/(2*H60*SINH(D60/(2*H60))))</f>
        <v>-0.0269243689728468</v>
      </c>
      <c r="J60" s="5" t="n">
        <f aca="false">D60/2-H60*I60</f>
        <v>68.8437946985912</v>
      </c>
      <c r="K60" s="5" t="n">
        <f aca="false">-J60/H60</f>
        <v>-0.0413343060784249</v>
      </c>
      <c r="L60" s="5" t="n">
        <f aca="false">(D60-J60)/H60</f>
        <v>-0.0125144318672686</v>
      </c>
      <c r="M60" s="5" t="n">
        <f aca="false">H60*(SINH(L60)-SINH(K60))</f>
        <v>48.0196130615678</v>
      </c>
      <c r="N60" s="5" t="n">
        <f aca="false">M60*Parametros!$E$5</f>
        <v>144.058839184703</v>
      </c>
    </row>
    <row r="61" customFormat="false" ht="21" hidden="false" customHeight="true" outlineLevel="0" collapsed="false">
      <c r="A61" s="1" t="s">
        <v>286</v>
      </c>
      <c r="B61" s="1" t="s">
        <v>160</v>
      </c>
      <c r="C61" s="1" t="s">
        <v>161</v>
      </c>
      <c r="D61" s="5" t="n">
        <f aca="false">SQRT((INDEX(Postes!$B$7:$B$117,MATCH(C61,Postes!$A$7:$A$117,0))-INDEX(Postes!$B$7:$B$117,MATCH(B61,Postes!$A$7:$A$117,0)))^2+(INDEX(Postes!$C$7:$C$117,MATCH(C61,Postes!$A$7:$A$117,0))-INDEX(Postes!$C$7:$C$117,MATCH(B61,Postes!$A$7:$A$117,0)))^2)</f>
        <v>74.4621650032229</v>
      </c>
      <c r="E61" s="5" t="n">
        <f aca="false">INDEX(Postes!$D$7:$D$117,MATCH(C61,Postes!$A$7:$A$117,0))+INDEX(Postes!$G$7:$G$117,MATCH(C61,Postes!$A$7:$A$117,0))-INDEX(Postes!$D$7:$D$117,MATCH(B61,Postes!$A$7:$A$117,0))-INDEX(Postes!$G$7:$G$117,MATCH(B61,Postes!$A$7:$A$117,0))</f>
        <v>10.5493051220436</v>
      </c>
      <c r="F61" s="5" t="n">
        <f aca="false">Parametros!$E$8*Parametros!$E$9</f>
        <v>2205</v>
      </c>
      <c r="G61" s="5" t="n">
        <f aca="false">Parametros!$E$10/1000*Parametros!$E$11</f>
        <v>1.32389775</v>
      </c>
      <c r="H61" s="5" t="n">
        <f aca="false">F61/G61</f>
        <v>1665.53648119728</v>
      </c>
      <c r="I61" s="5" t="n">
        <f aca="false">ASINH(E61/(2*H61*SINH(D61/(2*H61))))</f>
        <v>0.141191979716765</v>
      </c>
      <c r="J61" s="5" t="n">
        <f aca="false">D61/2-H61*I61</f>
        <v>-197.929310569128</v>
      </c>
      <c r="K61" s="5" t="n">
        <f aca="false">-J61/H61</f>
        <v>0.118838171846494</v>
      </c>
      <c r="L61" s="5" t="n">
        <f aca="false">(D61-J61)/H61</f>
        <v>0.163545787587036</v>
      </c>
      <c r="M61" s="5" t="n">
        <f aca="false">H61*(SINH(L61)-SINH(K61))</f>
        <v>75.2118704161116</v>
      </c>
      <c r="N61" s="5" t="n">
        <f aca="false">M61*Parametros!$E$5</f>
        <v>225.635611248335</v>
      </c>
    </row>
    <row r="62" customFormat="false" ht="21" hidden="false" customHeight="true" outlineLevel="0" collapsed="false">
      <c r="A62" s="1" t="s">
        <v>287</v>
      </c>
      <c r="B62" s="1" t="s">
        <v>161</v>
      </c>
      <c r="C62" s="1" t="s">
        <v>162</v>
      </c>
      <c r="D62" s="5" t="n">
        <f aca="false">SQRT((INDEX(Postes!$B$7:$B$117,MATCH(C62,Postes!$A$7:$A$117,0))-INDEX(Postes!$B$7:$B$117,MATCH(B62,Postes!$A$7:$A$117,0)))^2+(INDEX(Postes!$C$7:$C$117,MATCH(C62,Postes!$A$7:$A$117,0))-INDEX(Postes!$C$7:$C$117,MATCH(B62,Postes!$A$7:$A$117,0)))^2)</f>
        <v>81.9115348922314</v>
      </c>
      <c r="E62" s="5" t="n">
        <f aca="false">INDEX(Postes!$D$7:$D$117,MATCH(C62,Postes!$A$7:$A$117,0))+INDEX(Postes!$G$7:$G$117,MATCH(C62,Postes!$A$7:$A$117,0))-INDEX(Postes!$D$7:$D$117,MATCH(B62,Postes!$A$7:$A$117,0))-INDEX(Postes!$G$7:$G$117,MATCH(B62,Postes!$A$7:$A$117,0))</f>
        <v>-9.53786736964876</v>
      </c>
      <c r="F62" s="5" t="n">
        <f aca="false">Parametros!$E$8*Parametros!$E$9</f>
        <v>2205</v>
      </c>
      <c r="G62" s="5" t="n">
        <f aca="false">Parametros!$E$10/1000*Parametros!$E$11</f>
        <v>1.32389775</v>
      </c>
      <c r="H62" s="5" t="n">
        <f aca="false">F62/G62</f>
        <v>1665.53648119728</v>
      </c>
      <c r="I62" s="5" t="n">
        <f aca="false">ASINH(E62/(2*H62*SINH(D62/(2*H62))))</f>
        <v>-0.116167886476037</v>
      </c>
      <c r="J62" s="5" t="n">
        <f aca="false">D62/2-H62*I62</f>
        <v>234.43762031554</v>
      </c>
      <c r="K62" s="5" t="n">
        <f aca="false">-J62/H62</f>
        <v>-0.140758021791881</v>
      </c>
      <c r="L62" s="5" t="n">
        <f aca="false">(D62-J62)/H62</f>
        <v>-0.091577751160193</v>
      </c>
      <c r="M62" s="5" t="n">
        <f aca="false">H62*(SINH(L62)-SINH(K62))</f>
        <v>82.4731648865041</v>
      </c>
      <c r="N62" s="5" t="n">
        <f aca="false">M62*Parametros!$E$5</f>
        <v>247.419494659512</v>
      </c>
    </row>
    <row r="63" customFormat="false" ht="21" hidden="false" customHeight="true" outlineLevel="0" collapsed="false">
      <c r="A63" s="1" t="s">
        <v>288</v>
      </c>
      <c r="B63" s="1" t="s">
        <v>162</v>
      </c>
      <c r="C63" s="1" t="s">
        <v>163</v>
      </c>
      <c r="D63" s="5" t="n">
        <f aca="false">SQRT((INDEX(Postes!$B$7:$B$117,MATCH(C63,Postes!$A$7:$A$117,0))-INDEX(Postes!$B$7:$B$117,MATCH(B63,Postes!$A$7:$A$117,0)))^2+(INDEX(Postes!$C$7:$C$117,MATCH(C63,Postes!$A$7:$A$117,0))-INDEX(Postes!$C$7:$C$117,MATCH(B63,Postes!$A$7:$A$117,0)))^2)</f>
        <v>47.3170829449931</v>
      </c>
      <c r="E63" s="5" t="n">
        <f aca="false">INDEX(Postes!$D$7:$D$117,MATCH(C63,Postes!$A$7:$A$117,0))+INDEX(Postes!$G$7:$G$117,MATCH(C63,Postes!$A$7:$A$117,0))-INDEX(Postes!$D$7:$D$117,MATCH(B63,Postes!$A$7:$A$117,0))-INDEX(Postes!$G$7:$G$117,MATCH(B63,Postes!$A$7:$A$117,0))</f>
        <v>7.98533868770792</v>
      </c>
      <c r="F63" s="5" t="n">
        <f aca="false">Parametros!$E$8*Parametros!$E$9</f>
        <v>2205</v>
      </c>
      <c r="G63" s="5" t="n">
        <f aca="false">Parametros!$E$10/1000*Parametros!$E$11</f>
        <v>1.32389775</v>
      </c>
      <c r="H63" s="5" t="n">
        <f aca="false">F63/G63</f>
        <v>1665.53648119728</v>
      </c>
      <c r="I63" s="5" t="n">
        <f aca="false">ASINH(E63/(2*H63*SINH(D63/(2*H63))))</f>
        <v>0.167965699513395</v>
      </c>
      <c r="J63" s="5" t="n">
        <f aca="false">D63/2-H63*I63</f>
        <v>-256.094458656884</v>
      </c>
      <c r="K63" s="5" t="n">
        <f aca="false">-J63/H63</f>
        <v>0.153760942223727</v>
      </c>
      <c r="L63" s="5" t="n">
        <f aca="false">(D63-J63)/H63</f>
        <v>0.182170456803064</v>
      </c>
      <c r="M63" s="5" t="n">
        <f aca="false">H63*(SINH(L63)-SINH(K63))</f>
        <v>47.9877334496811</v>
      </c>
      <c r="N63" s="5" t="n">
        <f aca="false">M63*Parametros!$E$5</f>
        <v>143.963200349043</v>
      </c>
    </row>
    <row r="64" customFormat="false" ht="21" hidden="false" customHeight="true" outlineLevel="0" collapsed="false">
      <c r="A64" s="1" t="s">
        <v>289</v>
      </c>
      <c r="B64" s="1" t="s">
        <v>163</v>
      </c>
      <c r="C64" s="1" t="s">
        <v>164</v>
      </c>
      <c r="D64" s="5" t="n">
        <f aca="false">SQRT((INDEX(Postes!$B$7:$B$117,MATCH(C64,Postes!$A$7:$A$117,0))-INDEX(Postes!$B$7:$B$117,MATCH(B64,Postes!$A$7:$A$117,0)))^2+(INDEX(Postes!$C$7:$C$117,MATCH(C64,Postes!$A$7:$A$117,0))-INDEX(Postes!$C$7:$C$117,MATCH(B64,Postes!$A$7:$A$117,0)))^2)</f>
        <v>47.3170829448786</v>
      </c>
      <c r="E64" s="5" t="n">
        <f aca="false">INDEX(Postes!$D$7:$D$117,MATCH(C64,Postes!$A$7:$A$117,0))+INDEX(Postes!$G$7:$G$117,MATCH(C64,Postes!$A$7:$A$117,0))-INDEX(Postes!$D$7:$D$117,MATCH(B64,Postes!$A$7:$A$117,0))-INDEX(Postes!$G$7:$G$117,MATCH(B64,Postes!$A$7:$A$117,0))</f>
        <v>15.8147274456468</v>
      </c>
      <c r="F64" s="5" t="n">
        <f aca="false">Parametros!$E$8*Parametros!$E$9</f>
        <v>2205</v>
      </c>
      <c r="G64" s="5" t="n">
        <f aca="false">Parametros!$E$10/1000*Parametros!$E$11</f>
        <v>1.32389775</v>
      </c>
      <c r="H64" s="5" t="n">
        <f aca="false">F64/G64</f>
        <v>1665.53648119728</v>
      </c>
      <c r="I64" s="5" t="n">
        <f aca="false">ASINH(E64/(2*H64*SINH(D64/(2*H64))))</f>
        <v>0.328288802056188</v>
      </c>
      <c r="J64" s="5" t="n">
        <f aca="false">D64/2-H64*I64</f>
        <v>-523.118434720695</v>
      </c>
      <c r="K64" s="5" t="n">
        <f aca="false">-J64/H64</f>
        <v>0.314084044766554</v>
      </c>
      <c r="L64" s="5" t="n">
        <f aca="false">(D64-J64)/H64</f>
        <v>0.342493559345823</v>
      </c>
      <c r="M64" s="5" t="n">
        <f aca="false">H64*(SINH(L64)-SINH(K64))</f>
        <v>49.8915076125137</v>
      </c>
      <c r="N64" s="5" t="n">
        <f aca="false">M64*Parametros!$E$5</f>
        <v>149.674522837541</v>
      </c>
    </row>
    <row r="65" customFormat="false" ht="21" hidden="false" customHeight="true" outlineLevel="0" collapsed="false">
      <c r="A65" s="1" t="s">
        <v>290</v>
      </c>
      <c r="B65" s="1" t="s">
        <v>164</v>
      </c>
      <c r="C65" s="1" t="s">
        <v>165</v>
      </c>
      <c r="D65" s="5" t="n">
        <f aca="false">SQRT((INDEX(Postes!$B$7:$B$117,MATCH(C65,Postes!$A$7:$A$117,0))-INDEX(Postes!$B$7:$B$117,MATCH(B65,Postes!$A$7:$A$117,0)))^2+(INDEX(Postes!$C$7:$C$117,MATCH(C65,Postes!$A$7:$A$117,0))-INDEX(Postes!$C$7:$C$117,MATCH(B65,Postes!$A$7:$A$117,0)))^2)</f>
        <v>38.4001797811729</v>
      </c>
      <c r="E65" s="5" t="n">
        <f aca="false">INDEX(Postes!$D$7:$D$117,MATCH(C65,Postes!$A$7:$A$117,0))+INDEX(Postes!$G$7:$G$117,MATCH(C65,Postes!$A$7:$A$117,0))-INDEX(Postes!$D$7:$D$117,MATCH(B65,Postes!$A$7:$A$117,0))-INDEX(Postes!$G$7:$G$117,MATCH(B65,Postes!$A$7:$A$117,0))</f>
        <v>10.2445681670742</v>
      </c>
      <c r="F65" s="5" t="n">
        <f aca="false">Parametros!$E$8*Parametros!$E$9</f>
        <v>2205</v>
      </c>
      <c r="G65" s="5" t="n">
        <f aca="false">Parametros!$E$10/1000*Parametros!$E$11</f>
        <v>1.32389775</v>
      </c>
      <c r="H65" s="5" t="n">
        <f aca="false">F65/G65</f>
        <v>1665.53648119728</v>
      </c>
      <c r="I65" s="5" t="n">
        <f aca="false">ASINH(E65/(2*H65*SINH(D65/(2*H65))))</f>
        <v>0.263711252886299</v>
      </c>
      <c r="J65" s="5" t="n">
        <f aca="false">D65/2-H65*I65</f>
        <v>-420.020622293786</v>
      </c>
      <c r="K65" s="5" t="n">
        <f aca="false">-J65/H65</f>
        <v>0.252183381772491</v>
      </c>
      <c r="L65" s="5" t="n">
        <f aca="false">(D65-J65)/H65</f>
        <v>0.275239124000106</v>
      </c>
      <c r="M65" s="5" t="n">
        <f aca="false">H65*(SINH(L65)-SINH(K65))</f>
        <v>39.744059995286</v>
      </c>
      <c r="N65" s="5" t="n">
        <f aca="false">M65*Parametros!$E$5</f>
        <v>119.232179985858</v>
      </c>
    </row>
    <row r="66" customFormat="false" ht="21" hidden="false" customHeight="true" outlineLevel="0" collapsed="false">
      <c r="A66" s="1" t="s">
        <v>291</v>
      </c>
      <c r="B66" s="1" t="s">
        <v>165</v>
      </c>
      <c r="C66" s="1" t="s">
        <v>166</v>
      </c>
      <c r="D66" s="5" t="n">
        <f aca="false">SQRT((INDEX(Postes!$B$7:$B$117,MATCH(C66,Postes!$A$7:$A$117,0))-INDEX(Postes!$B$7:$B$117,MATCH(B66,Postes!$A$7:$A$117,0)))^2+(INDEX(Postes!$C$7:$C$117,MATCH(C66,Postes!$A$7:$A$117,0))-INDEX(Postes!$C$7:$C$117,MATCH(B66,Postes!$A$7:$A$117,0)))^2)</f>
        <v>68.1526870123718</v>
      </c>
      <c r="E66" s="5" t="n">
        <f aca="false">INDEX(Postes!$D$7:$D$117,MATCH(C66,Postes!$A$7:$A$117,0))+INDEX(Postes!$G$7:$G$117,MATCH(C66,Postes!$A$7:$A$117,0))-INDEX(Postes!$D$7:$D$117,MATCH(B66,Postes!$A$7:$A$117,0))-INDEX(Postes!$G$7:$G$117,MATCH(B66,Postes!$A$7:$A$117,0))</f>
        <v>2.70836250006014</v>
      </c>
      <c r="F66" s="5" t="n">
        <f aca="false">Parametros!$E$8*Parametros!$E$9</f>
        <v>2205</v>
      </c>
      <c r="G66" s="5" t="n">
        <f aca="false">Parametros!$E$10/1000*Parametros!$E$11</f>
        <v>1.32389775</v>
      </c>
      <c r="H66" s="5" t="n">
        <f aca="false">F66/G66</f>
        <v>1665.53648119728</v>
      </c>
      <c r="I66" s="5" t="n">
        <f aca="false">ASINH(E66/(2*H66*SINH(D66/(2*H66))))</f>
        <v>0.03972640657527</v>
      </c>
      <c r="J66" s="5" t="n">
        <f aca="false">D66/2-H66*I66</f>
        <v>-32.089435911802</v>
      </c>
      <c r="K66" s="5" t="n">
        <f aca="false">-J66/H66</f>
        <v>0.0192667265317024</v>
      </c>
      <c r="L66" s="5" t="n">
        <f aca="false">(D66-J66)/H66</f>
        <v>0.0601860866188377</v>
      </c>
      <c r="M66" s="5" t="n">
        <f aca="false">H66*(SINH(L66)-SINH(K66))</f>
        <v>68.2112315616522</v>
      </c>
      <c r="N66" s="5" t="n">
        <f aca="false">M66*Parametros!$E$5</f>
        <v>204.633694684957</v>
      </c>
    </row>
    <row r="67" customFormat="false" ht="21" hidden="false" customHeight="true" outlineLevel="0" collapsed="false">
      <c r="A67" s="1" t="s">
        <v>292</v>
      </c>
      <c r="B67" s="1" t="s">
        <v>166</v>
      </c>
      <c r="C67" s="1" t="s">
        <v>167</v>
      </c>
      <c r="D67" s="5" t="n">
        <f aca="false">SQRT((INDEX(Postes!$B$7:$B$117,MATCH(C67,Postes!$A$7:$A$117,0))-INDEX(Postes!$B$7:$B$117,MATCH(B67,Postes!$A$7:$A$117,0)))^2+(INDEX(Postes!$C$7:$C$117,MATCH(C67,Postes!$A$7:$A$117,0))-INDEX(Postes!$C$7:$C$117,MATCH(B67,Postes!$A$7:$A$117,0)))^2)</f>
        <v>68.1526870123718</v>
      </c>
      <c r="E67" s="5" t="n">
        <f aca="false">INDEX(Postes!$D$7:$D$117,MATCH(C67,Postes!$A$7:$A$117,0))+INDEX(Postes!$G$7:$G$117,MATCH(C67,Postes!$A$7:$A$117,0))-INDEX(Postes!$D$7:$D$117,MATCH(B67,Postes!$A$7:$A$117,0))-INDEX(Postes!$G$7:$G$117,MATCH(B67,Postes!$A$7:$A$117,0))</f>
        <v>-10.938490444796</v>
      </c>
      <c r="F67" s="5" t="n">
        <f aca="false">Parametros!$E$8*Parametros!$E$9</f>
        <v>2205</v>
      </c>
      <c r="G67" s="5" t="n">
        <f aca="false">Parametros!$E$10/1000*Parametros!$E$11</f>
        <v>1.32389775</v>
      </c>
      <c r="H67" s="5" t="n">
        <f aca="false">F67/G67</f>
        <v>1665.53648119728</v>
      </c>
      <c r="I67" s="5" t="n">
        <f aca="false">ASINH(E67/(2*H67*SINH(D67/(2*H67))))</f>
        <v>-0.159807496237388</v>
      </c>
      <c r="J67" s="5" t="n">
        <f aca="false">D67/2-H67*I67</f>
        <v>300.241558458353</v>
      </c>
      <c r="K67" s="5" t="n">
        <f aca="false">-J67/H67</f>
        <v>-0.180267176280955</v>
      </c>
      <c r="L67" s="5" t="n">
        <f aca="false">(D67-J67)/H67</f>
        <v>-0.13934781619382</v>
      </c>
      <c r="M67" s="5" t="n">
        <f aca="false">H67*(SINH(L67)-SINH(K67))</f>
        <v>69.029612898643</v>
      </c>
      <c r="N67" s="5" t="n">
        <f aca="false">M67*Parametros!$E$5</f>
        <v>207.088838695929</v>
      </c>
    </row>
    <row r="68" customFormat="false" ht="21" hidden="false" customHeight="true" outlineLevel="0" collapsed="false">
      <c r="A68" s="1" t="s">
        <v>293</v>
      </c>
      <c r="B68" s="1" t="s">
        <v>167</v>
      </c>
      <c r="C68" s="1" t="s">
        <v>168</v>
      </c>
      <c r="D68" s="5" t="n">
        <f aca="false">SQRT((INDEX(Postes!$B$7:$B$117,MATCH(C68,Postes!$A$7:$A$117,0))-INDEX(Postes!$B$7:$B$117,MATCH(B68,Postes!$A$7:$A$117,0)))^2+(INDEX(Postes!$C$7:$C$117,MATCH(C68,Postes!$A$7:$A$117,0))-INDEX(Postes!$C$7:$C$117,MATCH(B68,Postes!$A$7:$A$117,0)))^2)</f>
        <v>68.1526870123699</v>
      </c>
      <c r="E68" s="5" t="n">
        <f aca="false">INDEX(Postes!$D$7:$D$117,MATCH(C68,Postes!$A$7:$A$117,0))+INDEX(Postes!$G$7:$G$117,MATCH(C68,Postes!$A$7:$A$117,0))-INDEX(Postes!$D$7:$D$117,MATCH(B68,Postes!$A$7:$A$117,0))-INDEX(Postes!$G$7:$G$117,MATCH(B68,Postes!$A$7:$A$117,0))</f>
        <v>12.7987113016979</v>
      </c>
      <c r="F68" s="5" t="n">
        <f aca="false">Parametros!$E$8*Parametros!$E$9</f>
        <v>2205</v>
      </c>
      <c r="G68" s="5" t="n">
        <f aca="false">Parametros!$E$10/1000*Parametros!$E$11</f>
        <v>1.32389775</v>
      </c>
      <c r="H68" s="5" t="n">
        <f aca="false">F68/G68</f>
        <v>1665.53648119728</v>
      </c>
      <c r="I68" s="5" t="n">
        <f aca="false">ASINH(E68/(2*H68*SINH(D68/(2*H68))))</f>
        <v>0.186695130885845</v>
      </c>
      <c r="J68" s="5" t="n">
        <f aca="false">D68/2-H68*I68</f>
        <v>-276.871207846092</v>
      </c>
      <c r="K68" s="5" t="n">
        <f aca="false">-J68/H68</f>
        <v>0.166235450842278</v>
      </c>
      <c r="L68" s="5" t="n">
        <f aca="false">(D68-J68)/H68</f>
        <v>0.207154810929412</v>
      </c>
      <c r="M68" s="5" t="n">
        <f aca="false">H68*(SINH(L68)-SINH(K68))</f>
        <v>69.3487122786686</v>
      </c>
      <c r="N68" s="5" t="n">
        <f aca="false">M68*Parametros!$E$5</f>
        <v>208.046136836006</v>
      </c>
    </row>
    <row r="69" customFormat="false" ht="21" hidden="false" customHeight="true" outlineLevel="0" collapsed="false">
      <c r="A69" s="1" t="s">
        <v>294</v>
      </c>
      <c r="B69" s="1" t="s">
        <v>168</v>
      </c>
      <c r="C69" s="1" t="s">
        <v>169</v>
      </c>
      <c r="D69" s="5" t="n">
        <f aca="false">SQRT((INDEX(Postes!$B$7:$B$117,MATCH(C69,Postes!$A$7:$A$117,0))-INDEX(Postes!$B$7:$B$117,MATCH(B69,Postes!$A$7:$A$117,0)))^2+(INDEX(Postes!$C$7:$C$117,MATCH(C69,Postes!$A$7:$A$117,0))-INDEX(Postes!$C$7:$C$117,MATCH(B69,Postes!$A$7:$A$117,0)))^2)</f>
        <v>68.1526870123756</v>
      </c>
      <c r="E69" s="5" t="n">
        <f aca="false">INDEX(Postes!$D$7:$D$117,MATCH(C69,Postes!$A$7:$A$117,0))+INDEX(Postes!$G$7:$G$117,MATCH(C69,Postes!$A$7:$A$117,0))-INDEX(Postes!$D$7:$D$117,MATCH(B69,Postes!$A$7:$A$117,0))-INDEX(Postes!$G$7:$G$117,MATCH(B69,Postes!$A$7:$A$117,0))</f>
        <v>-4.10380521326542</v>
      </c>
      <c r="F69" s="5" t="n">
        <f aca="false">Parametros!$E$8*Parametros!$E$9</f>
        <v>2205</v>
      </c>
      <c r="G69" s="5" t="n">
        <f aca="false">Parametros!$E$10/1000*Parametros!$E$11</f>
        <v>1.32389775</v>
      </c>
      <c r="H69" s="5" t="n">
        <f aca="false">F69/G69</f>
        <v>1665.53648119728</v>
      </c>
      <c r="I69" s="5" t="n">
        <f aca="false">ASINH(E69/(2*H69*SINH(D69/(2*H69))))</f>
        <v>-0.0601743482762789</v>
      </c>
      <c r="J69" s="5" t="n">
        <f aca="false">D69/2-H69*I69</f>
        <v>134.298915792601</v>
      </c>
      <c r="K69" s="5" t="n">
        <f aca="false">-J69/H69</f>
        <v>-0.0806340283198476</v>
      </c>
      <c r="L69" s="5" t="n">
        <f aca="false">(D69-J69)/H69</f>
        <v>-0.0397146682327101</v>
      </c>
      <c r="M69" s="5" t="n">
        <f aca="false">H69*(SINH(L69)-SINH(K69))</f>
        <v>68.2808765391493</v>
      </c>
      <c r="N69" s="5" t="n">
        <f aca="false">M69*Parametros!$E$5</f>
        <v>204.842629617448</v>
      </c>
    </row>
    <row r="70" customFormat="false" ht="21" hidden="false" customHeight="true" outlineLevel="0" collapsed="false">
      <c r="A70" s="1" t="s">
        <v>295</v>
      </c>
      <c r="B70" s="1" t="s">
        <v>169</v>
      </c>
      <c r="C70" s="1" t="s">
        <v>170</v>
      </c>
      <c r="D70" s="5" t="n">
        <f aca="false">SQRT((INDEX(Postes!$B$7:$B$117,MATCH(C70,Postes!$A$7:$A$117,0))-INDEX(Postes!$B$7:$B$117,MATCH(B70,Postes!$A$7:$A$117,0)))^2+(INDEX(Postes!$C$7:$C$117,MATCH(C70,Postes!$A$7:$A$117,0))-INDEX(Postes!$C$7:$C$117,MATCH(B70,Postes!$A$7:$A$117,0)))^2)</f>
        <v>56.0094548579217</v>
      </c>
      <c r="E70" s="5" t="n">
        <f aca="false">INDEX(Postes!$D$7:$D$117,MATCH(C70,Postes!$A$7:$A$117,0))+INDEX(Postes!$G$7:$G$117,MATCH(C70,Postes!$A$7:$A$117,0))-INDEX(Postes!$D$7:$D$117,MATCH(B70,Postes!$A$7:$A$117,0))-INDEX(Postes!$G$7:$G$117,MATCH(B70,Postes!$A$7:$A$117,0))</f>
        <v>11.467957913086</v>
      </c>
      <c r="F70" s="5" t="n">
        <f aca="false">Parametros!$E$8*Parametros!$E$9</f>
        <v>2205</v>
      </c>
      <c r="G70" s="5" t="n">
        <f aca="false">Parametros!$E$10/1000*Parametros!$E$11</f>
        <v>1.32389775</v>
      </c>
      <c r="H70" s="5" t="n">
        <f aca="false">F70/G70</f>
        <v>1665.53648119728</v>
      </c>
      <c r="I70" s="5" t="n">
        <f aca="false">ASINH(E70/(2*H70*SINH(D70/(2*H70))))</f>
        <v>0.203336660298261</v>
      </c>
      <c r="J70" s="5" t="n">
        <f aca="false">D70/2-H70*I70</f>
        <v>-310.659898262611</v>
      </c>
      <c r="K70" s="5" t="n">
        <f aca="false">-J70/H70</f>
        <v>0.186522421916145</v>
      </c>
      <c r="L70" s="5" t="n">
        <f aca="false">(D70-J70)/H70</f>
        <v>0.220150898680376</v>
      </c>
      <c r="M70" s="5" t="n">
        <f aca="false">H70*(SINH(L70)-SINH(K70))</f>
        <v>57.1740215335129</v>
      </c>
      <c r="N70" s="5" t="n">
        <f aca="false">M70*Parametros!$E$5</f>
        <v>171.522064600539</v>
      </c>
    </row>
    <row r="71" customFormat="false" ht="21" hidden="false" customHeight="true" outlineLevel="0" collapsed="false">
      <c r="A71" s="1" t="s">
        <v>296</v>
      </c>
      <c r="B71" s="1" t="s">
        <v>170</v>
      </c>
      <c r="C71" s="1" t="s">
        <v>171</v>
      </c>
      <c r="D71" s="5" t="n">
        <f aca="false">SQRT((INDEX(Postes!$B$7:$B$117,MATCH(C71,Postes!$A$7:$A$117,0))-INDEX(Postes!$B$7:$B$117,MATCH(B71,Postes!$A$7:$A$117,0)))^2+(INDEX(Postes!$C$7:$C$117,MATCH(C71,Postes!$A$7:$A$117,0))-INDEX(Postes!$C$7:$C$117,MATCH(B71,Postes!$A$7:$A$117,0)))^2)</f>
        <v>69.7949639470095</v>
      </c>
      <c r="E71" s="5" t="n">
        <f aca="false">INDEX(Postes!$D$7:$D$117,MATCH(C71,Postes!$A$7:$A$117,0))+INDEX(Postes!$G$7:$G$117,MATCH(C71,Postes!$A$7:$A$117,0))-INDEX(Postes!$D$7:$D$117,MATCH(B71,Postes!$A$7:$A$117,0))-INDEX(Postes!$G$7:$G$117,MATCH(B71,Postes!$A$7:$A$117,0))</f>
        <v>12.1846719458314</v>
      </c>
      <c r="F71" s="5" t="n">
        <f aca="false">Parametros!$E$8*Parametros!$E$9</f>
        <v>2205</v>
      </c>
      <c r="G71" s="5" t="n">
        <f aca="false">Parametros!$E$10/1000*Parametros!$E$11</f>
        <v>1.32389775</v>
      </c>
      <c r="H71" s="5" t="n">
        <f aca="false">F71/G71</f>
        <v>1665.53648119728</v>
      </c>
      <c r="I71" s="5" t="n">
        <f aca="false">ASINH(E71/(2*H71*SINH(D71/(2*H71))))</f>
        <v>0.173690675270126</v>
      </c>
      <c r="J71" s="5" t="n">
        <f aca="false">D71/2-H71*I71</f>
        <v>-254.390674132682</v>
      </c>
      <c r="K71" s="5" t="n">
        <f aca="false">-J71/H71</f>
        <v>0.152737977825506</v>
      </c>
      <c r="L71" s="5" t="n">
        <f aca="false">(D71-J71)/H71</f>
        <v>0.194643372714747</v>
      </c>
      <c r="M71" s="5" t="n">
        <f aca="false">H71*(SINH(L71)-SINH(K71))</f>
        <v>70.8556005458883</v>
      </c>
      <c r="N71" s="5" t="n">
        <f aca="false">M71*Parametros!$E$5</f>
        <v>212.566801637665</v>
      </c>
    </row>
    <row r="72" customFormat="false" ht="21" hidden="false" customHeight="true" outlineLevel="0" collapsed="false">
      <c r="A72" s="1" t="s">
        <v>297</v>
      </c>
      <c r="B72" s="1" t="s">
        <v>171</v>
      </c>
      <c r="C72" s="1" t="s">
        <v>172</v>
      </c>
      <c r="D72" s="5" t="n">
        <f aca="false">SQRT((INDEX(Postes!$B$7:$B$117,MATCH(C72,Postes!$A$7:$A$117,0))-INDEX(Postes!$B$7:$B$117,MATCH(B72,Postes!$A$7:$A$117,0)))^2+(INDEX(Postes!$C$7:$C$117,MATCH(C72,Postes!$A$7:$A$117,0))-INDEX(Postes!$C$7:$C$117,MATCH(B72,Postes!$A$7:$A$117,0)))^2)</f>
        <v>69.7949639470497</v>
      </c>
      <c r="E72" s="5" t="n">
        <f aca="false">INDEX(Postes!$D$7:$D$117,MATCH(C72,Postes!$A$7:$A$117,0))+INDEX(Postes!$G$7:$G$117,MATCH(C72,Postes!$A$7:$A$117,0))-INDEX(Postes!$D$7:$D$117,MATCH(B72,Postes!$A$7:$A$117,0))-INDEX(Postes!$G$7:$G$117,MATCH(B72,Postes!$A$7:$A$117,0))</f>
        <v>3.44748519453296</v>
      </c>
      <c r="F72" s="5" t="n">
        <f aca="false">Parametros!$E$8*Parametros!$E$9</f>
        <v>2205</v>
      </c>
      <c r="G72" s="5" t="n">
        <f aca="false">Parametros!$E$10/1000*Parametros!$E$11</f>
        <v>1.32389775</v>
      </c>
      <c r="H72" s="5" t="n">
        <f aca="false">F72/G72</f>
        <v>1665.53648119728</v>
      </c>
      <c r="I72" s="5" t="n">
        <f aca="false">ASINH(E72/(2*H72*SINH(D72/(2*H72))))</f>
        <v>0.0493707960644154</v>
      </c>
      <c r="J72" s="5" t="n">
        <f aca="false">D72/2-H72*I72</f>
        <v>-47.3313799775103</v>
      </c>
      <c r="K72" s="5" t="n">
        <f aca="false">-J72/H72</f>
        <v>0.0284180986197827</v>
      </c>
      <c r="L72" s="5" t="n">
        <f aca="false">(D72-J72)/H72</f>
        <v>0.0703234935090482</v>
      </c>
      <c r="M72" s="5" t="n">
        <f aca="false">H72*(SINH(L72)-SINH(K72))</f>
        <v>69.8851561668364</v>
      </c>
      <c r="N72" s="5" t="n">
        <f aca="false">M72*Parametros!$E$5</f>
        <v>209.655468500509</v>
      </c>
    </row>
    <row r="73" customFormat="false" ht="21" hidden="false" customHeight="true" outlineLevel="0" collapsed="false">
      <c r="A73" s="1" t="s">
        <v>298</v>
      </c>
      <c r="B73" s="1" t="s">
        <v>172</v>
      </c>
      <c r="C73" s="1" t="s">
        <v>173</v>
      </c>
      <c r="D73" s="5" t="n">
        <f aca="false">SQRT((INDEX(Postes!$B$7:$B$117,MATCH(C73,Postes!$A$7:$A$117,0))-INDEX(Postes!$B$7:$B$117,MATCH(B73,Postes!$A$7:$A$117,0)))^2+(INDEX(Postes!$C$7:$C$117,MATCH(C73,Postes!$A$7:$A$117,0))-INDEX(Postes!$C$7:$C$117,MATCH(B73,Postes!$A$7:$A$117,0)))^2)</f>
        <v>56.8852299738879</v>
      </c>
      <c r="E73" s="5" t="n">
        <f aca="false">INDEX(Postes!$D$7:$D$117,MATCH(C73,Postes!$A$7:$A$117,0))+INDEX(Postes!$G$7:$G$117,MATCH(C73,Postes!$A$7:$A$117,0))-INDEX(Postes!$D$7:$D$117,MATCH(B73,Postes!$A$7:$A$117,0))-INDEX(Postes!$G$7:$G$117,MATCH(B73,Postes!$A$7:$A$117,0))</f>
        <v>11.8139038660112</v>
      </c>
      <c r="F73" s="5" t="n">
        <f aca="false">Parametros!$E$8*Parametros!$E$9</f>
        <v>2205</v>
      </c>
      <c r="G73" s="5" t="n">
        <f aca="false">Parametros!$E$10/1000*Parametros!$E$11</f>
        <v>1.32389775</v>
      </c>
      <c r="H73" s="5" t="n">
        <f aca="false">F73/G73</f>
        <v>1665.53648119728</v>
      </c>
      <c r="I73" s="5" t="n">
        <f aca="false">ASINH(E73/(2*H73*SINH(D73/(2*H73))))</f>
        <v>0.206205106718806</v>
      </c>
      <c r="J73" s="5" t="n">
        <f aca="false">D73/2-H73*I73</f>
        <v>-314.999512862406</v>
      </c>
      <c r="K73" s="5" t="n">
        <f aca="false">-J73/H73</f>
        <v>0.189127957519109</v>
      </c>
      <c r="L73" s="5" t="n">
        <f aca="false">(D73-J73)/H73</f>
        <v>0.223282255918502</v>
      </c>
      <c r="M73" s="5" t="n">
        <f aca="false">H73*(SINH(L73)-SINH(K73))</f>
        <v>58.1017408483876</v>
      </c>
      <c r="N73" s="5" t="n">
        <f aca="false">M73*Parametros!$E$5</f>
        <v>174.305222545163</v>
      </c>
    </row>
    <row r="74" customFormat="false" ht="21" hidden="false" customHeight="true" outlineLevel="0" collapsed="false">
      <c r="A74" s="1" t="s">
        <v>299</v>
      </c>
      <c r="B74" s="1" t="s">
        <v>173</v>
      </c>
      <c r="C74" s="1" t="s">
        <v>174</v>
      </c>
      <c r="D74" s="5" t="n">
        <f aca="false">SQRT((INDEX(Postes!$B$7:$B$117,MATCH(C74,Postes!$A$7:$A$117,0))-INDEX(Postes!$B$7:$B$117,MATCH(B74,Postes!$A$7:$A$117,0)))^2+(INDEX(Postes!$C$7:$C$117,MATCH(C74,Postes!$A$7:$A$117,0))-INDEX(Postes!$C$7:$C$117,MATCH(B74,Postes!$A$7:$A$117,0)))^2)</f>
        <v>56.8852299738504</v>
      </c>
      <c r="E74" s="5" t="n">
        <f aca="false">INDEX(Postes!$D$7:$D$117,MATCH(C74,Postes!$A$7:$A$117,0))+INDEX(Postes!$G$7:$G$117,MATCH(C74,Postes!$A$7:$A$117,0))-INDEX(Postes!$D$7:$D$117,MATCH(B74,Postes!$A$7:$A$117,0))-INDEX(Postes!$G$7:$G$117,MATCH(B74,Postes!$A$7:$A$117,0))</f>
        <v>9.7208053814039</v>
      </c>
      <c r="F74" s="5" t="n">
        <f aca="false">Parametros!$E$8*Parametros!$E$9</f>
        <v>2205</v>
      </c>
      <c r="G74" s="5" t="n">
        <f aca="false">Parametros!$E$10/1000*Parametros!$E$11</f>
        <v>1.32389775</v>
      </c>
      <c r="H74" s="5" t="n">
        <f aca="false">F74/G74</f>
        <v>1665.53648119728</v>
      </c>
      <c r="I74" s="5" t="n">
        <f aca="false">ASINH(E74/(2*H74*SINH(D74/(2*H74))))</f>
        <v>0.170055397275588</v>
      </c>
      <c r="J74" s="5" t="n">
        <f aca="false">D74/2-H74*I74</f>
        <v>-254.790853000064</v>
      </c>
      <c r="K74" s="5" t="n">
        <f aca="false">-J74/H74</f>
        <v>0.152978248075903</v>
      </c>
      <c r="L74" s="5" t="n">
        <f aca="false">(D74-J74)/H74</f>
        <v>0.187132546475274</v>
      </c>
      <c r="M74" s="5" t="n">
        <f aca="false">H74*(SINH(L74)-SINH(K74))</f>
        <v>57.7125464896213</v>
      </c>
      <c r="N74" s="5" t="n">
        <f aca="false">M74*Parametros!$E$5</f>
        <v>173.137639468864</v>
      </c>
    </row>
    <row r="75" customFormat="false" ht="21" hidden="false" customHeight="true" outlineLevel="0" collapsed="false">
      <c r="A75" s="1" t="s">
        <v>300</v>
      </c>
      <c r="B75" s="1" t="s">
        <v>174</v>
      </c>
      <c r="C75" s="1" t="s">
        <v>175</v>
      </c>
      <c r="D75" s="5" t="n">
        <f aca="false">SQRT((INDEX(Postes!$B$7:$B$117,MATCH(C75,Postes!$A$7:$A$117,0))-INDEX(Postes!$B$7:$B$117,MATCH(B75,Postes!$A$7:$A$117,0)))^2+(INDEX(Postes!$C$7:$C$117,MATCH(C75,Postes!$A$7:$A$117,0))-INDEX(Postes!$C$7:$C$117,MATCH(B75,Postes!$A$7:$A$117,0)))^2)</f>
        <v>68.1489656451955</v>
      </c>
      <c r="E75" s="5" t="n">
        <f aca="false">INDEX(Postes!$D$7:$D$117,MATCH(C75,Postes!$A$7:$A$117,0))+INDEX(Postes!$G$7:$G$117,MATCH(C75,Postes!$A$7:$A$117,0))-INDEX(Postes!$D$7:$D$117,MATCH(B75,Postes!$A$7:$A$117,0))-INDEX(Postes!$G$7:$G$117,MATCH(B75,Postes!$A$7:$A$117,0))</f>
        <v>-2.93117232108225</v>
      </c>
      <c r="F75" s="5" t="n">
        <f aca="false">Parametros!$E$8*Parametros!$E$9</f>
        <v>2205</v>
      </c>
      <c r="G75" s="5" t="n">
        <f aca="false">Parametros!$E$10/1000*Parametros!$E$11</f>
        <v>1.32389775</v>
      </c>
      <c r="H75" s="5" t="n">
        <f aca="false">F75/G75</f>
        <v>1665.53648119728</v>
      </c>
      <c r="I75" s="5" t="n">
        <f aca="false">ASINH(E75/(2*H75*SINH(D75/(2*H75))))</f>
        <v>-0.0429950037578123</v>
      </c>
      <c r="J75" s="5" t="n">
        <f aca="false">D75/2-H75*I75</f>
        <v>105.684230090448</v>
      </c>
      <c r="K75" s="5" t="n">
        <f aca="false">-J75/H75</f>
        <v>-0.063453566633663</v>
      </c>
      <c r="L75" s="5" t="n">
        <f aca="false">(D75-J75)/H75</f>
        <v>-0.0225364408819615</v>
      </c>
      <c r="M75" s="5" t="n">
        <f aca="false">H75*(SINH(L75)-SINH(K75))</f>
        <v>68.2167229119886</v>
      </c>
      <c r="N75" s="5" t="n">
        <f aca="false">M75*Parametros!$E$5</f>
        <v>204.650168735966</v>
      </c>
    </row>
    <row r="76" customFormat="false" ht="21" hidden="false" customHeight="true" outlineLevel="0" collapsed="false">
      <c r="A76" s="1" t="s">
        <v>301</v>
      </c>
      <c r="B76" s="1" t="s">
        <v>175</v>
      </c>
      <c r="C76" s="1" t="s">
        <v>176</v>
      </c>
      <c r="D76" s="5" t="n">
        <f aca="false">SQRT((INDEX(Postes!$B$7:$B$117,MATCH(C76,Postes!$A$7:$A$117,0))-INDEX(Postes!$B$7:$B$117,MATCH(B76,Postes!$A$7:$A$117,0)))^2+(INDEX(Postes!$C$7:$C$117,MATCH(C76,Postes!$A$7:$A$117,0))-INDEX(Postes!$C$7:$C$117,MATCH(B76,Postes!$A$7:$A$117,0)))^2)</f>
        <v>68.1489656451411</v>
      </c>
      <c r="E76" s="5" t="n">
        <f aca="false">INDEX(Postes!$D$7:$D$117,MATCH(C76,Postes!$A$7:$A$117,0))+INDEX(Postes!$G$7:$G$117,MATCH(C76,Postes!$A$7:$A$117,0))-INDEX(Postes!$D$7:$D$117,MATCH(B76,Postes!$A$7:$A$117,0))-INDEX(Postes!$G$7:$G$117,MATCH(B76,Postes!$A$7:$A$117,0))</f>
        <v>1.7561236023811</v>
      </c>
      <c r="F76" s="5" t="n">
        <f aca="false">Parametros!$E$8*Parametros!$E$9</f>
        <v>2205</v>
      </c>
      <c r="G76" s="5" t="n">
        <f aca="false">Parametros!$E$10/1000*Parametros!$E$11</f>
        <v>1.32389775</v>
      </c>
      <c r="H76" s="5" t="n">
        <f aca="false">F76/G76</f>
        <v>1665.53648119728</v>
      </c>
      <c r="I76" s="5" t="n">
        <f aca="false">ASINH(E76/(2*H76*SINH(D76/(2*H76))))</f>
        <v>0.0257642479308209</v>
      </c>
      <c r="J76" s="5" t="n">
        <f aca="false">D76/2-H76*I76</f>
        <v>-8.83681201682322</v>
      </c>
      <c r="K76" s="5" t="n">
        <f aca="false">-J76/H76</f>
        <v>0.0053056850549865</v>
      </c>
      <c r="L76" s="5" t="n">
        <f aca="false">(D76-J76)/H76</f>
        <v>0.0462228108066552</v>
      </c>
      <c r="M76" s="5" t="n">
        <f aca="false">H76*(SINH(L76)-SINH(K76))</f>
        <v>68.1763410852663</v>
      </c>
      <c r="N76" s="5" t="n">
        <f aca="false">M76*Parametros!$E$5</f>
        <v>204.529023255799</v>
      </c>
    </row>
    <row r="77" customFormat="false" ht="21" hidden="false" customHeight="true" outlineLevel="0" collapsed="false">
      <c r="A77" s="1" t="s">
        <v>302</v>
      </c>
      <c r="B77" s="1" t="s">
        <v>176</v>
      </c>
      <c r="C77" s="1" t="s">
        <v>177</v>
      </c>
      <c r="D77" s="5" t="n">
        <f aca="false">SQRT((INDEX(Postes!$B$7:$B$117,MATCH(C77,Postes!$A$7:$A$117,0))-INDEX(Postes!$B$7:$B$117,MATCH(B77,Postes!$A$7:$A$117,0)))^2+(INDEX(Postes!$C$7:$C$117,MATCH(C77,Postes!$A$7:$A$117,0))-INDEX(Postes!$C$7:$C$117,MATCH(B77,Postes!$A$7:$A$117,0)))^2)</f>
        <v>58.6781126556883</v>
      </c>
      <c r="E77" s="5" t="n">
        <f aca="false">INDEX(Postes!$D$7:$D$117,MATCH(C77,Postes!$A$7:$A$117,0))+INDEX(Postes!$G$7:$G$117,MATCH(C77,Postes!$A$7:$A$117,0))-INDEX(Postes!$D$7:$D$117,MATCH(B77,Postes!$A$7:$A$117,0))-INDEX(Postes!$G$7:$G$117,MATCH(B77,Postes!$A$7:$A$117,0))</f>
        <v>-0.680888293620319</v>
      </c>
      <c r="F77" s="5" t="n">
        <f aca="false">Parametros!$E$8*Parametros!$E$9</f>
        <v>2205</v>
      </c>
      <c r="G77" s="5" t="n">
        <f aca="false">Parametros!$E$10/1000*Parametros!$E$11</f>
        <v>1.32389775</v>
      </c>
      <c r="H77" s="5" t="n">
        <f aca="false">F77/G77</f>
        <v>1665.53648119728</v>
      </c>
      <c r="I77" s="5" t="n">
        <f aca="false">ASINH(E77/(2*H77*SINH(D77/(2*H77))))</f>
        <v>-0.0116029260979945</v>
      </c>
      <c r="J77" s="5" t="n">
        <f aca="false">D77/2-H77*I77</f>
        <v>48.66415303269</v>
      </c>
      <c r="K77" s="5" t="n">
        <f aca="false">-J77/H77</f>
        <v>-0.0292183050819202</v>
      </c>
      <c r="L77" s="5" t="n">
        <f aca="false">(D77-J77)/H77</f>
        <v>0.00601245288593116</v>
      </c>
      <c r="M77" s="5" t="n">
        <f aca="false">H77*(SINH(L77)-SINH(K77))</f>
        <v>58.6850974585443</v>
      </c>
      <c r="N77" s="5" t="n">
        <f aca="false">M77*Parametros!$E$5</f>
        <v>176.055292375633</v>
      </c>
    </row>
    <row r="78" customFormat="false" ht="21" hidden="false" customHeight="true" outlineLevel="0" collapsed="false">
      <c r="A78" s="1" t="s">
        <v>303</v>
      </c>
      <c r="B78" s="1" t="s">
        <v>177</v>
      </c>
      <c r="C78" s="1" t="s">
        <v>178</v>
      </c>
      <c r="D78" s="5" t="n">
        <f aca="false">SQRT((INDEX(Postes!$B$7:$B$117,MATCH(C78,Postes!$A$7:$A$117,0))-INDEX(Postes!$B$7:$B$117,MATCH(B78,Postes!$A$7:$A$117,0)))^2+(INDEX(Postes!$C$7:$C$117,MATCH(C78,Postes!$A$7:$A$117,0))-INDEX(Postes!$C$7:$C$117,MATCH(B78,Postes!$A$7:$A$117,0)))^2)</f>
        <v>58.6781126542735</v>
      </c>
      <c r="E78" s="5" t="n">
        <f aca="false">INDEX(Postes!$D$7:$D$117,MATCH(C78,Postes!$A$7:$A$117,0))+INDEX(Postes!$G$7:$G$117,MATCH(C78,Postes!$A$7:$A$117,0))-INDEX(Postes!$D$7:$D$117,MATCH(B78,Postes!$A$7:$A$117,0))-INDEX(Postes!$G$7:$G$117,MATCH(B78,Postes!$A$7:$A$117,0))</f>
        <v>11.4440194080525</v>
      </c>
      <c r="F78" s="5" t="n">
        <f aca="false">Parametros!$E$8*Parametros!$E$9</f>
        <v>2205</v>
      </c>
      <c r="G78" s="5" t="n">
        <f aca="false">Parametros!$E$10/1000*Parametros!$E$11</f>
        <v>1.32389775</v>
      </c>
      <c r="H78" s="5" t="n">
        <f aca="false">F78/G78</f>
        <v>1665.53648119728</v>
      </c>
      <c r="I78" s="5" t="n">
        <f aca="false">ASINH(E78/(2*H78*SINH(D78/(2*H78))))</f>
        <v>0.193804866278868</v>
      </c>
      <c r="J78" s="5" t="n">
        <f aca="false">D78/2-H78*I78</f>
        <v>-293.450018693878</v>
      </c>
      <c r="K78" s="5" t="n">
        <f aca="false">-J78/H78</f>
        <v>0.176189487295367</v>
      </c>
      <c r="L78" s="5" t="n">
        <f aca="false">(D78-J78)/H78</f>
        <v>0.211420245262369</v>
      </c>
      <c r="M78" s="5" t="n">
        <f aca="false">H78*(SINH(L78)-SINH(K78))</f>
        <v>59.7866426126796</v>
      </c>
      <c r="N78" s="5" t="n">
        <f aca="false">M78*Parametros!$E$5</f>
        <v>179.359927838039</v>
      </c>
    </row>
    <row r="79" customFormat="false" ht="21" hidden="false" customHeight="true" outlineLevel="0" collapsed="false">
      <c r="A79" s="1" t="s">
        <v>304</v>
      </c>
      <c r="B79" s="1" t="s">
        <v>178</v>
      </c>
      <c r="C79" s="1" t="s">
        <v>179</v>
      </c>
      <c r="D79" s="5" t="n">
        <f aca="false">SQRT((INDEX(Postes!$B$7:$B$117,MATCH(C79,Postes!$A$7:$A$117,0))-INDEX(Postes!$B$7:$B$117,MATCH(B79,Postes!$A$7:$A$117,0)))^2+(INDEX(Postes!$C$7:$C$117,MATCH(C79,Postes!$A$7:$A$117,0))-INDEX(Postes!$C$7:$C$117,MATCH(B79,Postes!$A$7:$A$117,0)))^2)</f>
        <v>71.734052511281</v>
      </c>
      <c r="E79" s="5" t="n">
        <f aca="false">INDEX(Postes!$D$7:$D$117,MATCH(C79,Postes!$A$7:$A$117,0))+INDEX(Postes!$G$7:$G$117,MATCH(C79,Postes!$A$7:$A$117,0))-INDEX(Postes!$D$7:$D$117,MATCH(B79,Postes!$A$7:$A$117,0))-INDEX(Postes!$G$7:$G$117,MATCH(B79,Postes!$A$7:$A$117,0))</f>
        <v>10.6670091132597</v>
      </c>
      <c r="F79" s="5" t="n">
        <f aca="false">Parametros!$E$8*Parametros!$E$9</f>
        <v>2205</v>
      </c>
      <c r="G79" s="5" t="n">
        <f aca="false">Parametros!$E$10/1000*Parametros!$E$11</f>
        <v>1.32389775</v>
      </c>
      <c r="H79" s="5" t="n">
        <f aca="false">F79/G79</f>
        <v>1665.53648119728</v>
      </c>
      <c r="I79" s="5" t="n">
        <f aca="false">ASINH(E79/(2*H79*SINH(D79/(2*H79))))</f>
        <v>0.14814815709737</v>
      </c>
      <c r="J79" s="5" t="n">
        <f aca="false">D79/2-H79*I79</f>
        <v>-210.879134012175</v>
      </c>
      <c r="K79" s="5" t="n">
        <f aca="false">-J79/H79</f>
        <v>0.126613338340439</v>
      </c>
      <c r="L79" s="5" t="n">
        <f aca="false">(D79-J79)/H79</f>
        <v>0.169682975854301</v>
      </c>
      <c r="M79" s="5" t="n">
        <f aca="false">H79*(SINH(L79)-SINH(K79))</f>
        <v>72.5283039270224</v>
      </c>
      <c r="N79" s="5" t="n">
        <f aca="false">M79*Parametros!$E$5</f>
        <v>217.584911781067</v>
      </c>
    </row>
    <row r="80" customFormat="false" ht="21" hidden="false" customHeight="true" outlineLevel="0" collapsed="false">
      <c r="A80" s="1" t="s">
        <v>305</v>
      </c>
      <c r="B80" s="1" t="s">
        <v>179</v>
      </c>
      <c r="C80" s="1" t="s">
        <v>180</v>
      </c>
      <c r="D80" s="5" t="n">
        <f aca="false">SQRT((INDEX(Postes!$B$7:$B$117,MATCH(C80,Postes!$A$7:$A$117,0))-INDEX(Postes!$B$7:$B$117,MATCH(B80,Postes!$A$7:$A$117,0)))^2+(INDEX(Postes!$C$7:$C$117,MATCH(C80,Postes!$A$7:$A$117,0))-INDEX(Postes!$C$7:$C$117,MATCH(B80,Postes!$A$7:$A$117,0)))^2)</f>
        <v>71.734052511281</v>
      </c>
      <c r="E80" s="5" t="n">
        <f aca="false">INDEX(Postes!$D$7:$D$117,MATCH(C80,Postes!$A$7:$A$117,0))+INDEX(Postes!$G$7:$G$117,MATCH(C80,Postes!$A$7:$A$117,0))-INDEX(Postes!$D$7:$D$117,MATCH(B80,Postes!$A$7:$A$117,0))-INDEX(Postes!$G$7:$G$117,MATCH(B80,Postes!$A$7:$A$117,0))</f>
        <v>-5.0469063571988</v>
      </c>
      <c r="F80" s="5" t="n">
        <f aca="false">Parametros!$E$8*Parametros!$E$9</f>
        <v>2205</v>
      </c>
      <c r="G80" s="5" t="n">
        <f aca="false">Parametros!$E$10/1000*Parametros!$E$11</f>
        <v>1.32389775</v>
      </c>
      <c r="H80" s="5" t="n">
        <f aca="false">F80/G80</f>
        <v>1665.53648119728</v>
      </c>
      <c r="I80" s="5" t="n">
        <f aca="false">ASINH(E80/(2*H80*SINH(D80/(2*H80))))</f>
        <v>-0.0702924578023215</v>
      </c>
      <c r="J80" s="5" t="n">
        <f aca="false">D80/2-H80*I80</f>
        <v>152.941679078428</v>
      </c>
      <c r="K80" s="5" t="n">
        <f aca="false">-J80/H80</f>
        <v>-0.0918272765592527</v>
      </c>
      <c r="L80" s="5" t="n">
        <f aca="false">(D80-J80)/H80</f>
        <v>-0.0487576390453903</v>
      </c>
      <c r="M80" s="5" t="n">
        <f aca="false">H80*(SINH(L80)-SINH(K80))</f>
        <v>71.9169037910177</v>
      </c>
      <c r="N80" s="5" t="n">
        <f aca="false">M80*Parametros!$E$5</f>
        <v>215.750711373053</v>
      </c>
    </row>
    <row r="81" customFormat="false" ht="21" hidden="false" customHeight="true" outlineLevel="0" collapsed="false">
      <c r="A81" s="1" t="s">
        <v>306</v>
      </c>
      <c r="B81" s="1" t="s">
        <v>180</v>
      </c>
      <c r="C81" s="1" t="s">
        <v>181</v>
      </c>
      <c r="D81" s="5" t="n">
        <f aca="false">SQRT((INDEX(Postes!$B$7:$B$117,MATCH(C81,Postes!$A$7:$A$117,0))-INDEX(Postes!$B$7:$B$117,MATCH(B81,Postes!$A$7:$A$117,0)))^2+(INDEX(Postes!$C$7:$C$117,MATCH(C81,Postes!$A$7:$A$117,0))-INDEX(Postes!$C$7:$C$117,MATCH(B81,Postes!$A$7:$A$117,0)))^2)</f>
        <v>48.4773187710382</v>
      </c>
      <c r="E81" s="5" t="n">
        <f aca="false">INDEX(Postes!$D$7:$D$117,MATCH(C81,Postes!$A$7:$A$117,0))+INDEX(Postes!$G$7:$G$117,MATCH(C81,Postes!$A$7:$A$117,0))-INDEX(Postes!$D$7:$D$117,MATCH(B81,Postes!$A$7:$A$117,0))-INDEX(Postes!$G$7:$G$117,MATCH(B81,Postes!$A$7:$A$117,0))</f>
        <v>3.48354053014291</v>
      </c>
      <c r="F81" s="5" t="n">
        <f aca="false">Parametros!$E$8*Parametros!$E$9</f>
        <v>2205</v>
      </c>
      <c r="G81" s="5" t="n">
        <f aca="false">Parametros!$E$10/1000*Parametros!$E$11</f>
        <v>1.32389775</v>
      </c>
      <c r="H81" s="5" t="n">
        <f aca="false">F81/G81</f>
        <v>1665.53648119728</v>
      </c>
      <c r="I81" s="5" t="n">
        <f aca="false">ASINH(E81/(2*H81*SINH(D81/(2*H81))))</f>
        <v>0.0717949527957023</v>
      </c>
      <c r="J81" s="5" t="n">
        <f aca="false">D81/2-H81*I81</f>
        <v>-95.3384536615599</v>
      </c>
      <c r="K81" s="5" t="n">
        <f aca="false">-J81/H81</f>
        <v>0.0572418885673553</v>
      </c>
      <c r="L81" s="5" t="n">
        <f aca="false">(D81-J81)/H81</f>
        <v>0.0863480170240493</v>
      </c>
      <c r="M81" s="5" t="n">
        <f aca="false">H81*(SINH(L81)-SINH(K81))</f>
        <v>48.6040265984325</v>
      </c>
      <c r="N81" s="5" t="n">
        <f aca="false">M81*Parametros!$E$5</f>
        <v>145.812079795297</v>
      </c>
    </row>
    <row r="82" customFormat="false" ht="21" hidden="false" customHeight="true" outlineLevel="0" collapsed="false">
      <c r="A82" s="1" t="s">
        <v>307</v>
      </c>
      <c r="B82" s="1" t="s">
        <v>181</v>
      </c>
      <c r="C82" s="1" t="s">
        <v>182</v>
      </c>
      <c r="D82" s="5" t="n">
        <f aca="false">SQRT((INDEX(Postes!$B$7:$B$117,MATCH(C82,Postes!$A$7:$A$117,0))-INDEX(Postes!$B$7:$B$117,MATCH(B82,Postes!$A$7:$A$117,0)))^2+(INDEX(Postes!$C$7:$C$117,MATCH(C82,Postes!$A$7:$A$117,0))-INDEX(Postes!$C$7:$C$117,MATCH(B82,Postes!$A$7:$A$117,0)))^2)</f>
        <v>53.0778727659167</v>
      </c>
      <c r="E82" s="5" t="n">
        <f aca="false">INDEX(Postes!$D$7:$D$117,MATCH(C82,Postes!$A$7:$A$117,0))+INDEX(Postes!$G$7:$G$117,MATCH(C82,Postes!$A$7:$A$117,0))-INDEX(Postes!$D$7:$D$117,MATCH(B82,Postes!$A$7:$A$117,0))-INDEX(Postes!$G$7:$G$117,MATCH(B82,Postes!$A$7:$A$117,0))</f>
        <v>-0.933985035961177</v>
      </c>
      <c r="F82" s="5" t="n">
        <f aca="false">Parametros!$E$8*Parametros!$E$9</f>
        <v>2205</v>
      </c>
      <c r="G82" s="5" t="n">
        <f aca="false">Parametros!$E$10/1000*Parametros!$E$11</f>
        <v>1.32389775</v>
      </c>
      <c r="H82" s="5" t="n">
        <f aca="false">F82/G82</f>
        <v>1665.53648119728</v>
      </c>
      <c r="I82" s="5" t="n">
        <f aca="false">ASINH(E82/(2*H82*SINH(D82/(2*H82))))</f>
        <v>-0.0175948522263998</v>
      </c>
      <c r="J82" s="5" t="n">
        <f aca="false">D82/2-H82*I82</f>
        <v>55.8438046473024</v>
      </c>
      <c r="K82" s="5" t="n">
        <f aca="false">-J82/H82</f>
        <v>-0.0335290191945593</v>
      </c>
      <c r="L82" s="5" t="n">
        <f aca="false">(D82-J82)/H82</f>
        <v>-0.00166068525824026</v>
      </c>
      <c r="M82" s="5" t="n">
        <f aca="false">H82*(SINH(L82)-SINH(K82))</f>
        <v>53.0883353049051</v>
      </c>
      <c r="N82" s="5" t="n">
        <f aca="false">M82*Parametros!$E$5</f>
        <v>159.265005914715</v>
      </c>
    </row>
    <row r="83" customFormat="false" ht="21" hidden="false" customHeight="true" outlineLevel="0" collapsed="false">
      <c r="A83" s="1" t="s">
        <v>308</v>
      </c>
      <c r="B83" s="1" t="s">
        <v>182</v>
      </c>
      <c r="C83" s="1" t="s">
        <v>183</v>
      </c>
      <c r="D83" s="5" t="n">
        <f aca="false">SQRT((INDEX(Postes!$B$7:$B$117,MATCH(C83,Postes!$A$7:$A$117,0))-INDEX(Postes!$B$7:$B$117,MATCH(B83,Postes!$A$7:$A$117,0)))^2+(INDEX(Postes!$C$7:$C$117,MATCH(C83,Postes!$A$7:$A$117,0))-INDEX(Postes!$C$7:$C$117,MATCH(B83,Postes!$A$7:$A$117,0)))^2)</f>
        <v>53.0778727658896</v>
      </c>
      <c r="E83" s="5" t="n">
        <f aca="false">INDEX(Postes!$D$7:$D$117,MATCH(C83,Postes!$A$7:$A$117,0))+INDEX(Postes!$G$7:$G$117,MATCH(C83,Postes!$A$7:$A$117,0))-INDEX(Postes!$D$7:$D$117,MATCH(B83,Postes!$A$7:$A$117,0))-INDEX(Postes!$G$7:$G$117,MATCH(B83,Postes!$A$7:$A$117,0))</f>
        <v>6.06099781805497</v>
      </c>
      <c r="F83" s="5" t="n">
        <f aca="false">Parametros!$E$8*Parametros!$E$9</f>
        <v>2205</v>
      </c>
      <c r="G83" s="5" t="n">
        <f aca="false">Parametros!$E$10/1000*Parametros!$E$11</f>
        <v>1.32389775</v>
      </c>
      <c r="H83" s="5" t="n">
        <f aca="false">F83/G83</f>
        <v>1665.53648119728</v>
      </c>
      <c r="I83" s="5" t="n">
        <f aca="false">ASINH(E83/(2*H83*SINH(D83/(2*H83))))</f>
        <v>0.113939148483818</v>
      </c>
      <c r="J83" s="5" t="n">
        <f aca="false">D83/2-H83*I83</f>
        <v>-163.230872053409</v>
      </c>
      <c r="K83" s="5" t="n">
        <f aca="false">-J83/H83</f>
        <v>0.0980049815156669</v>
      </c>
      <c r="L83" s="5" t="n">
        <f aca="false">(D83-J83)/H83</f>
        <v>0.12987331545197</v>
      </c>
      <c r="M83" s="5" t="n">
        <f aca="false">H83*(SINH(L83)-SINH(K83))</f>
        <v>53.4250382493661</v>
      </c>
      <c r="N83" s="5" t="n">
        <f aca="false">M83*Parametros!$E$5</f>
        <v>160.275114748098</v>
      </c>
    </row>
    <row r="84" customFormat="false" ht="21" hidden="false" customHeight="true" outlineLevel="0" collapsed="false">
      <c r="A84" s="1" t="s">
        <v>309</v>
      </c>
      <c r="B84" s="1" t="s">
        <v>183</v>
      </c>
      <c r="C84" s="1" t="s">
        <v>184</v>
      </c>
      <c r="D84" s="5" t="n">
        <f aca="false">SQRT((INDEX(Postes!$B$7:$B$117,MATCH(C84,Postes!$A$7:$A$117,0))-INDEX(Postes!$B$7:$B$117,MATCH(B84,Postes!$A$7:$A$117,0)))^2+(INDEX(Postes!$C$7:$C$117,MATCH(C84,Postes!$A$7:$A$117,0))-INDEX(Postes!$C$7:$C$117,MATCH(B84,Postes!$A$7:$A$117,0)))^2)</f>
        <v>71.769589566141</v>
      </c>
      <c r="E84" s="5" t="n">
        <f aca="false">INDEX(Postes!$D$7:$D$117,MATCH(C84,Postes!$A$7:$A$117,0))+INDEX(Postes!$G$7:$G$117,MATCH(C84,Postes!$A$7:$A$117,0))-INDEX(Postes!$D$7:$D$117,MATCH(B84,Postes!$A$7:$A$117,0))-INDEX(Postes!$G$7:$G$117,MATCH(B84,Postes!$A$7:$A$117,0))</f>
        <v>-0.867761760772373</v>
      </c>
      <c r="F84" s="5" t="n">
        <f aca="false">Parametros!$E$8*Parametros!$E$9</f>
        <v>2205</v>
      </c>
      <c r="G84" s="5" t="n">
        <f aca="false">Parametros!$E$10/1000*Parametros!$E$11</f>
        <v>1.32389775</v>
      </c>
      <c r="H84" s="5" t="n">
        <f aca="false">F84/G84</f>
        <v>1665.53648119728</v>
      </c>
      <c r="I84" s="5" t="n">
        <f aca="false">ASINH(E84/(2*H84*SINH(D84/(2*H84))))</f>
        <v>-0.0120897095249257</v>
      </c>
      <c r="J84" s="5" t="n">
        <f aca="false">D84/2-H84*I84</f>
        <v>56.0206470439124</v>
      </c>
      <c r="K84" s="5" t="n">
        <f aca="false">-J84/H84</f>
        <v>-0.0336351966326439</v>
      </c>
      <c r="L84" s="5" t="n">
        <f aca="false">(D84-J84)/H84</f>
        <v>0.0094557775827926</v>
      </c>
      <c r="M84" s="5" t="n">
        <f aca="false">H84*(SINH(L84)-SINH(K84))</f>
        <v>71.7803877947262</v>
      </c>
      <c r="N84" s="5" t="n">
        <f aca="false">M84*Parametros!$E$5</f>
        <v>215.341163384179</v>
      </c>
    </row>
    <row r="85" customFormat="false" ht="21" hidden="false" customHeight="true" outlineLevel="0" collapsed="false">
      <c r="A85" s="1" t="s">
        <v>310</v>
      </c>
      <c r="B85" s="1" t="s">
        <v>184</v>
      </c>
      <c r="C85" s="1" t="s">
        <v>185</v>
      </c>
      <c r="D85" s="5" t="n">
        <f aca="false">SQRT((INDEX(Postes!$B$7:$B$117,MATCH(C85,Postes!$A$7:$A$117,0))-INDEX(Postes!$B$7:$B$117,MATCH(B85,Postes!$A$7:$A$117,0)))^2+(INDEX(Postes!$C$7:$C$117,MATCH(C85,Postes!$A$7:$A$117,0))-INDEX(Postes!$C$7:$C$117,MATCH(B85,Postes!$A$7:$A$117,0)))^2)</f>
        <v>67.9896031431737</v>
      </c>
      <c r="E85" s="5" t="n">
        <f aca="false">INDEX(Postes!$D$7:$D$117,MATCH(C85,Postes!$A$7:$A$117,0))+INDEX(Postes!$G$7:$G$117,MATCH(C85,Postes!$A$7:$A$117,0))-INDEX(Postes!$D$7:$D$117,MATCH(B85,Postes!$A$7:$A$117,0))-INDEX(Postes!$G$7:$G$117,MATCH(B85,Postes!$A$7:$A$117,0))</f>
        <v>3.56285493487521</v>
      </c>
      <c r="F85" s="5" t="n">
        <f aca="false">Parametros!$E$8*Parametros!$E$9</f>
        <v>2205</v>
      </c>
      <c r="G85" s="5" t="n">
        <f aca="false">Parametros!$E$10/1000*Parametros!$E$11</f>
        <v>1.32389775</v>
      </c>
      <c r="H85" s="5" t="n">
        <f aca="false">F85/G85</f>
        <v>1665.53648119728</v>
      </c>
      <c r="I85" s="5" t="n">
        <f aca="false">ASINH(E85/(2*H85*SINH(D85/(2*H85))))</f>
        <v>0.0523753502483935</v>
      </c>
      <c r="J85" s="5" t="n">
        <f aca="false">D85/2-H85*I85</f>
        <v>-53.2382549825977</v>
      </c>
      <c r="K85" s="5" t="n">
        <f aca="false">-J85/H85</f>
        <v>0.0319646285648015</v>
      </c>
      <c r="L85" s="5" t="n">
        <f aca="false">(D85-J85)/H85</f>
        <v>0.0727860719319855</v>
      </c>
      <c r="M85" s="5" t="n">
        <f aca="false">H85*(SINH(L85)-SINH(K85))</f>
        <v>68.0876055231665</v>
      </c>
      <c r="N85" s="5" t="n">
        <f aca="false">M85*Parametros!$E$5</f>
        <v>204.262816569499</v>
      </c>
    </row>
    <row r="86" customFormat="false" ht="21" hidden="false" customHeight="true" outlineLevel="0" collapsed="false">
      <c r="A86" s="1" t="s">
        <v>311</v>
      </c>
      <c r="B86" s="1" t="s">
        <v>185</v>
      </c>
      <c r="C86" s="1" t="s">
        <v>186</v>
      </c>
      <c r="D86" s="5" t="n">
        <f aca="false">SQRT((INDEX(Postes!$B$7:$B$117,MATCH(C86,Postes!$A$7:$A$117,0))-INDEX(Postes!$B$7:$B$117,MATCH(B86,Postes!$A$7:$A$117,0)))^2+(INDEX(Postes!$C$7:$C$117,MATCH(C86,Postes!$A$7:$A$117,0))-INDEX(Postes!$C$7:$C$117,MATCH(B86,Postes!$A$7:$A$117,0)))^2)</f>
        <v>80.0092616354174</v>
      </c>
      <c r="E86" s="5" t="n">
        <f aca="false">INDEX(Postes!$D$7:$D$117,MATCH(C86,Postes!$A$7:$A$117,0))+INDEX(Postes!$G$7:$G$117,MATCH(C86,Postes!$A$7:$A$117,0))-INDEX(Postes!$D$7:$D$117,MATCH(B86,Postes!$A$7:$A$117,0))-INDEX(Postes!$G$7:$G$117,MATCH(B86,Postes!$A$7:$A$117,0))</f>
        <v>10.2128188841906</v>
      </c>
      <c r="F86" s="5" t="n">
        <f aca="false">Parametros!$E$8*Parametros!$E$9</f>
        <v>2205</v>
      </c>
      <c r="G86" s="5" t="n">
        <f aca="false">Parametros!$E$10/1000*Parametros!$E$11</f>
        <v>1.32389775</v>
      </c>
      <c r="H86" s="5" t="n">
        <f aca="false">F86/G86</f>
        <v>1665.53648119728</v>
      </c>
      <c r="I86" s="5" t="n">
        <f aca="false">ASINH(E86/(2*H86*SINH(D86/(2*H86))))</f>
        <v>0.127289172775413</v>
      </c>
      <c r="J86" s="5" t="n">
        <f aca="false">D86/2-H86*I86</f>
        <v>-172.000130101165</v>
      </c>
      <c r="K86" s="5" t="n">
        <f aca="false">-J86/H86</f>
        <v>0.103270106685097</v>
      </c>
      <c r="L86" s="5" t="n">
        <f aca="false">(D86-J86)/H86</f>
        <v>0.151308238865728</v>
      </c>
      <c r="M86" s="5" t="n">
        <f aca="false">H86*(SINH(L86)-SINH(K86))</f>
        <v>80.666069383807</v>
      </c>
      <c r="N86" s="5" t="n">
        <f aca="false">M86*Parametros!$E$5</f>
        <v>241.998208151421</v>
      </c>
    </row>
    <row r="87" customFormat="false" ht="21" hidden="false" customHeight="true" outlineLevel="0" collapsed="false">
      <c r="A87" s="1" t="s">
        <v>312</v>
      </c>
      <c r="B87" s="1" t="s">
        <v>186</v>
      </c>
      <c r="C87" s="1" t="s">
        <v>187</v>
      </c>
      <c r="D87" s="5" t="n">
        <f aca="false">SQRT((INDEX(Postes!$B$7:$B$117,MATCH(C87,Postes!$A$7:$A$117,0))-INDEX(Postes!$B$7:$B$117,MATCH(B87,Postes!$A$7:$A$117,0)))^2+(INDEX(Postes!$C$7:$C$117,MATCH(C87,Postes!$A$7:$A$117,0))-INDEX(Postes!$C$7:$C$117,MATCH(B87,Postes!$A$7:$A$117,0)))^2)</f>
        <v>80.009261636514</v>
      </c>
      <c r="E87" s="5" t="n">
        <f aca="false">INDEX(Postes!$D$7:$D$117,MATCH(C87,Postes!$A$7:$A$117,0))+INDEX(Postes!$G$7:$G$117,MATCH(C87,Postes!$A$7:$A$117,0))-INDEX(Postes!$D$7:$D$117,MATCH(B87,Postes!$A$7:$A$117,0))-INDEX(Postes!$G$7:$G$117,MATCH(B87,Postes!$A$7:$A$117,0))</f>
        <v>4.27041023425991</v>
      </c>
      <c r="F87" s="5" t="n">
        <f aca="false">Parametros!$E$8*Parametros!$E$9</f>
        <v>2205</v>
      </c>
      <c r="G87" s="5" t="n">
        <f aca="false">Parametros!$E$10/1000*Parametros!$E$11</f>
        <v>1.32389775</v>
      </c>
      <c r="H87" s="5" t="n">
        <f aca="false">F87/G87</f>
        <v>1665.53648119728</v>
      </c>
      <c r="I87" s="5" t="n">
        <f aca="false">ASINH(E87/(2*H87*SINH(D87/(2*H87))))</f>
        <v>0.0533435150701646</v>
      </c>
      <c r="J87" s="5" t="n">
        <f aca="false">D87/2-H87*I87</f>
        <v>-48.8409395663992</v>
      </c>
      <c r="K87" s="5" t="n">
        <f aca="false">-J87/H87</f>
        <v>0.0293244489795202</v>
      </c>
      <c r="L87" s="5" t="n">
        <f aca="false">(D87-J87)/H87</f>
        <v>0.0773625811608091</v>
      </c>
      <c r="M87" s="5" t="n">
        <f aca="false">H87*(SINH(L87)-SINH(K87))</f>
        <v>80.1308273014594</v>
      </c>
      <c r="N87" s="5" t="n">
        <f aca="false">M87*Parametros!$E$5</f>
        <v>240.392481904378</v>
      </c>
    </row>
    <row r="88" customFormat="false" ht="21" hidden="false" customHeight="true" outlineLevel="0" collapsed="false">
      <c r="A88" s="1" t="s">
        <v>313</v>
      </c>
      <c r="B88" s="1" t="s">
        <v>187</v>
      </c>
      <c r="C88" s="1" t="s">
        <v>188</v>
      </c>
      <c r="D88" s="5" t="n">
        <f aca="false">SQRT((INDEX(Postes!$B$7:$B$117,MATCH(C88,Postes!$A$7:$A$117,0))-INDEX(Postes!$B$7:$B$117,MATCH(B88,Postes!$A$7:$A$117,0)))^2+(INDEX(Postes!$C$7:$C$117,MATCH(C88,Postes!$A$7:$A$117,0))-INDEX(Postes!$C$7:$C$117,MATCH(B88,Postes!$A$7:$A$117,0)))^2)</f>
        <v>80.0092616354174</v>
      </c>
      <c r="E88" s="5" t="n">
        <f aca="false">INDEX(Postes!$D$7:$D$117,MATCH(C88,Postes!$A$7:$A$117,0))+INDEX(Postes!$G$7:$G$117,MATCH(C88,Postes!$A$7:$A$117,0))-INDEX(Postes!$D$7:$D$117,MATCH(B88,Postes!$A$7:$A$117,0))-INDEX(Postes!$G$7:$G$117,MATCH(B88,Postes!$A$7:$A$117,0))</f>
        <v>10.4741965545149</v>
      </c>
      <c r="F88" s="5" t="n">
        <f aca="false">Parametros!$E$8*Parametros!$E$9</f>
        <v>2205</v>
      </c>
      <c r="G88" s="5" t="n">
        <f aca="false">Parametros!$E$10/1000*Parametros!$E$11</f>
        <v>1.32389775</v>
      </c>
      <c r="H88" s="5" t="n">
        <f aca="false">F88/G88</f>
        <v>1665.53648119728</v>
      </c>
      <c r="I88" s="5" t="n">
        <f aca="false">ASINH(E88/(2*H88*SINH(D88/(2*H88))))</f>
        <v>0.13052874579869</v>
      </c>
      <c r="J88" s="5" t="n">
        <f aca="false">D88/2-H88*I88</f>
        <v>-177.395757154936</v>
      </c>
      <c r="K88" s="5" t="n">
        <f aca="false">-J88/H88</f>
        <v>0.106509679708375</v>
      </c>
      <c r="L88" s="5" t="n">
        <f aca="false">(D88-J88)/H88</f>
        <v>0.154547811889005</v>
      </c>
      <c r="M88" s="5" t="n">
        <f aca="false">H88*(SINH(L88)-SINH(K88))</f>
        <v>80.6995779030752</v>
      </c>
      <c r="N88" s="5" t="n">
        <f aca="false">M88*Parametros!$E$5</f>
        <v>242.098733709225</v>
      </c>
    </row>
    <row r="89" customFormat="false" ht="21" hidden="false" customHeight="true" outlineLevel="0" collapsed="false">
      <c r="A89" s="1" t="s">
        <v>314</v>
      </c>
      <c r="B89" s="1" t="s">
        <v>188</v>
      </c>
      <c r="C89" s="1" t="s">
        <v>189</v>
      </c>
      <c r="D89" s="5" t="n">
        <f aca="false">SQRT((INDEX(Postes!$B$7:$B$117,MATCH(C89,Postes!$A$7:$A$117,0))-INDEX(Postes!$B$7:$B$117,MATCH(B89,Postes!$A$7:$A$117,0)))^2+(INDEX(Postes!$C$7:$C$117,MATCH(C89,Postes!$A$7:$A$117,0))-INDEX(Postes!$C$7:$C$117,MATCH(B89,Postes!$A$7:$A$117,0)))^2)</f>
        <v>74.2630033422497</v>
      </c>
      <c r="E89" s="5" t="n">
        <f aca="false">INDEX(Postes!$D$7:$D$117,MATCH(C89,Postes!$A$7:$A$117,0))+INDEX(Postes!$G$7:$G$117,MATCH(C89,Postes!$A$7:$A$117,0))-INDEX(Postes!$D$7:$D$117,MATCH(B89,Postes!$A$7:$A$117,0))-INDEX(Postes!$G$7:$G$117,MATCH(B89,Postes!$A$7:$A$117,0))</f>
        <v>8.40828580615917</v>
      </c>
      <c r="F89" s="5" t="n">
        <f aca="false">Parametros!$E$8*Parametros!$E$9</f>
        <v>2205</v>
      </c>
      <c r="G89" s="5" t="n">
        <f aca="false">Parametros!$E$10/1000*Parametros!$E$11</f>
        <v>1.32389775</v>
      </c>
      <c r="H89" s="5" t="n">
        <f aca="false">F89/G89</f>
        <v>1665.53648119728</v>
      </c>
      <c r="I89" s="5" t="n">
        <f aca="false">ASINH(E89/(2*H89*SINH(D89/(2*H89))))</f>
        <v>0.112973233887492</v>
      </c>
      <c r="J89" s="5" t="n">
        <f aca="false">D89/2-H89*I89</f>
        <v>-151.029540767327</v>
      </c>
      <c r="K89" s="5" t="n">
        <f aca="false">-J89/H89</f>
        <v>0.090679215059137</v>
      </c>
      <c r="L89" s="5" t="n">
        <f aca="false">(D89-J89)/H89</f>
        <v>0.135267252715848</v>
      </c>
      <c r="M89" s="5" t="n">
        <f aca="false">H89*(SINH(L89)-SINH(K89))</f>
        <v>74.743606345739</v>
      </c>
      <c r="N89" s="5" t="n">
        <f aca="false">M89*Parametros!$E$5</f>
        <v>224.230819037217</v>
      </c>
    </row>
    <row r="90" customFormat="false" ht="21" hidden="false" customHeight="true" outlineLevel="0" collapsed="false">
      <c r="A90" s="1" t="s">
        <v>315</v>
      </c>
      <c r="B90" s="1" t="s">
        <v>189</v>
      </c>
      <c r="C90" s="1" t="s">
        <v>190</v>
      </c>
      <c r="D90" s="5" t="n">
        <f aca="false">SQRT((INDEX(Postes!$B$7:$B$117,MATCH(C90,Postes!$A$7:$A$117,0))-INDEX(Postes!$B$7:$B$117,MATCH(B90,Postes!$A$7:$A$117,0)))^2+(INDEX(Postes!$C$7:$C$117,MATCH(C90,Postes!$A$7:$A$117,0))-INDEX(Postes!$C$7:$C$117,MATCH(B90,Postes!$A$7:$A$117,0)))^2)</f>
        <v>74.2630033436845</v>
      </c>
      <c r="E90" s="5" t="n">
        <f aca="false">INDEX(Postes!$D$7:$D$117,MATCH(C90,Postes!$A$7:$A$117,0))+INDEX(Postes!$G$7:$G$117,MATCH(C90,Postes!$A$7:$A$117,0))-INDEX(Postes!$D$7:$D$117,MATCH(B90,Postes!$A$7:$A$117,0))-INDEX(Postes!$G$7:$G$117,MATCH(B90,Postes!$A$7:$A$117,0))</f>
        <v>7.32352600136974</v>
      </c>
      <c r="F90" s="5" t="n">
        <f aca="false">Parametros!$E$8*Parametros!$E$9</f>
        <v>2205</v>
      </c>
      <c r="G90" s="5" t="n">
        <f aca="false">Parametros!$E$10/1000*Parametros!$E$11</f>
        <v>1.32389775</v>
      </c>
      <c r="H90" s="5" t="n">
        <f aca="false">F90/G90</f>
        <v>1665.53648119728</v>
      </c>
      <c r="I90" s="5" t="n">
        <f aca="false">ASINH(E90/(2*H90*SINH(D90/(2*H90))))</f>
        <v>0.0984488002153547</v>
      </c>
      <c r="J90" s="5" t="n">
        <f aca="false">D90/2-H90*I90</f>
        <v>-126.838566616934</v>
      </c>
      <c r="K90" s="5" t="n">
        <f aca="false">-J90/H90</f>
        <v>0.0761547813865687</v>
      </c>
      <c r="L90" s="5" t="n">
        <f aca="false">(D90-J90)/H90</f>
        <v>0.120742819044141</v>
      </c>
      <c r="M90" s="5" t="n">
        <f aca="false">H90*(SINH(L90)-SINH(K90))</f>
        <v>74.6293605270383</v>
      </c>
      <c r="N90" s="5" t="n">
        <f aca="false">M90*Parametros!$E$5</f>
        <v>223.888081581115</v>
      </c>
    </row>
    <row r="91" customFormat="false" ht="21" hidden="false" customHeight="true" outlineLevel="0" collapsed="false">
      <c r="A91" s="1" t="s">
        <v>316</v>
      </c>
      <c r="B91" s="1" t="s">
        <v>190</v>
      </c>
      <c r="C91" s="1" t="s">
        <v>191</v>
      </c>
      <c r="D91" s="5" t="n">
        <f aca="false">SQRT((INDEX(Postes!$B$7:$B$117,MATCH(C91,Postes!$A$7:$A$117,0))-INDEX(Postes!$B$7:$B$117,MATCH(B91,Postes!$A$7:$A$117,0)))^2+(INDEX(Postes!$C$7:$C$117,MATCH(C91,Postes!$A$7:$A$117,0))-INDEX(Postes!$C$7:$C$117,MATCH(B91,Postes!$A$7:$A$117,0)))^2)</f>
        <v>74.2630033422497</v>
      </c>
      <c r="E91" s="5" t="n">
        <f aca="false">INDEX(Postes!$D$7:$D$117,MATCH(C91,Postes!$A$7:$A$117,0))+INDEX(Postes!$G$7:$G$117,MATCH(C91,Postes!$A$7:$A$117,0))-INDEX(Postes!$D$7:$D$117,MATCH(B91,Postes!$A$7:$A$117,0))-INDEX(Postes!$G$7:$G$117,MATCH(B91,Postes!$A$7:$A$117,0))</f>
        <v>12.2541595334991</v>
      </c>
      <c r="F91" s="5" t="n">
        <f aca="false">Parametros!$E$8*Parametros!$E$9</f>
        <v>2205</v>
      </c>
      <c r="G91" s="5" t="n">
        <f aca="false">Parametros!$E$10/1000*Parametros!$E$11</f>
        <v>1.32389775</v>
      </c>
      <c r="H91" s="5" t="n">
        <f aca="false">F91/G91</f>
        <v>1665.53648119728</v>
      </c>
      <c r="I91" s="5" t="n">
        <f aca="false">ASINH(E91/(2*H91*SINH(D91/(2*H91))))</f>
        <v>0.164257003335053</v>
      </c>
      <c r="J91" s="5" t="n">
        <f aca="false">D91/2-H91*I91</f>
        <v>-236.44452967555</v>
      </c>
      <c r="K91" s="5" t="n">
        <f aca="false">-J91/H91</f>
        <v>0.141962984506698</v>
      </c>
      <c r="L91" s="5" t="n">
        <f aca="false">(D91-J91)/H91</f>
        <v>0.186551022163408</v>
      </c>
      <c r="M91" s="5" t="n">
        <f aca="false">H91*(SINH(L91)-SINH(K91))</f>
        <v>75.2733142969086</v>
      </c>
      <c r="N91" s="5" t="n">
        <f aca="false">M91*Parametros!$E$5</f>
        <v>225.819942890726</v>
      </c>
    </row>
    <row r="92" customFormat="false" ht="21" hidden="false" customHeight="true" outlineLevel="0" collapsed="false">
      <c r="A92" s="1" t="s">
        <v>317</v>
      </c>
      <c r="B92" s="1" t="s">
        <v>191</v>
      </c>
      <c r="C92" s="1" t="s">
        <v>192</v>
      </c>
      <c r="D92" s="5" t="n">
        <f aca="false">SQRT((INDEX(Postes!$B$7:$B$117,MATCH(C92,Postes!$A$7:$A$117,0))-INDEX(Postes!$B$7:$B$117,MATCH(B92,Postes!$A$7:$A$117,0)))^2+(INDEX(Postes!$C$7:$C$117,MATCH(C92,Postes!$A$7:$A$117,0))-INDEX(Postes!$C$7:$C$117,MATCH(B92,Postes!$A$7:$A$117,0)))^2)</f>
        <v>37.018144822724</v>
      </c>
      <c r="E92" s="5" t="n">
        <f aca="false">INDEX(Postes!$D$7:$D$117,MATCH(C92,Postes!$A$7:$A$117,0))+INDEX(Postes!$G$7:$G$117,MATCH(C92,Postes!$A$7:$A$117,0))-INDEX(Postes!$D$7:$D$117,MATCH(B92,Postes!$A$7:$A$117,0))-INDEX(Postes!$G$7:$G$117,MATCH(B92,Postes!$A$7:$A$117,0))</f>
        <v>-3.82438583158328</v>
      </c>
      <c r="F92" s="5" t="n">
        <f aca="false">Parametros!$E$8*Parametros!$E$9</f>
        <v>2205</v>
      </c>
      <c r="G92" s="5" t="n">
        <f aca="false">Parametros!$E$10/1000*Parametros!$E$11</f>
        <v>1.32389775</v>
      </c>
      <c r="H92" s="5" t="n">
        <f aca="false">F92/G92</f>
        <v>1665.53648119728</v>
      </c>
      <c r="I92" s="5" t="n">
        <f aca="false">ASINH(E92/(2*H92*SINH(D92/(2*H92))))</f>
        <v>-0.103126100858644</v>
      </c>
      <c r="J92" s="5" t="n">
        <f aca="false">D92/2-H92*I92</f>
        <v>190.269355555064</v>
      </c>
      <c r="K92" s="5" t="n">
        <f aca="false">-J92/H92</f>
        <v>-0.114239080142086</v>
      </c>
      <c r="L92" s="5" t="n">
        <f aca="false">(D92-J92)/H92</f>
        <v>-0.0920131215752022</v>
      </c>
      <c r="M92" s="5" t="n">
        <f aca="false">H92*(SINH(L92)-SINH(K92))</f>
        <v>37.2159291932456</v>
      </c>
      <c r="N92" s="5" t="n">
        <f aca="false">M92*Parametros!$E$5</f>
        <v>111.647787579737</v>
      </c>
    </row>
    <row r="93" customFormat="false" ht="21" hidden="false" customHeight="true" outlineLevel="0" collapsed="false">
      <c r="A93" s="1" t="s">
        <v>318</v>
      </c>
      <c r="B93" s="1" t="s">
        <v>192</v>
      </c>
      <c r="C93" s="1" t="s">
        <v>193</v>
      </c>
      <c r="D93" s="5" t="n">
        <f aca="false">SQRT((INDEX(Postes!$B$7:$B$117,MATCH(C93,Postes!$A$7:$A$117,0))-INDEX(Postes!$B$7:$B$117,MATCH(B93,Postes!$A$7:$A$117,0)))^2+(INDEX(Postes!$C$7:$C$117,MATCH(C93,Postes!$A$7:$A$117,0))-INDEX(Postes!$C$7:$C$117,MATCH(B93,Postes!$A$7:$A$117,0)))^2)</f>
        <v>70.6951334234803</v>
      </c>
      <c r="E93" s="5" t="n">
        <f aca="false">INDEX(Postes!$D$7:$D$117,MATCH(C93,Postes!$A$7:$A$117,0))+INDEX(Postes!$G$7:$G$117,MATCH(C93,Postes!$A$7:$A$117,0))-INDEX(Postes!$D$7:$D$117,MATCH(B93,Postes!$A$7:$A$117,0))-INDEX(Postes!$G$7:$G$117,MATCH(B93,Postes!$A$7:$A$117,0))</f>
        <v>-1.98220579223798</v>
      </c>
      <c r="F93" s="5" t="n">
        <f aca="false">Parametros!$E$8*Parametros!$E$9</f>
        <v>2205</v>
      </c>
      <c r="G93" s="5" t="n">
        <f aca="false">Parametros!$E$10/1000*Parametros!$E$11</f>
        <v>1.32389775</v>
      </c>
      <c r="H93" s="5" t="n">
        <f aca="false">F93/G93</f>
        <v>1665.53648119728</v>
      </c>
      <c r="I93" s="5" t="n">
        <f aca="false">ASINH(E93/(2*H93*SINH(D93/(2*H93))))</f>
        <v>-0.0280330105660365</v>
      </c>
      <c r="J93" s="5" t="n">
        <f aca="false">D93/2-H93*I93</f>
        <v>82.0375684872628</v>
      </c>
      <c r="K93" s="5" t="n">
        <f aca="false">-J93/H93</f>
        <v>-0.0492559421023846</v>
      </c>
      <c r="L93" s="5" t="n">
        <f aca="false">(D93-J93)/H93</f>
        <v>-0.00681007902968835</v>
      </c>
      <c r="M93" s="5" t="n">
        <f aca="false">H93*(SINH(L93)-SINH(K93))</f>
        <v>70.7282223207257</v>
      </c>
      <c r="N93" s="5" t="n">
        <f aca="false">M93*Parametros!$E$5</f>
        <v>212.184666962177</v>
      </c>
    </row>
    <row r="94" customFormat="false" ht="21" hidden="false" customHeight="true" outlineLevel="0" collapsed="false">
      <c r="A94" s="1" t="s">
        <v>319</v>
      </c>
      <c r="B94" s="1" t="s">
        <v>193</v>
      </c>
      <c r="C94" s="1" t="s">
        <v>194</v>
      </c>
      <c r="D94" s="5" t="n">
        <f aca="false">SQRT((INDEX(Postes!$B$7:$B$117,MATCH(C94,Postes!$A$7:$A$117,0))-INDEX(Postes!$B$7:$B$117,MATCH(B94,Postes!$A$7:$A$117,0)))^2+(INDEX(Postes!$C$7:$C$117,MATCH(C94,Postes!$A$7:$A$117,0))-INDEX(Postes!$C$7:$C$117,MATCH(B94,Postes!$A$7:$A$117,0)))^2)</f>
        <v>55.4082986701556</v>
      </c>
      <c r="E94" s="5" t="n">
        <f aca="false">INDEX(Postes!$D$7:$D$117,MATCH(C94,Postes!$A$7:$A$117,0))+INDEX(Postes!$G$7:$G$117,MATCH(C94,Postes!$A$7:$A$117,0))-INDEX(Postes!$D$7:$D$117,MATCH(B94,Postes!$A$7:$A$117,0))-INDEX(Postes!$G$7:$G$117,MATCH(B94,Postes!$A$7:$A$117,0))</f>
        <v>8.18786847923493</v>
      </c>
      <c r="F94" s="5" t="n">
        <f aca="false">Parametros!$E$8*Parametros!$E$9</f>
        <v>2205</v>
      </c>
      <c r="G94" s="5" t="n">
        <f aca="false">Parametros!$E$10/1000*Parametros!$E$11</f>
        <v>1.32389775</v>
      </c>
      <c r="H94" s="5" t="n">
        <f aca="false">F94/G94</f>
        <v>1665.53648119728</v>
      </c>
      <c r="I94" s="5" t="n">
        <f aca="false">ASINH(E94/(2*H94*SINH(D94/(2*H94))))</f>
        <v>0.147233980534148</v>
      </c>
      <c r="J94" s="5" t="n">
        <f aca="false">D94/2-H94*I94</f>
        <v>-217.519416516437</v>
      </c>
      <c r="K94" s="5" t="n">
        <f aca="false">-J94/H94</f>
        <v>0.130600211386587</v>
      </c>
      <c r="L94" s="5" t="n">
        <f aca="false">(D94-J94)/H94</f>
        <v>0.16386774968171</v>
      </c>
      <c r="M94" s="5" t="n">
        <f aca="false">H94*(SINH(L94)-SINH(K94))</f>
        <v>56.0125334879053</v>
      </c>
      <c r="N94" s="5" t="n">
        <f aca="false">M94*Parametros!$E$5</f>
        <v>168.037600463716</v>
      </c>
    </row>
    <row r="95" customFormat="false" ht="21" hidden="false" customHeight="true" outlineLevel="0" collapsed="false">
      <c r="A95" s="1" t="s">
        <v>320</v>
      </c>
      <c r="B95" s="1" t="s">
        <v>194</v>
      </c>
      <c r="C95" s="1" t="s">
        <v>195</v>
      </c>
      <c r="D95" s="5" t="n">
        <f aca="false">SQRT((INDEX(Postes!$B$7:$B$117,MATCH(C95,Postes!$A$7:$A$117,0))-INDEX(Postes!$B$7:$B$117,MATCH(B95,Postes!$A$7:$A$117,0)))^2+(INDEX(Postes!$C$7:$C$117,MATCH(C95,Postes!$A$7:$A$117,0))-INDEX(Postes!$C$7:$C$117,MATCH(B95,Postes!$A$7:$A$117,0)))^2)</f>
        <v>55.4082986701556</v>
      </c>
      <c r="E95" s="5" t="n">
        <f aca="false">INDEX(Postes!$D$7:$D$117,MATCH(C95,Postes!$A$7:$A$117,0))+INDEX(Postes!$G$7:$G$117,MATCH(C95,Postes!$A$7:$A$117,0))-INDEX(Postes!$D$7:$D$117,MATCH(B95,Postes!$A$7:$A$117,0))-INDEX(Postes!$G$7:$G$117,MATCH(B95,Postes!$A$7:$A$117,0))</f>
        <v>8.75873659647405</v>
      </c>
      <c r="F95" s="5" t="n">
        <f aca="false">Parametros!$E$8*Parametros!$E$9</f>
        <v>2205</v>
      </c>
      <c r="G95" s="5" t="n">
        <f aca="false">Parametros!$E$10/1000*Parametros!$E$11</f>
        <v>1.32389775</v>
      </c>
      <c r="H95" s="5" t="n">
        <f aca="false">F95/G95</f>
        <v>1665.53648119728</v>
      </c>
      <c r="I95" s="5" t="n">
        <f aca="false">ASINH(E95/(2*H95*SINH(D95/(2*H95))))</f>
        <v>0.157418016443879</v>
      </c>
      <c r="J95" s="5" t="n">
        <f aca="false">D95/2-H95*I95</f>
        <v>-234.481299849917</v>
      </c>
      <c r="K95" s="5" t="n">
        <f aca="false">-J95/H95</f>
        <v>0.140784247296318</v>
      </c>
      <c r="L95" s="5" t="n">
        <f aca="false">(D95-J95)/H95</f>
        <v>0.174051785591441</v>
      </c>
      <c r="M95" s="5" t="n">
        <f aca="false">H95*(SINH(L95)-SINH(K95))</f>
        <v>56.0988251594174</v>
      </c>
      <c r="N95" s="5" t="n">
        <f aca="false">M95*Parametros!$E$5</f>
        <v>168.296475478252</v>
      </c>
    </row>
    <row r="96" customFormat="false" ht="21" hidden="false" customHeight="true" outlineLevel="0" collapsed="false">
      <c r="A96" s="1" t="s">
        <v>321</v>
      </c>
      <c r="B96" s="1" t="s">
        <v>195</v>
      </c>
      <c r="C96" s="1" t="s">
        <v>196</v>
      </c>
      <c r="D96" s="5" t="n">
        <f aca="false">SQRT((INDEX(Postes!$B$7:$B$117,MATCH(C96,Postes!$A$7:$A$117,0))-INDEX(Postes!$B$7:$B$117,MATCH(B96,Postes!$A$7:$A$117,0)))^2+(INDEX(Postes!$C$7:$C$117,MATCH(C96,Postes!$A$7:$A$117,0))-INDEX(Postes!$C$7:$C$117,MATCH(B96,Postes!$A$7:$A$117,0)))^2)</f>
        <v>63.2171313519947</v>
      </c>
      <c r="E96" s="5" t="n">
        <f aca="false">INDEX(Postes!$D$7:$D$117,MATCH(C96,Postes!$A$7:$A$117,0))+INDEX(Postes!$G$7:$G$117,MATCH(C96,Postes!$A$7:$A$117,0))-INDEX(Postes!$D$7:$D$117,MATCH(B96,Postes!$A$7:$A$117,0))-INDEX(Postes!$G$7:$G$117,MATCH(B96,Postes!$A$7:$A$117,0))</f>
        <v>3.64741136268831</v>
      </c>
      <c r="F96" s="5" t="n">
        <f aca="false">Parametros!$E$8*Parametros!$E$9</f>
        <v>2205</v>
      </c>
      <c r="G96" s="5" t="n">
        <f aca="false">Parametros!$E$10/1000*Parametros!$E$11</f>
        <v>1.32389775</v>
      </c>
      <c r="H96" s="5" t="n">
        <f aca="false">F96/G96</f>
        <v>1665.53648119728</v>
      </c>
      <c r="I96" s="5" t="n">
        <f aca="false">ASINH(E96/(2*H96*SINH(D96/(2*H96))))</f>
        <v>0.0576611449648679</v>
      </c>
      <c r="J96" s="5" t="n">
        <f aca="false">D96/2-H96*I96</f>
        <v>-64.4281748105952</v>
      </c>
      <c r="K96" s="5" t="n">
        <f aca="false">-J96/H96</f>
        <v>0.03868313635753</v>
      </c>
      <c r="L96" s="5" t="n">
        <f aca="false">(D96-J96)/H96</f>
        <v>0.0766391535722058</v>
      </c>
      <c r="M96" s="5" t="n">
        <f aca="false">H96*(SINH(L96)-SINH(K96))</f>
        <v>63.3260540164843</v>
      </c>
      <c r="N96" s="5" t="n">
        <f aca="false">M96*Parametros!$E$5</f>
        <v>189.978162049453</v>
      </c>
    </row>
    <row r="97" customFormat="false" ht="21" hidden="false" customHeight="true" outlineLevel="0" collapsed="false">
      <c r="A97" s="1" t="s">
        <v>322</v>
      </c>
      <c r="B97" s="1" t="s">
        <v>196</v>
      </c>
      <c r="C97" s="1" t="s">
        <v>197</v>
      </c>
      <c r="D97" s="5" t="n">
        <f aca="false">SQRT((INDEX(Postes!$B$7:$B$117,MATCH(C97,Postes!$A$7:$A$117,0))-INDEX(Postes!$B$7:$B$117,MATCH(B97,Postes!$A$7:$A$117,0)))^2+(INDEX(Postes!$C$7:$C$117,MATCH(C97,Postes!$A$7:$A$117,0))-INDEX(Postes!$C$7:$C$117,MATCH(B97,Postes!$A$7:$A$117,0)))^2)</f>
        <v>45.0891793979234</v>
      </c>
      <c r="E97" s="5" t="n">
        <f aca="false">INDEX(Postes!$D$7:$D$117,MATCH(C97,Postes!$A$7:$A$117,0))+INDEX(Postes!$G$7:$G$117,MATCH(C97,Postes!$A$7:$A$117,0))-INDEX(Postes!$D$7:$D$117,MATCH(B97,Postes!$A$7:$A$117,0))-INDEX(Postes!$G$7:$G$117,MATCH(B97,Postes!$A$7:$A$117,0))</f>
        <v>-4.26606430303345</v>
      </c>
      <c r="F97" s="5" t="n">
        <f aca="false">Parametros!$E$8*Parametros!$E$9</f>
        <v>2205</v>
      </c>
      <c r="G97" s="5" t="n">
        <f aca="false">Parametros!$E$10/1000*Parametros!$E$11</f>
        <v>1.32389775</v>
      </c>
      <c r="H97" s="5" t="n">
        <f aca="false">F97/G97</f>
        <v>1665.53648119728</v>
      </c>
      <c r="I97" s="5" t="n">
        <f aca="false">ASINH(E97/(2*H97*SINH(D97/(2*H97))))</f>
        <v>-0.0944704550153432</v>
      </c>
      <c r="J97" s="5" t="n">
        <f aca="false">D97/2-H97*I97</f>
        <v>179.888578922323</v>
      </c>
      <c r="K97" s="5" t="n">
        <f aca="false">-J97/H97</f>
        <v>-0.108006387703383</v>
      </c>
      <c r="L97" s="5" t="n">
        <f aca="false">(D97-J97)/H97</f>
        <v>-0.0809345223273031</v>
      </c>
      <c r="M97" s="5" t="n">
        <f aca="false">H97*(SINH(L97)-SINH(K97))</f>
        <v>45.2919150800337</v>
      </c>
      <c r="N97" s="5" t="n">
        <f aca="false">M97*Parametros!$E$5</f>
        <v>135.875745240101</v>
      </c>
    </row>
    <row r="98" customFormat="false" ht="21" hidden="false" customHeight="true" outlineLevel="0" collapsed="false">
      <c r="A98" s="1" t="s">
        <v>323</v>
      </c>
      <c r="B98" s="1" t="s">
        <v>197</v>
      </c>
      <c r="C98" s="1" t="s">
        <v>198</v>
      </c>
      <c r="D98" s="5" t="n">
        <f aca="false">SQRT((INDEX(Postes!$B$7:$B$117,MATCH(C98,Postes!$A$7:$A$117,0))-INDEX(Postes!$B$7:$B$117,MATCH(B98,Postes!$A$7:$A$117,0)))^2+(INDEX(Postes!$C$7:$C$117,MATCH(C98,Postes!$A$7:$A$117,0))-INDEX(Postes!$C$7:$C$117,MATCH(B98,Postes!$A$7:$A$117,0)))^2)</f>
        <v>52.3914821658332</v>
      </c>
      <c r="E98" s="5" t="n">
        <f aca="false">INDEX(Postes!$D$7:$D$117,MATCH(C98,Postes!$A$7:$A$117,0))+INDEX(Postes!$G$7:$G$117,MATCH(C98,Postes!$A$7:$A$117,0))-INDEX(Postes!$D$7:$D$117,MATCH(B98,Postes!$A$7:$A$117,0))-INDEX(Postes!$G$7:$G$117,MATCH(B98,Postes!$A$7:$A$117,0))</f>
        <v>1.42416398684318</v>
      </c>
      <c r="F98" s="5" t="n">
        <f aca="false">Parametros!$E$8*Parametros!$E$9</f>
        <v>2205</v>
      </c>
      <c r="G98" s="5" t="n">
        <f aca="false">Parametros!$E$10/1000*Parametros!$E$11</f>
        <v>1.32389775</v>
      </c>
      <c r="H98" s="5" t="n">
        <f aca="false">F98/G98</f>
        <v>1665.53648119728</v>
      </c>
      <c r="I98" s="5" t="n">
        <f aca="false">ASINH(E98/(2*H98*SINH(D98/(2*H98))))</f>
        <v>0.0271786538935795</v>
      </c>
      <c r="J98" s="5" t="n">
        <f aca="false">D98/2-H98*I98</f>
        <v>-19.0712984866747</v>
      </c>
      <c r="K98" s="5" t="n">
        <f aca="false">-J98/H98</f>
        <v>0.0114505438349601</v>
      </c>
      <c r="L98" s="5" t="n">
        <f aca="false">(D98-J98)/H98</f>
        <v>0.0429067639521989</v>
      </c>
      <c r="M98" s="5" t="n">
        <f aca="false">H98*(SINH(L98)-SINH(K98))</f>
        <v>52.4129944749307</v>
      </c>
      <c r="N98" s="5" t="n">
        <f aca="false">M98*Parametros!$E$5</f>
        <v>157.238983424792</v>
      </c>
    </row>
    <row r="99" customFormat="false" ht="21" hidden="false" customHeight="true" outlineLevel="0" collapsed="false">
      <c r="A99" s="1" t="s">
        <v>324</v>
      </c>
      <c r="B99" s="1" t="s">
        <v>198</v>
      </c>
      <c r="C99" s="1" t="s">
        <v>199</v>
      </c>
      <c r="D99" s="5" t="n">
        <f aca="false">SQRT((INDEX(Postes!$B$7:$B$117,MATCH(C99,Postes!$A$7:$A$117,0))-INDEX(Postes!$B$7:$B$117,MATCH(B99,Postes!$A$7:$A$117,0)))^2+(INDEX(Postes!$C$7:$C$117,MATCH(C99,Postes!$A$7:$A$117,0))-INDEX(Postes!$C$7:$C$117,MATCH(B99,Postes!$A$7:$A$117,0)))^2)</f>
        <v>48.254927655929</v>
      </c>
      <c r="E99" s="5" t="n">
        <f aca="false">INDEX(Postes!$D$7:$D$117,MATCH(C99,Postes!$A$7:$A$117,0))+INDEX(Postes!$G$7:$G$117,MATCH(C99,Postes!$A$7:$A$117,0))-INDEX(Postes!$D$7:$D$117,MATCH(B99,Postes!$A$7:$A$117,0))-INDEX(Postes!$G$7:$G$117,MATCH(B99,Postes!$A$7:$A$117,0))</f>
        <v>7.91258040081075</v>
      </c>
      <c r="F99" s="5" t="n">
        <f aca="false">Parametros!$E$8*Parametros!$E$9</f>
        <v>2205</v>
      </c>
      <c r="G99" s="5" t="n">
        <f aca="false">Parametros!$E$10/1000*Parametros!$E$11</f>
        <v>1.32389775</v>
      </c>
      <c r="H99" s="5" t="n">
        <f aca="false">F99/G99</f>
        <v>1665.53648119728</v>
      </c>
      <c r="I99" s="5" t="n">
        <f aca="false">ASINH(E99/(2*H99*SINH(D99/(2*H99))))</f>
        <v>0.163242833827077</v>
      </c>
      <c r="J99" s="5" t="n">
        <f aca="false">D99/2-H99*I99</f>
        <v>-247.759431205058</v>
      </c>
      <c r="K99" s="5" t="n">
        <f aca="false">-J99/H99</f>
        <v>0.14875653220574</v>
      </c>
      <c r="L99" s="5" t="n">
        <f aca="false">(D99-J99)/H99</f>
        <v>0.177729135448414</v>
      </c>
      <c r="M99" s="5" t="n">
        <f aca="false">H99*(SINH(L99)-SINH(K99))</f>
        <v>48.9010210501763</v>
      </c>
      <c r="N99" s="5" t="n">
        <f aca="false">M99*Parametros!$E$5</f>
        <v>146.703063150529</v>
      </c>
    </row>
    <row r="100" customFormat="false" ht="21" hidden="false" customHeight="true" outlineLevel="0" collapsed="false">
      <c r="A100" s="1" t="s">
        <v>325</v>
      </c>
      <c r="B100" s="1" t="s">
        <v>199</v>
      </c>
      <c r="C100" s="1" t="s">
        <v>200</v>
      </c>
      <c r="D100" s="5" t="n">
        <f aca="false">SQRT((INDEX(Postes!$B$7:$B$117,MATCH(C100,Postes!$A$7:$A$117,0))-INDEX(Postes!$B$7:$B$117,MATCH(B100,Postes!$A$7:$A$117,0)))^2+(INDEX(Postes!$C$7:$C$117,MATCH(C100,Postes!$A$7:$A$117,0))-INDEX(Postes!$C$7:$C$117,MATCH(B100,Postes!$A$7:$A$117,0)))^2)</f>
        <v>49.3601114634193</v>
      </c>
      <c r="E100" s="5" t="n">
        <f aca="false">INDEX(Postes!$D$7:$D$117,MATCH(C100,Postes!$A$7:$A$117,0))+INDEX(Postes!$G$7:$G$117,MATCH(C100,Postes!$A$7:$A$117,0))-INDEX(Postes!$D$7:$D$117,MATCH(B100,Postes!$A$7:$A$117,0))-INDEX(Postes!$G$7:$G$117,MATCH(B100,Postes!$A$7:$A$117,0))</f>
        <v>7.0698471562022</v>
      </c>
      <c r="F100" s="5" t="n">
        <f aca="false">Parametros!$E$8*Parametros!$E$9</f>
        <v>2205</v>
      </c>
      <c r="G100" s="5" t="n">
        <f aca="false">Parametros!$E$10/1000*Parametros!$E$11</f>
        <v>1.32389775</v>
      </c>
      <c r="H100" s="5" t="n">
        <f aca="false">F100/G100</f>
        <v>1665.53648119728</v>
      </c>
      <c r="I100" s="5" t="n">
        <f aca="false">ASINH(E100/(2*H100*SINH(D100/(2*H100))))</f>
        <v>0.142739522454205</v>
      </c>
      <c r="J100" s="5" t="n">
        <f aca="false">D100/2-H100*I100</f>
        <v>-213.057826224447</v>
      </c>
      <c r="K100" s="5" t="n">
        <f aca="false">-J100/H100</f>
        <v>0.127921440706774</v>
      </c>
      <c r="L100" s="5" t="n">
        <f aca="false">(D100-J100)/H100</f>
        <v>0.157557604201636</v>
      </c>
      <c r="M100" s="5" t="n">
        <f aca="false">H100*(SINH(L100)-SINH(K100))</f>
        <v>49.8656362021261</v>
      </c>
      <c r="N100" s="5" t="n">
        <f aca="false">M100*Parametros!$E$5</f>
        <v>149.596908606378</v>
      </c>
    </row>
    <row r="101" customFormat="false" ht="21" hidden="false" customHeight="true" outlineLevel="0" collapsed="false">
      <c r="A101" s="1" t="s">
        <v>326</v>
      </c>
      <c r="B101" s="1" t="s">
        <v>200</v>
      </c>
      <c r="C101" s="1" t="s">
        <v>201</v>
      </c>
      <c r="D101" s="5" t="n">
        <f aca="false">SQRT((INDEX(Postes!$B$7:$B$117,MATCH(C101,Postes!$A$7:$A$117,0))-INDEX(Postes!$B$7:$B$117,MATCH(B101,Postes!$A$7:$A$117,0)))^2+(INDEX(Postes!$C$7:$C$117,MATCH(C101,Postes!$A$7:$A$117,0))-INDEX(Postes!$C$7:$C$117,MATCH(B101,Postes!$A$7:$A$117,0)))^2)</f>
        <v>71.7626116591018</v>
      </c>
      <c r="E101" s="5" t="n">
        <f aca="false">INDEX(Postes!$D$7:$D$117,MATCH(C101,Postes!$A$7:$A$117,0))+INDEX(Postes!$G$7:$G$117,MATCH(C101,Postes!$A$7:$A$117,0))-INDEX(Postes!$D$7:$D$117,MATCH(B101,Postes!$A$7:$A$117,0))-INDEX(Postes!$G$7:$G$117,MATCH(B101,Postes!$A$7:$A$117,0))</f>
        <v>5.62222176267496</v>
      </c>
      <c r="F101" s="5" t="n">
        <f aca="false">Parametros!$E$8*Parametros!$E$9</f>
        <v>2205</v>
      </c>
      <c r="G101" s="5" t="n">
        <f aca="false">Parametros!$E$10/1000*Parametros!$E$11</f>
        <v>1.32389775</v>
      </c>
      <c r="H101" s="5" t="n">
        <f aca="false">F101/G101</f>
        <v>1665.53648119728</v>
      </c>
      <c r="I101" s="5" t="n">
        <f aca="false">ASINH(E101/(2*H101*SINH(D101/(2*H101))))</f>
        <v>0.0782587545594882</v>
      </c>
      <c r="J101" s="5" t="n">
        <f aca="false">D101/2-H101*I101</f>
        <v>-94.4615048623409</v>
      </c>
      <c r="K101" s="5" t="n">
        <f aca="false">-J101/H101</f>
        <v>0.0567153622443842</v>
      </c>
      <c r="L101" s="5" t="n">
        <f aca="false">(D101-J101)/H101</f>
        <v>0.0998021468745922</v>
      </c>
      <c r="M101" s="5" t="n">
        <f aca="false">H101*(SINH(L101)-SINH(K101))</f>
        <v>71.9880446652606</v>
      </c>
      <c r="N101" s="5" t="n">
        <f aca="false">M101*Parametros!$E$5</f>
        <v>215.964133995782</v>
      </c>
    </row>
    <row r="102" customFormat="false" ht="21" hidden="false" customHeight="true" outlineLevel="0" collapsed="false">
      <c r="A102" s="1" t="s">
        <v>327</v>
      </c>
      <c r="B102" s="1" t="s">
        <v>201</v>
      </c>
      <c r="C102" s="1" t="s">
        <v>202</v>
      </c>
      <c r="D102" s="5" t="n">
        <f aca="false">SQRT((INDEX(Postes!$B$7:$B$117,MATCH(C102,Postes!$A$7:$A$117,0))-INDEX(Postes!$B$7:$B$117,MATCH(B102,Postes!$A$7:$A$117,0)))^2+(INDEX(Postes!$C$7:$C$117,MATCH(C102,Postes!$A$7:$A$117,0))-INDEX(Postes!$C$7:$C$117,MATCH(B102,Postes!$A$7:$A$117,0)))^2)</f>
        <v>71.7626116573573</v>
      </c>
      <c r="E102" s="5" t="n">
        <f aca="false">INDEX(Postes!$D$7:$D$117,MATCH(C102,Postes!$A$7:$A$117,0))+INDEX(Postes!$G$7:$G$117,MATCH(C102,Postes!$A$7:$A$117,0))-INDEX(Postes!$D$7:$D$117,MATCH(B102,Postes!$A$7:$A$117,0))-INDEX(Postes!$G$7:$G$117,MATCH(B102,Postes!$A$7:$A$117,0))</f>
        <v>-2.08458132191017</v>
      </c>
      <c r="F102" s="5" t="n">
        <f aca="false">Parametros!$E$8*Parametros!$E$9</f>
        <v>2205</v>
      </c>
      <c r="G102" s="5" t="n">
        <f aca="false">Parametros!$E$10/1000*Parametros!$E$11</f>
        <v>1.32389775</v>
      </c>
      <c r="H102" s="5" t="n">
        <f aca="false">F102/G102</f>
        <v>1665.53648119728</v>
      </c>
      <c r="I102" s="5" t="n">
        <f aca="false">ASINH(E102/(2*H102*SINH(D102/(2*H102))))</f>
        <v>-0.0290419628056087</v>
      </c>
      <c r="J102" s="5" t="n">
        <f aca="false">D102/2-H102*I102</f>
        <v>84.2517543669945</v>
      </c>
      <c r="K102" s="5" t="n">
        <f aca="false">-J102/H102</f>
        <v>-0.050585355120189</v>
      </c>
      <c r="L102" s="5" t="n">
        <f aca="false">(D102-J102)/H102</f>
        <v>-0.00749857049102836</v>
      </c>
      <c r="M102" s="5" t="n">
        <f aca="false">H102*(SINH(L102)-SINH(K102))</f>
        <v>71.7984308757237</v>
      </c>
      <c r="N102" s="5" t="n">
        <f aca="false">M102*Parametros!$E$5</f>
        <v>215.395292627171</v>
      </c>
    </row>
    <row r="103" customFormat="false" ht="21" hidden="false" customHeight="true" outlineLevel="0" collapsed="false">
      <c r="A103" s="1" t="s">
        <v>328</v>
      </c>
      <c r="B103" s="1" t="s">
        <v>202</v>
      </c>
      <c r="C103" s="1" t="s">
        <v>203</v>
      </c>
      <c r="D103" s="5" t="n">
        <f aca="false">SQRT((INDEX(Postes!$B$7:$B$117,MATCH(C103,Postes!$A$7:$A$117,0))-INDEX(Postes!$B$7:$B$117,MATCH(B103,Postes!$A$7:$A$117,0)))^2+(INDEX(Postes!$C$7:$C$117,MATCH(C103,Postes!$A$7:$A$117,0))-INDEX(Postes!$C$7:$C$117,MATCH(B103,Postes!$A$7:$A$117,0)))^2)</f>
        <v>71.7626116591239</v>
      </c>
      <c r="E103" s="5" t="n">
        <f aca="false">INDEX(Postes!$D$7:$D$117,MATCH(C103,Postes!$A$7:$A$117,0))+INDEX(Postes!$G$7:$G$117,MATCH(C103,Postes!$A$7:$A$117,0))-INDEX(Postes!$D$7:$D$117,MATCH(B103,Postes!$A$7:$A$117,0))-INDEX(Postes!$G$7:$G$117,MATCH(B103,Postes!$A$7:$A$117,0))</f>
        <v>-7.87634907038491</v>
      </c>
      <c r="F103" s="5" t="n">
        <f aca="false">Parametros!$E$8*Parametros!$E$9</f>
        <v>2205</v>
      </c>
      <c r="G103" s="5" t="n">
        <f aca="false">Parametros!$E$10/1000*Parametros!$E$11</f>
        <v>1.32389775</v>
      </c>
      <c r="H103" s="5" t="n">
        <f aca="false">F103/G103</f>
        <v>1665.53648119728</v>
      </c>
      <c r="I103" s="5" t="n">
        <f aca="false">ASINH(E103/(2*H103*SINH(D103/(2*H103))))</f>
        <v>-0.109527997140247</v>
      </c>
      <c r="J103" s="5" t="n">
        <f aca="false">D103/2-H103*I103</f>
        <v>218.304180779115</v>
      </c>
      <c r="K103" s="5" t="n">
        <f aca="false">-J103/H103</f>
        <v>-0.131071389455357</v>
      </c>
      <c r="L103" s="5" t="n">
        <f aca="false">(D103-J103)/H103</f>
        <v>-0.0879846048251361</v>
      </c>
      <c r="M103" s="5" t="n">
        <f aca="false">H103*(SINH(L103)-SINH(K103))</f>
        <v>72.1990725138529</v>
      </c>
      <c r="N103" s="5" t="n">
        <f aca="false">M103*Parametros!$E$5</f>
        <v>216.597217541559</v>
      </c>
    </row>
    <row r="104" customFormat="false" ht="21" hidden="false" customHeight="true" outlineLevel="0" collapsed="false">
      <c r="A104" s="1" t="s">
        <v>329</v>
      </c>
      <c r="B104" s="1" t="s">
        <v>203</v>
      </c>
      <c r="C104" s="1" t="s">
        <v>204</v>
      </c>
      <c r="D104" s="5" t="n">
        <f aca="false">SQRT((INDEX(Postes!$B$7:$B$117,MATCH(C104,Postes!$A$7:$A$117,0))-INDEX(Postes!$B$7:$B$117,MATCH(B104,Postes!$A$7:$A$117,0)))^2+(INDEX(Postes!$C$7:$C$117,MATCH(C104,Postes!$A$7:$A$117,0))-INDEX(Postes!$C$7:$C$117,MATCH(B104,Postes!$A$7:$A$117,0)))^2)</f>
        <v>71.7626116573352</v>
      </c>
      <c r="E104" s="5" t="n">
        <f aca="false">INDEX(Postes!$D$7:$D$117,MATCH(C104,Postes!$A$7:$A$117,0))+INDEX(Postes!$G$7:$G$117,MATCH(C104,Postes!$A$7:$A$117,0))-INDEX(Postes!$D$7:$D$117,MATCH(B104,Postes!$A$7:$A$117,0))-INDEX(Postes!$G$7:$G$117,MATCH(B104,Postes!$A$7:$A$117,0))</f>
        <v>11.808546337087</v>
      </c>
      <c r="F104" s="5" t="n">
        <f aca="false">Parametros!$E$8*Parametros!$E$9</f>
        <v>2205</v>
      </c>
      <c r="G104" s="5" t="n">
        <f aca="false">Parametros!$E$10/1000*Parametros!$E$11</f>
        <v>1.32389775</v>
      </c>
      <c r="H104" s="5" t="n">
        <f aca="false">F104/G104</f>
        <v>1665.53648119728</v>
      </c>
      <c r="I104" s="5" t="n">
        <f aca="false">ASINH(E104/(2*H104*SINH(D104/(2*H104))))</f>
        <v>0.163803885427376</v>
      </c>
      <c r="J104" s="5" t="n">
        <f aca="false">D104/2-H104*I104</f>
        <v>-236.940041112487</v>
      </c>
      <c r="K104" s="5" t="n">
        <f aca="false">-J104/H104</f>
        <v>0.142260493112802</v>
      </c>
      <c r="L104" s="5" t="n">
        <f aca="false">(D104-J104)/H104</f>
        <v>0.185347277741949</v>
      </c>
      <c r="M104" s="5" t="n">
        <f aca="false">H104*(SINH(L104)-SINH(K104))</f>
        <v>72.733149000441</v>
      </c>
      <c r="N104" s="5" t="n">
        <f aca="false">M104*Parametros!$E$5</f>
        <v>218.199447001323</v>
      </c>
    </row>
    <row r="105" customFormat="false" ht="21" hidden="false" customHeight="true" outlineLevel="0" collapsed="false">
      <c r="A105" s="1" t="s">
        <v>330</v>
      </c>
      <c r="B105" s="1" t="s">
        <v>204</v>
      </c>
      <c r="C105" s="1" t="s">
        <v>205</v>
      </c>
      <c r="D105" s="5" t="n">
        <f aca="false">SQRT((INDEX(Postes!$B$7:$B$117,MATCH(C105,Postes!$A$7:$A$117,0))-INDEX(Postes!$B$7:$B$117,MATCH(B105,Postes!$A$7:$A$117,0)))^2+(INDEX(Postes!$C$7:$C$117,MATCH(C105,Postes!$A$7:$A$117,0))-INDEX(Postes!$C$7:$C$117,MATCH(B105,Postes!$A$7:$A$117,0)))^2)</f>
        <v>71.7626116591239</v>
      </c>
      <c r="E105" s="5" t="n">
        <f aca="false">INDEX(Postes!$D$7:$D$117,MATCH(C105,Postes!$A$7:$A$117,0))+INDEX(Postes!$G$7:$G$117,MATCH(C105,Postes!$A$7:$A$117,0))-INDEX(Postes!$D$7:$D$117,MATCH(B105,Postes!$A$7:$A$117,0))-INDEX(Postes!$G$7:$G$117,MATCH(B105,Postes!$A$7:$A$117,0))</f>
        <v>-1.67859180912674</v>
      </c>
      <c r="F105" s="5" t="n">
        <f aca="false">Parametros!$E$8*Parametros!$E$9</f>
        <v>2205</v>
      </c>
      <c r="G105" s="5" t="n">
        <f aca="false">Parametros!$E$10/1000*Parametros!$E$11</f>
        <v>1.32389775</v>
      </c>
      <c r="H105" s="5" t="n">
        <f aca="false">F105/G105</f>
        <v>1665.53648119728</v>
      </c>
      <c r="I105" s="5" t="n">
        <f aca="false">ASINH(E105/(2*H105*SINH(D105/(2*H105))))</f>
        <v>-0.0233869550922397</v>
      </c>
      <c r="J105" s="5" t="n">
        <f aca="false">D105/2-H105*I105</f>
        <v>74.8331327198097</v>
      </c>
      <c r="K105" s="5" t="n">
        <f aca="false">-J105/H105</f>
        <v>-0.0449303474073503</v>
      </c>
      <c r="L105" s="5" t="n">
        <f aca="false">(D105-J105)/H105</f>
        <v>-0.00184356277712901</v>
      </c>
      <c r="M105" s="5" t="n">
        <f aca="false">H105*(SINH(L105)-SINH(K105))</f>
        <v>71.7877905193057</v>
      </c>
      <c r="N105" s="5" t="n">
        <f aca="false">M105*Parametros!$E$5</f>
        <v>215.363371557917</v>
      </c>
    </row>
    <row r="106" customFormat="false" ht="21" hidden="false" customHeight="true" outlineLevel="0" collapsed="false">
      <c r="A106" s="1" t="s">
        <v>331</v>
      </c>
      <c r="B106" s="1" t="s">
        <v>205</v>
      </c>
      <c r="C106" s="1" t="s">
        <v>206</v>
      </c>
      <c r="D106" s="5" t="n">
        <f aca="false">SQRT((INDEX(Postes!$B$7:$B$117,MATCH(C106,Postes!$A$7:$A$117,0))-INDEX(Postes!$B$7:$B$117,MATCH(B106,Postes!$A$7:$A$117,0)))^2+(INDEX(Postes!$C$7:$C$117,MATCH(C106,Postes!$A$7:$A$117,0))-INDEX(Postes!$C$7:$C$117,MATCH(B106,Postes!$A$7:$A$117,0)))^2)</f>
        <v>45.5363133824717</v>
      </c>
      <c r="E106" s="5" t="n">
        <f aca="false">INDEX(Postes!$D$7:$D$117,MATCH(C106,Postes!$A$7:$A$117,0))+INDEX(Postes!$G$7:$G$117,MATCH(C106,Postes!$A$7:$A$117,0))-INDEX(Postes!$D$7:$D$117,MATCH(B106,Postes!$A$7:$A$117,0))-INDEX(Postes!$G$7:$G$117,MATCH(B106,Postes!$A$7:$A$117,0))</f>
        <v>4.05326207986591</v>
      </c>
      <c r="F106" s="5" t="n">
        <f aca="false">Parametros!$E$8*Parametros!$E$9</f>
        <v>2205</v>
      </c>
      <c r="G106" s="5" t="n">
        <f aca="false">Parametros!$E$10/1000*Parametros!$E$11</f>
        <v>1.32389775</v>
      </c>
      <c r="H106" s="5" t="n">
        <f aca="false">F106/G106</f>
        <v>1665.53648119728</v>
      </c>
      <c r="I106" s="5" t="n">
        <f aca="false">ASINH(E106/(2*H106*SINH(D106/(2*H106))))</f>
        <v>0.088891758029497</v>
      </c>
      <c r="J106" s="5" t="n">
        <f aca="false">D106/2-H106*I106</f>
        <v>-125.284309184653</v>
      </c>
      <c r="K106" s="5" t="n">
        <f aca="false">-J106/H106</f>
        <v>0.0752215941223883</v>
      </c>
      <c r="L106" s="5" t="n">
        <f aca="false">(D106-J106)/H106</f>
        <v>0.102561921936606</v>
      </c>
      <c r="M106" s="5" t="n">
        <f aca="false">H106*(SINH(L106)-SINH(K106))</f>
        <v>45.7177639140764</v>
      </c>
      <c r="N106" s="5" t="n">
        <f aca="false">M106*Parametros!$E$5</f>
        <v>137.153291742229</v>
      </c>
    </row>
    <row r="107" customFormat="false" ht="21" hidden="false" customHeight="true" outlineLevel="0" collapsed="false">
      <c r="A107" s="1" t="s">
        <v>332</v>
      </c>
      <c r="B107" s="1" t="s">
        <v>206</v>
      </c>
      <c r="C107" s="1" t="s">
        <v>207</v>
      </c>
      <c r="D107" s="5" t="n">
        <f aca="false">SQRT((INDEX(Postes!$B$7:$B$117,MATCH(C107,Postes!$A$7:$A$117,0))-INDEX(Postes!$B$7:$B$117,MATCH(B107,Postes!$A$7:$A$117,0)))^2+(INDEX(Postes!$C$7:$C$117,MATCH(C107,Postes!$A$7:$A$117,0))-INDEX(Postes!$C$7:$C$117,MATCH(B107,Postes!$A$7:$A$117,0)))^2)</f>
        <v>45.5363133825163</v>
      </c>
      <c r="E107" s="5" t="n">
        <f aca="false">INDEX(Postes!$D$7:$D$117,MATCH(C107,Postes!$A$7:$A$117,0))+INDEX(Postes!$G$7:$G$117,MATCH(C107,Postes!$A$7:$A$117,0))-INDEX(Postes!$D$7:$D$117,MATCH(B107,Postes!$A$7:$A$117,0))-INDEX(Postes!$G$7:$G$117,MATCH(B107,Postes!$A$7:$A$117,0))</f>
        <v>-2.34454817518426</v>
      </c>
      <c r="F107" s="5" t="n">
        <f aca="false">Parametros!$E$8*Parametros!$E$9</f>
        <v>2205</v>
      </c>
      <c r="G107" s="5" t="n">
        <f aca="false">Parametros!$E$10/1000*Parametros!$E$11</f>
        <v>1.32389775</v>
      </c>
      <c r="H107" s="5" t="n">
        <f aca="false">F107/G107</f>
        <v>1665.53648119728</v>
      </c>
      <c r="I107" s="5" t="n">
        <f aca="false">ASINH(E107/(2*H107*SINH(D107/(2*H107))))</f>
        <v>-0.0514631165394122</v>
      </c>
      <c r="J107" s="5" t="n">
        <f aca="false">D107/2-H107*I107</f>
        <v>108.481854723756</v>
      </c>
      <c r="K107" s="5" t="n">
        <f aca="false">-J107/H107</f>
        <v>-0.0651332804465343</v>
      </c>
      <c r="L107" s="5" t="n">
        <f aca="false">(D107-J107)/H107</f>
        <v>-0.0377929526322902</v>
      </c>
      <c r="M107" s="5" t="n">
        <f aca="false">H107*(SINH(L107)-SINH(K107))</f>
        <v>45.5980472165747</v>
      </c>
      <c r="N107" s="5" t="n">
        <f aca="false">M107*Parametros!$E$5</f>
        <v>136.794141649724</v>
      </c>
    </row>
    <row r="108" customFormat="false" ht="21" hidden="false" customHeight="true" outlineLevel="0" collapsed="false">
      <c r="A108" s="1" t="s">
        <v>333</v>
      </c>
      <c r="B108" s="1" t="s">
        <v>207</v>
      </c>
      <c r="C108" s="1" t="s">
        <v>208</v>
      </c>
      <c r="D108" s="5" t="n">
        <f aca="false">SQRT((INDEX(Postes!$B$7:$B$117,MATCH(C108,Postes!$A$7:$A$117,0))-INDEX(Postes!$B$7:$B$117,MATCH(B108,Postes!$A$7:$A$117,0)))^2+(INDEX(Postes!$C$7:$C$117,MATCH(C108,Postes!$A$7:$A$117,0))-INDEX(Postes!$C$7:$C$117,MATCH(B108,Postes!$A$7:$A$117,0)))^2)</f>
        <v>47.9791193550387</v>
      </c>
      <c r="E108" s="5" t="n">
        <f aca="false">INDEX(Postes!$D$7:$D$117,MATCH(C108,Postes!$A$7:$A$117,0))+INDEX(Postes!$G$7:$G$117,MATCH(C108,Postes!$A$7:$A$117,0))-INDEX(Postes!$D$7:$D$117,MATCH(B108,Postes!$A$7:$A$117,0))-INDEX(Postes!$G$7:$G$117,MATCH(B108,Postes!$A$7:$A$117,0))</f>
        <v>8.37175042203298</v>
      </c>
      <c r="F108" s="5" t="n">
        <f aca="false">Parametros!$E$8*Parametros!$E$9</f>
        <v>2205</v>
      </c>
      <c r="G108" s="5" t="n">
        <f aca="false">Parametros!$E$10/1000*Parametros!$E$11</f>
        <v>1.32389775</v>
      </c>
      <c r="H108" s="5" t="n">
        <f aca="false">F108/G108</f>
        <v>1665.53648119728</v>
      </c>
      <c r="I108" s="5" t="n">
        <f aca="false">ASINH(E108/(2*H108*SINH(D108/(2*H108))))</f>
        <v>0.173607940874033</v>
      </c>
      <c r="J108" s="5" t="n">
        <f aca="false">D108/2-H108*I108</f>
        <v>-265.160799273724</v>
      </c>
      <c r="K108" s="5" t="n">
        <f aca="false">-J108/H108</f>
        <v>0.159204437889653</v>
      </c>
      <c r="L108" s="5" t="n">
        <f aca="false">(D108-J108)/H108</f>
        <v>0.188011443858414</v>
      </c>
      <c r="M108" s="5" t="n">
        <f aca="false">H108*(SINH(L108)-SINH(K108))</f>
        <v>48.705659784013</v>
      </c>
      <c r="N108" s="5" t="n">
        <f aca="false">M108*Parametros!$E$5</f>
        <v>146.116979352039</v>
      </c>
    </row>
    <row r="109" customFormat="false" ht="21" hidden="false" customHeight="true" outlineLevel="0" collapsed="false">
      <c r="A109" s="1" t="s">
        <v>334</v>
      </c>
      <c r="B109" s="1" t="s">
        <v>208</v>
      </c>
      <c r="C109" s="1" t="s">
        <v>209</v>
      </c>
      <c r="D109" s="5" t="n">
        <f aca="false">SQRT((INDEX(Postes!$B$7:$B$117,MATCH(C109,Postes!$A$7:$A$117,0))-INDEX(Postes!$B$7:$B$117,MATCH(B109,Postes!$A$7:$A$117,0)))^2+(INDEX(Postes!$C$7:$C$117,MATCH(C109,Postes!$A$7:$A$117,0))-INDEX(Postes!$C$7:$C$117,MATCH(B109,Postes!$A$7:$A$117,0)))^2)</f>
        <v>47.9791193542747</v>
      </c>
      <c r="E109" s="5" t="n">
        <f aca="false">INDEX(Postes!$D$7:$D$117,MATCH(C109,Postes!$A$7:$A$117,0))+INDEX(Postes!$G$7:$G$117,MATCH(C109,Postes!$A$7:$A$117,0))-INDEX(Postes!$D$7:$D$117,MATCH(B109,Postes!$A$7:$A$117,0))-INDEX(Postes!$G$7:$G$117,MATCH(B109,Postes!$A$7:$A$117,0))</f>
        <v>0.943760220306013</v>
      </c>
      <c r="F109" s="5" t="n">
        <f aca="false">Parametros!$E$8*Parametros!$E$9</f>
        <v>2205</v>
      </c>
      <c r="G109" s="5" t="n">
        <f aca="false">Parametros!$E$10/1000*Parametros!$E$11</f>
        <v>1.32389775</v>
      </c>
      <c r="H109" s="5" t="n">
        <f aca="false">F109/G109</f>
        <v>1665.53648119728</v>
      </c>
      <c r="I109" s="5" t="n">
        <f aca="false">ASINH(E109/(2*H109*SINH(D109/(2*H109))))</f>
        <v>0.0196682798446704</v>
      </c>
      <c r="J109" s="5" t="n">
        <f aca="false">D109/2-H109*I109</f>
        <v>-8.7686779265585</v>
      </c>
      <c r="K109" s="5" t="n">
        <f aca="false">-J109/H109</f>
        <v>0.00526477686051949</v>
      </c>
      <c r="L109" s="5" t="n">
        <f aca="false">(D109-J109)/H109</f>
        <v>0.0340717828288214</v>
      </c>
      <c r="M109" s="5" t="n">
        <f aca="false">H109*(SINH(L109)-SINH(K109))</f>
        <v>47.9900591075622</v>
      </c>
      <c r="N109" s="5" t="n">
        <f aca="false">M109*Parametros!$E$5</f>
        <v>143.970177322687</v>
      </c>
    </row>
    <row r="110" customFormat="false" ht="21" hidden="false" customHeight="true" outlineLevel="0" collapsed="false">
      <c r="A110" s="1" t="s">
        <v>335</v>
      </c>
      <c r="B110" s="1" t="s">
        <v>209</v>
      </c>
      <c r="C110" s="1" t="s">
        <v>210</v>
      </c>
      <c r="D110" s="5" t="n">
        <f aca="false">SQRT((INDEX(Postes!$B$7:$B$117,MATCH(C110,Postes!$A$7:$A$117,0))-INDEX(Postes!$B$7:$B$117,MATCH(B110,Postes!$A$7:$A$117,0)))^2+(INDEX(Postes!$C$7:$C$117,MATCH(C110,Postes!$A$7:$A$117,0))-INDEX(Postes!$C$7:$C$117,MATCH(B110,Postes!$A$7:$A$117,0)))^2)</f>
        <v>77.6149319610341</v>
      </c>
      <c r="E110" s="5" t="n">
        <f aca="false">INDEX(Postes!$D$7:$D$117,MATCH(C110,Postes!$A$7:$A$117,0))+INDEX(Postes!$G$7:$G$117,MATCH(C110,Postes!$A$7:$A$117,0))-INDEX(Postes!$D$7:$D$117,MATCH(B110,Postes!$A$7:$A$117,0))-INDEX(Postes!$G$7:$G$117,MATCH(B110,Postes!$A$7:$A$117,0))</f>
        <v>-7.79269525534128</v>
      </c>
      <c r="F110" s="5" t="n">
        <f aca="false">Parametros!$E$8*Parametros!$E$9</f>
        <v>2205</v>
      </c>
      <c r="G110" s="5" t="n">
        <f aca="false">Parametros!$E$10/1000*Parametros!$E$11</f>
        <v>1.32389775</v>
      </c>
      <c r="H110" s="5" t="n">
        <f aca="false">F110/G110</f>
        <v>1665.53648119728</v>
      </c>
      <c r="I110" s="5" t="n">
        <f aca="false">ASINH(E110/(2*H110*SINH(D110/(2*H110))))</f>
        <v>-0.100225048115427</v>
      </c>
      <c r="J110" s="5" t="n">
        <f aca="false">D110/2-H110*I110</f>
        <v>205.735939946514</v>
      </c>
      <c r="K110" s="5" t="n">
        <f aca="false">-J110/H110</f>
        <v>-0.123525327886315</v>
      </c>
      <c r="L110" s="5" t="n">
        <f aca="false">(D110-J110)/H110</f>
        <v>-0.0769247683445394</v>
      </c>
      <c r="M110" s="5" t="n">
        <f aca="false">H110*(SINH(L110)-SINH(K110))</f>
        <v>78.0121401124788</v>
      </c>
      <c r="N110" s="5" t="n">
        <f aca="false">M110*Parametros!$E$5</f>
        <v>234.036420337436</v>
      </c>
    </row>
    <row r="111" customFormat="false" ht="21" hidden="false" customHeight="true" outlineLevel="0" collapsed="false">
      <c r="A111" s="1" t="s">
        <v>336</v>
      </c>
      <c r="B111" s="1" t="s">
        <v>210</v>
      </c>
      <c r="C111" s="1" t="s">
        <v>211</v>
      </c>
      <c r="D111" s="5" t="n">
        <f aca="false">SQRT((INDEX(Postes!$B$7:$B$117,MATCH(C111,Postes!$A$7:$A$117,0))-INDEX(Postes!$B$7:$B$117,MATCH(B111,Postes!$A$7:$A$117,0)))^2+(INDEX(Postes!$C$7:$C$117,MATCH(C111,Postes!$A$7:$A$117,0))-INDEX(Postes!$C$7:$C$117,MATCH(B111,Postes!$A$7:$A$117,0)))^2)</f>
        <v>77.6149319622452</v>
      </c>
      <c r="E111" s="5" t="n">
        <f aca="false">INDEX(Postes!$D$7:$D$117,MATCH(C111,Postes!$A$7:$A$117,0))+INDEX(Postes!$G$7:$G$117,MATCH(C111,Postes!$A$7:$A$117,0))-INDEX(Postes!$D$7:$D$117,MATCH(B111,Postes!$A$7:$A$117,0))-INDEX(Postes!$G$7:$G$117,MATCH(B111,Postes!$A$7:$A$117,0))</f>
        <v>-5.14372324810311</v>
      </c>
      <c r="F111" s="5" t="n">
        <f aca="false">Parametros!$E$8*Parametros!$E$9</f>
        <v>2205</v>
      </c>
      <c r="G111" s="5" t="n">
        <f aca="false">Parametros!$E$10/1000*Parametros!$E$11</f>
        <v>1.32389775</v>
      </c>
      <c r="H111" s="5" t="n">
        <f aca="false">F111/G111</f>
        <v>1665.53648119728</v>
      </c>
      <c r="I111" s="5" t="n">
        <f aca="false">ASINH(E111/(2*H111*SINH(D111/(2*H111))))</f>
        <v>-0.0662179420803289</v>
      </c>
      <c r="J111" s="5" t="n">
        <f aca="false">D111/2-H111*I111</f>
        <v>149.095864225719</v>
      </c>
      <c r="K111" s="5" t="n">
        <f aca="false">-J111/H111</f>
        <v>-0.0895182218515805</v>
      </c>
      <c r="L111" s="5" t="n">
        <f aca="false">(D111-J111)/H111</f>
        <v>-0.0429176623090773</v>
      </c>
      <c r="M111" s="5" t="n">
        <f aca="false">H111*(SINH(L111)-SINH(K111))</f>
        <v>77.7921962321899</v>
      </c>
      <c r="N111" s="5" t="n">
        <f aca="false">M111*Parametros!$E$5</f>
        <v>233.37658869657</v>
      </c>
    </row>
    <row r="112" customFormat="false" ht="21" hidden="false" customHeight="true" outlineLevel="0" collapsed="false">
      <c r="A112" s="1" t="s">
        <v>337</v>
      </c>
      <c r="B112" s="1" t="s">
        <v>211</v>
      </c>
      <c r="C112" s="1" t="s">
        <v>212</v>
      </c>
      <c r="D112" s="5" t="n">
        <f aca="false">SQRT((INDEX(Postes!$B$7:$B$117,MATCH(C112,Postes!$A$7:$A$117,0))-INDEX(Postes!$B$7:$B$117,MATCH(B112,Postes!$A$7:$A$117,0)))^2+(INDEX(Postes!$C$7:$C$117,MATCH(C112,Postes!$A$7:$A$117,0))-INDEX(Postes!$C$7:$C$117,MATCH(B112,Postes!$A$7:$A$117,0)))^2)</f>
        <v>58.6001861470987</v>
      </c>
      <c r="E112" s="5" t="n">
        <f aca="false">INDEX(Postes!$D$7:$D$117,MATCH(C112,Postes!$A$7:$A$117,0))+INDEX(Postes!$G$7:$G$117,MATCH(C112,Postes!$A$7:$A$117,0))-INDEX(Postes!$D$7:$D$117,MATCH(B112,Postes!$A$7:$A$117,0))-INDEX(Postes!$G$7:$G$117,MATCH(B112,Postes!$A$7:$A$117,0))</f>
        <v>0.263010279159881</v>
      </c>
      <c r="F112" s="5" t="n">
        <f aca="false">Parametros!$E$8*Parametros!$E$9</f>
        <v>2205</v>
      </c>
      <c r="G112" s="5" t="n">
        <f aca="false">Parametros!$E$10/1000*Parametros!$E$11</f>
        <v>1.32389775</v>
      </c>
      <c r="H112" s="5" t="n">
        <f aca="false">F112/G112</f>
        <v>1665.53648119728</v>
      </c>
      <c r="I112" s="5" t="n">
        <f aca="false">ASINH(E112/(2*H112*SINH(D112/(2*H112))))</f>
        <v>0.00448796920435404</v>
      </c>
      <c r="J112" s="5" t="n">
        <f aca="false">D112/2-H112*I112</f>
        <v>21.8252166372077</v>
      </c>
      <c r="K112" s="5" t="n">
        <f aca="false">-J112/H112</f>
        <v>-0.0131040159633841</v>
      </c>
      <c r="L112" s="5" t="n">
        <f aca="false">(D112-J112)/H112</f>
        <v>0.0220799543720922</v>
      </c>
      <c r="M112" s="5" t="n">
        <f aca="false">H112*(SINH(L112)-SINH(K112))</f>
        <v>58.6037989613991</v>
      </c>
      <c r="N112" s="5" t="n">
        <f aca="false">M112*Parametros!$E$5</f>
        <v>175.811396884197</v>
      </c>
    </row>
    <row r="113" customFormat="false" ht="21" hidden="false" customHeight="true" outlineLevel="0" collapsed="false">
      <c r="A113" s="1" t="s">
        <v>338</v>
      </c>
      <c r="B113" s="1" t="s">
        <v>212</v>
      </c>
      <c r="C113" s="1" t="s">
        <v>213</v>
      </c>
      <c r="D113" s="5" t="n">
        <f aca="false">SQRT((INDEX(Postes!$B$7:$B$117,MATCH(C113,Postes!$A$7:$A$117,0))-INDEX(Postes!$B$7:$B$117,MATCH(B113,Postes!$A$7:$A$117,0)))^2+(INDEX(Postes!$C$7:$C$117,MATCH(C113,Postes!$A$7:$A$117,0))-INDEX(Postes!$C$7:$C$117,MATCH(B113,Postes!$A$7:$A$117,0)))^2)</f>
        <v>58.6001861470987</v>
      </c>
      <c r="E113" s="5" t="n">
        <f aca="false">INDEX(Postes!$D$7:$D$117,MATCH(C113,Postes!$A$7:$A$117,0))+INDEX(Postes!$G$7:$G$117,MATCH(C113,Postes!$A$7:$A$117,0))-INDEX(Postes!$D$7:$D$117,MATCH(B113,Postes!$A$7:$A$117,0))-INDEX(Postes!$G$7:$G$117,MATCH(B113,Postes!$A$7:$A$117,0))</f>
        <v>4.79790486663605</v>
      </c>
      <c r="F113" s="5" t="n">
        <f aca="false">Parametros!$E$8*Parametros!$E$9</f>
        <v>2205</v>
      </c>
      <c r="G113" s="5" t="n">
        <f aca="false">Parametros!$E$10/1000*Parametros!$E$11</f>
        <v>1.32389775</v>
      </c>
      <c r="H113" s="5" t="n">
        <f aca="false">F113/G113</f>
        <v>1665.53648119728</v>
      </c>
      <c r="I113" s="5" t="n">
        <f aca="false">ASINH(E113/(2*H113*SINH(D113/(2*H113))))</f>
        <v>0.0817798396816349</v>
      </c>
      <c r="J113" s="5" t="n">
        <f aca="false">D113/2-H113*I113</f>
        <v>-106.907213342679</v>
      </c>
      <c r="K113" s="5" t="n">
        <f aca="false">-J113/H113</f>
        <v>0.0641878545138968</v>
      </c>
      <c r="L113" s="5" t="n">
        <f aca="false">(D113-J113)/H113</f>
        <v>0.099371824849373</v>
      </c>
      <c r="M113" s="5" t="n">
        <f aca="false">H113*(SINH(L113)-SINH(K113))</f>
        <v>58.7992854498286</v>
      </c>
      <c r="N113" s="5" t="n">
        <f aca="false">M113*Parametros!$E$5</f>
        <v>176.397856349486</v>
      </c>
    </row>
    <row r="114" customFormat="false" ht="21" hidden="false" customHeight="true" outlineLevel="0" collapsed="false">
      <c r="A114" s="1" t="s">
        <v>339</v>
      </c>
      <c r="B114" s="1" t="s">
        <v>213</v>
      </c>
      <c r="C114" s="1" t="s">
        <v>214</v>
      </c>
      <c r="D114" s="5" t="n">
        <f aca="false">SQRT((INDEX(Postes!$B$7:$B$117,MATCH(C114,Postes!$A$7:$A$117,0))-INDEX(Postes!$B$7:$B$117,MATCH(B114,Postes!$A$7:$A$117,0)))^2+(INDEX(Postes!$C$7:$C$117,MATCH(C114,Postes!$A$7:$A$117,0))-INDEX(Postes!$C$7:$C$117,MATCH(B114,Postes!$A$7:$A$117,0)))^2)</f>
        <v>43.9603635678484</v>
      </c>
      <c r="E114" s="5" t="n">
        <f aca="false">INDEX(Postes!$D$7:$D$117,MATCH(C114,Postes!$A$7:$A$117,0))+INDEX(Postes!$G$7:$G$117,MATCH(C114,Postes!$A$7:$A$117,0))-INDEX(Postes!$D$7:$D$117,MATCH(B114,Postes!$A$7:$A$117,0))-INDEX(Postes!$G$7:$G$117,MATCH(B114,Postes!$A$7:$A$117,0))</f>
        <v>-4.00563664912133</v>
      </c>
      <c r="F114" s="5" t="n">
        <f aca="false">Parametros!$E$8*Parametros!$E$9</f>
        <v>2205</v>
      </c>
      <c r="G114" s="5" t="n">
        <f aca="false">Parametros!$E$10/1000*Parametros!$E$11</f>
        <v>1.32389775</v>
      </c>
      <c r="H114" s="5" t="n">
        <f aca="false">F114/G114</f>
        <v>1665.53648119728</v>
      </c>
      <c r="I114" s="5" t="n">
        <f aca="false">ASINH(E114/(2*H114*SINH(D114/(2*H114))))</f>
        <v>-0.0909910245040722</v>
      </c>
      <c r="J114" s="5" t="n">
        <f aca="false">D114/2-H114*I114</f>
        <v>173.529052556972</v>
      </c>
      <c r="K114" s="5" t="n">
        <f aca="false">-J114/H114</f>
        <v>-0.104188082648439</v>
      </c>
      <c r="L114" s="5" t="n">
        <f aca="false">(D114-J114)/H114</f>
        <v>-0.0777939663597056</v>
      </c>
      <c r="M114" s="5" t="n">
        <f aca="false">H114*(SINH(L114)-SINH(K114))</f>
        <v>44.1437524792735</v>
      </c>
      <c r="N114" s="5" t="n">
        <f aca="false">M114*Parametros!$E$5</f>
        <v>132.43125743782</v>
      </c>
    </row>
    <row r="115" customFormat="false" ht="21" hidden="false" customHeight="true" outlineLevel="0" collapsed="false">
      <c r="A115" s="1" t="s">
        <v>340</v>
      </c>
      <c r="B115" s="1" t="s">
        <v>214</v>
      </c>
      <c r="C115" s="1" t="s">
        <v>215</v>
      </c>
      <c r="D115" s="5" t="n">
        <f aca="false">SQRT((INDEX(Postes!$B$7:$B$117,MATCH(C115,Postes!$A$7:$A$117,0))-INDEX(Postes!$B$7:$B$117,MATCH(B115,Postes!$A$7:$A$117,0)))^2+(INDEX(Postes!$C$7:$C$117,MATCH(C115,Postes!$A$7:$A$117,0))-INDEX(Postes!$C$7:$C$117,MATCH(B115,Postes!$A$7:$A$117,0)))^2)</f>
        <v>38.0970653482194</v>
      </c>
      <c r="E115" s="5" t="n">
        <f aca="false">INDEX(Postes!$D$7:$D$117,MATCH(C115,Postes!$A$7:$A$117,0))+INDEX(Postes!$G$7:$G$117,MATCH(C115,Postes!$A$7:$A$117,0))-INDEX(Postes!$D$7:$D$117,MATCH(B115,Postes!$A$7:$A$117,0))-INDEX(Postes!$G$7:$G$117,MATCH(B115,Postes!$A$7:$A$117,0))</f>
        <v>0.399476954601051</v>
      </c>
      <c r="F115" s="5" t="n">
        <f aca="false">Parametros!$E$8*Parametros!$E$9</f>
        <v>2205</v>
      </c>
      <c r="G115" s="5" t="n">
        <f aca="false">Parametros!$E$10/1000*Parametros!$E$11</f>
        <v>1.32389775</v>
      </c>
      <c r="H115" s="5" t="n">
        <f aca="false">F115/G115</f>
        <v>1665.53648119728</v>
      </c>
      <c r="I115" s="5" t="n">
        <f aca="false">ASINH(E115/(2*H115*SINH(D115/(2*H115))))</f>
        <v>0.0104853463825339</v>
      </c>
      <c r="J115" s="5" t="n">
        <f aca="false">D115/2-H115*I115</f>
        <v>1.58480575600949</v>
      </c>
      <c r="K115" s="5" t="n">
        <f aca="false">-J115/H115</f>
        <v>-0.000951528695949213</v>
      </c>
      <c r="L115" s="5" t="n">
        <f aca="false">(D115-J115)/H115</f>
        <v>0.0219222214610171</v>
      </c>
      <c r="M115" s="5" t="n">
        <f aca="false">H115*(SINH(L115)-SINH(K115))</f>
        <v>38.0999901910158</v>
      </c>
      <c r="N115" s="5" t="n">
        <f aca="false">M115*Parametros!$E$5</f>
        <v>114.299970573048</v>
      </c>
    </row>
    <row r="116" customFormat="false" ht="21" hidden="false" customHeight="true" outlineLevel="0" collapsed="false">
      <c r="A116" s="1" t="s">
        <v>341</v>
      </c>
      <c r="B116" s="1" t="s">
        <v>215</v>
      </c>
      <c r="C116" s="1" t="s">
        <v>216</v>
      </c>
      <c r="D116" s="5" t="n">
        <f aca="false">SQRT((INDEX(Postes!$B$7:$B$117,MATCH(C116,Postes!$A$7:$A$117,0))-INDEX(Postes!$B$7:$B$117,MATCH(B116,Postes!$A$7:$A$117,0)))^2+(INDEX(Postes!$C$7:$C$117,MATCH(C116,Postes!$A$7:$A$117,0))-INDEX(Postes!$C$7:$C$117,MATCH(B116,Postes!$A$7:$A$117,0)))^2)</f>
        <v>19.7019466375233</v>
      </c>
      <c r="E116" s="5" t="n">
        <f aca="false">INDEX(Postes!$D$7:$D$117,MATCH(C116,Postes!$A$7:$A$117,0))+INDEX(Postes!$G$7:$G$117,MATCH(C116,Postes!$A$7:$A$117,0))-INDEX(Postes!$D$7:$D$117,MATCH(B116,Postes!$A$7:$A$117,0))-INDEX(Postes!$G$7:$G$117,MATCH(B116,Postes!$A$7:$A$117,0))</f>
        <v>0.968627616627964</v>
      </c>
      <c r="F116" s="5" t="n">
        <f aca="false">Parametros!$E$8*Parametros!$E$9</f>
        <v>2205</v>
      </c>
      <c r="G116" s="5" t="n">
        <f aca="false">Parametros!$E$10/1000*Parametros!$E$11</f>
        <v>1.32389775</v>
      </c>
      <c r="H116" s="5" t="n">
        <f aca="false">F116/G116</f>
        <v>1665.53648119728</v>
      </c>
      <c r="I116" s="5" t="n">
        <f aca="false">ASINH(E116/(2*H116*SINH(D116/(2*H116))))</f>
        <v>0.0491439858840321</v>
      </c>
      <c r="J116" s="5" t="n">
        <f aca="false">D116/2-H116*I116</f>
        <v>-72.0001280025382</v>
      </c>
      <c r="K116" s="5" t="n">
        <f aca="false">-J116/H116</f>
        <v>0.0432293911393525</v>
      </c>
      <c r="L116" s="5" t="n">
        <f aca="false">(D116-J116)/H116</f>
        <v>0.0550585806287118</v>
      </c>
      <c r="M116" s="5" t="n">
        <f aca="false">H116*(SINH(L116)-SINH(K116))</f>
        <v>19.7258578299374</v>
      </c>
      <c r="N116" s="5" t="n">
        <f aca="false">M116*Parametros!$E$5</f>
        <v>59.1775734898121</v>
      </c>
    </row>
    <row r="117" customFormat="false" ht="21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customFormat="false" ht="21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customFormat="false" ht="21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customFormat="false" ht="21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customFormat="false" ht="21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customFormat="false" ht="21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customFormat="false" ht="21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customFormat="false" ht="21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customFormat="false" ht="21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customFormat="false" ht="21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customFormat="false" ht="21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customFormat="false" ht="21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customFormat="false" ht="21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customFormat="false" ht="21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customFormat="false" ht="21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customFormat="false" ht="21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customFormat="false" ht="21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customFormat="false" ht="21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customFormat="false" ht="21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customFormat="false" ht="21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customFormat="false" ht="21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customFormat="false" ht="21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customFormat="false" ht="21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customFormat="false" ht="21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</sheetData>
  <printOptions headings="false" gridLines="false" gridLinesSet="true" horizontalCentered="false" verticalCentered="false"/>
  <pageMargins left="0.39375" right="0.39375" top="0.551388888888889" bottom="0.551388888888889" header="0.511811023622047" footer="0.3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&amp;CInstalaciones Eléctricas II | Aquiles Taylor Ramos Yapo | 227368&amp;RHoja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tru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7"/>
    <col collapsed="false" customWidth="true" hidden="false" outlineLevel="0" max="3" min="3" style="0" width="15"/>
    <col collapsed="false" customWidth="true" hidden="false" outlineLevel="0" max="4" min="4" style="0" width="3"/>
    <col collapsed="false" customWidth="true" hidden="false" outlineLevel="0" max="5" min="5" style="0" width="17"/>
    <col collapsed="false" customWidth="true" hidden="false" outlineLevel="0" max="6" min="6" style="0" width="58"/>
  </cols>
  <sheetData>
    <row r="1" customFormat="false" ht="21" hidden="false" customHeight="true" outlineLevel="0" collapsed="false">
      <c r="A1" s="1"/>
      <c r="B1" s="1"/>
      <c r="C1" s="1"/>
      <c r="D1" s="1"/>
      <c r="E1" s="1"/>
      <c r="F1" s="1"/>
    </row>
    <row r="2" customFormat="false" ht="21" hidden="false" customHeight="true" outlineLevel="0" collapsed="false">
      <c r="A2" s="2" t="s">
        <v>342</v>
      </c>
      <c r="B2" s="2"/>
      <c r="C2" s="2"/>
      <c r="D2" s="2"/>
      <c r="E2" s="2"/>
      <c r="F2" s="2" t="s">
        <v>343</v>
      </c>
    </row>
    <row r="3" customFormat="false" ht="21" hidden="false" customHeight="true" outlineLevel="0" collapsed="false">
      <c r="A3" s="1"/>
      <c r="B3" s="1"/>
      <c r="C3" s="1"/>
      <c r="D3" s="1"/>
      <c r="E3" s="1"/>
      <c r="F3" s="1"/>
    </row>
    <row r="4" customFormat="false" ht="21" hidden="false" customHeight="true" outlineLevel="0" collapsed="false">
      <c r="A4" s="3"/>
      <c r="B4" s="3"/>
      <c r="C4" s="3"/>
      <c r="D4" s="3"/>
      <c r="E4" s="3"/>
      <c r="F4" s="3"/>
    </row>
    <row r="5" customFormat="false" ht="21" hidden="false" customHeight="true" outlineLevel="0" collapsed="false">
      <c r="A5" s="1" t="s">
        <v>344</v>
      </c>
      <c r="B5" s="1" t="s">
        <v>345</v>
      </c>
      <c r="C5" s="1" t="s">
        <v>12</v>
      </c>
      <c r="D5" s="1"/>
      <c r="E5" s="16" t="n">
        <v>3</v>
      </c>
      <c r="F5" s="1" t="s">
        <v>346</v>
      </c>
    </row>
    <row r="6" customFormat="false" ht="21" hidden="false" customHeight="true" outlineLevel="0" collapsed="false">
      <c r="A6" s="1" t="s">
        <v>347</v>
      </c>
      <c r="B6" s="1" t="s">
        <v>348</v>
      </c>
      <c r="C6" s="1" t="s">
        <v>9</v>
      </c>
      <c r="D6" s="1"/>
      <c r="E6" s="16" t="n">
        <v>2</v>
      </c>
      <c r="F6" s="1" t="s">
        <v>349</v>
      </c>
    </row>
    <row r="7" customFormat="false" ht="21" hidden="false" customHeight="true" outlineLevel="0" collapsed="false">
      <c r="A7" s="1" t="s">
        <v>350</v>
      </c>
      <c r="B7" s="1" t="s">
        <v>351</v>
      </c>
      <c r="C7" s="1" t="s">
        <v>352</v>
      </c>
      <c r="D7" s="1"/>
      <c r="E7" s="10" t="n">
        <v>0.03</v>
      </c>
      <c r="F7" s="1" t="s">
        <v>353</v>
      </c>
    </row>
    <row r="8" customFormat="false" ht="21" hidden="false" customHeight="true" outlineLevel="0" collapsed="false">
      <c r="A8" s="1" t="s">
        <v>354</v>
      </c>
      <c r="B8" s="1" t="s">
        <v>355</v>
      </c>
      <c r="C8" s="1" t="s">
        <v>356</v>
      </c>
      <c r="D8" s="1"/>
      <c r="E8" s="16" t="n">
        <v>14700</v>
      </c>
      <c r="F8" s="1" t="s">
        <v>357</v>
      </c>
    </row>
    <row r="9" customFormat="false" ht="21" hidden="false" customHeight="true" outlineLevel="0" collapsed="false">
      <c r="A9" s="1" t="s">
        <v>358</v>
      </c>
      <c r="B9" s="1" t="s">
        <v>359</v>
      </c>
      <c r="C9" s="1" t="s">
        <v>352</v>
      </c>
      <c r="D9" s="1"/>
      <c r="E9" s="10" t="n">
        <v>0.15</v>
      </c>
      <c r="F9" s="1" t="s">
        <v>360</v>
      </c>
    </row>
    <row r="10" customFormat="false" ht="21" hidden="false" customHeight="true" outlineLevel="0" collapsed="false">
      <c r="A10" s="1" t="s">
        <v>9</v>
      </c>
      <c r="B10" s="1" t="s">
        <v>361</v>
      </c>
      <c r="C10" s="1" t="s">
        <v>362</v>
      </c>
      <c r="D10" s="1"/>
      <c r="E10" s="16" t="n">
        <v>135</v>
      </c>
      <c r="F10" s="1" t="s">
        <v>363</v>
      </c>
    </row>
    <row r="11" customFormat="false" ht="21" hidden="false" customHeight="true" outlineLevel="0" collapsed="false">
      <c r="A11" s="1" t="s">
        <v>364</v>
      </c>
      <c r="B11" s="1" t="s">
        <v>365</v>
      </c>
      <c r="C11" s="1" t="s">
        <v>366</v>
      </c>
      <c r="D11" s="1"/>
      <c r="E11" s="16" t="n">
        <v>9.80665</v>
      </c>
      <c r="F11" s="1" t="s">
        <v>367</v>
      </c>
    </row>
    <row r="12" customFormat="false" ht="21" hidden="false" customHeight="true" outlineLevel="0" collapsed="false">
      <c r="A12" s="1" t="s">
        <v>368</v>
      </c>
      <c r="B12" s="1" t="s">
        <v>369</v>
      </c>
      <c r="C12" s="1" t="s">
        <v>370</v>
      </c>
      <c r="D12" s="1"/>
      <c r="E12" s="16" t="n">
        <v>600</v>
      </c>
      <c r="F12" s="1" t="s">
        <v>371</v>
      </c>
    </row>
    <row r="13" customFormat="false" ht="21" hidden="false" customHeight="true" outlineLevel="0" collapsed="false">
      <c r="A13" s="1" t="s">
        <v>372</v>
      </c>
      <c r="B13" s="1" t="s">
        <v>373</v>
      </c>
      <c r="C13" s="1" t="s">
        <v>374</v>
      </c>
      <c r="D13" s="1"/>
      <c r="E13" s="16" t="n">
        <v>2</v>
      </c>
      <c r="F13" s="1" t="s">
        <v>375</v>
      </c>
    </row>
    <row r="14" customFormat="false" ht="21" hidden="false" customHeight="true" outlineLevel="0" collapsed="false">
      <c r="A14" s="1" t="s">
        <v>376</v>
      </c>
      <c r="B14" s="1" t="s">
        <v>377</v>
      </c>
      <c r="C14" s="1" t="s">
        <v>374</v>
      </c>
      <c r="D14" s="1"/>
      <c r="E14" s="16" t="n">
        <v>0.65</v>
      </c>
      <c r="F14" s="1" t="s">
        <v>375</v>
      </c>
    </row>
    <row r="15" customFormat="false" ht="21" hidden="false" customHeight="true" outlineLevel="0" collapsed="false">
      <c r="A15" s="1" t="s">
        <v>378</v>
      </c>
      <c r="B15" s="1" t="s">
        <v>379</v>
      </c>
      <c r="C15" s="1" t="s">
        <v>9</v>
      </c>
      <c r="D15" s="1"/>
      <c r="E15" s="16" t="n">
        <v>0.15</v>
      </c>
      <c r="F15" s="1" t="s">
        <v>380</v>
      </c>
    </row>
    <row r="16" customFormat="false" ht="21" hidden="false" customHeight="true" outlineLevel="0" collapsed="false">
      <c r="A16" s="1" t="s">
        <v>381</v>
      </c>
      <c r="B16" s="1" t="s">
        <v>382</v>
      </c>
      <c r="C16" s="1" t="s">
        <v>383</v>
      </c>
      <c r="D16" s="1"/>
      <c r="E16" s="16" t="n">
        <v>60</v>
      </c>
      <c r="F16" s="1" t="s">
        <v>384</v>
      </c>
    </row>
    <row r="17" customFormat="false" ht="21" hidden="false" customHeight="true" outlineLevel="0" collapsed="false">
      <c r="A17" s="1" t="s">
        <v>385</v>
      </c>
      <c r="B17" s="1" t="s">
        <v>386</v>
      </c>
      <c r="C17" s="1" t="s">
        <v>374</v>
      </c>
      <c r="D17" s="1"/>
      <c r="E17" s="16" t="n">
        <v>0.9</v>
      </c>
      <c r="F17" s="1" t="s">
        <v>375</v>
      </c>
    </row>
    <row r="18" customFormat="false" ht="21" hidden="false" customHeight="true" outlineLevel="0" collapsed="false">
      <c r="A18" s="1" t="s">
        <v>387</v>
      </c>
      <c r="B18" s="1" t="s">
        <v>388</v>
      </c>
      <c r="C18" s="1" t="s">
        <v>389</v>
      </c>
      <c r="D18" s="1"/>
      <c r="E18" s="16" t="n">
        <v>45</v>
      </c>
      <c r="F18" s="1" t="s">
        <v>390</v>
      </c>
    </row>
    <row r="19" customFormat="false" ht="21" hidden="false" customHeight="true" outlineLevel="0" collapsed="false">
      <c r="A19" s="1"/>
      <c r="B19" s="1"/>
      <c r="C19" s="1"/>
      <c r="D19" s="1"/>
      <c r="E19" s="1"/>
      <c r="F19" s="1"/>
    </row>
    <row r="20" customFormat="false" ht="21" hidden="false" customHeight="true" outlineLevel="0" collapsed="false">
      <c r="A20" s="1"/>
      <c r="B20" s="1"/>
      <c r="C20" s="1"/>
      <c r="D20" s="1"/>
      <c r="E20" s="1"/>
      <c r="F20" s="1"/>
    </row>
    <row r="21" customFormat="false" ht="21" hidden="false" customHeight="true" outlineLevel="0" collapsed="false">
      <c r="A21" s="1"/>
      <c r="B21" s="1"/>
      <c r="C21" s="1"/>
      <c r="D21" s="1"/>
      <c r="E21" s="1"/>
      <c r="F21" s="1"/>
    </row>
    <row r="22" customFormat="false" ht="21" hidden="false" customHeight="true" outlineLevel="0" collapsed="false">
      <c r="A22" s="1"/>
      <c r="B22" s="1"/>
      <c r="C22" s="1"/>
      <c r="D22" s="1"/>
      <c r="E22" s="1"/>
      <c r="F22" s="1"/>
    </row>
    <row r="23" customFormat="false" ht="21" hidden="false" customHeight="true" outlineLevel="0" collapsed="false">
      <c r="A23" s="1"/>
      <c r="B23" s="1"/>
      <c r="C23" s="1"/>
      <c r="D23" s="1"/>
      <c r="E23" s="1"/>
      <c r="F23" s="1"/>
    </row>
    <row r="24" customFormat="false" ht="21" hidden="false" customHeight="true" outlineLevel="0" collapsed="false">
      <c r="A24" s="1"/>
      <c r="B24" s="1"/>
      <c r="C24" s="1"/>
      <c r="D24" s="1"/>
      <c r="E24" s="1"/>
      <c r="F24" s="1"/>
    </row>
    <row r="25" customFormat="false" ht="21" hidden="false" customHeight="true" outlineLevel="0" collapsed="false">
      <c r="A25" s="1"/>
      <c r="B25" s="1"/>
      <c r="C25" s="1"/>
      <c r="D25" s="1"/>
      <c r="E25" s="1"/>
      <c r="F25" s="1"/>
    </row>
  </sheetData>
  <printOptions headings="false" gridLines="false" gridLinesSet="true" horizontalCentered="false" verticalCentered="false"/>
  <pageMargins left="0.39375" right="0.39375" top="0.551388888888889" bottom="0.551388888888889" header="0.511811023622047" footer="0.3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&amp;CInstalaciones Eléctricas II | Aquiles Taylor Ramos Yapo | 227368&amp;RHoja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4" style="0" width="48"/>
  </cols>
  <sheetData>
    <row r="1" customFormat="false" ht="15" hidden="false" customHeight="false" outlineLevel="0" collapsed="false">
      <c r="A1" s="0" t="s">
        <v>391</v>
      </c>
      <c r="B1" s="0" t="s">
        <v>3</v>
      </c>
      <c r="C1" s="0" t="s">
        <v>392</v>
      </c>
      <c r="D1" s="0" t="s">
        <v>393</v>
      </c>
    </row>
    <row r="2" customFormat="false" ht="15" hidden="false" customHeight="false" outlineLevel="0" collapsed="false">
      <c r="A2" s="0" t="s">
        <v>394</v>
      </c>
      <c r="B2" s="0" t="s">
        <v>389</v>
      </c>
      <c r="C2" s="0" t="n">
        <v>45</v>
      </c>
      <c r="D2" s="0" t="s">
        <v>395</v>
      </c>
    </row>
    <row r="3" customFormat="false" ht="15" hidden="false" customHeight="false" outlineLevel="0" collapsed="false">
      <c r="A3" s="0" t="s">
        <v>396</v>
      </c>
      <c r="B3" s="0" t="s">
        <v>9</v>
      </c>
      <c r="C3" s="0" t="n">
        <v>3</v>
      </c>
      <c r="D3" s="0" t="s">
        <v>397</v>
      </c>
    </row>
    <row r="4" customFormat="false" ht="15" hidden="false" customHeight="false" outlineLevel="0" collapsed="false">
      <c r="A4" s="0" t="s">
        <v>398</v>
      </c>
      <c r="B4" s="0" t="s">
        <v>9</v>
      </c>
      <c r="C4" s="0" t="n">
        <v>3</v>
      </c>
      <c r="D4" s="0" t="s">
        <v>399</v>
      </c>
    </row>
    <row r="5" customFormat="false" ht="15" hidden="false" customHeight="false" outlineLevel="0" collapsed="false">
      <c r="A5" s="0" t="s">
        <v>400</v>
      </c>
      <c r="B5" s="0" t="s">
        <v>9</v>
      </c>
      <c r="C5" s="0" t="n">
        <v>1</v>
      </c>
      <c r="D5" s="0" t="s">
        <v>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2026-10-19T17:47:38Z</dcterms:created>
  <dc:creator>openpyxl</dc:creator>
  <dc:description/>
  <dc:language>en-US</dc:language>
  <cp:lastModifiedBy>Aquiles Taylor Ramos yapo</cp:lastModifiedBy>
  <cp:lastPrinted>2026-10-19T05:19:43Z</cp:lastPrinted>
  <dcterms:modified xsi:type="dcterms:W3CDTF">2026-10-19T17:47:39Z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