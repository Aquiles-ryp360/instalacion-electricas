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en" sheetId="1" state="visible" r:id="rId3"/>
    <sheet name="Demanda" sheetId="2" state="visible" r:id="rId4"/>
    <sheet name="Electrico" sheetId="3" state="visible" r:id="rId5"/>
    <sheet name="Flujo" sheetId="4" state="visible" r:id="rId6"/>
    <sheet name="Cortocircuito" sheetId="5" state="visible" r:id="rId7"/>
    <sheet name="Mecanica" sheetId="6" state="visible" r:id="rId8"/>
    <sheet name="Estados" sheetId="7" state="visible" r:id="rId9"/>
    <sheet name="Postes" sheetId="8" state="visible" r:id="rId10"/>
    <sheet name="Vanos" sheetId="9" state="visible" r:id="rId11"/>
    <sheet name="Parametros" sheetId="10" state="visible" r:id="rId12"/>
    <sheet name="Criterios_M01" sheetId="11" state="visible" r:id="rId13"/>
  </sheets>
  <definedNames>
    <definedName function="false" hidden="false" localSheetId="4" name="_xlnm.Print_Area" vbProcedure="false">Cortocircuito!$A$1:$H$28</definedName>
    <definedName function="false" hidden="false" localSheetId="4" name="_xlnm.Print_Titles" vbProcedure="false">Cortocircuito!$1:$6</definedName>
    <definedName function="false" hidden="false" localSheetId="1" name="_xlnm.Print_Area" vbProcedure="false">Demanda!$A$1:$G$30</definedName>
    <definedName function="false" hidden="false" localSheetId="1" name="_xlnm.Print_Titles" vbProcedure="false">Demanda!$1:$6</definedName>
    <definedName function="false" hidden="false" localSheetId="2" name="_xlnm.Print_Area" vbProcedure="false">Electrico!$A$1:$D$37</definedName>
    <definedName function="false" hidden="false" localSheetId="2" name="_xlnm.Print_Titles" vbProcedure="false">Electrico!$1:$6</definedName>
    <definedName function="false" hidden="false" localSheetId="6" name="_xlnm.Print_Area" vbProcedure="false">Estados!$A$1:$Q$672</definedName>
    <definedName function="false" hidden="false" localSheetId="6" name="_xlnm.Print_Titles" vbProcedure="false">Estados!$1:$6</definedName>
    <definedName function="false" hidden="false" localSheetId="3" name="_xlnm.Print_Area" vbProcedure="false">Flujo!$A$1:$Q$70</definedName>
    <definedName function="false" hidden="false" localSheetId="3" name="_xlnm.Print_Titles" vbProcedure="false">Flujo!$1:$6</definedName>
    <definedName function="false" hidden="false" localSheetId="5" name="_xlnm.Print_Area" vbProcedure="false">Mecanica!$A$1:$L$124</definedName>
    <definedName function="false" hidden="false" localSheetId="5" name="_xlnm.Print_Titles" vbProcedure="false">Mecanica!$1:$6</definedName>
    <definedName function="false" hidden="false" localSheetId="9" name="_xlnm.Print_Area" vbProcedure="false">Parametros!$A$1:$F$55</definedName>
    <definedName function="false" hidden="false" localSheetId="9" name="_xlnm.Print_Titles" vbProcedure="false">Parametros!$1:$6</definedName>
    <definedName function="false" hidden="false" localSheetId="7" name="_xlnm.Print_Area" vbProcedure="false">Postes!$A$1:$M$140</definedName>
    <definedName function="false" hidden="false" localSheetId="7" name="_xlnm.Print_Titles" vbProcedure="false">Postes!$1:$6</definedName>
    <definedName function="false" hidden="false" localSheetId="0" name="_xlnm.Print_Area" vbProcedure="false">Resumen!$A$1:$E$33</definedName>
    <definedName function="false" hidden="false" localSheetId="8" name="_xlnm.Print_Area" vbProcedure="false">Vanos!$A$1:$N$140</definedName>
    <definedName function="false" hidden="false" localSheetId="8" name="_xlnm.Print_Titles" vbProcedure="false">Vanos!$1:$6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<sst xmlns="http://schemas.openxmlformats.org/spreadsheetml/2006/main" count="2469" uniqueCount="609">
  <si>
    <t xml:space="preserve">RESUMEN DE CÁLCULOS</t>
  </si>
  <si>
    <t xml:space="preserve">Ítem</t>
  </si>
  <si>
    <t xml:space="preserve">Resultado</t>
  </si>
  <si>
    <t xml:space="preserve">Unidad</t>
  </si>
  <si>
    <t xml:space="preserve">Valor</t>
  </si>
  <si>
    <t xml:space="preserve">Desarrollo</t>
  </si>
  <si>
    <t xml:space="preserve">01</t>
  </si>
  <si>
    <t xml:space="preserve">Usuarios potenciales</t>
  </si>
  <si>
    <t xml:space="preserve">ud</t>
  </si>
  <si>
    <t xml:space="preserve">Proyección geométrica por localidad</t>
  </si>
  <si>
    <t xml:space="preserve">02</t>
  </si>
  <si>
    <t xml:space="preserve">Demanda máxima</t>
  </si>
  <si>
    <t xml:space="preserve">kW</t>
  </si>
  <si>
    <t xml:space="preserve">Doméstica + alumbrado + servicios</t>
  </si>
  <si>
    <t xml:space="preserve">03</t>
  </si>
  <si>
    <t xml:space="preserve">Potencia aparente de carga</t>
  </si>
  <si>
    <t xml:space="preserve">kVA</t>
  </si>
  <si>
    <t xml:space="preserve">P / FP</t>
  </si>
  <si>
    <t xml:space="preserve">04</t>
  </si>
  <si>
    <t xml:space="preserve">Longitud eléctrica por fase</t>
  </si>
  <si>
    <t xml:space="preserve">m</t>
  </si>
  <si>
    <t xml:space="preserve">Catenaria EDS de 110 vanos</t>
  </si>
  <si>
    <t xml:space="preserve">05</t>
  </si>
  <si>
    <t xml:space="preserve">Resistencia de fase</t>
  </si>
  <si>
    <t xml:space="preserve">Ω</t>
  </si>
  <si>
    <t xml:space="preserve">Temperatura de cálculo 75 °C</t>
  </si>
  <si>
    <t xml:space="preserve">06</t>
  </si>
  <si>
    <t xml:space="preserve">Reactancia de fase</t>
  </si>
  <si>
    <t xml:space="preserve">Disposición horizontal 1.2 / 1.2 / 2.4 m</t>
  </si>
  <si>
    <t xml:space="preserve">07</t>
  </si>
  <si>
    <t xml:space="preserve">Corriente de la línea</t>
  </si>
  <si>
    <t xml:space="preserve">A</t>
  </si>
  <si>
    <t xml:space="preserve">Barrido radial con ambos transformadores</t>
  </si>
  <si>
    <t xml:space="preserve">08</t>
  </si>
  <si>
    <t xml:space="preserve">Tensión BT de llegada</t>
  </si>
  <si>
    <t xml:space="preserve">V</t>
  </si>
  <si>
    <t xml:space="preserve">Generador + T1 + línea + T2</t>
  </si>
  <si>
    <t xml:space="preserve">09</t>
  </si>
  <si>
    <t xml:space="preserve">Pérdida activa de la línea</t>
  </si>
  <si>
    <t xml:space="preserve">3 I² R</t>
  </si>
  <si>
    <t xml:space="preserve">10</t>
  </si>
  <si>
    <t xml:space="preserve">Generación requerida</t>
  </si>
  <si>
    <t xml:space="preserve">Carga + pérdidas + auxiliares</t>
  </si>
  <si>
    <t xml:space="preserve">11</t>
  </si>
  <si>
    <t xml:space="preserve">Potencia aparente del generador</t>
  </si>
  <si>
    <t xml:space="preserve">Potencias activa y reactiva de fuente</t>
  </si>
  <si>
    <t xml:space="preserve">12</t>
  </si>
  <si>
    <t xml:space="preserve">Ik3 subtransitoria MT de llegada</t>
  </si>
  <si>
    <t xml:space="preserve">Impedancias de fuente, T1 y línea</t>
  </si>
  <si>
    <t xml:space="preserve">13</t>
  </si>
  <si>
    <t xml:space="preserve">Ik3 subtransitoria BT de llegada</t>
  </si>
  <si>
    <t xml:space="preserve">Incluye T2 y relación MT/BT</t>
  </si>
  <si>
    <t xml:space="preserve">14</t>
  </si>
  <si>
    <t xml:space="preserve">D/C máximo de flexión tipo</t>
  </si>
  <si>
    <t xml:space="preserve">-</t>
  </si>
  <si>
    <t xml:space="preserve">Momentos de la envolvente del modelo</t>
  </si>
  <si>
    <t xml:space="preserve">15</t>
  </si>
  <si>
    <t xml:space="preserve">Apoyos con carga ascendente</t>
  </si>
  <si>
    <t xml:space="preserve">Vertical mínima negativa</t>
  </si>
  <si>
    <t xml:space="preserve">16</t>
  </si>
  <si>
    <t xml:space="preserve">Rotura mínima de retenida</t>
  </si>
  <si>
    <t xml:space="preserve">kN</t>
  </si>
  <si>
    <t xml:space="preserve">Especificación de suministro</t>
  </si>
  <si>
    <t xml:space="preserve">17</t>
  </si>
  <si>
    <t xml:space="preserve">Margen de potencia nominal</t>
  </si>
  <si>
    <t xml:space="preserve">Referencia de 200 kW menos necesidad</t>
  </si>
  <si>
    <t xml:space="preserve">18</t>
  </si>
  <si>
    <t xml:space="preserve">Margen con 25 kW para Limbani</t>
  </si>
  <si>
    <t xml:space="preserve">Balance de oferta compartida</t>
  </si>
  <si>
    <t xml:space="preserve">Caso: 10 kV, fuente equivalente 1.05 pu.</t>
  </si>
  <si>
    <t xml:space="preserve">Geometría de gabinete y datos tipo de equipos.</t>
  </si>
  <si>
    <t xml:space="preserve">CÁLCULO DE DEMANDA</t>
  </si>
  <si>
    <t xml:space="preserve">Localidad</t>
  </si>
  <si>
    <t xml:space="preserve">Viviendas 2017</t>
  </si>
  <si>
    <t xml:space="preserve">Años</t>
  </si>
  <si>
    <t xml:space="preserve">Usuarios 2026</t>
  </si>
  <si>
    <t xml:space="preserve">kW/usuario</t>
  </si>
  <si>
    <t xml:space="preserve">Simultaneidad</t>
  </si>
  <si>
    <t xml:space="preserve">Demanda (kW)</t>
  </si>
  <si>
    <t xml:space="preserve">Huancasayani Centro</t>
  </si>
  <si>
    <t xml:space="preserve">Huancasayani Bellavista</t>
  </si>
  <si>
    <t xml:space="preserve">Huancasayani Lince</t>
  </si>
  <si>
    <t xml:space="preserve">Demanda doméstica</t>
  </si>
  <si>
    <t xml:space="preserve">Alumbrado público</t>
  </si>
  <si>
    <t xml:space="preserve">Salud</t>
  </si>
  <si>
    <t xml:space="preserve">Educación y comunicaciones</t>
  </si>
  <si>
    <t xml:space="preserve">Agua y bombeo</t>
  </si>
  <si>
    <t xml:space="preserve">Comercio y talleres</t>
  </si>
  <si>
    <t xml:space="preserve">Servicios comunales</t>
  </si>
  <si>
    <t xml:space="preserve">DEMANDA MÁXIMA</t>
  </si>
  <si>
    <t xml:space="preserve">Factor de potencia</t>
  </si>
  <si>
    <t xml:space="preserve">Potencia reactiva (kvar)</t>
  </si>
  <si>
    <t xml:space="preserve">Potencia aparente (kVA)</t>
  </si>
  <si>
    <t xml:space="preserve">PARÁMETROS ELÉCTRICOS Y RESULTADOS</t>
  </si>
  <si>
    <t xml:space="preserve">Magnitud</t>
  </si>
  <si>
    <t xml:space="preserve">Expresión</t>
  </si>
  <si>
    <t xml:space="preserve">Suma de longitudes EDS</t>
  </si>
  <si>
    <t xml:space="preserve">Distancia media geométrica</t>
  </si>
  <si>
    <t xml:space="preserve">DMG = (Dab × Dbc × Dca)^(1/3)</t>
  </si>
  <si>
    <t xml:space="preserve">Radio medio geométrico</t>
  </si>
  <si>
    <t xml:space="preserve">GMR = 0.7788 × d / 2</t>
  </si>
  <si>
    <t xml:space="preserve">R = R20 [1 + αR (T − 20)] L</t>
  </si>
  <si>
    <t xml:space="preserve">X = 2πf × 2·10^-4 ln(DMG/GMR) L</t>
  </si>
  <si>
    <t xml:space="preserve">Resistencia del transformador</t>
  </si>
  <si>
    <t xml:space="preserve">pu</t>
  </si>
  <si>
    <t xml:space="preserve">rTX = Pcu / Sn</t>
  </si>
  <si>
    <t xml:space="preserve">Reactancia del transformador</t>
  </si>
  <si>
    <t xml:space="preserve">xTX = √(uk² − rTX²)</t>
  </si>
  <si>
    <t xml:space="preserve">Impedancia base MT</t>
  </si>
  <si>
    <t xml:space="preserve">Zb = Vn² / Sn</t>
  </si>
  <si>
    <t xml:space="preserve">Resistencia TX referida a MT</t>
  </si>
  <si>
    <t xml:space="preserve">RTX = rTX × Zb</t>
  </si>
  <si>
    <t xml:space="preserve">Reactancia TX referida a MT</t>
  </si>
  <si>
    <t xml:space="preserve">XTX = xTX × Zb</t>
  </si>
  <si>
    <t xml:space="preserve">Tensión de fuente por fase</t>
  </si>
  <si>
    <t xml:space="preserve">Vfuente = Vn × t / √3</t>
  </si>
  <si>
    <t xml:space="preserve">√3 |V3| × Vbt/Vn</t>
  </si>
  <si>
    <t xml:space="preserve">Corriente en la línea</t>
  </si>
  <si>
    <t xml:space="preserve">|I2|</t>
  </si>
  <si>
    <t xml:space="preserve">Pérdida activa de línea</t>
  </si>
  <si>
    <t xml:space="preserve">3 |I2|² R</t>
  </si>
  <si>
    <t xml:space="preserve">Potencia activa de generación</t>
  </si>
  <si>
    <t xml:space="preserve">Potencia de fuente más auxiliares</t>
  </si>
  <si>
    <t xml:space="preserve">Potencia reactiva de generación</t>
  </si>
  <si>
    <t xml:space="preserve">kvar</t>
  </si>
  <si>
    <t xml:space="preserve">−3 Vfuente Im(I1)</t>
  </si>
  <si>
    <t xml:space="preserve">√(Pg² + Qg²)</t>
  </si>
  <si>
    <t xml:space="preserve">Margen frente a 200 kW</t>
  </si>
  <si>
    <t xml:space="preserve">Pg nominal − Pg requerida</t>
  </si>
  <si>
    <t xml:space="preserve">Carga relativa del generador</t>
  </si>
  <si>
    <t xml:space="preserve">Sg / Sn</t>
  </si>
  <si>
    <t xml:space="preserve">Tensión MT de salida</t>
  </si>
  <si>
    <t xml:space="preserve">kV</t>
  </si>
  <si>
    <t xml:space="preserve">√3 |V1|</t>
  </si>
  <si>
    <t xml:space="preserve">Tensión MT de llegada</t>
  </si>
  <si>
    <t xml:space="preserve">√3 |V2|</t>
  </si>
  <si>
    <t xml:space="preserve">Caída de la línea</t>
  </si>
  <si>
    <t xml:space="preserve">(V1 − V2) / V1</t>
  </si>
  <si>
    <t xml:space="preserve">Residuo de iteración de tensión</t>
  </si>
  <si>
    <t xml:space="preserve">Diferencia máxima de dos iteraciones</t>
  </si>
  <si>
    <t xml:space="preserve">BALANCE RADIAL POR BARRIDO ITERATIVO</t>
  </si>
  <si>
    <t xml:space="preserve">Iteración</t>
  </si>
  <si>
    <t xml:space="preserve">Re V1 (V)</t>
  </si>
  <si>
    <t xml:space="preserve">Im V1 (V)</t>
  </si>
  <si>
    <t xml:space="preserve">Re V2 (V)</t>
  </si>
  <si>
    <t xml:space="preserve">Im V2 (V)</t>
  </si>
  <si>
    <t xml:space="preserve">Re V3 (V)</t>
  </si>
  <si>
    <t xml:space="preserve">Im V3 (V)</t>
  </si>
  <si>
    <t xml:space="preserve">Re I1 (A)</t>
  </si>
  <si>
    <t xml:space="preserve">Im I1 (A)</t>
  </si>
  <si>
    <t xml:space="preserve">Re I2 (A)</t>
  </si>
  <si>
    <t xml:space="preserve">Im I2 (A)</t>
  </si>
  <si>
    <t xml:space="preserve">Re I3 (A)</t>
  </si>
  <si>
    <t xml:space="preserve">Im I3 (A)</t>
  </si>
  <si>
    <t xml:space="preserve">BT final (V)</t>
  </si>
  <si>
    <t xml:space="preserve">I línea (A)</t>
  </si>
  <si>
    <t xml:space="preserve">P línea (kW)</t>
  </si>
  <si>
    <t xml:space="preserve">ΔV iter. (V)</t>
  </si>
  <si>
    <t xml:space="preserve">CORTOCIRCUITO TRIFÁSICO SIMÉTRICO</t>
  </si>
  <si>
    <t xml:space="preserve">Estado de fuente</t>
  </si>
  <si>
    <t xml:space="preserve">Punto</t>
  </si>
  <si>
    <t xml:space="preserve">Xd (pu)</t>
  </si>
  <si>
    <t xml:space="preserve">Vbase (V)</t>
  </si>
  <si>
    <t xml:space="preserve">Re Z (Ω)</t>
  </si>
  <si>
    <t xml:space="preserve">Im Z (Ω)</t>
  </si>
  <si>
    <t xml:space="preserve">|Z| (Ω)</t>
  </si>
  <si>
    <t xml:space="preserve">Ik3 (A)</t>
  </si>
  <si>
    <t xml:space="preserve">Subtransitorio</t>
  </si>
  <si>
    <t xml:space="preserve">MT salida</t>
  </si>
  <si>
    <t xml:space="preserve">MT llegada</t>
  </si>
  <si>
    <t xml:space="preserve">BT llegada</t>
  </si>
  <si>
    <t xml:space="preserve">Transitorio</t>
  </si>
  <si>
    <t xml:space="preserve">Sostenido</t>
  </si>
  <si>
    <t xml:space="preserve">Fuente: impedancias tipo del generador y transformadores.</t>
  </si>
  <si>
    <t xml:space="preserve">No incluye decremento temporal ni selección de ajustes del relé.</t>
  </si>
  <si>
    <t xml:space="preserve">VERIFICACIÓN DE POSTES Y RETENIDAS</t>
  </si>
  <si>
    <t xml:space="preserve">Poste</t>
  </si>
  <si>
    <t xml:space="preserve">Altura (m)</t>
  </si>
  <si>
    <t xml:space="preserve">Empotr. (m)</t>
  </si>
  <si>
    <t xml:space="preserve">Momento aplicado (kN·m)</t>
  </si>
  <si>
    <t xml:space="preserve">Momento tipo (kN·m)</t>
  </si>
  <si>
    <t xml:space="preserve">D/C</t>
  </si>
  <si>
    <t xml:space="preserve">Vertical mín. (kN)</t>
  </si>
  <si>
    <t xml:space="preserve">Ramales</t>
  </si>
  <si>
    <t xml:space="preserve">Tiro (kN)</t>
  </si>
  <si>
    <t xml:space="preserve">Rotura adopt. (kN)</t>
  </si>
  <si>
    <t xml:space="preserve">T admisible (kN)</t>
  </si>
  <si>
    <t xml:space="preserve">Utilización retenida</t>
  </si>
  <si>
    <t xml:space="preserve">P001</t>
  </si>
  <si>
    <t xml:space="preserve">P002</t>
  </si>
  <si>
    <t xml:space="preserve">P003</t>
  </si>
  <si>
    <t xml:space="preserve">P004</t>
  </si>
  <si>
    <t xml:space="preserve">P005</t>
  </si>
  <si>
    <t xml:space="preserve">P006</t>
  </si>
  <si>
    <t xml:space="preserve">P007</t>
  </si>
  <si>
    <t xml:space="preserve">P008</t>
  </si>
  <si>
    <t xml:space="preserve">P009</t>
  </si>
  <si>
    <t xml:space="preserve">P010</t>
  </si>
  <si>
    <t xml:space="preserve">P011</t>
  </si>
  <si>
    <t xml:space="preserve">P012</t>
  </si>
  <si>
    <t xml:space="preserve">P013</t>
  </si>
  <si>
    <t xml:space="preserve">P014</t>
  </si>
  <si>
    <t xml:space="preserve">P015</t>
  </si>
  <si>
    <t xml:space="preserve">P016</t>
  </si>
  <si>
    <t xml:space="preserve">P017</t>
  </si>
  <si>
    <t xml:space="preserve">P018</t>
  </si>
  <si>
    <t xml:space="preserve">P019</t>
  </si>
  <si>
    <t xml:space="preserve">P020</t>
  </si>
  <si>
    <t xml:space="preserve">P021</t>
  </si>
  <si>
    <t xml:space="preserve">P022</t>
  </si>
  <si>
    <t xml:space="preserve">P023</t>
  </si>
  <si>
    <t xml:space="preserve">P024</t>
  </si>
  <si>
    <t xml:space="preserve">P025</t>
  </si>
  <si>
    <t xml:space="preserve">P026</t>
  </si>
  <si>
    <t xml:space="preserve">P027</t>
  </si>
  <si>
    <t xml:space="preserve">P028</t>
  </si>
  <si>
    <t xml:space="preserve">P029</t>
  </si>
  <si>
    <t xml:space="preserve">P030</t>
  </si>
  <si>
    <t xml:space="preserve">P031</t>
  </si>
  <si>
    <t xml:space="preserve">P032</t>
  </si>
  <si>
    <t xml:space="preserve">P033</t>
  </si>
  <si>
    <t xml:space="preserve">P034</t>
  </si>
  <si>
    <t xml:space="preserve">P035</t>
  </si>
  <si>
    <t xml:space="preserve">P036</t>
  </si>
  <si>
    <t xml:space="preserve">P037</t>
  </si>
  <si>
    <t xml:space="preserve">P038</t>
  </si>
  <si>
    <t xml:space="preserve">P039</t>
  </si>
  <si>
    <t xml:space="preserve">P040</t>
  </si>
  <si>
    <t xml:space="preserve">P041</t>
  </si>
  <si>
    <t xml:space="preserve">P042</t>
  </si>
  <si>
    <t xml:space="preserve">P043</t>
  </si>
  <si>
    <t xml:space="preserve">P044</t>
  </si>
  <si>
    <t xml:space="preserve">P045</t>
  </si>
  <si>
    <t xml:space="preserve">P046</t>
  </si>
  <si>
    <t xml:space="preserve">P047</t>
  </si>
  <si>
    <t xml:space="preserve">P048</t>
  </si>
  <si>
    <t xml:space="preserve">P049</t>
  </si>
  <si>
    <t xml:space="preserve">P050</t>
  </si>
  <si>
    <t xml:space="preserve">P051</t>
  </si>
  <si>
    <t xml:space="preserve">P052</t>
  </si>
  <si>
    <t xml:space="preserve">P053</t>
  </si>
  <si>
    <t xml:space="preserve">P054</t>
  </si>
  <si>
    <t xml:space="preserve">P055</t>
  </si>
  <si>
    <t xml:space="preserve">P056</t>
  </si>
  <si>
    <t xml:space="preserve">P057</t>
  </si>
  <si>
    <t xml:space="preserve">P058</t>
  </si>
  <si>
    <t xml:space="preserve">P059</t>
  </si>
  <si>
    <t xml:space="preserve">P060</t>
  </si>
  <si>
    <t xml:space="preserve">P061</t>
  </si>
  <si>
    <t xml:space="preserve">P062</t>
  </si>
  <si>
    <t xml:space="preserve">P063</t>
  </si>
  <si>
    <t xml:space="preserve">P064</t>
  </si>
  <si>
    <t xml:space="preserve">P065</t>
  </si>
  <si>
    <t xml:space="preserve">P066</t>
  </si>
  <si>
    <t xml:space="preserve">P067</t>
  </si>
  <si>
    <t xml:space="preserve">P068</t>
  </si>
  <si>
    <t xml:space="preserve">P069</t>
  </si>
  <si>
    <t xml:space="preserve">P070</t>
  </si>
  <si>
    <t xml:space="preserve">P071</t>
  </si>
  <si>
    <t xml:space="preserve">P072</t>
  </si>
  <si>
    <t xml:space="preserve">P073</t>
  </si>
  <si>
    <t xml:space="preserve">P074</t>
  </si>
  <si>
    <t xml:space="preserve">P075</t>
  </si>
  <si>
    <t xml:space="preserve">P076</t>
  </si>
  <si>
    <t xml:space="preserve">P077</t>
  </si>
  <si>
    <t xml:space="preserve">P078</t>
  </si>
  <si>
    <t xml:space="preserve">P079</t>
  </si>
  <si>
    <t xml:space="preserve">P080</t>
  </si>
  <si>
    <t xml:space="preserve">P081</t>
  </si>
  <si>
    <t xml:space="preserve">P082</t>
  </si>
  <si>
    <t xml:space="preserve">P083</t>
  </si>
  <si>
    <t xml:space="preserve">P084</t>
  </si>
  <si>
    <t xml:space="preserve">P085</t>
  </si>
  <si>
    <t xml:space="preserve">P086</t>
  </si>
  <si>
    <t xml:space="preserve">P087</t>
  </si>
  <si>
    <t xml:space="preserve">P088</t>
  </si>
  <si>
    <t xml:space="preserve">P089</t>
  </si>
  <si>
    <t xml:space="preserve">P090</t>
  </si>
  <si>
    <t xml:space="preserve">P091</t>
  </si>
  <si>
    <t xml:space="preserve">P092</t>
  </si>
  <si>
    <t xml:space="preserve">P093</t>
  </si>
  <si>
    <t xml:space="preserve">P094</t>
  </si>
  <si>
    <t xml:space="preserve">P095</t>
  </si>
  <si>
    <t xml:space="preserve">P096</t>
  </si>
  <si>
    <t xml:space="preserve">P097</t>
  </si>
  <si>
    <t xml:space="preserve">P098</t>
  </si>
  <si>
    <t xml:space="preserve">P099</t>
  </si>
  <si>
    <t xml:space="preserve">P100</t>
  </si>
  <si>
    <t xml:space="preserve">P101</t>
  </si>
  <si>
    <t xml:space="preserve">P102</t>
  </si>
  <si>
    <t xml:space="preserve">P103</t>
  </si>
  <si>
    <t xml:space="preserve">P104</t>
  </si>
  <si>
    <t xml:space="preserve">P105</t>
  </si>
  <si>
    <t xml:space="preserve">P106</t>
  </si>
  <si>
    <t xml:space="preserve">P107</t>
  </si>
  <si>
    <t xml:space="preserve">P108</t>
  </si>
  <si>
    <t xml:space="preserve">P109</t>
  </si>
  <si>
    <t xml:space="preserve">P110</t>
  </si>
  <si>
    <t xml:space="preserve">P111</t>
  </si>
  <si>
    <t xml:space="preserve">Momentos y fuerzas: envolvente del modelo 3D por vano, seis estados y viento cada 15°.</t>
  </si>
  <si>
    <t xml:space="preserve">CATENARIA: DESARROLLO POR VANO Y ESTADO</t>
  </si>
  <si>
    <t xml:space="preserve">Vano</t>
  </si>
  <si>
    <t xml:space="preserve">Estado</t>
  </si>
  <si>
    <t xml:space="preserve">L (m)</t>
  </si>
  <si>
    <t xml:space="preserve">Δz (m)</t>
  </si>
  <si>
    <t xml:space="preserve">H resuelto (N)</t>
  </si>
  <si>
    <t xml:space="preserve">qv (N/m)</t>
  </si>
  <si>
    <t xml:space="preserve">qw (N/m)</t>
  </si>
  <si>
    <t xml:space="preserve">q (N/m)</t>
  </si>
  <si>
    <t xml:space="preserve">dy (m)</t>
  </si>
  <si>
    <t xml:space="preserve">dx (m)</t>
  </si>
  <si>
    <t xml:space="preserve">a (m)</t>
  </si>
  <si>
    <t xml:space="preserve">x0 (m)</t>
  </si>
  <si>
    <t xml:space="preserve">u0</t>
  </si>
  <si>
    <t xml:space="preserve">u1</t>
  </si>
  <si>
    <t xml:space="preserve">Cable (m)</t>
  </si>
  <si>
    <t xml:space="preserve">T inicial (N)</t>
  </si>
  <si>
    <t xml:space="preserve">T final (N)</t>
  </si>
  <si>
    <t xml:space="preserve">V001</t>
  </si>
  <si>
    <t xml:space="preserve">EDS</t>
  </si>
  <si>
    <t xml:space="preserve">VIENTO</t>
  </si>
  <si>
    <t xml:space="preserve">HIELO</t>
  </si>
  <si>
    <t xml:space="preserve">COMBINADO</t>
  </si>
  <si>
    <t xml:space="preserve">FRIO</t>
  </si>
  <si>
    <t xml:space="preserve">CALOR_FINAL</t>
  </si>
  <si>
    <t xml:space="preserve">V002</t>
  </si>
  <si>
    <t xml:space="preserve">V003</t>
  </si>
  <si>
    <t xml:space="preserve">V004</t>
  </si>
  <si>
    <t xml:space="preserve">V005</t>
  </si>
  <si>
    <t xml:space="preserve">V006</t>
  </si>
  <si>
    <t xml:space="preserve">V007</t>
  </si>
  <si>
    <t xml:space="preserve">V008</t>
  </si>
  <si>
    <t xml:space="preserve">V009</t>
  </si>
  <si>
    <t xml:space="preserve">V010</t>
  </si>
  <si>
    <t xml:space="preserve">V011</t>
  </si>
  <si>
    <t xml:space="preserve">V012</t>
  </si>
  <si>
    <t xml:space="preserve">V013</t>
  </si>
  <si>
    <t xml:space="preserve">V014</t>
  </si>
  <si>
    <t xml:space="preserve">V015</t>
  </si>
  <si>
    <t xml:space="preserve">V016</t>
  </si>
  <si>
    <t xml:space="preserve">V017</t>
  </si>
  <si>
    <t xml:space="preserve">V018</t>
  </si>
  <si>
    <t xml:space="preserve">V019</t>
  </si>
  <si>
    <t xml:space="preserve">V020</t>
  </si>
  <si>
    <t xml:space="preserve">V021</t>
  </si>
  <si>
    <t xml:space="preserve">V022</t>
  </si>
  <si>
    <t xml:space="preserve">V023</t>
  </si>
  <si>
    <t xml:space="preserve">V024</t>
  </si>
  <si>
    <t xml:space="preserve">V025</t>
  </si>
  <si>
    <t xml:space="preserve">V026</t>
  </si>
  <si>
    <t xml:space="preserve">V027</t>
  </si>
  <si>
    <t xml:space="preserve">V028</t>
  </si>
  <si>
    <t xml:space="preserve">V029</t>
  </si>
  <si>
    <t xml:space="preserve">V030</t>
  </si>
  <si>
    <t xml:space="preserve">V031</t>
  </si>
  <si>
    <t xml:space="preserve">V032</t>
  </si>
  <si>
    <t xml:space="preserve">V033</t>
  </si>
  <si>
    <t xml:space="preserve">V034</t>
  </si>
  <si>
    <t xml:space="preserve">V035</t>
  </si>
  <si>
    <t xml:space="preserve">V036</t>
  </si>
  <si>
    <t xml:space="preserve">V037</t>
  </si>
  <si>
    <t xml:space="preserve">V038</t>
  </si>
  <si>
    <t xml:space="preserve">V039</t>
  </si>
  <si>
    <t xml:space="preserve">V040</t>
  </si>
  <si>
    <t xml:space="preserve">V041</t>
  </si>
  <si>
    <t xml:space="preserve">V042</t>
  </si>
  <si>
    <t xml:space="preserve">V043</t>
  </si>
  <si>
    <t xml:space="preserve">V044</t>
  </si>
  <si>
    <t xml:space="preserve">V045</t>
  </si>
  <si>
    <t xml:space="preserve">V046</t>
  </si>
  <si>
    <t xml:space="preserve">V047</t>
  </si>
  <si>
    <t xml:space="preserve">V048</t>
  </si>
  <si>
    <t xml:space="preserve">V049</t>
  </si>
  <si>
    <t xml:space="preserve">V050</t>
  </si>
  <si>
    <t xml:space="preserve">V051</t>
  </si>
  <si>
    <t xml:space="preserve">V052</t>
  </si>
  <si>
    <t xml:space="preserve">V053</t>
  </si>
  <si>
    <t xml:space="preserve">V054</t>
  </si>
  <si>
    <t xml:space="preserve">V055</t>
  </si>
  <si>
    <t xml:space="preserve">V056</t>
  </si>
  <si>
    <t xml:space="preserve">V057</t>
  </si>
  <si>
    <t xml:space="preserve">V058</t>
  </si>
  <si>
    <t xml:space="preserve">V059</t>
  </si>
  <si>
    <t xml:space="preserve">V060</t>
  </si>
  <si>
    <t xml:space="preserve">V061</t>
  </si>
  <si>
    <t xml:space="preserve">V062</t>
  </si>
  <si>
    <t xml:space="preserve">V063</t>
  </si>
  <si>
    <t xml:space="preserve">V064</t>
  </si>
  <si>
    <t xml:space="preserve">V065</t>
  </si>
  <si>
    <t xml:space="preserve">V066</t>
  </si>
  <si>
    <t xml:space="preserve">V067</t>
  </si>
  <si>
    <t xml:space="preserve">V068</t>
  </si>
  <si>
    <t xml:space="preserve">V069</t>
  </si>
  <si>
    <t xml:space="preserve">V070</t>
  </si>
  <si>
    <t xml:space="preserve">V071</t>
  </si>
  <si>
    <t xml:space="preserve">V072</t>
  </si>
  <si>
    <t xml:space="preserve">V073</t>
  </si>
  <si>
    <t xml:space="preserve">V074</t>
  </si>
  <si>
    <t xml:space="preserve">V075</t>
  </si>
  <si>
    <t xml:space="preserve">V076</t>
  </si>
  <si>
    <t xml:space="preserve">V077</t>
  </si>
  <si>
    <t xml:space="preserve">V078</t>
  </si>
  <si>
    <t xml:space="preserve">V079</t>
  </si>
  <si>
    <t xml:space="preserve">V080</t>
  </si>
  <si>
    <t xml:space="preserve">V081</t>
  </si>
  <si>
    <t xml:space="preserve">V082</t>
  </si>
  <si>
    <t xml:space="preserve">V083</t>
  </si>
  <si>
    <t xml:space="preserve">V084</t>
  </si>
  <si>
    <t xml:space="preserve">V085</t>
  </si>
  <si>
    <t xml:space="preserve">V086</t>
  </si>
  <si>
    <t xml:space="preserve">V087</t>
  </si>
  <si>
    <t xml:space="preserve">V088</t>
  </si>
  <si>
    <t xml:space="preserve">V089</t>
  </si>
  <si>
    <t xml:space="preserve">V090</t>
  </si>
  <si>
    <t xml:space="preserve">V091</t>
  </si>
  <si>
    <t xml:space="preserve">V092</t>
  </si>
  <si>
    <t xml:space="preserve">V093</t>
  </si>
  <si>
    <t xml:space="preserve">V094</t>
  </si>
  <si>
    <t xml:space="preserve">V095</t>
  </si>
  <si>
    <t xml:space="preserve">V096</t>
  </si>
  <si>
    <t xml:space="preserve">V097</t>
  </si>
  <si>
    <t xml:space="preserve">V098</t>
  </si>
  <si>
    <t xml:space="preserve">V099</t>
  </si>
  <si>
    <t xml:space="preserve">V100</t>
  </si>
  <si>
    <t xml:space="preserve">V101</t>
  </si>
  <si>
    <t xml:space="preserve">V102</t>
  </si>
  <si>
    <t xml:space="preserve">V103</t>
  </si>
  <si>
    <t xml:space="preserve">V104</t>
  </si>
  <si>
    <t xml:space="preserve">V105</t>
  </si>
  <si>
    <t xml:space="preserve">V106</t>
  </si>
  <si>
    <t xml:space="preserve">V107</t>
  </si>
  <si>
    <t xml:space="preserve">V108</t>
  </si>
  <si>
    <t xml:space="preserve">V109</t>
  </si>
  <si>
    <t xml:space="preserve">V110</t>
  </si>
  <si>
    <t xml:space="preserve">H: solución termoelástica del motor. Longitud y esfuerzos de extremo se desarrollan con fórmulas de Excel.</t>
  </si>
  <si>
    <t xml:space="preserve">PLANILLA DE POSTES Y ARMADOS</t>
  </si>
  <si>
    <t xml:space="preserve">Este (m)</t>
  </si>
  <si>
    <t xml:space="preserve">Norte (m)</t>
  </si>
  <si>
    <t xml:space="preserve">Cota DEM (m)</t>
  </si>
  <si>
    <t xml:space="preserve">Amarre (m)</t>
  </si>
  <si>
    <t xml:space="preserve">Ángulo (°)</t>
  </si>
  <si>
    <t xml:space="preserve">Función</t>
  </si>
  <si>
    <t xml:space="preserve">Postes (ud)</t>
  </si>
  <si>
    <t xml:space="preserve">Armados (jgo)</t>
  </si>
  <si>
    <t xml:space="preserve">Puentes (m)</t>
  </si>
  <si>
    <t xml:space="preserve">Armado M01</t>
  </si>
  <si>
    <t xml:space="preserve">Puentes/colas (ud)</t>
  </si>
  <si>
    <t xml:space="preserve">Cable RI/ramal (m)</t>
  </si>
  <si>
    <t xml:space="preserve">Cu PAT/apoyo (m)</t>
  </si>
  <si>
    <t xml:space="preserve">Fijaciones PAT (jgo)</t>
  </si>
  <si>
    <t xml:space="preserve">Tendido asignado (m)</t>
  </si>
  <si>
    <t xml:space="preserve">TERMINAL</t>
  </si>
  <si>
    <t xml:space="preserve">SUSPENSION</t>
  </si>
  <si>
    <t xml:space="preserve">ANCLAJE</t>
  </si>
  <si>
    <t xml:space="preserve">ANGULO</t>
  </si>
  <si>
    <t xml:space="preserve">ANCLAJE_PROPUESTO</t>
  </si>
  <si>
    <t xml:space="preserve">LONGITUD DE CONDUCTOR POR CATENARIA EDS</t>
  </si>
  <si>
    <t xml:space="preserve">Inicial</t>
  </si>
  <si>
    <t xml:space="preserve">Final</t>
  </si>
  <si>
    <t xml:space="preserve">L horiz. (m)</t>
  </si>
  <si>
    <t xml:space="preserve">Δz amarre (m)</t>
  </si>
  <si>
    <t xml:space="preserve">H EDS (N)</t>
  </si>
  <si>
    <t xml:space="preserve">a = H/q (m)</t>
  </si>
  <si>
    <t xml:space="preserve">u (–)</t>
  </si>
  <si>
    <t xml:space="preserve">u0 (–)</t>
  </si>
  <si>
    <t xml:space="preserve">u1 (–)</t>
  </si>
  <si>
    <t xml:space="preserve">Cable/fase (m)</t>
  </si>
  <si>
    <t xml:space="preserve">Terna (m)</t>
  </si>
  <si>
    <t xml:space="preserve">PARÁMETROS DE DISEÑO</t>
  </si>
  <si>
    <t xml:space="preserve">Limbani – Huancasayani · 2026</t>
  </si>
  <si>
    <t xml:space="preserve">n</t>
  </si>
  <si>
    <t xml:space="preserve">Número de fases</t>
  </si>
  <si>
    <t xml:space="preserve">Terna AAAC 50 mm²</t>
  </si>
  <si>
    <t xml:space="preserve">lp</t>
  </si>
  <si>
    <t xml:space="preserve">Longitud por puente y ramal</t>
  </si>
  <si>
    <t xml:space="preserve">Asignación geométrica académica por fase</t>
  </si>
  <si>
    <t xml:space="preserve">s</t>
  </si>
  <si>
    <t xml:space="preserve">Reserva de conductor</t>
  </si>
  <si>
    <t xml:space="preserve">%</t>
  </si>
  <si>
    <t xml:space="preserve">Reserva adicional sobre tendido y puentes</t>
  </si>
  <si>
    <t xml:space="preserve">RTS</t>
  </si>
  <si>
    <t xml:space="preserve">Carga de rotura del conductor</t>
  </si>
  <si>
    <t xml:space="preserve">N</t>
  </si>
  <si>
    <t xml:space="preserve">Dato tipo AAAC del modelo de diseño</t>
  </si>
  <si>
    <t xml:space="preserve">fEDS</t>
  </si>
  <si>
    <t xml:space="preserve">Fracción de tracción inicial</t>
  </si>
  <si>
    <t xml:space="preserve">Estado EDS, 15 °C</t>
  </si>
  <si>
    <t xml:space="preserve">Masa lineal</t>
  </si>
  <si>
    <t xml:space="preserve">kg/km</t>
  </si>
  <si>
    <t xml:space="preserve">Dato tipo AAAC 6201-T81</t>
  </si>
  <si>
    <t xml:space="preserve">g</t>
  </si>
  <si>
    <t xml:space="preserve">Aceleración de gravedad</t>
  </si>
  <si>
    <t xml:space="preserve">m/s²</t>
  </si>
  <si>
    <t xml:space="preserve">Constante de cálculo</t>
  </si>
  <si>
    <t xml:space="preserve">W</t>
  </si>
  <si>
    <t xml:space="preserve">Carga transversal de poste</t>
  </si>
  <si>
    <t xml:space="preserve">daN</t>
  </si>
  <si>
    <t xml:space="preserve">Capacidad tipo para verificación de flexión</t>
  </si>
  <si>
    <t xml:space="preserve">kr</t>
  </si>
  <si>
    <t xml:space="preserve">Relación rotura/trabajo</t>
  </si>
  <si>
    <t xml:space="preserve">Hipótesis resistente del estudio</t>
  </si>
  <si>
    <t xml:space="preserve">phi</t>
  </si>
  <si>
    <t xml:space="preserve">Factor de resistencia</t>
  </si>
  <si>
    <t xml:space="preserve">e</t>
  </si>
  <si>
    <t xml:space="preserve">Punto de ensayo bajo cima</t>
  </si>
  <si>
    <t xml:space="preserve">Brazo de ensayo del poste tipo</t>
  </si>
  <si>
    <t xml:space="preserve">Tu</t>
  </si>
  <si>
    <t xml:space="preserve">Especificación de retenida de la línea</t>
  </si>
  <si>
    <t xml:space="preserve">phiR</t>
  </si>
  <si>
    <t xml:space="preserve">Factor resistente de retenida</t>
  </si>
  <si>
    <t xml:space="preserve">theta</t>
  </si>
  <si>
    <t xml:space="preserve">Ángulo vertical de retenida</t>
  </si>
  <si>
    <t xml:space="preserve">°</t>
  </si>
  <si>
    <t xml:space="preserve">Geometría ideal del cálculo</t>
  </si>
  <si>
    <t xml:space="preserve">Dab</t>
  </si>
  <si>
    <t xml:space="preserve">Separación fase A–B</t>
  </si>
  <si>
    <t xml:space="preserve">Disposición horizontal</t>
  </si>
  <si>
    <t xml:space="preserve">Dbc</t>
  </si>
  <si>
    <t xml:space="preserve">Separación fase B–C</t>
  </si>
  <si>
    <t xml:space="preserve">Dca</t>
  </si>
  <si>
    <t xml:space="preserve">Separación fase C–A</t>
  </si>
  <si>
    <t xml:space="preserve">R20</t>
  </si>
  <si>
    <t xml:space="preserve">Resistencia a 20 °C</t>
  </si>
  <si>
    <t xml:space="preserve">Ω/km</t>
  </si>
  <si>
    <t xml:space="preserve">Dato tipo del conductor</t>
  </si>
  <si>
    <t xml:space="preserve">aR</t>
  </si>
  <si>
    <t xml:space="preserve">Coeficiente de resistencia</t>
  </si>
  <si>
    <t xml:space="preserve">1/°C</t>
  </si>
  <si>
    <t xml:space="preserve">Dato tipo AAAC</t>
  </si>
  <si>
    <t xml:space="preserve">T</t>
  </si>
  <si>
    <t xml:space="preserve">Temperatura de cálculo eléctrico</t>
  </si>
  <si>
    <t xml:space="preserve">°C</t>
  </si>
  <si>
    <t xml:space="preserve">Estado térmico de cálculo</t>
  </si>
  <si>
    <t xml:space="preserve">d</t>
  </si>
  <si>
    <t xml:space="preserve">Diámetro del conductor</t>
  </si>
  <si>
    <t xml:space="preserve">Dato tipo AAAC 50</t>
  </si>
  <si>
    <t xml:space="preserve">f</t>
  </si>
  <si>
    <t xml:space="preserve">Frecuencia</t>
  </si>
  <si>
    <t xml:space="preserve">Hz</t>
  </si>
  <si>
    <t xml:space="preserve">Sistema de estudio</t>
  </si>
  <si>
    <t xml:space="preserve">Vn</t>
  </si>
  <si>
    <t xml:space="preserve">Tensión nominal del caso</t>
  </si>
  <si>
    <t xml:space="preserve">Caso de compatibilidad académico; placa no verificada</t>
  </si>
  <si>
    <t xml:space="preserve">t</t>
  </si>
  <si>
    <t xml:space="preserve">Elevación efectiva de fuente</t>
  </si>
  <si>
    <t xml:space="preserve">Condición equivalente de regulación</t>
  </si>
  <si>
    <t xml:space="preserve">Vbt</t>
  </si>
  <si>
    <t xml:space="preserve">Tensión nominal secundaria</t>
  </si>
  <si>
    <t xml:space="preserve">Relación de transformación de cálculo</t>
  </si>
  <si>
    <t xml:space="preserve">Sn</t>
  </si>
  <si>
    <t xml:space="preserve">Potencia de cada transformador</t>
  </si>
  <si>
    <t xml:space="preserve">Capacidad neta de estudio a altitud local</t>
  </si>
  <si>
    <t xml:space="preserve">uk</t>
  </si>
  <si>
    <t xml:space="preserve">Impedancia de cortocircuito TX</t>
  </si>
  <si>
    <t xml:space="preserve">Dato tipo de transformación</t>
  </si>
  <si>
    <t xml:space="preserve">Pcu</t>
  </si>
  <si>
    <t xml:space="preserve">Pérdida de cobre nominal TX</t>
  </si>
  <si>
    <t xml:space="preserve">P0</t>
  </si>
  <si>
    <t xml:space="preserve">Pérdida en vacío TX</t>
  </si>
  <si>
    <t xml:space="preserve">Q0</t>
  </si>
  <si>
    <t xml:space="preserve">Reactiva en vacío TX</t>
  </si>
  <si>
    <t xml:space="preserve">Paux</t>
  </si>
  <si>
    <t xml:space="preserve">Consumo auxiliar de generación</t>
  </si>
  <si>
    <t xml:space="preserve">Balance del sistema aislado</t>
  </si>
  <si>
    <t xml:space="preserve">FP</t>
  </si>
  <si>
    <t xml:space="preserve">Factor de potencia de carga</t>
  </si>
  <si>
    <t xml:space="preserve">Caso equilibrado</t>
  </si>
  <si>
    <t xml:space="preserve">Ra</t>
  </si>
  <si>
    <t xml:space="preserve">Resistencia de generador</t>
  </si>
  <si>
    <t xml:space="preserve">Modelo de fuente débil</t>
  </si>
  <si>
    <t xml:space="preserve">Xdpp</t>
  </si>
  <si>
    <t xml:space="preserve">Reactancia subtransitoria</t>
  </si>
  <si>
    <t xml:space="preserve">Xdp</t>
  </si>
  <si>
    <t xml:space="preserve">Reactancia transitoria</t>
  </si>
  <si>
    <t xml:space="preserve">Xd</t>
  </si>
  <si>
    <t xml:space="preserve">Reactancia sostenida</t>
  </si>
  <si>
    <t xml:space="preserve">Pg</t>
  </si>
  <si>
    <t xml:space="preserve">Potencia nominal de referencia</t>
  </si>
  <si>
    <t xml:space="preserve">Referencia académica; no potencia firme certificada</t>
  </si>
  <si>
    <t xml:space="preserve">af</t>
  </si>
  <si>
    <t xml:space="preserve">Año de diseño</t>
  </si>
  <si>
    <t xml:space="preserve">año</t>
  </si>
  <si>
    <t xml:space="preserve">Proyección demográfica</t>
  </si>
  <si>
    <t xml:space="preserve">a0</t>
  </si>
  <si>
    <t xml:space="preserve">Año de censo</t>
  </si>
  <si>
    <t xml:space="preserve">INEI Directorio 2017, tomo 4, pp. 1713–1714</t>
  </si>
  <si>
    <t xml:space="preserve">r</t>
  </si>
  <si>
    <t xml:space="preserve">Crecimiento anual</t>
  </si>
  <si>
    <t xml:space="preserve">Proyección geométrica adoptada</t>
  </si>
  <si>
    <t xml:space="preserve">fs</t>
  </si>
  <si>
    <t xml:space="preserve">Simultaneidad residencial</t>
  </si>
  <si>
    <t xml:space="preserve">Hipótesis de carga</t>
  </si>
  <si>
    <t xml:space="preserve">Napu</t>
  </si>
  <si>
    <t xml:space="preserve">Luminarias públicas</t>
  </si>
  <si>
    <t xml:space="preserve">Hipótesis de alumbrado</t>
  </si>
  <si>
    <t xml:space="preserve">Papu</t>
  </si>
  <si>
    <t xml:space="preserve">Potencia por luminaria</t>
  </si>
  <si>
    <t xml:space="preserve">dv</t>
  </si>
  <si>
    <t xml:space="preserve">Límite de caída de estudio</t>
  </si>
  <si>
    <t xml:space="preserve">Criterio de evaluación del caso</t>
  </si>
  <si>
    <t xml:space="preserve">Criterio M01</t>
  </si>
  <si>
    <t xml:space="preserve">Ángulo ideal de retenida</t>
  </si>
  <si>
    <t xml:space="preserve">Modelo ideal LP-R02</t>
  </si>
  <si>
    <t xml:space="preserve">Colas de cable por ramal</t>
  </si>
  <si>
    <t xml:space="preserve">Hipótesis académica explícita</t>
  </si>
  <si>
    <t xml:space="preserve">Conexión enterrada y colas PAT</t>
  </si>
  <si>
    <t xml:space="preserve">Hipótesis de metrado, sin Wenner</t>
  </si>
  <si>
    <t xml:space="preserve">Paso nominal de fijación PAT</t>
  </si>
  <si>
    <t xml:space="preserve">Hipótesis de montaje para metrado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</si>
</sst>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#,##0.000"/>
    <numFmt numFmtId="167" formatCode="0.000"/>
    <numFmt numFmtId="168" formatCode="0.0%"/>
    <numFmt numFmtId="169" formatCode="0.000%"/>
    <numFmt numFmtId="170" formatCode="0.000000"/>
    <numFmt numFmtId="171" formatCode="#,##0.00"/>
    <numFmt numFmtId="172" formatCode="0.00"/>
  </numFmts>
  <fonts count="9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0252B"/>
      <name val="Arial"/>
      <family val="0"/>
      <charset val="1"/>
    </font>
    <font>
      <b val="true"/>
      <sz val="16"/>
      <color rgb="FF254D7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254D73"/>
      <name val="Arial"/>
      <family val="0"/>
      <charset val="1"/>
    </font>
    <font>
      <sz val="11"/>
      <color rgb="FF225DA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54D73"/>
        <bgColor rgb="FF225DA8"/>
      </patternFill>
    </fill>
    <fill>
      <patternFill patternType="solid">
        <fgColor rgb="FFEEF4FA"/>
        <bgColor rgb="FFF3F7FC"/>
      </patternFill>
    </fill>
    <fill>
      <patternFill patternType="solid">
        <fgColor rgb="FFF3F7FC"/>
        <bgColor rgb="FFEEF4FA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5B9BD5"/>
      </bottom>
      <diagonal/>
    </border>
    <border diagonalUp="false" diagonalDown="false">
      <left/>
      <right/>
      <top style="thin">
        <color rgb="FF5B9BD5"/>
      </top>
      <bottom style="thin">
        <color rgb="FF5B9B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7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3F7FC"/>
      <rgbColor rgb="FFEEF4FA"/>
      <rgbColor rgb="FF660066"/>
      <rgbColor rgb="FFFF8080"/>
      <rgbColor rgb="FF225DA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54D73"/>
      <rgbColor rgb="FF2025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4D73"/>
    <pageSetUpPr fitToPage="true"/>
  </sheetPr>
  <dimension ref="A1:E37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7"/>
    <col collapsed="false" customWidth="true" hidden="false" outlineLevel="0" max="3" min="3" style="0" width="15"/>
    <col collapsed="false" customWidth="true" hidden="false" outlineLevel="0" max="4" min="4" style="0" width="19"/>
    <col collapsed="false" customWidth="true" hidden="false" outlineLevel="0" max="5" min="5" style="0" width="47"/>
  </cols>
  <sheetData>
    <row r="1" customFormat="false" ht="21" hidden="false" customHeight="true" outlineLevel="0" collapsed="false">
      <c r="A1" s="1"/>
      <c r="B1" s="1"/>
      <c r="C1" s="1"/>
      <c r="D1" s="1"/>
      <c r="E1" s="1"/>
    </row>
    <row r="2" customFormat="false" ht="21" hidden="false" customHeight="true" outlineLevel="0" collapsed="false">
      <c r="A2" s="2" t="s">
        <v>0</v>
      </c>
      <c r="B2" s="2"/>
      <c r="C2" s="2"/>
      <c r="D2" s="2"/>
      <c r="E2" s="2"/>
    </row>
    <row r="3" customFormat="false" ht="21" hidden="false" customHeight="true" outlineLevel="0" collapsed="false">
      <c r="A3" s="1"/>
      <c r="B3" s="1"/>
      <c r="C3" s="1"/>
      <c r="D3" s="1"/>
      <c r="E3" s="1"/>
    </row>
    <row r="4" customFormat="false" ht="21" hidden="false" customHeight="true" outlineLevel="0" collapsed="false">
      <c r="A4" s="3"/>
      <c r="B4" s="3"/>
      <c r="C4" s="3"/>
      <c r="D4" s="3"/>
      <c r="E4" s="3"/>
    </row>
    <row r="5" customFormat="false" ht="21" hidden="false" customHeight="true" outlineLevel="0" collapsed="false">
      <c r="A5" s="1"/>
      <c r="B5" s="1"/>
      <c r="C5" s="1"/>
      <c r="D5" s="1"/>
      <c r="E5" s="1"/>
    </row>
    <row r="6" customFormat="false" ht="36" hidden="false" customHeight="true" outlineLevel="0" collapsed="false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</row>
    <row r="7" customFormat="false" ht="21" hidden="false" customHeight="true" outlineLevel="0" collapsed="false">
      <c r="A7" s="1" t="s">
        <v>6</v>
      </c>
      <c r="B7" s="1" t="s">
        <v>7</v>
      </c>
      <c r="C7" s="1" t="s">
        <v>8</v>
      </c>
      <c r="D7" s="5" t="n">
        <f aca="false">Demanda!G27</f>
        <v>353</v>
      </c>
      <c r="E7" s="1" t="s">
        <v>9</v>
      </c>
    </row>
    <row r="8" customFormat="false" ht="21" hidden="false" customHeight="true" outlineLevel="0" collapsed="false">
      <c r="A8" s="6" t="s">
        <v>10</v>
      </c>
      <c r="B8" s="6" t="s">
        <v>11</v>
      </c>
      <c r="C8" s="6" t="s">
        <v>12</v>
      </c>
      <c r="D8" s="7" t="n">
        <f aca="false">Demanda!G21</f>
        <v>171.486</v>
      </c>
      <c r="E8" s="6" t="s">
        <v>13</v>
      </c>
    </row>
    <row r="9" customFormat="false" ht="21" hidden="false" customHeight="true" outlineLevel="0" collapsed="false">
      <c r="A9" s="1" t="s">
        <v>14</v>
      </c>
      <c r="B9" s="1" t="s">
        <v>15</v>
      </c>
      <c r="C9" s="1" t="s">
        <v>16</v>
      </c>
      <c r="D9" s="8" t="n">
        <f aca="false">Demanda!G25</f>
        <v>190.54</v>
      </c>
      <c r="E9" s="1" t="s">
        <v>17</v>
      </c>
    </row>
    <row r="10" customFormat="false" ht="21" hidden="false" customHeight="true" outlineLevel="0" collapsed="false">
      <c r="A10" s="1"/>
      <c r="B10" s="1"/>
      <c r="C10" s="1"/>
      <c r="D10" s="8"/>
      <c r="E10" s="1"/>
    </row>
    <row r="11" customFormat="false" ht="21" hidden="false" customHeight="true" outlineLevel="0" collapsed="false">
      <c r="A11" s="1" t="s">
        <v>18</v>
      </c>
      <c r="B11" s="1" t="s">
        <v>19</v>
      </c>
      <c r="C11" s="1" t="s">
        <v>20</v>
      </c>
      <c r="D11" s="8" t="n">
        <f aca="false">Electrico!B7</f>
        <v>6758.12029708581</v>
      </c>
      <c r="E11" s="1" t="s">
        <v>21</v>
      </c>
    </row>
    <row r="12" customFormat="false" ht="21" hidden="false" customHeight="true" outlineLevel="0" collapsed="false">
      <c r="A12" s="1" t="s">
        <v>22</v>
      </c>
      <c r="B12" s="1" t="s">
        <v>23</v>
      </c>
      <c r="C12" s="1" t="s">
        <v>24</v>
      </c>
      <c r="D12" s="8" t="n">
        <f aca="false">Electrico!B10</f>
        <v>5.43256906577481</v>
      </c>
      <c r="E12" s="1" t="s">
        <v>25</v>
      </c>
    </row>
    <row r="13" customFormat="false" ht="21" hidden="false" customHeight="true" outlineLevel="0" collapsed="false">
      <c r="A13" s="1" t="s">
        <v>26</v>
      </c>
      <c r="B13" s="1" t="s">
        <v>27</v>
      </c>
      <c r="C13" s="1" t="s">
        <v>24</v>
      </c>
      <c r="D13" s="8" t="n">
        <f aca="false">Electrico!B11</f>
        <v>3.09146668807623</v>
      </c>
      <c r="E13" s="1" t="s">
        <v>28</v>
      </c>
    </row>
    <row r="14" customFormat="false" ht="21" hidden="false" customHeight="true" outlineLevel="0" collapsed="false">
      <c r="A14" s="1"/>
      <c r="B14" s="1"/>
      <c r="C14" s="1"/>
      <c r="D14" s="8"/>
      <c r="E14" s="1"/>
    </row>
    <row r="15" customFormat="false" ht="21" hidden="false" customHeight="true" outlineLevel="0" collapsed="false">
      <c r="A15" s="1" t="s">
        <v>29</v>
      </c>
      <c r="B15" s="1" t="s">
        <v>30</v>
      </c>
      <c r="C15" s="1" t="s">
        <v>31</v>
      </c>
      <c r="D15" s="8" t="n">
        <f aca="false">Electrico!B22</f>
        <v>11.3563302762562</v>
      </c>
      <c r="E15" s="1" t="s">
        <v>32</v>
      </c>
    </row>
    <row r="16" customFormat="false" ht="21" hidden="false" customHeight="true" outlineLevel="0" collapsed="false">
      <c r="A16" s="6" t="s">
        <v>33</v>
      </c>
      <c r="B16" s="6" t="s">
        <v>34</v>
      </c>
      <c r="C16" s="6" t="s">
        <v>35</v>
      </c>
      <c r="D16" s="7" t="n">
        <f aca="false">Electrico!B21</f>
        <v>371.066629706231</v>
      </c>
      <c r="E16" s="6" t="s">
        <v>36</v>
      </c>
    </row>
    <row r="17" customFormat="false" ht="21" hidden="false" customHeight="true" outlineLevel="0" collapsed="false">
      <c r="A17" s="1" t="s">
        <v>37</v>
      </c>
      <c r="B17" s="1" t="s">
        <v>38</v>
      </c>
      <c r="C17" s="1" t="s">
        <v>12</v>
      </c>
      <c r="D17" s="8" t="n">
        <f aca="false">Electrico!B23</f>
        <v>2.10185397456361</v>
      </c>
      <c r="E17" s="1" t="s">
        <v>39</v>
      </c>
    </row>
    <row r="18" customFormat="false" ht="21" hidden="false" customHeight="true" outlineLevel="0" collapsed="false">
      <c r="A18" s="6" t="s">
        <v>40</v>
      </c>
      <c r="B18" s="6" t="s">
        <v>41</v>
      </c>
      <c r="C18" s="6" t="s">
        <v>12</v>
      </c>
      <c r="D18" s="7" t="n">
        <f aca="false">Electrico!B24</f>
        <v>183.326150921358</v>
      </c>
      <c r="E18" s="6" t="s">
        <v>42</v>
      </c>
    </row>
    <row r="19" customFormat="false" ht="21" hidden="false" customHeight="true" outlineLevel="0" collapsed="false">
      <c r="A19" s="6" t="s">
        <v>43</v>
      </c>
      <c r="B19" s="6" t="s">
        <v>44</v>
      </c>
      <c r="C19" s="6" t="s">
        <v>16</v>
      </c>
      <c r="D19" s="7" t="n">
        <f aca="false">Electrico!B26</f>
        <v>212.480500664659</v>
      </c>
      <c r="E19" s="6" t="s">
        <v>45</v>
      </c>
    </row>
    <row r="20" customFormat="false" ht="21" hidden="false" customHeight="true" outlineLevel="0" collapsed="false">
      <c r="A20" s="1"/>
      <c r="B20" s="1"/>
      <c r="C20" s="1"/>
      <c r="D20" s="8"/>
      <c r="E20" s="1"/>
    </row>
    <row r="21" customFormat="false" ht="21" hidden="false" customHeight="true" outlineLevel="0" collapsed="false">
      <c r="A21" s="1" t="s">
        <v>46</v>
      </c>
      <c r="B21" s="1" t="s">
        <v>47</v>
      </c>
      <c r="C21" s="1" t="s">
        <v>31</v>
      </c>
      <c r="D21" s="8" t="n">
        <f aca="false">Cortocircuito!H8</f>
        <v>53.3848045558243</v>
      </c>
      <c r="E21" s="1" t="s">
        <v>48</v>
      </c>
    </row>
    <row r="22" customFormat="false" ht="21" hidden="false" customHeight="true" outlineLevel="0" collapsed="false">
      <c r="A22" s="1" t="s">
        <v>49</v>
      </c>
      <c r="B22" s="1" t="s">
        <v>50</v>
      </c>
      <c r="C22" s="1" t="s">
        <v>31</v>
      </c>
      <c r="D22" s="8" t="n">
        <f aca="false">Cortocircuito!H9</f>
        <v>1149.83989137288</v>
      </c>
      <c r="E22" s="1" t="s">
        <v>51</v>
      </c>
    </row>
    <row r="23" customFormat="false" ht="21" hidden="false" customHeight="true" outlineLevel="0" collapsed="false">
      <c r="A23" s="1"/>
      <c r="B23" s="1"/>
      <c r="C23" s="1"/>
      <c r="D23" s="8"/>
      <c r="E23" s="1"/>
    </row>
    <row r="24" customFormat="false" ht="21" hidden="false" customHeight="true" outlineLevel="0" collapsed="false">
      <c r="A24" s="6" t="s">
        <v>52</v>
      </c>
      <c r="B24" s="6" t="s">
        <v>53</v>
      </c>
      <c r="C24" s="6" t="s">
        <v>54</v>
      </c>
      <c r="D24" s="7" t="n">
        <f aca="false">MAX(Mecanica!F7:F117)</f>
        <v>0.597699943359864</v>
      </c>
      <c r="E24" s="6" t="s">
        <v>55</v>
      </c>
    </row>
    <row r="25" customFormat="false" ht="21" hidden="false" customHeight="true" outlineLevel="0" collapsed="false">
      <c r="A25" s="1" t="s">
        <v>56</v>
      </c>
      <c r="B25" s="1" t="s">
        <v>57</v>
      </c>
      <c r="C25" s="1" t="s">
        <v>8</v>
      </c>
      <c r="D25" s="5" t="n">
        <f aca="false">COUNTIFS(Mecanica!G7:G117,"&lt;0")</f>
        <v>46</v>
      </c>
      <c r="E25" s="1" t="s">
        <v>58</v>
      </c>
    </row>
    <row r="26" customFormat="false" ht="21" hidden="false" customHeight="true" outlineLevel="0" collapsed="false">
      <c r="A26" s="1" t="s">
        <v>59</v>
      </c>
      <c r="B26" s="1" t="s">
        <v>60</v>
      </c>
      <c r="C26" s="1" t="s">
        <v>61</v>
      </c>
      <c r="D26" s="8" t="n">
        <f aca="false">Parametros!E16</f>
        <v>60</v>
      </c>
      <c r="E26" s="1" t="s">
        <v>62</v>
      </c>
    </row>
    <row r="27" customFormat="false" ht="21" hidden="false" customHeight="true" outlineLevel="0" collapsed="false">
      <c r="A27" s="1"/>
      <c r="B27" s="1"/>
      <c r="C27" s="1"/>
      <c r="D27" s="8"/>
      <c r="E27" s="1"/>
    </row>
    <row r="28" customFormat="false" ht="21" hidden="false" customHeight="true" outlineLevel="0" collapsed="false">
      <c r="A28" s="1" t="s">
        <v>63</v>
      </c>
      <c r="B28" s="1" t="s">
        <v>64</v>
      </c>
      <c r="C28" s="1" t="s">
        <v>12</v>
      </c>
      <c r="D28" s="8" t="n">
        <f aca="false">Electrico!B27</f>
        <v>16.673849078642</v>
      </c>
      <c r="E28" s="1" t="s">
        <v>65</v>
      </c>
    </row>
    <row r="29" customFormat="false" ht="21" hidden="false" customHeight="true" outlineLevel="0" collapsed="false">
      <c r="A29" s="1" t="s">
        <v>66</v>
      </c>
      <c r="B29" s="1" t="s">
        <v>67</v>
      </c>
      <c r="C29" s="1" t="s">
        <v>12</v>
      </c>
      <c r="D29" s="8" t="n">
        <f aca="false">D28-25</f>
        <v>-8.32615092135805</v>
      </c>
      <c r="E29" s="1" t="s">
        <v>68</v>
      </c>
    </row>
    <row r="30" customFormat="false" ht="21" hidden="false" customHeight="true" outlineLevel="0" collapsed="false">
      <c r="A30" s="1"/>
      <c r="B30" s="1"/>
      <c r="C30" s="1"/>
      <c r="D30" s="1"/>
      <c r="E30" s="1"/>
    </row>
    <row r="31" customFormat="false" ht="21" hidden="false" customHeight="true" outlineLevel="0" collapsed="false">
      <c r="A31" s="1"/>
      <c r="B31" s="1"/>
      <c r="C31" s="1"/>
      <c r="D31" s="1"/>
      <c r="E31" s="1"/>
    </row>
    <row r="32" customFormat="false" ht="21" hidden="false" customHeight="true" outlineLevel="0" collapsed="false">
      <c r="A32" s="1"/>
      <c r="B32" s="1" t="s">
        <v>69</v>
      </c>
      <c r="C32" s="1"/>
      <c r="D32" s="1"/>
      <c r="E32" s="1"/>
    </row>
    <row r="33" customFormat="false" ht="21" hidden="false" customHeight="true" outlineLevel="0" collapsed="false">
      <c r="A33" s="1"/>
      <c r="B33" s="1" t="s">
        <v>70</v>
      </c>
      <c r="C33" s="1"/>
      <c r="D33" s="1"/>
      <c r="E33" s="1"/>
    </row>
    <row r="34" customFormat="false" ht="21" hidden="false" customHeight="true" outlineLevel="0" collapsed="false">
      <c r="A34" s="1"/>
      <c r="B34" s="1"/>
      <c r="C34" s="1"/>
      <c r="D34" s="1"/>
      <c r="E34" s="1"/>
    </row>
    <row r="35" customFormat="false" ht="21" hidden="false" customHeight="true" outlineLevel="0" collapsed="false">
      <c r="A35" s="1"/>
      <c r="B35" s="1"/>
      <c r="C35" s="1"/>
      <c r="D35" s="1"/>
      <c r="E35" s="1"/>
    </row>
    <row r="36" customFormat="false" ht="21" hidden="false" customHeight="true" outlineLevel="0" collapsed="false">
      <c r="A36" s="1"/>
      <c r="B36" s="1"/>
      <c r="C36" s="1"/>
      <c r="D36" s="1"/>
      <c r="E36" s="1"/>
    </row>
    <row r="37" customFormat="false" ht="21" hidden="false" customHeight="true" outlineLevel="0" collapsed="false">
      <c r="A37" s="1"/>
      <c r="B37" s="1"/>
      <c r="C37" s="1"/>
      <c r="D37" s="1"/>
      <c r="E37" s="1"/>
    </row>
  </sheetData>
  <printOptions headings="false" gridLines="false" gridLinesSet="true" horizontalCentered="false" verticalCentered="false"/>
  <pageMargins left="0.39375" right="0.39375" top="0.551388888888889" bottom="0.551388888888889" header="0.511811023622047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&amp;CInstalaciones Eléctricas II | Aquiles Taylor Ramos Yapo | 227368&amp;RHoja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9"/>
  </cols>
  <sheetData>
    <row r="1" customFormat="false" ht="21" hidden="false" customHeight="true" outlineLevel="0" collapsed="false">
      <c r="A1" s="1"/>
      <c r="B1" s="1"/>
      <c r="C1" s="1"/>
      <c r="D1" s="1"/>
      <c r="E1" s="1"/>
      <c r="F1" s="1"/>
      <c r="G1" s="1"/>
    </row>
    <row r="2" customFormat="false" ht="21" hidden="false" customHeight="true" outlineLevel="0" collapsed="false">
      <c r="A2" s="2" t="s">
        <v>71</v>
      </c>
      <c r="B2" s="2"/>
      <c r="C2" s="2"/>
      <c r="D2" s="2"/>
      <c r="E2" s="2"/>
      <c r="F2" s="2"/>
      <c r="G2" s="2"/>
    </row>
    <row r="3" customFormat="false" ht="21" hidden="false" customHeight="true" outlineLevel="0" collapsed="false">
      <c r="A3" s="1"/>
      <c r="B3" s="1"/>
      <c r="C3" s="1"/>
      <c r="D3" s="1"/>
      <c r="E3" s="1"/>
      <c r="F3" s="1"/>
      <c r="G3" s="1"/>
    </row>
    <row r="4" customFormat="false" ht="21" hidden="false" customHeight="true" outlineLevel="0" collapsed="false">
      <c r="A4" s="3"/>
      <c r="B4" s="3"/>
      <c r="C4" s="3"/>
      <c r="D4" s="3"/>
      <c r="E4" s="3"/>
      <c r="F4" s="3"/>
      <c r="G4" s="3"/>
    </row>
    <row r="5" customFormat="false" ht="21" hidden="false" customHeight="true" outlineLevel="0" collapsed="false">
      <c r="A5" s="1"/>
      <c r="B5" s="1"/>
      <c r="C5" s="1"/>
      <c r="D5" s="1"/>
      <c r="E5" s="1"/>
      <c r="F5" s="1"/>
      <c r="G5" s="1"/>
    </row>
    <row r="6" customFormat="false" ht="36" hidden="false" customHeight="true" outlineLevel="0" collapsed="false">
      <c r="A6" s="4" t="s">
        <v>72</v>
      </c>
      <c r="B6" s="4" t="s">
        <v>73</v>
      </c>
      <c r="C6" s="4" t="s">
        <v>74</v>
      </c>
      <c r="D6" s="4" t="s">
        <v>75</v>
      </c>
      <c r="E6" s="4" t="s">
        <v>76</v>
      </c>
      <c r="F6" s="4" t="s">
        <v>77</v>
      </c>
      <c r="G6" s="4" t="s">
        <v>78</v>
      </c>
    </row>
    <row r="7" customFormat="false" ht="21" hidden="false" customHeight="true" outlineLevel="0" collapsed="false">
      <c r="A7" s="1" t="s">
        <v>79</v>
      </c>
      <c r="B7" s="9" t="n">
        <v>95</v>
      </c>
      <c r="C7" s="5" t="n">
        <f aca="false">Parametros!$E$42-Parametros!$E$43</f>
        <v>9</v>
      </c>
      <c r="D7" s="5" t="n">
        <f aca="false">ROUNDUP(B7*(1+Parametros!$E$44)^C7,0)</f>
        <v>104</v>
      </c>
      <c r="E7" s="10" t="n">
        <v>0.6</v>
      </c>
      <c r="F7" s="11" t="n">
        <f aca="false">Parametros!$E$45</f>
        <v>0.8</v>
      </c>
      <c r="G7" s="11" t="n">
        <f aca="false">D7*E7*F7</f>
        <v>49.92</v>
      </c>
    </row>
    <row r="8" customFormat="false" ht="21" hidden="false" customHeight="true" outlineLevel="0" collapsed="false">
      <c r="A8" s="1" t="s">
        <v>80</v>
      </c>
      <c r="B8" s="9" t="n">
        <v>140</v>
      </c>
      <c r="C8" s="5" t="n">
        <f aca="false">Parametros!$E$42-Parametros!$E$43</f>
        <v>9</v>
      </c>
      <c r="D8" s="5" t="n">
        <f aca="false">ROUNDUP(B8*(1+Parametros!$E$44)^C8,0)</f>
        <v>154</v>
      </c>
      <c r="E8" s="10" t="n">
        <v>0.6</v>
      </c>
      <c r="F8" s="11" t="n">
        <f aca="false">Parametros!$E$45</f>
        <v>0.8</v>
      </c>
      <c r="G8" s="11" t="n">
        <f aca="false">D8*E8*F8</f>
        <v>73.92</v>
      </c>
    </row>
    <row r="9" customFormat="false" ht="21" hidden="false" customHeight="true" outlineLevel="0" collapsed="false">
      <c r="A9" s="1" t="s">
        <v>81</v>
      </c>
      <c r="B9" s="9" t="n">
        <v>86</v>
      </c>
      <c r="C9" s="5" t="n">
        <f aca="false">Parametros!$E$42-Parametros!$E$43</f>
        <v>9</v>
      </c>
      <c r="D9" s="5" t="n">
        <f aca="false">ROUNDUP(B9*(1+Parametros!$E$44)^C9,0)</f>
        <v>95</v>
      </c>
      <c r="E9" s="10" t="n">
        <v>0.4</v>
      </c>
      <c r="F9" s="11" t="n">
        <f aca="false">Parametros!$E$45</f>
        <v>0.8</v>
      </c>
      <c r="G9" s="11" t="n">
        <f aca="false">D9*E9*F9</f>
        <v>30.4</v>
      </c>
    </row>
    <row r="10" customFormat="false" ht="21" hidden="false" customHeight="true" outlineLevel="0" collapsed="false">
      <c r="A10" s="1"/>
      <c r="B10" s="1"/>
      <c r="C10" s="1"/>
      <c r="D10" s="1"/>
      <c r="E10" s="11"/>
      <c r="F10" s="11"/>
      <c r="G10" s="11"/>
    </row>
    <row r="11" customFormat="false" ht="21" hidden="false" customHeight="true" outlineLevel="0" collapsed="false">
      <c r="A11" s="1" t="s">
        <v>82</v>
      </c>
      <c r="B11" s="1"/>
      <c r="C11" s="1"/>
      <c r="D11" s="1"/>
      <c r="E11" s="11"/>
      <c r="F11" s="11"/>
      <c r="G11" s="11" t="n">
        <f aca="false">SUM(G7:G9)</f>
        <v>154.24</v>
      </c>
    </row>
    <row r="12" customFormat="false" ht="21" hidden="false" customHeight="true" outlineLevel="0" collapsed="false">
      <c r="A12" s="1"/>
      <c r="B12" s="1"/>
      <c r="C12" s="1"/>
      <c r="D12" s="1"/>
      <c r="E12" s="11"/>
      <c r="F12" s="11"/>
      <c r="G12" s="11"/>
    </row>
    <row r="13" customFormat="false" ht="21" hidden="false" customHeight="true" outlineLevel="0" collapsed="false">
      <c r="A13" s="1" t="s">
        <v>83</v>
      </c>
      <c r="B13" s="1"/>
      <c r="C13" s="1"/>
      <c r="D13" s="1"/>
      <c r="E13" s="11"/>
      <c r="F13" s="11"/>
      <c r="G13" s="11" t="n">
        <f aca="false">Parametros!$E$46*Parametros!$E$47</f>
        <v>3.246</v>
      </c>
    </row>
    <row r="14" customFormat="false" ht="21" hidden="false" customHeight="true" outlineLevel="0" collapsed="false">
      <c r="A14" s="1"/>
      <c r="B14" s="1"/>
      <c r="C14" s="1"/>
      <c r="D14" s="1"/>
      <c r="E14" s="11"/>
      <c r="F14" s="11"/>
      <c r="G14" s="11"/>
    </row>
    <row r="15" customFormat="false" ht="21" hidden="false" customHeight="true" outlineLevel="0" collapsed="false">
      <c r="A15" s="1" t="s">
        <v>84</v>
      </c>
      <c r="B15" s="1"/>
      <c r="C15" s="1"/>
      <c r="D15" s="1"/>
      <c r="E15" s="11"/>
      <c r="F15" s="11"/>
      <c r="G15" s="10" t="n">
        <v>3</v>
      </c>
    </row>
    <row r="16" customFormat="false" ht="21" hidden="false" customHeight="true" outlineLevel="0" collapsed="false">
      <c r="A16" s="1" t="s">
        <v>85</v>
      </c>
      <c r="B16" s="1"/>
      <c r="C16" s="1"/>
      <c r="D16" s="1"/>
      <c r="E16" s="11"/>
      <c r="F16" s="11"/>
      <c r="G16" s="10" t="n">
        <v>3</v>
      </c>
    </row>
    <row r="17" customFormat="false" ht="21" hidden="false" customHeight="true" outlineLevel="0" collapsed="false">
      <c r="A17" s="1" t="s">
        <v>86</v>
      </c>
      <c r="B17" s="1"/>
      <c r="C17" s="1"/>
      <c r="D17" s="1"/>
      <c r="E17" s="11"/>
      <c r="F17" s="11"/>
      <c r="G17" s="10" t="n">
        <v>3</v>
      </c>
    </row>
    <row r="18" customFormat="false" ht="21" hidden="false" customHeight="true" outlineLevel="0" collapsed="false">
      <c r="A18" s="1" t="s">
        <v>87</v>
      </c>
      <c r="B18" s="1"/>
      <c r="C18" s="1"/>
      <c r="D18" s="1"/>
      <c r="E18" s="11"/>
      <c r="F18" s="11"/>
      <c r="G18" s="10" t="n">
        <v>4</v>
      </c>
    </row>
    <row r="19" customFormat="false" ht="21" hidden="false" customHeight="true" outlineLevel="0" collapsed="false">
      <c r="A19" s="1" t="s">
        <v>88</v>
      </c>
      <c r="B19" s="1"/>
      <c r="C19" s="1"/>
      <c r="D19" s="1"/>
      <c r="E19" s="11"/>
      <c r="F19" s="11"/>
      <c r="G19" s="10" t="n">
        <v>1</v>
      </c>
    </row>
    <row r="20" customFormat="false" ht="21" hidden="false" customHeight="true" outlineLevel="0" collapsed="false">
      <c r="A20" s="1"/>
      <c r="B20" s="1"/>
      <c r="C20" s="1"/>
      <c r="D20" s="1"/>
      <c r="E20" s="11"/>
      <c r="F20" s="11"/>
      <c r="G20" s="11"/>
    </row>
    <row r="21" customFormat="false" ht="21" hidden="false" customHeight="true" outlineLevel="0" collapsed="false">
      <c r="A21" s="6" t="s">
        <v>89</v>
      </c>
      <c r="B21" s="6"/>
      <c r="C21" s="6"/>
      <c r="D21" s="6"/>
      <c r="E21" s="12"/>
      <c r="F21" s="12"/>
      <c r="G21" s="12" t="n">
        <f aca="false">G11+G13+SUM(G15:G19)</f>
        <v>171.486</v>
      </c>
    </row>
    <row r="22" customFormat="false" ht="21" hidden="false" customHeight="true" outlineLevel="0" collapsed="false">
      <c r="A22" s="1"/>
      <c r="B22" s="1"/>
      <c r="C22" s="1"/>
      <c r="D22" s="1"/>
      <c r="E22" s="11"/>
      <c r="F22" s="11"/>
      <c r="G22" s="11"/>
    </row>
    <row r="23" customFormat="false" ht="21" hidden="false" customHeight="true" outlineLevel="0" collapsed="false">
      <c r="A23" s="1" t="s">
        <v>90</v>
      </c>
      <c r="B23" s="1"/>
      <c r="C23" s="1"/>
      <c r="D23" s="1"/>
      <c r="E23" s="11"/>
      <c r="F23" s="11"/>
      <c r="G23" s="11" t="n">
        <f aca="false">Parametros!$E$36</f>
        <v>0.9</v>
      </c>
    </row>
    <row r="24" customFormat="false" ht="21" hidden="false" customHeight="true" outlineLevel="0" collapsed="false">
      <c r="A24" s="1" t="s">
        <v>91</v>
      </c>
      <c r="B24" s="1"/>
      <c r="C24" s="1"/>
      <c r="D24" s="1"/>
      <c r="E24" s="11"/>
      <c r="F24" s="11"/>
      <c r="G24" s="11" t="n">
        <f aca="false">G21*TAN(ACOS(G23))</f>
        <v>83.054460470224</v>
      </c>
    </row>
    <row r="25" customFormat="false" ht="21" hidden="false" customHeight="true" outlineLevel="0" collapsed="false">
      <c r="A25" s="1" t="s">
        <v>92</v>
      </c>
      <c r="B25" s="1"/>
      <c r="C25" s="1"/>
      <c r="D25" s="1"/>
      <c r="E25" s="11"/>
      <c r="F25" s="11"/>
      <c r="G25" s="11" t="n">
        <f aca="false">G21/G23</f>
        <v>190.54</v>
      </c>
    </row>
    <row r="26" customFormat="false" ht="21" hidden="false" customHeight="true" outlineLevel="0" collapsed="false">
      <c r="A26" s="1"/>
      <c r="B26" s="1"/>
      <c r="C26" s="1"/>
      <c r="D26" s="1"/>
      <c r="E26" s="11"/>
      <c r="F26" s="11"/>
      <c r="G26" s="11"/>
    </row>
    <row r="27" customFormat="false" ht="21" hidden="false" customHeight="true" outlineLevel="0" collapsed="false">
      <c r="A27" s="1" t="s">
        <v>7</v>
      </c>
      <c r="B27" s="1"/>
      <c r="C27" s="1"/>
      <c r="D27" s="1"/>
      <c r="E27" s="11"/>
      <c r="F27" s="11"/>
      <c r="G27" s="11" t="n">
        <f aca="false">SUM(D7:D9)</f>
        <v>353</v>
      </c>
    </row>
    <row r="28" customFormat="false" ht="21" hidden="false" customHeight="true" outlineLevel="0" collapsed="false">
      <c r="A28" s="1"/>
      <c r="B28" s="1"/>
      <c r="C28" s="1"/>
      <c r="D28" s="1"/>
      <c r="E28" s="1"/>
      <c r="F28" s="1"/>
      <c r="G28" s="1"/>
    </row>
    <row r="29" customFormat="false" ht="21" hidden="false" customHeight="true" outlineLevel="0" collapsed="false">
      <c r="A29" s="1"/>
      <c r="B29" s="1"/>
      <c r="C29" s="1"/>
      <c r="D29" s="1"/>
      <c r="E29" s="1"/>
      <c r="F29" s="1"/>
      <c r="G29" s="1"/>
    </row>
    <row r="30" customFormat="false" ht="21" hidden="false" customHeight="true" outlineLevel="0" collapsed="false">
      <c r="A30" s="1"/>
      <c r="B30" s="1"/>
      <c r="C30" s="1"/>
      <c r="D30" s="1"/>
      <c r="E30" s="1"/>
      <c r="F30" s="1"/>
      <c r="G30" s="1"/>
    </row>
  </sheetData>
  <printOptions headings="false" gridLines="false" gridLinesSet="true" horizontalCentered="false" verticalCentered="false"/>
  <pageMargins left="0.39375" right="0.39375" top="0.551388888888889" bottom="0.551388888888889" header="0.511811023622047" footer="0.3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&amp;CInstalaciones Eléctricas II | Aquiles Taylor Ramos Yapo | 227368&amp;RHoja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7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7"/>
    <col collapsed="false" customWidth="true" hidden="false" outlineLevel="0" max="4" min="4" style="0" width="48"/>
  </cols>
  <sheetData>
    <row r="1" customFormat="false" ht="21" hidden="false" customHeight="true" outlineLevel="0" collapsed="false">
      <c r="A1" s="1"/>
      <c r="B1" s="1"/>
      <c r="C1" s="1"/>
      <c r="D1" s="1"/>
    </row>
    <row r="2" customFormat="false" ht="21" hidden="false" customHeight="true" outlineLevel="0" collapsed="false">
      <c r="A2" s="2" t="s">
        <v>93</v>
      </c>
      <c r="B2" s="2"/>
      <c r="C2" s="2"/>
      <c r="D2" s="2"/>
    </row>
    <row r="3" customFormat="false" ht="21" hidden="false" customHeight="true" outlineLevel="0" collapsed="false">
      <c r="A3" s="1"/>
      <c r="B3" s="1"/>
      <c r="C3" s="1"/>
      <c r="D3" s="1"/>
    </row>
    <row r="4" customFormat="false" ht="21" hidden="false" customHeight="true" outlineLevel="0" collapsed="false">
      <c r="A4" s="3"/>
      <c r="B4" s="3"/>
      <c r="C4" s="3"/>
      <c r="D4" s="3"/>
    </row>
    <row r="5" customFormat="false" ht="21" hidden="false" customHeight="true" outlineLevel="0" collapsed="false">
      <c r="A5" s="1"/>
      <c r="B5" s="1"/>
      <c r="C5" s="1"/>
      <c r="D5" s="1"/>
    </row>
    <row r="6" customFormat="false" ht="36" hidden="false" customHeight="true" outlineLevel="0" collapsed="false">
      <c r="A6" s="4" t="s">
        <v>94</v>
      </c>
      <c r="B6" s="4" t="s">
        <v>4</v>
      </c>
      <c r="C6" s="4" t="s">
        <v>3</v>
      </c>
      <c r="D6" s="4" t="s">
        <v>95</v>
      </c>
    </row>
    <row r="7" customFormat="false" ht="21" hidden="false" customHeight="true" outlineLevel="0" collapsed="false">
      <c r="A7" s="1" t="s">
        <v>19</v>
      </c>
      <c r="B7" s="8" t="n">
        <f aca="false">SUM(Vanos!$M$7:$M$116)</f>
        <v>6758.12029708581</v>
      </c>
      <c r="C7" s="1" t="s">
        <v>20</v>
      </c>
      <c r="D7" s="1" t="s">
        <v>96</v>
      </c>
    </row>
    <row r="8" customFormat="false" ht="21" hidden="false" customHeight="true" outlineLevel="0" collapsed="false">
      <c r="A8" s="1" t="s">
        <v>97</v>
      </c>
      <c r="B8" s="8" t="n">
        <f aca="false">(Parametros!E19*Parametros!E20*Parametros!E21)^(1/3)</f>
        <v>1.51190525987385</v>
      </c>
      <c r="C8" s="1" t="s">
        <v>20</v>
      </c>
      <c r="D8" s="1" t="s">
        <v>98</v>
      </c>
    </row>
    <row r="9" customFormat="false" ht="21" hidden="false" customHeight="true" outlineLevel="0" collapsed="false">
      <c r="A9" s="1" t="s">
        <v>99</v>
      </c>
      <c r="B9" s="8" t="n">
        <f aca="false">0.7788*Parametros!E25/2</f>
        <v>0.0035046</v>
      </c>
      <c r="C9" s="1" t="s">
        <v>20</v>
      </c>
      <c r="D9" s="1" t="s">
        <v>100</v>
      </c>
    </row>
    <row r="10" customFormat="false" ht="21" hidden="false" customHeight="true" outlineLevel="0" collapsed="false">
      <c r="A10" s="1" t="s">
        <v>23</v>
      </c>
      <c r="B10" s="8" t="n">
        <f aca="false">Parametros!E22*(1+Parametros!E23*(Parametros!E24-20))*B7/1000</f>
        <v>5.43256906577481</v>
      </c>
      <c r="C10" s="1" t="s">
        <v>24</v>
      </c>
      <c r="D10" s="1" t="s">
        <v>101</v>
      </c>
    </row>
    <row r="11" customFormat="false" ht="21" hidden="false" customHeight="true" outlineLevel="0" collapsed="false">
      <c r="A11" s="1" t="s">
        <v>27</v>
      </c>
      <c r="B11" s="8" t="n">
        <f aca="false">2*PI()*Parametros!E26*0.0002*LN(B8/B9)*B7/1000</f>
        <v>3.09146668807623</v>
      </c>
      <c r="C11" s="1" t="s">
        <v>24</v>
      </c>
      <c r="D11" s="1" t="s">
        <v>102</v>
      </c>
    </row>
    <row r="12" customFormat="false" ht="21" hidden="false" customHeight="true" outlineLevel="0" collapsed="false">
      <c r="A12" s="1"/>
      <c r="B12" s="8"/>
      <c r="C12" s="1"/>
      <c r="D12" s="1"/>
    </row>
    <row r="13" customFormat="false" ht="21" hidden="false" customHeight="true" outlineLevel="0" collapsed="false">
      <c r="A13" s="1" t="s">
        <v>103</v>
      </c>
      <c r="B13" s="8" t="n">
        <f aca="false">Parametros!E32/Parametros!E30</f>
        <v>0.0124</v>
      </c>
      <c r="C13" s="1" t="s">
        <v>104</v>
      </c>
      <c r="D13" s="1" t="s">
        <v>105</v>
      </c>
    </row>
    <row r="14" customFormat="false" ht="21" hidden="false" customHeight="true" outlineLevel="0" collapsed="false">
      <c r="A14" s="1" t="s">
        <v>106</v>
      </c>
      <c r="B14" s="8" t="n">
        <f aca="false">SQRT(Parametros!E31^2-B13^2)</f>
        <v>0.0587046846512269</v>
      </c>
      <c r="C14" s="1" t="s">
        <v>104</v>
      </c>
      <c r="D14" s="1" t="s">
        <v>107</v>
      </c>
    </row>
    <row r="15" customFormat="false" ht="21" hidden="false" customHeight="true" outlineLevel="0" collapsed="false">
      <c r="A15" s="1" t="s">
        <v>108</v>
      </c>
      <c r="B15" s="8" t="n">
        <f aca="false">(Parametros!E27*1000)^2/(Parametros!E30*1000)</f>
        <v>400</v>
      </c>
      <c r="C15" s="1" t="s">
        <v>24</v>
      </c>
      <c r="D15" s="1" t="s">
        <v>109</v>
      </c>
    </row>
    <row r="16" customFormat="false" ht="21" hidden="false" customHeight="true" outlineLevel="0" collapsed="false">
      <c r="A16" s="1" t="s">
        <v>110</v>
      </c>
      <c r="B16" s="8" t="n">
        <f aca="false">B13*B15</f>
        <v>4.96</v>
      </c>
      <c r="C16" s="1" t="s">
        <v>24</v>
      </c>
      <c r="D16" s="1" t="s">
        <v>111</v>
      </c>
    </row>
    <row r="17" customFormat="false" ht="21" hidden="false" customHeight="true" outlineLevel="0" collapsed="false">
      <c r="A17" s="1" t="s">
        <v>112</v>
      </c>
      <c r="B17" s="8" t="n">
        <f aca="false">B14*B15</f>
        <v>23.4818738604908</v>
      </c>
      <c r="C17" s="1" t="s">
        <v>24</v>
      </c>
      <c r="D17" s="1" t="s">
        <v>113</v>
      </c>
    </row>
    <row r="18" customFormat="false" ht="21" hidden="false" customHeight="true" outlineLevel="0" collapsed="false">
      <c r="A18" s="1" t="s">
        <v>114</v>
      </c>
      <c r="B18" s="8" t="n">
        <f aca="false">Parametros!E27*1000*Parametros!E28/SQRT(3)</f>
        <v>6062.17782649107</v>
      </c>
      <c r="C18" s="1" t="s">
        <v>35</v>
      </c>
      <c r="D18" s="1" t="s">
        <v>115</v>
      </c>
    </row>
    <row r="19" customFormat="false" ht="21" hidden="false" customHeight="true" outlineLevel="0" collapsed="false">
      <c r="A19" s="1"/>
      <c r="B19" s="8"/>
      <c r="C19" s="1"/>
      <c r="D19" s="1"/>
    </row>
    <row r="20" customFormat="false" ht="21" hidden="false" customHeight="true" outlineLevel="0" collapsed="false">
      <c r="A20" s="1"/>
      <c r="B20" s="8"/>
      <c r="C20" s="1"/>
      <c r="D20" s="1"/>
    </row>
    <row r="21" customFormat="false" ht="21" hidden="false" customHeight="true" outlineLevel="0" collapsed="false">
      <c r="A21" s="6" t="s">
        <v>34</v>
      </c>
      <c r="B21" s="7" t="n">
        <f aca="false">Flujo!N66</f>
        <v>371.066629706231</v>
      </c>
      <c r="C21" s="6" t="s">
        <v>35</v>
      </c>
      <c r="D21" s="6" t="s">
        <v>116</v>
      </c>
    </row>
    <row r="22" customFormat="false" ht="21" hidden="false" customHeight="true" outlineLevel="0" collapsed="false">
      <c r="A22" s="1" t="s">
        <v>117</v>
      </c>
      <c r="B22" s="8" t="n">
        <f aca="false">Flujo!O66</f>
        <v>11.3563302762562</v>
      </c>
      <c r="C22" s="1" t="s">
        <v>31</v>
      </c>
      <c r="D22" s="1" t="s">
        <v>118</v>
      </c>
    </row>
    <row r="23" customFormat="false" ht="21" hidden="false" customHeight="true" outlineLevel="0" collapsed="false">
      <c r="A23" s="1" t="s">
        <v>119</v>
      </c>
      <c r="B23" s="8" t="n">
        <f aca="false">Flujo!P66</f>
        <v>2.10185397456361</v>
      </c>
      <c r="C23" s="1" t="s">
        <v>12</v>
      </c>
      <c r="D23" s="1" t="s">
        <v>120</v>
      </c>
    </row>
    <row r="24" customFormat="false" ht="21" hidden="false" customHeight="true" outlineLevel="0" collapsed="false">
      <c r="A24" s="6" t="s">
        <v>121</v>
      </c>
      <c r="B24" s="7" t="n">
        <f aca="false">3*B18*Flujo!H66/1000+Parametros!E35</f>
        <v>183.326150921358</v>
      </c>
      <c r="C24" s="6" t="s">
        <v>12</v>
      </c>
      <c r="D24" s="6" t="s">
        <v>122</v>
      </c>
    </row>
    <row r="25" customFormat="false" ht="21" hidden="false" customHeight="true" outlineLevel="0" collapsed="false">
      <c r="A25" s="1" t="s">
        <v>123</v>
      </c>
      <c r="B25" s="8" t="n">
        <f aca="false">-3*B18*Flujo!I66/1000</f>
        <v>107.421997519426</v>
      </c>
      <c r="C25" s="1" t="s">
        <v>124</v>
      </c>
      <c r="D25" s="1" t="s">
        <v>125</v>
      </c>
    </row>
    <row r="26" customFormat="false" ht="21" hidden="false" customHeight="true" outlineLevel="0" collapsed="false">
      <c r="A26" s="6" t="s">
        <v>44</v>
      </c>
      <c r="B26" s="7" t="n">
        <f aca="false">SQRT(B24^2+B25^2)</f>
        <v>212.480500664659</v>
      </c>
      <c r="C26" s="6" t="s">
        <v>16</v>
      </c>
      <c r="D26" s="6" t="s">
        <v>126</v>
      </c>
    </row>
    <row r="27" customFormat="false" ht="21" hidden="false" customHeight="true" outlineLevel="0" collapsed="false">
      <c r="A27" s="1" t="s">
        <v>127</v>
      </c>
      <c r="B27" s="8" t="n">
        <f aca="false">Parametros!E41-B24</f>
        <v>16.673849078642</v>
      </c>
      <c r="C27" s="1" t="s">
        <v>12</v>
      </c>
      <c r="D27" s="1" t="s">
        <v>128</v>
      </c>
    </row>
    <row r="28" customFormat="false" ht="21" hidden="false" customHeight="true" outlineLevel="0" collapsed="false">
      <c r="A28" s="1" t="s">
        <v>129</v>
      </c>
      <c r="B28" s="13" t="n">
        <f aca="false">B26/Parametros!E30</f>
        <v>0.849922002658636</v>
      </c>
      <c r="C28" s="1" t="s">
        <v>104</v>
      </c>
      <c r="D28" s="1" t="s">
        <v>130</v>
      </c>
    </row>
    <row r="29" customFormat="false" ht="21" hidden="false" customHeight="true" outlineLevel="0" collapsed="false">
      <c r="A29" s="1"/>
      <c r="B29" s="8"/>
      <c r="C29" s="1"/>
      <c r="D29" s="1"/>
    </row>
    <row r="30" customFormat="false" ht="21" hidden="false" customHeight="true" outlineLevel="0" collapsed="false">
      <c r="A30" s="1" t="s">
        <v>131</v>
      </c>
      <c r="B30" s="8" t="n">
        <f aca="false">SQRT(Flujo!B66^2+Flujo!C66^2)*SQRT(3)/1000</f>
        <v>10.1814779290985</v>
      </c>
      <c r="C30" s="1" t="s">
        <v>132</v>
      </c>
      <c r="D30" s="1" t="s">
        <v>133</v>
      </c>
    </row>
    <row r="31" customFormat="false" ht="21" hidden="false" customHeight="true" outlineLevel="0" collapsed="false">
      <c r="A31" s="1" t="s">
        <v>134</v>
      </c>
      <c r="B31" s="8" t="n">
        <f aca="false">SQRT(Flujo!D66^2+Flujo!E66^2)*SQRT(3)/1000</f>
        <v>10.0585532052966</v>
      </c>
      <c r="C31" s="1" t="s">
        <v>132</v>
      </c>
      <c r="D31" s="1" t="s">
        <v>135</v>
      </c>
    </row>
    <row r="32" customFormat="false" ht="21" hidden="false" customHeight="true" outlineLevel="0" collapsed="false">
      <c r="A32" s="1" t="s">
        <v>136</v>
      </c>
      <c r="B32" s="14" t="n">
        <f aca="false">(B30-B31)/B30</f>
        <v>0.0120733674087362</v>
      </c>
      <c r="C32" s="1" t="s">
        <v>104</v>
      </c>
      <c r="D32" s="1" t="s">
        <v>137</v>
      </c>
    </row>
    <row r="33" customFormat="false" ht="21" hidden="false" customHeight="true" outlineLevel="0" collapsed="false">
      <c r="A33" s="1" t="s">
        <v>138</v>
      </c>
      <c r="B33" s="8" t="n">
        <f aca="false">Flujo!Q66</f>
        <v>0</v>
      </c>
      <c r="C33" s="1" t="s">
        <v>35</v>
      </c>
      <c r="D33" s="1" t="s">
        <v>139</v>
      </c>
    </row>
    <row r="34" customFormat="false" ht="21" hidden="false" customHeight="true" outlineLevel="0" collapsed="false">
      <c r="A34" s="1"/>
      <c r="B34" s="1"/>
      <c r="C34" s="1"/>
      <c r="D34" s="1"/>
    </row>
    <row r="35" customFormat="false" ht="21" hidden="false" customHeight="true" outlineLevel="0" collapsed="false">
      <c r="A35" s="1"/>
      <c r="B35" s="1"/>
      <c r="C35" s="1"/>
      <c r="D35" s="1"/>
    </row>
    <row r="36" customFormat="false" ht="21" hidden="false" customHeight="true" outlineLevel="0" collapsed="false">
      <c r="A36" s="1"/>
      <c r="B36" s="1"/>
      <c r="C36" s="1"/>
      <c r="D36" s="1"/>
    </row>
    <row r="37" customFormat="false" ht="21" hidden="false" customHeight="true" outlineLevel="0" collapsed="false">
      <c r="A37" s="1"/>
      <c r="B37" s="1"/>
      <c r="C37" s="1"/>
      <c r="D37" s="1"/>
    </row>
  </sheetData>
  <printOptions headings="false" gridLines="false" gridLinesSet="true" horizontalCentered="false" verticalCentered="false"/>
  <pageMargins left="0.39375" right="0.39375" top="0.551388888888889" bottom="0.551388888888889" header="0.511811023622047" footer="0.3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&amp;CInstalaciones Eléctricas II | Aquiles Taylor Ramos Yapo | 227368&amp;RHoja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7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7" min="2" style="0" width="16"/>
    <col collapsed="false" customWidth="true" hidden="false" outlineLevel="0" max="14" min="8" style="0" width="15"/>
    <col collapsed="false" customWidth="true" hidden="false" outlineLevel="0" max="15" min="15" style="0" width="14"/>
    <col collapsed="false" customWidth="true" hidden="false" outlineLevel="0" max="16" min="16" style="0" width="15"/>
    <col collapsed="false" customWidth="true" hidden="false" outlineLevel="0" max="17" min="17" style="0" width="17"/>
  </cols>
  <sheetData>
    <row r="1" customFormat="false" ht="21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1" hidden="false" customHeight="true" outlineLevel="0" collapsed="false">
      <c r="A2" s="2" t="s">
        <v>140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21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customFormat="false" ht="21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customFormat="false" ht="21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customFormat="false" ht="36" hidden="false" customHeight="true" outlineLevel="0" collapsed="false">
      <c r="A6" s="4" t="s">
        <v>141</v>
      </c>
      <c r="B6" s="4" t="s">
        <v>142</v>
      </c>
      <c r="C6" s="4" t="s">
        <v>143</v>
      </c>
      <c r="D6" s="4" t="s">
        <v>144</v>
      </c>
      <c r="E6" s="4" t="s">
        <v>145</v>
      </c>
      <c r="F6" s="4" t="s">
        <v>146</v>
      </c>
      <c r="G6" s="4" t="s">
        <v>147</v>
      </c>
      <c r="H6" s="4" t="s">
        <v>148</v>
      </c>
      <c r="I6" s="4" t="s">
        <v>149</v>
      </c>
      <c r="J6" s="4" t="s">
        <v>150</v>
      </c>
      <c r="K6" s="4" t="s">
        <v>151</v>
      </c>
      <c r="L6" s="4" t="s">
        <v>152</v>
      </c>
      <c r="M6" s="4" t="s">
        <v>153</v>
      </c>
      <c r="N6" s="4" t="s">
        <v>154</v>
      </c>
      <c r="O6" s="4" t="s">
        <v>155</v>
      </c>
      <c r="P6" s="4" t="s">
        <v>156</v>
      </c>
      <c r="Q6" s="4" t="s">
        <v>157</v>
      </c>
    </row>
    <row r="7" customFormat="false" ht="21" hidden="false" customHeight="true" outlineLevel="0" collapsed="false">
      <c r="A7" s="1" t="n">
        <v>0</v>
      </c>
      <c r="B7" s="15" t="n">
        <f aca="false">Electrico!$B$18</f>
        <v>6062.17782649107</v>
      </c>
      <c r="C7" s="15" t="n">
        <f aca="false">0</f>
        <v>0</v>
      </c>
      <c r="D7" s="15" t="n">
        <f aca="false">Electrico!$B$18</f>
        <v>6062.17782649107</v>
      </c>
      <c r="E7" s="15" t="n">
        <f aca="false">0</f>
        <v>0</v>
      </c>
      <c r="F7" s="15" t="n">
        <f aca="false">Electrico!$B$18</f>
        <v>6062.17782649107</v>
      </c>
      <c r="G7" s="15" t="n">
        <f aca="false">0</f>
        <v>0</v>
      </c>
      <c r="H7" s="15" t="n">
        <f aca="false">J7+(Parametros!$E$33*1000*B7+Parametros!$E$34*1000*C7)/(3*(B7^2+C7^2))</f>
        <v>9.47877176233551</v>
      </c>
      <c r="I7" s="15" t="n">
        <f aca="false">K7+(Parametros!$E$33*1000*C7-Parametros!$E$34*1000*B7)/(3*(B7^2+C7^2))</f>
        <v>-4.8417396624601</v>
      </c>
      <c r="J7" s="15" t="n">
        <f aca="false">L7+(Parametros!$E$33*1000*D7+Parametros!$E$34*1000*E7)/(3*(D7^2+E7^2))</f>
        <v>9.45402817937024</v>
      </c>
      <c r="K7" s="15" t="n">
        <f aca="false">M7+(Parametros!$E$33*1000*E7-Parametros!$E$34*1000*D7)/(3*(D7^2+E7^2))</f>
        <v>-4.70427531265305</v>
      </c>
      <c r="L7" s="15" t="n">
        <f aca="false">(Demanda!$G$21*1000*F7+Demanda!$G$24*1000*G7)/(3*(F7^2+G7^2))</f>
        <v>9.42928459640497</v>
      </c>
      <c r="M7" s="15" t="n">
        <f aca="false">(Demanda!$G$21*1000*G7-Demanda!$G$24*1000*F7)/(3*(F7^2+G7^2))</f>
        <v>-4.56681096284599</v>
      </c>
      <c r="N7" s="15" t="n">
        <f aca="false">SQRT(F7^2+G7^2)*SQRT(3)*Parametros!$E$29/(Parametros!$E$27*1000)</f>
        <v>399</v>
      </c>
      <c r="O7" s="15" t="n">
        <f aca="false">SQRT(J7^2+K7^2)</f>
        <v>10.5597753306386</v>
      </c>
      <c r="P7" s="15" t="n">
        <f aca="false">3*O7^2*Electrico!$B$10/1000</f>
        <v>1.81733866924591</v>
      </c>
      <c r="Q7" s="15" t="n">
        <f aca="false">0</f>
        <v>0</v>
      </c>
    </row>
    <row r="8" customFormat="false" ht="21" hidden="false" customHeight="true" outlineLevel="0" collapsed="false">
      <c r="A8" s="1" t="n">
        <v>1</v>
      </c>
      <c r="B8" s="15" t="n">
        <f aca="false">0.7*(Electrico!$B$18-Electrico!$B$16*H7+Electrico!$B$17*I7)+0.3*B7</f>
        <v>5949.68234691879</v>
      </c>
      <c r="C8" s="15" t="n">
        <f aca="false">0.7*(-Electrico!$B$16*I7-Electrico!$B$17*H7)+0.3*C7</f>
        <v>-138.995005904819</v>
      </c>
      <c r="D8" s="15" t="n">
        <f aca="false">0.7*(Electrico!$B$18-Electrico!$B$16*H7+Electrico!$B$17*I7-Electrico!$B$10*J7+Electrico!$B$11*K7)+0.3*D7</f>
        <v>5903.55040690041</v>
      </c>
      <c r="E8" s="15" t="n">
        <f aca="false">0.7*(-Electrico!$B$16*I7-Electrico!$B$17*H7-Electrico!$B$10*K7-Electrico!$B$11*J7)+0.3*E7</f>
        <v>-141.564364755794</v>
      </c>
      <c r="F8" s="15" t="n">
        <f aca="false">0.7*(Electrico!$B$18-Electrico!$B$16*H7+Electrico!$B$17*I7-Electrico!$B$10*J7+Electrico!$B$11*K7-Electrico!$B$16*L7+Electrico!$B$17*M7)+0.3*F7</f>
        <v>5795.74583549972</v>
      </c>
      <c r="G8" s="15" t="n">
        <f aca="false">0.7*(-Electrico!$B$16*I7-Electrico!$B$17*H7-Electrico!$B$10*K7-Electrico!$B$11*J7-Electrico!$B$16*M7-Electrico!$B$17*L7)+0.3*G7</f>
        <v>-280.700487134008</v>
      </c>
      <c r="H8" s="15" t="n">
        <f aca="false">J8+(Parametros!$E$33*1000*B8+Parametros!$E$34*1000*C8)/(3*(B8^2+C8^2))</f>
        <v>9.65280204502999</v>
      </c>
      <c r="I8" s="15" t="n">
        <f aca="false">K8+(Parametros!$E$33*1000*C8-Parametros!$E$34*1000*B8)/(3*(B8^2+C8^2))</f>
        <v>-5.52438807995886</v>
      </c>
      <c r="J8" s="15" t="n">
        <f aca="false">L8+(Parametros!$E$33*1000*D8+Parametros!$E$34*1000*E8)/(3*(D8^2+E8^2))</f>
        <v>9.63087471115368</v>
      </c>
      <c r="K8" s="15" t="n">
        <f aca="false">M8+(Parametros!$E$33*1000*E8-Parametros!$E$34*1000*D8)/(3*(D8^2+E8^2))</f>
        <v>-5.38381231902465</v>
      </c>
      <c r="L8" s="15" t="n">
        <f aca="false">(Demanda!$G$21*1000*F8+Demanda!$G$24*1000*G8)/(3*(F8^2+G8^2))</f>
        <v>9.60886383123962</v>
      </c>
      <c r="M8" s="15" t="n">
        <f aca="false">(Demanda!$G$21*1000*G8-Demanda!$G$24*1000*F8)/(3*(F8^2+G8^2))</f>
        <v>-5.24212651439624</v>
      </c>
      <c r="N8" s="15" t="n">
        <f aca="false">SQRT(F8^2+G8^2)*SQRT(3)*Parametros!$E$29/(Parametros!$E$27*1000)</f>
        <v>381.911130736481</v>
      </c>
      <c r="O8" s="15" t="n">
        <f aca="false">SQRT(J8^2+K8^2)</f>
        <v>11.0335480598229</v>
      </c>
      <c r="P8" s="15" t="n">
        <f aca="false">3*O8^2*Electrico!$B$10/1000</f>
        <v>1.98406955552724</v>
      </c>
      <c r="Q8" s="15" t="n">
        <f aca="false">MAX(ABS(B8-B7),ABS(C8-C7),ABS(D8-D7),ABS(E8-E7),ABS(F8-F7),ABS(G8-G7))</f>
        <v>280.700487134008</v>
      </c>
    </row>
    <row r="9" customFormat="false" ht="21" hidden="false" customHeight="true" outlineLevel="0" collapsed="false">
      <c r="A9" s="1" t="n">
        <v>2</v>
      </c>
      <c r="B9" s="15" t="n">
        <f aca="false">0.7*(Electrico!$B$18-Electrico!$B$16*H8+Electrico!$B$17*I8)+0.3*B8</f>
        <v>5904.10856508405</v>
      </c>
      <c r="C9" s="15" t="n">
        <f aca="false">0.7*(-Electrico!$B$16*I8-Electrico!$B$17*H8)+0.3*C8</f>
        <v>-181.183942373006</v>
      </c>
      <c r="D9" s="15" t="n">
        <f aca="false">0.7*(Electrico!$B$18-Electrico!$B$16*H8+Electrico!$B$17*I8-Electrico!$B$10*J8+Electrico!$B$11*K8)+0.3*D8</f>
        <v>5841.99399514863</v>
      </c>
      <c r="E9" s="15" t="n">
        <f aca="false">0.7*(-Electrico!$B$16*I8-Electrico!$B$17*H8-Electrico!$B$10*K8-Electrico!$B$11*J8)+0.3*E8</f>
        <v>-182.322667288706</v>
      </c>
      <c r="F9" s="15" t="n">
        <f aca="false">0.7*(Electrico!$B$18-Electrico!$B$16*H8+Electrico!$B$17*I8-Electrico!$B$10*J8+Electrico!$B$11*K8-Electrico!$B$16*L8+Electrico!$B$17*M8)+0.3*F8</f>
        <v>5690.12418100611</v>
      </c>
      <c r="G9" s="15" t="n">
        <f aca="false">0.7*(-Electrico!$B$16*I8-Electrico!$B$17*H8-Electrico!$B$10*K8-Electrico!$B$11*J8-Electrico!$B$16*M8-Electrico!$B$17*L8)+0.3*G8</f>
        <v>-363.806730643647</v>
      </c>
      <c r="H9" s="15" t="n">
        <f aca="false">J9+(Parametros!$E$33*1000*B9+Parametros!$E$34*1000*C9)/(3*(B9^2+C9^2))</f>
        <v>9.73737473487187</v>
      </c>
      <c r="I9" s="15" t="n">
        <f aca="false">K9+(Parametros!$E$33*1000*C9-Parametros!$E$34*1000*B9)/(3*(B9^2+C9^2))</f>
        <v>-5.77038567055357</v>
      </c>
      <c r="J9" s="15" t="n">
        <f aca="false">L9+(Parametros!$E$33*1000*D9+Parametros!$E$34*1000*E9)/(3*(D9^2+E9^2))</f>
        <v>9.71631994104755</v>
      </c>
      <c r="K9" s="15" t="n">
        <f aca="false">M9+(Parametros!$E$33*1000*E9-Parametros!$E$34*1000*D9)/(3*(D9^2+E9^2))</f>
        <v>-5.62859489644162</v>
      </c>
      <c r="L9" s="15" t="n">
        <f aca="false">(Demanda!$G$21*1000*F9+Demanda!$G$24*1000*G9)/(3*(F9^2+G9^2))</f>
        <v>9.69511624476696</v>
      </c>
      <c r="M9" s="15" t="n">
        <f aca="false">(Demanda!$G$21*1000*G9-Demanda!$G$24*1000*F9)/(3*(F9^2+G9^2))</f>
        <v>-5.48528779128355</v>
      </c>
      <c r="N9" s="15" t="n">
        <f aca="false">SQRT(F9^2+G9^2)*SQRT(3)*Parametros!$E$29/(Parametros!$E$27*1000)</f>
        <v>375.276898413597</v>
      </c>
      <c r="O9" s="15" t="n">
        <f aca="false">SQRT(J9^2+K9^2)</f>
        <v>11.2288892462722</v>
      </c>
      <c r="P9" s="15" t="n">
        <f aca="false">3*O9^2*Electrico!$B$10/1000</f>
        <v>2.05494455059465</v>
      </c>
      <c r="Q9" s="15" t="n">
        <f aca="false">MAX(ABS(B9-B8),ABS(C9-C8),ABS(D9-D8),ABS(E9-E8),ABS(F9-F8),ABS(G9-G8))</f>
        <v>105.621654493605</v>
      </c>
    </row>
    <row r="10" customFormat="false" ht="21" hidden="false" customHeight="true" outlineLevel="0" collapsed="false">
      <c r="A10" s="1" t="n">
        <v>3</v>
      </c>
      <c r="B10" s="15" t="n">
        <f aca="false">0.7*(Electrico!$B$18-Electrico!$B$16*H9+Electrico!$B$17*I9)+0.3*B9</f>
        <v>5886.09925507986</v>
      </c>
      <c r="C10" s="15" t="n">
        <f aca="false">0.7*(-Electrico!$B$16*I9-Electrico!$B$17*H9)+0.3*C9</f>
        <v>-194.376667343354</v>
      </c>
      <c r="D10" s="15" t="n">
        <f aca="false">0.7*(Electrico!$B$18-Electrico!$B$16*H9+Electrico!$B$17*I9-Electrico!$B$10*J9+Electrico!$B$11*K9)+0.3*D9</f>
        <v>5818.33524916169</v>
      </c>
      <c r="E10" s="15" t="n">
        <f aca="false">0.7*(-Electrico!$B$16*I9-Electrico!$B$17*H9-Electrico!$B$10*K9-Electrico!$B$11*J9)+0.3*E9</f>
        <v>-194.34024905524</v>
      </c>
      <c r="F10" s="15" t="n">
        <f aca="false">0.7*(Electrico!$B$18-Electrico!$B$16*H9+Electrico!$B$17*I9-Electrico!$B$10*J9+Electrico!$B$11*K9-Electrico!$B$16*L9+Electrico!$B$17*M9)+0.3*F9</f>
        <v>5648.94947611471</v>
      </c>
      <c r="G10" s="15" t="n">
        <f aca="false">0.7*(-Electrico!$B$16*I9-Electrico!$B$17*H9-Electrico!$B$10*K9-Electrico!$B$11*J9-Electrico!$B$16*M9-Electrico!$B$17*L9)+0.3*G9</f>
        <v>-389.102196556075</v>
      </c>
      <c r="H10" s="15" t="n">
        <f aca="false">J10+(Parametros!$E$33*1000*B10+Parametros!$E$34*1000*C10)/(3*(B10^2+C10^2))</f>
        <v>9.77704466577233</v>
      </c>
      <c r="I10" s="15" t="n">
        <f aca="false">K10+(Parametros!$E$33*1000*C10-Parametros!$E$34*1000*B10)/(3*(B10^2+C10^2))</f>
        <v>-5.85763911956665</v>
      </c>
      <c r="J10" s="15" t="n">
        <f aca="false">L10+(Parametros!$E$33*1000*D10+Parametros!$E$34*1000*E10)/(3*(D10^2+E10^2))</f>
        <v>9.75625884408468</v>
      </c>
      <c r="K10" s="15" t="n">
        <f aca="false">M10+(Parametros!$E$33*1000*E10-Parametros!$E$34*1000*D10)/(3*(D10^2+E10^2))</f>
        <v>-5.71537620897127</v>
      </c>
      <c r="L10" s="15" t="n">
        <f aca="false">(Demanda!$G$21*1000*F10+Demanda!$G$24*1000*G10)/(3*(F10^2+G10^2))</f>
        <v>9.73528559404745</v>
      </c>
      <c r="M10" s="15" t="n">
        <f aca="false">(Demanda!$G$21*1000*G10-Demanda!$G$24*1000*F10)/(3*(F10^2+G10^2))</f>
        <v>-5.57145028443989</v>
      </c>
      <c r="N10" s="15" t="n">
        <f aca="false">SQRT(F10^2+G10^2)*SQRT(3)*Parametros!$E$29/(Parametros!$E$27*1000)</f>
        <v>372.683132172174</v>
      </c>
      <c r="O10" s="15" t="n">
        <f aca="false">SQRT(J10^2+K10^2)</f>
        <v>11.3070823753458</v>
      </c>
      <c r="P10" s="15" t="n">
        <f aca="false">3*O10^2*Electrico!$B$10/1000</f>
        <v>2.08366368796003</v>
      </c>
      <c r="Q10" s="15" t="n">
        <f aca="false">MAX(ABS(B10-B9),ABS(C10-C9),ABS(D10-D9),ABS(E10-E9),ABS(F10-F9),ABS(G10-G9))</f>
        <v>41.1747048913994</v>
      </c>
    </row>
    <row r="11" customFormat="false" ht="21" hidden="false" customHeight="true" outlineLevel="0" collapsed="false">
      <c r="A11" s="1" t="n">
        <v>4</v>
      </c>
      <c r="B11" s="15" t="n">
        <f aca="false">0.7*(Electrico!$B$18-Electrico!$B$16*H10+Electrico!$B$17*I10)+0.3*B10</f>
        <v>5879.12451593999</v>
      </c>
      <c r="C11" s="15" t="n">
        <f aca="false">0.7*(-Electrico!$B$16*I10-Electrico!$B$17*H10)+0.3*C10</f>
        <v>-198.683607878906</v>
      </c>
      <c r="D11" s="15" t="n">
        <f aca="false">0.7*(Electrico!$B$18-Electrico!$B$16*H10+Electrico!$B$17*I10-Electrico!$B$10*J10+Electrico!$B$11*K10)+0.3*D10</f>
        <v>5809.32600255679</v>
      </c>
      <c r="E11" s="15" t="n">
        <f aca="false">0.7*(-Electrico!$B$16*I10-Electrico!$B$17*H10-Electrico!$B$10*K10-Electrico!$B$11*J10)+0.3*E10</f>
        <v>-198.051063649702</v>
      </c>
      <c r="F11" s="15" t="n">
        <f aca="false">0.7*(Electrico!$B$18-Electrico!$B$16*H10+Electrico!$B$17*I10-Electrico!$B$10*J10+Electrico!$B$11*K10-Electrico!$B$16*L10+Electrico!$B$17*M10)+0.3*F10</f>
        <v>5633.12969410071</v>
      </c>
      <c r="G11" s="15" t="n">
        <f aca="false">0.7*(-Electrico!$B$16*I10-Electrico!$B$17*H10-Electrico!$B$10*K10-Electrico!$B$11*J10-Electrico!$B$16*M10-Electrico!$B$17*L10)+0.3*G10</f>
        <v>-397.15749633307</v>
      </c>
      <c r="H11" s="15" t="n">
        <f aca="false">J11+(Parametros!$E$33*1000*B11+Parametros!$E$34*1000*C11)/(3*(B11^2+C11^2))</f>
        <v>9.79409438494315</v>
      </c>
      <c r="I11" s="15" t="n">
        <f aca="false">K11+(Parametros!$E$33*1000*C11-Parametros!$E$34*1000*B11)/(3*(B11^2+C11^2))</f>
        <v>-5.88883528548817</v>
      </c>
      <c r="J11" s="15" t="n">
        <f aca="false">L11+(Parametros!$E$33*1000*D11+Parametros!$E$34*1000*E11)/(3*(D11^2+E11^2))</f>
        <v>9.77339424354206</v>
      </c>
      <c r="K11" s="15" t="n">
        <f aca="false">M11+(Parametros!$E$33*1000*E11-Parametros!$E$34*1000*D11)/(3*(D11^2+E11^2))</f>
        <v>-5.74639126855335</v>
      </c>
      <c r="L11" s="15" t="n">
        <f aca="false">(Demanda!$G$21*1000*F11+Demanda!$G$24*1000*G11)/(3*(F11^2+G11^2))</f>
        <v>9.75248839086627</v>
      </c>
      <c r="M11" s="15" t="n">
        <f aca="false">(Demanda!$G$21*1000*G11-Demanda!$G$24*1000*F11)/(3*(F11^2+G11^2))</f>
        <v>-5.60223104078791</v>
      </c>
      <c r="N11" s="15" t="n">
        <f aca="false">SQRT(F11^2+G11^2)*SQRT(3)*Parametros!$E$29/(Parametros!$E$27*1000)</f>
        <v>371.681286148933</v>
      </c>
      <c r="O11" s="15" t="n">
        <f aca="false">SQRT(J11^2+K11^2)</f>
        <v>11.3375591575527</v>
      </c>
      <c r="P11" s="15" t="n">
        <f aca="false">3*O11^2*Electrico!$B$10/1000</f>
        <v>2.09491131928768</v>
      </c>
      <c r="Q11" s="15" t="n">
        <f aca="false">MAX(ABS(B11-B10),ABS(C11-C10),ABS(D11-D10),ABS(E11-E10),ABS(F11-F10),ABS(G11-G10))</f>
        <v>15.8197820139976</v>
      </c>
    </row>
    <row r="12" customFormat="false" ht="21" hidden="false" customHeight="true" outlineLevel="0" collapsed="false">
      <c r="A12" s="1" t="n">
        <v>5</v>
      </c>
      <c r="B12" s="15" t="n">
        <f aca="false">0.7*(Electrico!$B$18-Electrico!$B$16*H11+Electrico!$B$17*I11)+0.3*B11</f>
        <v>5876.46011646989</v>
      </c>
      <c r="C12" s="15" t="n">
        <f aca="false">0.7*(-Electrico!$B$16*I11-Electrico!$B$17*H11)+0.3*C11</f>
        <v>-200.14762849994</v>
      </c>
      <c r="D12" s="15" t="n">
        <f aca="false">0.7*(Electrico!$B$18-Electrico!$B$16*H11+Electrico!$B$17*I11-Electrico!$B$10*J11+Electrico!$B$11*K11)+0.3*D11</f>
        <v>5805.918970962</v>
      </c>
      <c r="E12" s="15" t="n">
        <f aca="false">0.7*(-Electrico!$B$16*I11-Electrico!$B$17*H11-Electrico!$B$10*K11-Electrico!$B$11*J11)+0.3*E11</f>
        <v>-199.255383932754</v>
      </c>
      <c r="F12" s="15" t="n">
        <f aca="false">0.7*(Electrico!$B$18-Electrico!$B$16*H11+Electrico!$B$17*I11-Electrico!$B$10*J11+Electrico!$B$11*K11-Electrico!$B$16*L11+Electrico!$B$17*M11)+0.3*F11</f>
        <v>5627.11382088612</v>
      </c>
      <c r="G12" s="15" t="n">
        <f aca="false">0.7*(-Electrico!$B$16*I11-Electrico!$B$17*H11-Electrico!$B$10*K11-Electrico!$B$11*J11-Electrico!$B$16*M11-Electrico!$B$17*L11)+0.3*G11</f>
        <v>-399.841059118305</v>
      </c>
      <c r="H12" s="15" t="n">
        <f aca="false">J12+(Parametros!$E$33*1000*B12+Parametros!$E$34*1000*C12)/(3*(B12^2+C12^2))</f>
        <v>9.80100862736737</v>
      </c>
      <c r="I12" s="15" t="n">
        <f aca="false">K12+(Parametros!$E$33*1000*C12-Parametros!$E$34*1000*B12)/(3*(B12^2+C12^2))</f>
        <v>-5.90012729012743</v>
      </c>
      <c r="J12" s="15" t="n">
        <f aca="false">L12+(Parametros!$E$33*1000*D12+Parametros!$E$34*1000*E12)/(3*(D12^2+E12^2))</f>
        <v>9.78033693034011</v>
      </c>
      <c r="K12" s="15" t="n">
        <f aca="false">M12+(Parametros!$E$33*1000*E12-Parametros!$E$34*1000*D12)/(3*(D12^2+E12^2))</f>
        <v>-5.75761450047652</v>
      </c>
      <c r="L12" s="15" t="n">
        <f aca="false">(Demanda!$G$21*1000*F12+Demanda!$G$24*1000*G12)/(3*(F12^2+G12^2))</f>
        <v>9.75945174057699</v>
      </c>
      <c r="M12" s="15" t="n">
        <f aca="false">(Demanda!$G$21*1000*G12-Demanda!$G$24*1000*F12)/(3*(F12^2+G12^2))</f>
        <v>-5.61336604919314</v>
      </c>
      <c r="N12" s="15" t="n">
        <f aca="false">SQRT(F12^2+G12^2)*SQRT(3)*Parametros!$E$29/(Parametros!$E$27*1000)</f>
        <v>371.298792350866</v>
      </c>
      <c r="O12" s="15" t="n">
        <f aca="false">SQRT(J12^2+K12^2)</f>
        <v>11.3492341242514</v>
      </c>
      <c r="P12" s="15" t="n">
        <f aca="false">3*O12^2*Electrico!$B$10/1000</f>
        <v>2.0992280531625</v>
      </c>
      <c r="Q12" s="15" t="n">
        <f aca="false">MAX(ABS(B12-B11),ABS(C12-C11),ABS(D12-D11),ABS(E12-E11),ABS(F12-F11),ABS(G12-G11))</f>
        <v>6.01587321459465</v>
      </c>
    </row>
    <row r="13" customFormat="false" ht="21" hidden="false" customHeight="true" outlineLevel="0" collapsed="false">
      <c r="A13" s="1" t="n">
        <v>6</v>
      </c>
      <c r="B13" s="15" t="n">
        <f aca="false">0.7*(Electrico!$B$18-Electrico!$B$16*H12+Electrico!$B$17*I12)+0.3*B12</f>
        <v>5875.45118017917</v>
      </c>
      <c r="C13" s="15" t="n">
        <f aca="false">0.7*(-Electrico!$B$16*I12-Electrico!$B$17*H12)+0.3*C12</f>
        <v>-200.661280404055</v>
      </c>
      <c r="D13" s="15" t="n">
        <f aca="false">0.7*(Electrico!$B$18-Electrico!$B$16*H12+Electrico!$B$17*I12-Electrico!$B$10*J12+Electrico!$B$11*K12)+0.3*D12</f>
        <v>5804.63655602266</v>
      </c>
      <c r="E13" s="15" t="n">
        <f aca="false">0.7*(-Electrico!$B$16*I12-Electrico!$B$17*H12-Electrico!$B$10*K12-Electrico!$B$11*J12)+0.3*E12</f>
        <v>-199.663470207154</v>
      </c>
      <c r="F13" s="15" t="n">
        <f aca="false">0.7*(Electrico!$B$18-Electrico!$B$16*H12+Electrico!$B$17*I12-Electrico!$B$10*J12+Electrico!$B$11*K12-Electrico!$B$16*L12+Electrico!$B$17*M12)+0.3*F12</f>
        <v>5624.84154710667</v>
      </c>
      <c r="G13" s="15" t="n">
        <f aca="false">0.7*(-Electrico!$B$16*I12-Electrico!$B$17*H12-Electrico!$B$10*K12-Electrico!$B$11*J12-Electrico!$B$16*M12-Electrico!$B$17*L12)+0.3*G12</f>
        <v>-400.768716143863</v>
      </c>
      <c r="H13" s="15" t="n">
        <f aca="false">J13+(Parametros!$E$33*1000*B13+Parametros!$E$34*1000*C13)/(3*(B13^2+C13^2))</f>
        <v>9.80371884847611</v>
      </c>
      <c r="I13" s="15" t="n">
        <f aca="false">K13+(Parametros!$E$33*1000*C13-Parametros!$E$34*1000*B13)/(3*(B13^2+C13^2))</f>
        <v>-5.90425779936374</v>
      </c>
      <c r="J13" s="15" t="n">
        <f aca="false">L13+(Parametros!$E$33*1000*D13+Parametros!$E$34*1000*E13)/(3*(D13^2+E13^2))</f>
        <v>9.78305694673175</v>
      </c>
      <c r="K13" s="15" t="n">
        <f aca="false">M13+(Parametros!$E$33*1000*E13-Parametros!$E$34*1000*D13)/(3*(D13^2+E13^2))</f>
        <v>-5.76171906466739</v>
      </c>
      <c r="L13" s="15" t="n">
        <f aca="false">(Demanda!$G$21*1000*F13+Demanda!$G$24*1000*G13)/(3*(F13^2+G13^2))</f>
        <v>9.76217842280203</v>
      </c>
      <c r="M13" s="15" t="n">
        <f aca="false">(Demanda!$G$21*1000*G13-Demanda!$G$24*1000*F13)/(3*(F13^2+G13^2))</f>
        <v>-5.61743750564282</v>
      </c>
      <c r="N13" s="15" t="n">
        <f aca="false">SQRT(F13^2+G13^2)*SQRT(3)*Parametros!$E$29/(Parametros!$E$27*1000)</f>
        <v>371.153946536423</v>
      </c>
      <c r="O13" s="15" t="n">
        <f aca="false">SQRT(J13^2+K13^2)</f>
        <v>11.3536606344891</v>
      </c>
      <c r="P13" s="15" t="n">
        <f aca="false">3*O13^2*Electrico!$B$10/1000</f>
        <v>2.10086588466426</v>
      </c>
      <c r="Q13" s="15" t="n">
        <f aca="false">MAX(ABS(B13-B12),ABS(C13-C12),ABS(D13-D12),ABS(E13-E12),ABS(F13-F12),ABS(G13-G12))</f>
        <v>2.27227377944564</v>
      </c>
    </row>
    <row r="14" customFormat="false" ht="21" hidden="false" customHeight="true" outlineLevel="0" collapsed="false">
      <c r="A14" s="1" t="n">
        <v>7</v>
      </c>
      <c r="B14" s="15" t="n">
        <f aca="false">0.7*(Electrico!$B$18-Electrico!$B$16*H13+Electrico!$B$17*I13)+0.3*B13</f>
        <v>5875.07119493646</v>
      </c>
      <c r="C14" s="15" t="n">
        <f aca="false">0.7*(-Electrico!$B$16*I13-Electrico!$B$17*H13)+0.3*C13</f>
        <v>-200.845583596368</v>
      </c>
      <c r="D14" s="15" t="n">
        <f aca="false">0.7*(Electrico!$B$18-Electrico!$B$16*H13+Electrico!$B$17*I13-Electrico!$B$10*J13+Electrico!$B$11*K13)+0.3*D13</f>
        <v>5804.1553011251</v>
      </c>
      <c r="E14" s="15" t="n">
        <f aca="false">0.7*(-Electrico!$B$16*I13-Electrico!$B$17*H13-Electrico!$B$10*K13-Electrico!$B$11*J13)+0.3*E13</f>
        <v>-199.806381068681</v>
      </c>
      <c r="F14" s="15" t="n">
        <f aca="false">0.7*(Electrico!$B$18-Electrico!$B$16*H13+Electrico!$B$17*I13-Electrico!$B$10*J13+Electrico!$B$11*K13-Electrico!$B$16*L13+Electrico!$B$17*M13)+0.3*F13</f>
        <v>5623.98694371765</v>
      </c>
      <c r="G14" s="15" t="n">
        <f aca="false">0.7*(-Electrico!$B$16*I13-Electrico!$B$17*H13-Electrico!$B$10*K13-Electrico!$B$11*J13-Electrico!$B$16*M13-Electrico!$B$17*L13)+0.3*G13</f>
        <v>-401.098181459592</v>
      </c>
      <c r="H14" s="15" t="n">
        <f aca="false">J14+(Parametros!$E$33*1000*B14+Parametros!$E$34*1000*C14)/(3*(B14^2+C14^2))</f>
        <v>9.80476048754092</v>
      </c>
      <c r="I14" s="15" t="n">
        <f aca="false">K14+(Parametros!$E$33*1000*C14-Parametros!$E$34*1000*B14)/(3*(B14^2+C14^2))</f>
        <v>-5.90578014212517</v>
      </c>
      <c r="J14" s="15" t="n">
        <f aca="false">L14+(Parametros!$E$33*1000*D14+Parametros!$E$34*1000*E14)/(3*(D14^2+E14^2))</f>
        <v>9.78410205419723</v>
      </c>
      <c r="K14" s="15" t="n">
        <f aca="false">M14+(Parametros!$E$33*1000*E14-Parametros!$E$34*1000*D14)/(3*(D14^2+E14^2))</f>
        <v>-5.76323165877126</v>
      </c>
      <c r="L14" s="15" t="n">
        <f aca="false">(Demanda!$G$21*1000*F14+Demanda!$G$24*1000*G14)/(3*(F14^2+G14^2))</f>
        <v>9.76322577849869</v>
      </c>
      <c r="M14" s="15" t="n">
        <f aca="false">(Demanda!$G$21*1000*G14-Demanda!$G$24*1000*F14)/(3*(F14^2+G14^2))</f>
        <v>-5.61893769987796</v>
      </c>
      <c r="N14" s="15" t="n">
        <f aca="false">SQRT(F14^2+G14^2)*SQRT(3)*Parametros!$E$29/(Parametros!$E$27*1000)</f>
        <v>371.099382551369</v>
      </c>
      <c r="O14" s="15" t="n">
        <f aca="false">SQRT(J14^2+K14^2)</f>
        <v>11.3553288001541</v>
      </c>
      <c r="P14" s="15" t="n">
        <f aca="false">3*O14^2*Electrico!$B$10/1000</f>
        <v>2.10148328021782</v>
      </c>
      <c r="Q14" s="15" t="n">
        <f aca="false">MAX(ABS(B14-B13),ABS(C14-C13),ABS(D14-D13),ABS(E14-E13),ABS(F14-F13),ABS(G14-G13))</f>
        <v>0.854603389021577</v>
      </c>
    </row>
    <row r="15" customFormat="false" ht="21" hidden="false" customHeight="true" outlineLevel="0" collapsed="false">
      <c r="A15" s="1" t="n">
        <v>8</v>
      </c>
      <c r="B15" s="15" t="n">
        <f aca="false">0.7*(Electrico!$B$18-Electrico!$B$16*H14+Electrico!$B$17*I14)+0.3*B14</f>
        <v>5874.92855957032</v>
      </c>
      <c r="C15" s="15" t="n">
        <f aca="false">0.7*(-Electrico!$B$16*I14-Electrico!$B$17*H14)+0.3*C14</f>
        <v>-200.912710725984</v>
      </c>
      <c r="D15" s="15" t="n">
        <f aca="false">0.7*(Electrico!$B$18-Electrico!$B$16*H14+Electrico!$B$17*I14-Electrico!$B$10*J14+Electrico!$B$11*K14)+0.3*D14</f>
        <v>5803.97503723558</v>
      </c>
      <c r="E15" s="15" t="n">
        <f aca="false">0.7*(-Electrico!$B$16*I14-Electrico!$B$17*H14-Electrico!$B$10*K14-Electrico!$B$11*J14)+0.3*E14</f>
        <v>-199.857600049146</v>
      </c>
      <c r="F15" s="15" t="n">
        <f aca="false">0.7*(Electrico!$B$18-Electrico!$B$16*H14+Electrico!$B$17*I14-Electrico!$B$10*J14+Electrico!$B$11*K14-Electrico!$B$16*L14+Electrico!$B$17*M14)+0.3*F14</f>
        <v>5623.66637970145</v>
      </c>
      <c r="G15" s="15" t="n">
        <f aca="false">0.7*(-Electrico!$B$16*I14-Electrico!$B$17*H14-Electrico!$B$10*K14-Electrico!$B$11*J14-Electrico!$B$16*M14-Electrico!$B$17*L14)+0.3*G14</f>
        <v>-401.217373813981</v>
      </c>
      <c r="H15" s="15" t="n">
        <f aca="false">J15+(Parametros!$E$33*1000*B15+Parametros!$E$34*1000*C15)/(3*(B15^2+C15^2))</f>
        <v>9.80515624919426</v>
      </c>
      <c r="I15" s="15" t="n">
        <f aca="false">K15+(Parametros!$E$33*1000*C15-Parametros!$E$34*1000*B15)/(3*(B15^2+C15^2))</f>
        <v>-5.90634403960058</v>
      </c>
      <c r="J15" s="15" t="n">
        <f aca="false">L15+(Parametros!$E$33*1000*D15+Parametros!$E$34*1000*E15)/(3*(D15^2+E15^2))</f>
        <v>9.78449906801966</v>
      </c>
      <c r="K15" s="15" t="n">
        <f aca="false">M15+(Parametros!$E$33*1000*E15-Parametros!$E$34*1000*D15)/(3*(D15^2+E15^2))</f>
        <v>-5.7637919021393</v>
      </c>
      <c r="L15" s="15" t="n">
        <f aca="false">(Demanda!$G$21*1000*F15+Demanda!$G$24*1000*G15)/(3*(F15^2+G15^2))</f>
        <v>9.763623577033</v>
      </c>
      <c r="M15" s="15" t="n">
        <f aca="false">(Demanda!$G$21*1000*G15-Demanda!$G$24*1000*F15)/(3*(F15^2+G15^2))</f>
        <v>-5.61949330445603</v>
      </c>
      <c r="N15" s="15" t="n">
        <f aca="false">SQRT(F15^2+G15^2)*SQRT(3)*Parametros!$E$29/(Parametros!$E$27*1000)</f>
        <v>371.078895344519</v>
      </c>
      <c r="O15" s="15" t="n">
        <f aca="false">SQRT(J15^2+K15^2)</f>
        <v>11.3559552263667</v>
      </c>
      <c r="P15" s="15" t="n">
        <f aca="false">3*O15^2*Electrico!$B$10/1000</f>
        <v>2.10171514677948</v>
      </c>
      <c r="Q15" s="15" t="n">
        <f aca="false">MAX(ABS(B15-B14),ABS(C15-C14),ABS(D15-D14),ABS(E15-E14),ABS(F15-F14),ABS(G15-G14))</f>
        <v>0.320564016202297</v>
      </c>
    </row>
    <row r="16" customFormat="false" ht="21" hidden="false" customHeight="true" outlineLevel="0" collapsed="false">
      <c r="A16" s="1" t="n">
        <v>9</v>
      </c>
      <c r="B16" s="15" t="n">
        <f aca="false">0.7*(Electrico!$B$18-Electrico!$B$16*H15+Electrico!$B$17*I15)+0.3*B15</f>
        <v>5874.87512591745</v>
      </c>
      <c r="C16" s="15" t="n">
        <f aca="false">0.7*(-Electrico!$B$16*I15-Electrico!$B$17*H15)+0.3*C15</f>
        <v>-200.93739627049</v>
      </c>
      <c r="D16" s="15" t="n">
        <f aca="false">0.7*(Electrico!$B$18-Electrico!$B$16*H15+Electrico!$B$17*I15-Electrico!$B$10*J15+Electrico!$B$11*K15)+0.3*D15</f>
        <v>5803.90759288058</v>
      </c>
      <c r="E16" s="15" t="n">
        <f aca="false">0.7*(-Electrico!$B$16*I15-Electrico!$B$17*H15-Electrico!$B$10*K15-Electrico!$B$11*J15)+0.3*E15</f>
        <v>-199.876241804857</v>
      </c>
      <c r="F16" s="15" t="n">
        <f aca="false">0.7*(Electrico!$B$18-Electrico!$B$16*H15+Electrico!$B$17*I15-Electrico!$B$10*J15+Electrico!$B$11*K15-Electrico!$B$16*L15+Electrico!$B$17*M15)+0.3*F15</f>
        <v>5623.54633150631</v>
      </c>
      <c r="G16" s="15" t="n">
        <f aca="false">0.7*(-Electrico!$B$16*I15-Electrico!$B$17*H15-Electrico!$B$10*K15-Electrico!$B$11*J15-Electrico!$B$16*M15-Electrico!$B$17*L15)+0.3*G15</f>
        <v>-401.261017261279</v>
      </c>
      <c r="H16" s="15" t="n">
        <f aca="false">J16+(Parametros!$E$33*1000*B16+Parametros!$E$34*1000*C16)/(3*(B16^2+C16^2))</f>
        <v>9.80530559625269</v>
      </c>
      <c r="I16" s="15" t="n">
        <f aca="false">K16+(Parametros!$E$33*1000*C16-Parametros!$E$34*1000*B16)/(3*(B16^2+C16^2))</f>
        <v>-5.90655358626604</v>
      </c>
      <c r="J16" s="15" t="n">
        <f aca="false">L16+(Parametros!$E$33*1000*D16+Parametros!$E$34*1000*E16)/(3*(D16^2+E16^2))</f>
        <v>9.78464887296162</v>
      </c>
      <c r="K16" s="15" t="n">
        <f aca="false">M16+(Parametros!$E$33*1000*E16-Parametros!$E$34*1000*D16)/(3*(D16^2+E16^2))</f>
        <v>-5.76400008111454</v>
      </c>
      <c r="L16" s="15" t="n">
        <f aca="false">(Demanda!$G$21*1000*F16+Demanda!$G$24*1000*G16)/(3*(F16^2+G16^2))</f>
        <v>9.76377366259152</v>
      </c>
      <c r="M16" s="15" t="n">
        <f aca="false">(Demanda!$G$21*1000*G16-Demanda!$G$24*1000*F16)/(3*(F16^2+G16^2))</f>
        <v>-5.61969974922154</v>
      </c>
      <c r="N16" s="15" t="n">
        <f aca="false">SQRT(F16^2+G16^2)*SQRT(3)*Parametros!$E$29/(Parametros!$E$27*1000)</f>
        <v>371.071218487972</v>
      </c>
      <c r="O16" s="15" t="n">
        <f aca="false">SQRT(J16^2+K16^2)</f>
        <v>11.3561899641666</v>
      </c>
      <c r="P16" s="15" t="n">
        <f aca="false">3*O16^2*Electrico!$B$10/1000</f>
        <v>2.10180203635923</v>
      </c>
      <c r="Q16" s="15" t="n">
        <f aca="false">MAX(ABS(B16-B15),ABS(C16-C15),ABS(D16-D15),ABS(E16-E15),ABS(F16-F15),ABS(G16-G15))</f>
        <v>0.120048195141862</v>
      </c>
    </row>
    <row r="17" customFormat="false" ht="21" hidden="false" customHeight="true" outlineLevel="0" collapsed="false">
      <c r="A17" s="1" t="n">
        <v>10</v>
      </c>
      <c r="B17" s="15" t="n">
        <f aca="false">0.7*(Electrico!$B$18-Electrico!$B$16*H16+Electrico!$B$17*I16)+0.3*B16</f>
        <v>5874.85513290475</v>
      </c>
      <c r="C17" s="15" t="n">
        <f aca="false">0.7*(-Electrico!$B$16*I16-Electrico!$B$17*H16)+0.3*C16</f>
        <v>-200.94652925197</v>
      </c>
      <c r="D17" s="15" t="n">
        <f aca="false">0.7*(Electrico!$B$18-Electrico!$B$16*H16+Electrico!$B$17*I16-Electrico!$B$10*J16+Electrico!$B$11*K16)+0.3*D16</f>
        <v>5803.8823764744</v>
      </c>
      <c r="E17" s="15" t="n">
        <f aca="false">0.7*(-Electrico!$B$16*I16-Electrico!$B$17*H16-Electrico!$B$10*K16-Electrico!$B$11*J16)+0.3*E16</f>
        <v>-199.883094168928</v>
      </c>
      <c r="F17" s="15" t="n">
        <f aca="false">0.7*(Electrico!$B$18-Electrico!$B$16*H16+Electrico!$B$17*I16-Electrico!$B$10*J16+Electrico!$B$11*K16-Electrico!$B$16*L16+Electrico!$B$17*M16)+0.3*F16</f>
        <v>5623.50141945406</v>
      </c>
      <c r="G17" s="15" t="n">
        <f aca="false">0.7*(-Electrico!$B$16*I16-Electrico!$B$17*H16-Electrico!$B$10*K16-Electrico!$B$11*J16-Electrico!$B$16*M16-Electrico!$B$17*L16)+0.3*G16</f>
        <v>-401.277120359707</v>
      </c>
      <c r="H17" s="15" t="n">
        <f aca="false">J17+(Parametros!$E$33*1000*B17+Parametros!$E$34*1000*C17)/(3*(B17^2+C17^2))</f>
        <v>9.80536172666149</v>
      </c>
      <c r="I17" s="15" t="n">
        <f aca="false">K17+(Parametros!$E$33*1000*C17-Parametros!$E$34*1000*B17)/(3*(B17^2+C17^2))</f>
        <v>-5.90663161105546</v>
      </c>
      <c r="J17" s="15" t="n">
        <f aca="false">L17+(Parametros!$E$33*1000*D17+Parametros!$E$34*1000*E17)/(3*(D17^2+E17^2))</f>
        <v>9.78470517217909</v>
      </c>
      <c r="K17" s="15" t="n">
        <f aca="false">M17+(Parametros!$E$33*1000*E17-Parametros!$E$34*1000*D17)/(3*(D17^2+E17^2))</f>
        <v>-5.76407759443432</v>
      </c>
      <c r="L17" s="15" t="n">
        <f aca="false">(Demanda!$G$21*1000*F17+Demanda!$G$24*1000*G17)/(3*(F17^2+G17^2))</f>
        <v>9.76383006379957</v>
      </c>
      <c r="M17" s="15" t="n">
        <f aca="false">(Demanda!$G$21*1000*G17-Demanda!$G$24*1000*F17)/(3*(F17^2+G17^2))</f>
        <v>-5.6197766144589</v>
      </c>
      <c r="N17" s="15" t="n">
        <f aca="false">SQRT(F17^2+G17^2)*SQRT(3)*Parametros!$E$29/(Parametros!$E$27*1000)</f>
        <v>371.068345402331</v>
      </c>
      <c r="O17" s="15" t="n">
        <f aca="false">SQRT(J17^2+K17^2)</f>
        <v>11.3562778154256</v>
      </c>
      <c r="P17" s="15" t="n">
        <f aca="false">3*O17^2*Electrico!$B$10/1000</f>
        <v>2.10183455548227</v>
      </c>
      <c r="Q17" s="15" t="n">
        <f aca="false">MAX(ABS(B17-B16),ABS(C17-C16),ABS(D17-D16),ABS(E17-E16),ABS(F17-F16),ABS(G17-G16))</f>
        <v>0.0449120522462181</v>
      </c>
    </row>
    <row r="18" customFormat="false" ht="21" hidden="false" customHeight="true" outlineLevel="0" collapsed="false">
      <c r="A18" s="1" t="n">
        <v>11</v>
      </c>
      <c r="B18" s="15" t="n">
        <f aca="false">0.7*(Electrico!$B$18-Electrico!$B$16*H17+Electrico!$B$17*I17)+0.3*B17</f>
        <v>5874.84765759837</v>
      </c>
      <c r="C18" s="15" t="n">
        <f aca="false">0.7*(-Electrico!$B$16*I17-Electrico!$B$17*H17)+0.3*C17</f>
        <v>-200.949920877371</v>
      </c>
      <c r="D18" s="15" t="n">
        <f aca="false">0.7*(Electrico!$B$18-Electrico!$B$16*H17+Electrico!$B$17*I17-Electrico!$B$10*J17+Electrico!$B$11*K17)+0.3*D17</f>
        <v>5803.87295231451</v>
      </c>
      <c r="E18" s="15" t="n">
        <f aca="false">0.7*(-Electrico!$B$16*I17-Electrico!$B$17*H17-Electrico!$B$10*K17-Electrico!$B$11*J17)+0.3*E17</f>
        <v>-199.885628674591</v>
      </c>
      <c r="F18" s="15" t="n">
        <f aca="false">0.7*(Electrico!$B$18-Electrico!$B$16*H17+Electrico!$B$17*I17-Electrico!$B$10*J17+Electrico!$B$11*K17-Electrico!$B$16*L17+Electrico!$B$17*M17)+0.3*F17</f>
        <v>5623.4846273175</v>
      </c>
      <c r="G18" s="15" t="n">
        <f aca="false">0.7*(-Electrico!$B$16*I17-Electrico!$B$17*H17-Electrico!$B$10*K17-Electrico!$B$11*J17-Electrico!$B$16*M17-Electrico!$B$17*L17)+0.3*G17</f>
        <v>-401.283090293809</v>
      </c>
      <c r="H18" s="15" t="n">
        <f aca="false">J18+(Parametros!$E$33*1000*B18+Parametros!$E$34*1000*C18)/(3*(B18^2+C18^2))</f>
        <v>9.80538277136768</v>
      </c>
      <c r="I18" s="15" t="n">
        <f aca="false">K18+(Parametros!$E$33*1000*C18-Parametros!$E$34*1000*B18)/(3*(B18^2+C18^2))</f>
        <v>-5.90666069964272</v>
      </c>
      <c r="J18" s="15" t="n">
        <f aca="false">L18+(Parametros!$E$33*1000*D18+Parametros!$E$34*1000*E18)/(3*(D18^2+E18^2))</f>
        <v>9.78472627943879</v>
      </c>
      <c r="K18" s="15" t="n">
        <f aca="false">M18+(Parametros!$E$33*1000*E18-Parametros!$E$34*1000*D18)/(3*(D18^2+E18^2))</f>
        <v>-5.76410649184657</v>
      </c>
      <c r="L18" s="15" t="n">
        <f aca="false">(Demanda!$G$21*1000*F18+Demanda!$G$24*1000*G18)/(3*(F18^2+G18^2))</f>
        <v>9.76385120851721</v>
      </c>
      <c r="M18" s="15" t="n">
        <f aca="false">(Demanda!$G$21*1000*G18-Demanda!$G$24*1000*F18)/(3*(F18^2+G18^2))</f>
        <v>-5.61980526973347</v>
      </c>
      <c r="N18" s="15" t="n">
        <f aca="false">SQRT(F18^2+G18^2)*SQRT(3)*Parametros!$E$29/(Parametros!$E$27*1000)</f>
        <v>371.06727094923</v>
      </c>
      <c r="O18" s="15" t="n">
        <f aca="false">SQRT(J18^2+K18^2)</f>
        <v>11.35631066909</v>
      </c>
      <c r="P18" s="15" t="n">
        <f aca="false">3*O18^2*Electrico!$B$10/1000</f>
        <v>2.10184671669709</v>
      </c>
      <c r="Q18" s="15" t="n">
        <f aca="false">MAX(ABS(B18-B17),ABS(C18-C17),ABS(D18-D17),ABS(E18-E17),ABS(F18-F17),ABS(G18-G17))</f>
        <v>0.01679213656098</v>
      </c>
    </row>
    <row r="19" customFormat="false" ht="21" hidden="false" customHeight="true" outlineLevel="0" collapsed="false">
      <c r="A19" s="1" t="n">
        <v>12</v>
      </c>
      <c r="B19" s="15" t="n">
        <f aca="false">0.7*(Electrico!$B$18-Electrico!$B$16*H18+Electrico!$B$17*I18)+0.3*B18</f>
        <v>5874.84486380106</v>
      </c>
      <c r="C19" s="15" t="n">
        <f aca="false">0.7*(-Electrico!$B$16*I18-Electrico!$B$17*H18)+0.3*C18</f>
        <v>-200.951183287811</v>
      </c>
      <c r="D19" s="15" t="n">
        <f aca="false">0.7*(Electrico!$B$18-Electrico!$B$16*H18+Electrico!$B$17*I18-Electrico!$B$10*J18+Electrico!$B$11*K18)+0.3*D18</f>
        <v>5803.86943105973</v>
      </c>
      <c r="E19" s="15" t="n">
        <f aca="false">0.7*(-Electrico!$B$16*I18-Electrico!$B$17*H18-Electrico!$B$10*K18-Electrico!$B$11*J18)+0.3*E18</f>
        <v>-199.886569734752</v>
      </c>
      <c r="F19" s="15" t="n">
        <f aca="false">0.7*(Electrico!$B$18-Electrico!$B$16*H18+Electrico!$B$17*I18-Electrico!$B$10*J18+Electrico!$B$11*K18-Electrico!$B$16*L18+Electrico!$B$17*M18)+0.3*F18</f>
        <v>5623.47835123957</v>
      </c>
      <c r="G19" s="15" t="n">
        <f aca="false">0.7*(-Electrico!$B$16*I18-Electrico!$B$17*H18-Electrico!$B$10*K18-Electrico!$B$11*J18-Electrico!$B$16*M18-Electrico!$B$17*L18)+0.3*G18</f>
        <v>-401.285310053704</v>
      </c>
      <c r="H19" s="15" t="n">
        <f aca="false">J19+(Parametros!$E$33*1000*B19+Parametros!$E$34*1000*C19)/(3*(B19^2+C19^2))</f>
        <v>9.80539065000123</v>
      </c>
      <c r="I19" s="15" t="n">
        <f aca="false">K19+(Parametros!$E$33*1000*C19-Parametros!$E$34*1000*B19)/(3*(B19^2+C19^2))</f>
        <v>-5.90667155246389</v>
      </c>
      <c r="J19" s="15" t="n">
        <f aca="false">L19+(Parametros!$E$33*1000*D19+Parametros!$E$34*1000*E19)/(3*(D19^2+E19^2))</f>
        <v>9.7847341813252</v>
      </c>
      <c r="K19" s="15" t="n">
        <f aca="false">M19+(Parametros!$E$33*1000*E19-Parametros!$E$34*1000*D19)/(3*(D19^2+E19^2))</f>
        <v>-5.76411727323235</v>
      </c>
      <c r="L19" s="15" t="n">
        <f aca="false">(Demanda!$G$21*1000*F19+Demanda!$G$24*1000*G19)/(3*(F19^2+G19^2))</f>
        <v>9.7638591242514</v>
      </c>
      <c r="M19" s="15" t="n">
        <f aca="false">(Demanda!$G$21*1000*G19-Demanda!$G$24*1000*F19)/(3*(F19^2+G19^2))</f>
        <v>-5.61981596066269</v>
      </c>
      <c r="N19" s="15" t="n">
        <f aca="false">SQRT(F19^2+G19^2)*SQRT(3)*Parametros!$E$29/(Parametros!$E$27*1000)</f>
        <v>371.066869317539</v>
      </c>
      <c r="O19" s="15" t="n">
        <f aca="false">SQRT(J19^2+K19^2)</f>
        <v>11.356322949739</v>
      </c>
      <c r="P19" s="15" t="n">
        <f aca="false">3*O19^2*Electrico!$B$10/1000</f>
        <v>2.10185126254943</v>
      </c>
      <c r="Q19" s="15" t="n">
        <f aca="false">MAX(ABS(B19-B18),ABS(C19-C18),ABS(D19-D18),ABS(E19-E18),ABS(F19-F18),ABS(G19-G18))</f>
        <v>0.00627607792921481</v>
      </c>
    </row>
    <row r="20" customFormat="false" ht="21" hidden="false" customHeight="true" outlineLevel="0" collapsed="false">
      <c r="A20" s="1" t="n">
        <v>13</v>
      </c>
      <c r="B20" s="15" t="n">
        <f aca="false">0.7*(Electrico!$B$18-Electrico!$B$16*H19+Electrico!$B$17*I19)+0.3*B19</f>
        <v>5874.84381991605</v>
      </c>
      <c r="C20" s="15" t="n">
        <f aca="false">0.7*(-Electrico!$B$16*I19-Electrico!$B$17*H19)+0.3*C19</f>
        <v>-200.951653833504</v>
      </c>
      <c r="D20" s="15" t="n">
        <f aca="false">0.7*(Electrico!$B$18-Electrico!$B$16*H19+Electrico!$B$17*I19-Electrico!$B$10*J19+Electrico!$B$11*K19)+0.3*D19</f>
        <v>5803.86811555699</v>
      </c>
      <c r="E20" s="15" t="n">
        <f aca="false">0.7*(-Electrico!$B$16*I19-Electrico!$B$17*H19-Electrico!$B$10*K19-Electrico!$B$11*J19)+0.3*E19</f>
        <v>-199.886919975817</v>
      </c>
      <c r="F20" s="15" t="n">
        <f aca="false">0.7*(Electrico!$B$18-Electrico!$B$16*H19+Electrico!$B$17*I19-Electrico!$B$10*J19+Electrico!$B$11*K19-Electrico!$B$16*L19+Electrico!$B$17*M19)+0.3*F19</f>
        <v>5623.47600607632</v>
      </c>
      <c r="G20" s="15" t="n">
        <f aca="false">0.7*(-Electrico!$B$16*I19-Electrico!$B$17*H19-Electrico!$B$10*K19-Electrico!$B$11*J19-Electrico!$B$16*M19-Electrico!$B$17*L19)+0.3*G19</f>
        <v>-401.286136899173</v>
      </c>
      <c r="H20" s="15" t="n">
        <f aca="false">J20+(Parametros!$E$33*1000*B20+Parametros!$E$34*1000*C20)/(3*(B20^2+C20^2))</f>
        <v>9.805393596963</v>
      </c>
      <c r="I20" s="15" t="n">
        <f aca="false">K20+(Parametros!$E$33*1000*C20-Parametros!$E$34*1000*B20)/(3*(B20^2+C20^2))</f>
        <v>-5.90667560348141</v>
      </c>
      <c r="J20" s="15" t="n">
        <f aca="false">L20+(Parametros!$E$33*1000*D20+Parametros!$E$34*1000*E20)/(3*(D20^2+E20^2))</f>
        <v>9.78473713694734</v>
      </c>
      <c r="K20" s="15" t="n">
        <f aca="false">M20+(Parametros!$E$33*1000*E20-Parametros!$E$34*1000*D20)/(3*(D20^2+E20^2))</f>
        <v>-5.76412129756153</v>
      </c>
      <c r="L20" s="15" t="n">
        <f aca="false">(Demanda!$G$21*1000*F20+Demanda!$G$24*1000*G20)/(3*(F20^2+G20^2))</f>
        <v>9.76386208501378</v>
      </c>
      <c r="M20" s="15" t="n">
        <f aca="false">(Demanda!$G$21*1000*G20-Demanda!$G$24*1000*F20)/(3*(F20^2+G20^2))</f>
        <v>-5.61981995120189</v>
      </c>
      <c r="N20" s="15" t="n">
        <f aca="false">SQRT(F20^2+G20^2)*SQRT(3)*Parametros!$E$29/(Parametros!$E$27*1000)</f>
        <v>371.066719228842</v>
      </c>
      <c r="O20" s="15" t="n">
        <f aca="false">SQRT(J20^2+K20^2)</f>
        <v>11.3563275389608</v>
      </c>
      <c r="P20" s="15" t="n">
        <f aca="false">3*O20^2*Electrico!$B$10/1000</f>
        <v>2.1018529613147</v>
      </c>
      <c r="Q20" s="15" t="n">
        <f aca="false">MAX(ABS(B20-B19),ABS(C20-C19),ABS(D20-D19),ABS(E20-E19),ABS(F20-F19),ABS(G20-G19))</f>
        <v>0.00234516325053846</v>
      </c>
    </row>
    <row r="21" customFormat="false" ht="21" hidden="false" customHeight="true" outlineLevel="0" collapsed="false">
      <c r="A21" s="1" t="n">
        <v>14</v>
      </c>
      <c r="B21" s="15" t="n">
        <f aca="false">0.7*(Electrico!$B$18-Electrico!$B$16*H20+Electrico!$B$17*I20)+0.3*B20</f>
        <v>5874.84342993086</v>
      </c>
      <c r="C21" s="15" t="n">
        <f aca="false">0.7*(-Electrico!$B$16*I20-Electrico!$B$17*H20)+0.3*C20</f>
        <v>-200.951829372208</v>
      </c>
      <c r="D21" s="15" t="n">
        <f aca="false">0.7*(Electrico!$B$18-Electrico!$B$16*H20+Electrico!$B$17*I20-Electrico!$B$10*J20+Electrico!$B$11*K20)+0.3*D20</f>
        <v>5803.86762413809</v>
      </c>
      <c r="E21" s="15" t="n">
        <f aca="false">0.7*(-Electrico!$B$16*I20-Electrico!$B$17*H20-Electrico!$B$10*K20-Electrico!$B$11*J20)+0.3*E20</f>
        <v>-199.887050515466</v>
      </c>
      <c r="F21" s="15" t="n">
        <f aca="false">0.7*(Electrico!$B$18-Electrico!$B$16*H20+Electrico!$B$17*I20-Electrico!$B$10*J20+Electrico!$B$11*K20-Electrico!$B$16*L20+Electrico!$B$17*M20)+0.3*F20</f>
        <v>5623.47512988576</v>
      </c>
      <c r="G21" s="15" t="n">
        <f aca="false">0.7*(-Electrico!$B$16*I20-Electrico!$B$17*H20-Electrico!$B$10*K20-Electrico!$B$11*J20-Electrico!$B$16*M20-Electrico!$B$17*L20)+0.3*G20</f>
        <v>-401.286445231965</v>
      </c>
      <c r="H21" s="15" t="n">
        <f aca="false">J21+(Parametros!$E$33*1000*B21+Parametros!$E$34*1000*C21)/(3*(B21^2+C21^2))</f>
        <v>9.8053946986687</v>
      </c>
      <c r="I21" s="15" t="n">
        <f aca="false">K21+(Parametros!$E$33*1000*C21-Parametros!$E$34*1000*B21)/(3*(B21^2+C21^2))</f>
        <v>-5.90667711602625</v>
      </c>
      <c r="J21" s="15" t="n">
        <f aca="false">L21+(Parametros!$E$33*1000*D21+Parametros!$E$34*1000*E21)/(3*(D21^2+E21^2))</f>
        <v>9.78473824188233</v>
      </c>
      <c r="K21" s="15" t="n">
        <f aca="false">M21+(Parametros!$E$33*1000*E21-Parametros!$E$34*1000*D21)/(3*(D21^2+E21^2))</f>
        <v>-5.76412280013655</v>
      </c>
      <c r="L21" s="15" t="n">
        <f aca="false">(Demanda!$G$21*1000*F21+Demanda!$G$24*1000*G21)/(3*(F21^2+G21^2))</f>
        <v>9.76386319186156</v>
      </c>
      <c r="M21" s="15" t="n">
        <f aca="false">(Demanda!$G$21*1000*G21-Demanda!$G$24*1000*F21)/(3*(F21^2+G21^2))</f>
        <v>-5.61982144115514</v>
      </c>
      <c r="N21" s="15" t="n">
        <f aca="false">SQRT(F21^2+G21^2)*SQRT(3)*Parametros!$E$29/(Parametros!$E$27*1000)</f>
        <v>371.066663150539</v>
      </c>
      <c r="O21" s="15" t="n">
        <f aca="false">SQRT(J21^2+K21^2)</f>
        <v>11.3563292536457</v>
      </c>
      <c r="P21" s="15" t="n">
        <f aca="false">3*O21^2*Electrico!$B$10/1000</f>
        <v>2.10185359602971</v>
      </c>
      <c r="Q21" s="15" t="n">
        <f aca="false">MAX(ABS(B21-B20),ABS(C21-C20),ABS(D21-D20),ABS(E21-E20),ABS(F21-F20),ABS(G21-G20))</f>
        <v>0.00087619055830146</v>
      </c>
    </row>
    <row r="22" customFormat="false" ht="21" hidden="false" customHeight="true" outlineLevel="0" collapsed="false">
      <c r="A22" s="1" t="n">
        <v>15</v>
      </c>
      <c r="B22" s="15" t="n">
        <f aca="false">0.7*(Electrico!$B$18-Electrico!$B$16*H21+Electrico!$B$17*I21)+0.3*B21</f>
        <v>5874.84328424801</v>
      </c>
      <c r="C22" s="15" t="n">
        <f aca="false">0.7*(-Electrico!$B$16*I21-Electrico!$B$17*H21)+0.3*C21</f>
        <v>-200.951894891344</v>
      </c>
      <c r="D22" s="15" t="n">
        <f aca="false">0.7*(Electrico!$B$18-Electrico!$B$16*H21+Electrico!$B$17*I21-Electrico!$B$10*J21+Electrico!$B$11*K21)+0.3*D21</f>
        <v>5803.86744057167</v>
      </c>
      <c r="E22" s="15" t="n">
        <f aca="false">0.7*(-Electrico!$B$16*I21-Electrico!$B$17*H21-Electrico!$B$10*K21-Electrico!$B$11*J21)+0.3*E21</f>
        <v>-199.887099212004</v>
      </c>
      <c r="F22" s="15" t="n">
        <f aca="false">0.7*(Electrico!$B$18-Electrico!$B$16*H21+Electrico!$B$17*I21-Electrico!$B$10*J21+Electrico!$B$11*K21-Electrico!$B$16*L21+Electrico!$B$17*M21)+0.3*F21</f>
        <v>5623.47480255404</v>
      </c>
      <c r="G22" s="15" t="n">
        <f aca="false">0.7*(-Electrico!$B$16*I21-Electrico!$B$17*H21-Electrico!$B$10*K21-Electrico!$B$11*J21-Electrico!$B$16*M21-Electrico!$B$17*L21)+0.3*G21</f>
        <v>-401.28656028693</v>
      </c>
      <c r="H22" s="15" t="n">
        <f aca="false">J22+(Parametros!$E$33*1000*B22+Parametros!$E$34*1000*C22)/(3*(B22^2+C22^2))</f>
        <v>9.80539511040196</v>
      </c>
      <c r="I22" s="15" t="n">
        <f aca="false">K22+(Parametros!$E$33*1000*C22-Parametros!$E$34*1000*B22)/(3*(B22^2+C22^2))</f>
        <v>-5.90667768086824</v>
      </c>
      <c r="J22" s="15" t="n">
        <f aca="false">L22+(Parametros!$E$33*1000*D22+Parametros!$E$34*1000*E22)/(3*(D22^2+E22^2))</f>
        <v>9.78473865482058</v>
      </c>
      <c r="K22" s="15" t="n">
        <f aca="false">M22+(Parametros!$E$33*1000*E22-Parametros!$E$34*1000*D22)/(3*(D22^2+E22^2))</f>
        <v>-5.76412336125436</v>
      </c>
      <c r="L22" s="15" t="n">
        <f aca="false">(Demanda!$G$21*1000*F22+Demanda!$G$24*1000*G22)/(3*(F22^2+G22^2))</f>
        <v>9.76386360551267</v>
      </c>
      <c r="M22" s="15" t="n">
        <f aca="false">(Demanda!$G$21*1000*G22-Demanda!$G$24*1000*F22)/(3*(F22^2+G22^2))</f>
        <v>-5.61982199755834</v>
      </c>
      <c r="N22" s="15" t="n">
        <f aca="false">SQRT(F22^2+G22^2)*SQRT(3)*Parametros!$E$29/(Parametros!$E$27*1000)</f>
        <v>371.066642199897</v>
      </c>
      <c r="O22" s="15" t="n">
        <f aca="false">SQRT(J22^2+K22^2)</f>
        <v>11.3563298942439</v>
      </c>
      <c r="P22" s="15" t="n">
        <f aca="false">3*O22^2*Electrico!$B$10/1000</f>
        <v>2.10185383315629</v>
      </c>
      <c r="Q22" s="15" t="n">
        <f aca="false">MAX(ABS(B22-B21),ABS(C22-C21),ABS(D22-D21),ABS(E22-E21),ABS(F22-F21),ABS(G22-G21))</f>
        <v>0.000327331719745416</v>
      </c>
    </row>
    <row r="23" customFormat="false" ht="21" hidden="false" customHeight="true" outlineLevel="0" collapsed="false">
      <c r="A23" s="1" t="n">
        <v>16</v>
      </c>
      <c r="B23" s="15" t="n">
        <f aca="false">0.7*(Electrico!$B$18-Electrico!$B$16*H22+Electrico!$B$17*I22)+0.3*B22</f>
        <v>5874.84322982913</v>
      </c>
      <c r="C23" s="15" t="n">
        <f aca="false">0.7*(-Electrico!$B$16*I22-Electrico!$B$17*H22)+0.3*C22</f>
        <v>-200.951919353741</v>
      </c>
      <c r="D23" s="15" t="n">
        <f aca="false">0.7*(Electrico!$B$18-Electrico!$B$16*H22+Electrico!$B$17*I22-Electrico!$B$10*J22+Electrico!$B$11*K22)+0.3*D22</f>
        <v>5803.86737200312</v>
      </c>
      <c r="E23" s="15" t="n">
        <f aca="false">0.7*(-Electrico!$B$16*I22-Electrico!$B$17*H22-Electrico!$B$10*K22-Electrico!$B$11*J22)+0.3*E22</f>
        <v>-199.887117387413</v>
      </c>
      <c r="F23" s="15" t="n">
        <f aca="false">0.7*(Electrico!$B$18-Electrico!$B$16*H22+Electrico!$B$17*I22-Electrico!$B$10*J22+Electrico!$B$11*K22-Electrico!$B$16*L22+Electrico!$B$17*M22)+0.3*F22</f>
        <v>5623.47468027394</v>
      </c>
      <c r="G23" s="15" t="n">
        <f aca="false">0.7*(-Electrico!$B$16*I22-Electrico!$B$17*H22-Electrico!$B$10*K22-Electrico!$B$11*J22-Electrico!$B$16*M22-Electrico!$B$17*L22)+0.3*G22</f>
        <v>-401.286603237349</v>
      </c>
      <c r="H23" s="15" t="n">
        <f aca="false">J23+(Parametros!$E$33*1000*B23+Parametros!$E$34*1000*C23)/(3*(B23^2+C23^2))</f>
        <v>9.80539526424613</v>
      </c>
      <c r="I23" s="15" t="n">
        <f aca="false">K23+(Parametros!$E$33*1000*C23-Parametros!$E$34*1000*B23)/(3*(B23^2+C23^2))</f>
        <v>-5.9066778918238</v>
      </c>
      <c r="J23" s="15" t="n">
        <f aca="false">L23+(Parametros!$E$33*1000*D23+Parametros!$E$34*1000*E23)/(3*(D23^2+E23^2))</f>
        <v>9.78473880911458</v>
      </c>
      <c r="K23" s="15" t="n">
        <f aca="false">M23+(Parametros!$E$33*1000*E23-Parametros!$E$34*1000*D23)/(3*(D23^2+E23^2))</f>
        <v>-5.7641235708188</v>
      </c>
      <c r="L23" s="15" t="n">
        <f aca="false">(Demanda!$G$21*1000*F23+Demanda!$G$24*1000*G23)/(3*(F23^2+G23^2))</f>
        <v>9.76386376007259</v>
      </c>
      <c r="M23" s="15" t="n">
        <f aca="false">(Demanda!$G$21*1000*G23-Demanda!$G$24*1000*F23)/(3*(F23^2+G23^2))</f>
        <v>-5.61982220536176</v>
      </c>
      <c r="N23" s="15" t="n">
        <f aca="false">SQRT(F23^2+G23^2)*SQRT(3)*Parametros!$E$29/(Parametros!$E$27*1000)</f>
        <v>371.066634373301</v>
      </c>
      <c r="O23" s="15" t="n">
        <f aca="false">SQRT(J23^2+K23^2)</f>
        <v>11.3563301335538</v>
      </c>
      <c r="P23" s="15" t="n">
        <f aca="false">3*O23^2*Electrico!$B$10/1000</f>
        <v>2.10185392174026</v>
      </c>
      <c r="Q23" s="15" t="n">
        <f aca="false">MAX(ABS(B23-B22),ABS(C23-C22),ABS(D23-D22),ABS(E23-E22),ABS(F23-F22),ABS(G23-G22))</f>
        <v>0.00012228010018589</v>
      </c>
    </row>
    <row r="24" customFormat="false" ht="21" hidden="false" customHeight="true" outlineLevel="0" collapsed="false">
      <c r="A24" s="1" t="n">
        <v>17</v>
      </c>
      <c r="B24" s="15" t="n">
        <f aca="false">0.7*(Electrico!$B$18-Electrico!$B$16*H23+Electrico!$B$17*I23)+0.3*B23</f>
        <v>5874.84320950178</v>
      </c>
      <c r="C24" s="15" t="n">
        <f aca="false">0.7*(-Electrico!$B$16*I23-Electrico!$B$17*H23)+0.3*C23</f>
        <v>-200.951928488807</v>
      </c>
      <c r="D24" s="15" t="n">
        <f aca="false">0.7*(Electrico!$B$18-Electrico!$B$16*H23+Electrico!$B$17*I23-Electrico!$B$10*J23+Electrico!$B$11*K23)+0.3*D23</f>
        <v>5803.86734639062</v>
      </c>
      <c r="E24" s="15" t="n">
        <f aca="false">0.7*(-Electrico!$B$16*I23-Electrico!$B$17*H23-Electrico!$B$10*K23-Electrico!$B$11*J23)+0.3*E23</f>
        <v>-199.887124173348</v>
      </c>
      <c r="F24" s="15" t="n">
        <f aca="false">0.7*(Electrico!$B$18-Electrico!$B$16*H23+Electrico!$B$17*I23-Electrico!$B$10*J23+Electrico!$B$11*K23-Electrico!$B$16*L23+Electrico!$B$17*M23)+0.3*F23</f>
        <v>5623.47463459561</v>
      </c>
      <c r="G24" s="15" t="n">
        <f aca="false">0.7*(-Electrico!$B$16*I23-Electrico!$B$17*H23-Electrico!$B$10*K23-Electrico!$B$11*J23-Electrico!$B$16*M23-Electrico!$B$17*L23)+0.3*G23</f>
        <v>-401.286619274842</v>
      </c>
      <c r="H24" s="15" t="n">
        <f aca="false">J24+(Parametros!$E$33*1000*B24+Parametros!$E$34*1000*C24)/(3*(B24^2+C24^2))</f>
        <v>9.80539532172318</v>
      </c>
      <c r="I24" s="15" t="n">
        <f aca="false">K24+(Parametros!$E$33*1000*C24-Parametros!$E$34*1000*B24)/(3*(B24^2+C24^2))</f>
        <v>-5.90667797061586</v>
      </c>
      <c r="J24" s="15" t="n">
        <f aca="false">L24+(Parametros!$E$33*1000*D24+Parametros!$E$34*1000*E24)/(3*(D24^2+E24^2))</f>
        <v>9.7847388667596</v>
      </c>
      <c r="K24" s="15" t="n">
        <f aca="false">M24+(Parametros!$E$33*1000*E24-Parametros!$E$34*1000*D24)/(3*(D24^2+E24^2))</f>
        <v>-5.76412364909125</v>
      </c>
      <c r="L24" s="15" t="n">
        <f aca="false">(Demanda!$G$21*1000*F24+Demanda!$G$24*1000*G24)/(3*(F24^2+G24^2))</f>
        <v>9.76386381781687</v>
      </c>
      <c r="M24" s="15" t="n">
        <f aca="false">(Demanda!$G$21*1000*G24-Demanda!$G$24*1000*F24)/(3*(F24^2+G24^2))</f>
        <v>-5.61982228297641</v>
      </c>
      <c r="N24" s="15" t="n">
        <f aca="false">SQRT(F24^2+G24^2)*SQRT(3)*Parametros!$E$29/(Parametros!$E$27*1000)</f>
        <v>371.066631449606</v>
      </c>
      <c r="O24" s="15" t="n">
        <f aca="false">SQRT(J24^2+K24^2)</f>
        <v>11.3563302229501</v>
      </c>
      <c r="P24" s="15" t="n">
        <f aca="false">3*O24^2*Electrico!$B$10/1000</f>
        <v>2.10185395483156</v>
      </c>
      <c r="Q24" s="15" t="n">
        <f aca="false">MAX(ABS(B24-B23),ABS(C24-C23),ABS(D24-D23),ABS(E24-E23),ABS(F24-F23),ABS(G24-G23))</f>
        <v>4.56783345725853E-005</v>
      </c>
    </row>
    <row r="25" customFormat="false" ht="21" hidden="false" customHeight="true" outlineLevel="0" collapsed="false">
      <c r="A25" s="1" t="n">
        <v>18</v>
      </c>
      <c r="B25" s="15" t="n">
        <f aca="false">0.7*(Electrico!$B$18-Electrico!$B$16*H24+Electrico!$B$17*I24)+0.3*B24</f>
        <v>5874.84320190888</v>
      </c>
      <c r="C25" s="15" t="n">
        <f aca="false">0.7*(-Electrico!$B$16*I24-Electrico!$B$17*H24)+0.3*C24</f>
        <v>-200.951931900529</v>
      </c>
      <c r="D25" s="15" t="n">
        <f aca="false">0.7*(Electrico!$B$18-Electrico!$B$16*H24+Electrico!$B$17*I24-Electrico!$B$10*J24+Electrico!$B$11*K24)+0.3*D24</f>
        <v>5803.86733682358</v>
      </c>
      <c r="E25" s="15" t="n">
        <f aca="false">0.7*(-Electrico!$B$16*I24-Electrico!$B$17*H24-Electrico!$B$10*K24-Electrico!$B$11*J24)+0.3*E24</f>
        <v>-199.887126707422</v>
      </c>
      <c r="F25" s="15" t="n">
        <f aca="false">0.7*(Electrico!$B$18-Electrico!$B$16*H24+Electrico!$B$17*I24-Electrico!$B$10*J24+Electrico!$B$11*K24-Electrico!$B$16*L24+Electrico!$B$17*M24)+0.3*F24</f>
        <v>5623.47461753256</v>
      </c>
      <c r="G25" s="15" t="n">
        <f aca="false">0.7*(-Electrico!$B$16*I24-Electrico!$B$17*H24-Electrico!$B$10*K24-Electrico!$B$11*J24-Electrico!$B$16*M24-Electrico!$B$17*L24)+0.3*G24</f>
        <v>-401.286625264066</v>
      </c>
      <c r="H25" s="15" t="n">
        <f aca="false">J25+(Parametros!$E$33*1000*B25+Parametros!$E$34*1000*C25)/(3*(B25^2+C25^2))</f>
        <v>9.80539534319539</v>
      </c>
      <c r="I25" s="15" t="n">
        <f aca="false">K25+(Parametros!$E$33*1000*C25-Parametros!$E$34*1000*B25)/(3*(B25^2+C25^2))</f>
        <v>-5.90667800004589</v>
      </c>
      <c r="J25" s="15" t="n">
        <f aca="false">L25+(Parametros!$E$33*1000*D25+Parametros!$E$34*1000*E25)/(3*(D25^2+E25^2))</f>
        <v>9.78473888829453</v>
      </c>
      <c r="K25" s="15" t="n">
        <f aca="false">M25+(Parametros!$E$33*1000*E25-Parametros!$E$34*1000*D25)/(3*(D25^2+E25^2))</f>
        <v>-5.76412367832718</v>
      </c>
      <c r="L25" s="15" t="n">
        <f aca="false">(Demanda!$G$21*1000*F25+Demanda!$G$24*1000*G25)/(3*(F25^2+G25^2))</f>
        <v>9.76386383938885</v>
      </c>
      <c r="M25" s="15" t="n">
        <f aca="false">(Demanda!$G$21*1000*G25-Demanda!$G$24*1000*F25)/(3*(F25^2+G25^2))</f>
        <v>-5.61982231196664</v>
      </c>
      <c r="N25" s="15" t="n">
        <f aca="false">SQRT(F25^2+G25^2)*SQRT(3)*Parametros!$E$29/(Parametros!$E$27*1000)</f>
        <v>371.066630357458</v>
      </c>
      <c r="O25" s="15" t="n">
        <f aca="false">SQRT(J25^2+K25^2)</f>
        <v>11.356330256344</v>
      </c>
      <c r="P25" s="15" t="n">
        <f aca="false">3*O25^2*Electrico!$B$10/1000</f>
        <v>2.10185396719283</v>
      </c>
      <c r="Q25" s="15" t="n">
        <f aca="false">MAX(ABS(B25-B24),ABS(C25-C24),ABS(D25-D24),ABS(E25-E24),ABS(F25-F24),ABS(G25-G24))</f>
        <v>1.70630501088453E-005</v>
      </c>
    </row>
    <row r="26" customFormat="false" ht="21" hidden="false" customHeight="true" outlineLevel="0" collapsed="false">
      <c r="A26" s="1" t="n">
        <v>19</v>
      </c>
      <c r="B26" s="15" t="n">
        <f aca="false">0.7*(Electrico!$B$18-Electrico!$B$16*H25+Electrico!$B$17*I25)+0.3*B25</f>
        <v>5874.84319907271</v>
      </c>
      <c r="C26" s="15" t="n">
        <f aca="false">0.7*(-Electrico!$B$16*I25-Electrico!$B$17*H25)+0.3*C25</f>
        <v>-200.95193317481</v>
      </c>
      <c r="D26" s="15" t="n">
        <f aca="false">0.7*(Electrico!$B$18-Electrico!$B$16*H25+Electrico!$B$17*I25-Electrico!$B$10*J25+Electrico!$B$11*K25)+0.3*D25</f>
        <v>5803.86733325001</v>
      </c>
      <c r="E26" s="15" t="n">
        <f aca="false">0.7*(-Electrico!$B$16*I25-Electrico!$B$17*H25-Electrico!$B$10*K25-Electrico!$B$11*J25)+0.3*E25</f>
        <v>-199.887127653832</v>
      </c>
      <c r="F26" s="15" t="n">
        <f aca="false">0.7*(Electrico!$B$18-Electrico!$B$16*H25+Electrico!$B$17*I25-Electrico!$B$10*J25+Electrico!$B$11*K25-Electrico!$B$16*L25+Electrico!$B$17*M25)+0.3*F25</f>
        <v>5623.47461115876</v>
      </c>
      <c r="G26" s="15" t="n">
        <f aca="false">0.7*(-Electrico!$B$16*I25-Electrico!$B$17*H25-Electrico!$B$10*K25-Electrico!$B$11*J25-Electrico!$B$16*M25-Electrico!$B$17*L25)+0.3*G25</f>
        <v>-401.286627500952</v>
      </c>
      <c r="H26" s="15" t="n">
        <f aca="false">J26+(Parametros!$E$33*1000*B26+Parametros!$E$34*1000*C26)/(3*(B26^2+C26^2))</f>
        <v>9.8053953512166</v>
      </c>
      <c r="I26" s="15" t="n">
        <f aca="false">K26+(Parametros!$E$33*1000*C26-Parametros!$E$34*1000*B26)/(3*(B26^2+C26^2))</f>
        <v>-5.90667801103871</v>
      </c>
      <c r="J26" s="15" t="n">
        <f aca="false">L26+(Parametros!$E$33*1000*D26+Parametros!$E$34*1000*E26)/(3*(D26^2+E26^2))</f>
        <v>9.78473889633917</v>
      </c>
      <c r="K26" s="15" t="n">
        <f aca="false">M26+(Parametros!$E$33*1000*E26-Parametros!$E$34*1000*D26)/(3*(D26^2+E26^2))</f>
        <v>-5.7641236892475</v>
      </c>
      <c r="L26" s="15" t="n">
        <f aca="false">(Demanda!$G$21*1000*F26+Demanda!$G$24*1000*G26)/(3*(F26^2+G26^2))</f>
        <v>9.76386384744733</v>
      </c>
      <c r="M26" s="15" t="n">
        <f aca="false">(Demanda!$G$21*1000*G26-Demanda!$G$24*1000*F26)/(3*(F26^2+G26^2))</f>
        <v>-5.61982232279518</v>
      </c>
      <c r="N26" s="15" t="n">
        <f aca="false">SQRT(F26^2+G26^2)*SQRT(3)*Parametros!$E$29/(Parametros!$E$27*1000)</f>
        <v>371.066629949491</v>
      </c>
      <c r="O26" s="15" t="n">
        <f aca="false">SQRT(J26^2+K26^2)</f>
        <v>11.3563302688182</v>
      </c>
      <c r="P26" s="15" t="n">
        <f aca="false">3*O26^2*Electrico!$B$10/1000</f>
        <v>2.10185397181032</v>
      </c>
      <c r="Q26" s="15" t="n">
        <f aca="false">MAX(ABS(B26-B25),ABS(C26-C25),ABS(D26-D25),ABS(E26-E25),ABS(F26-F25),ABS(G26-G25))</f>
        <v>6.37379707768559E-006</v>
      </c>
    </row>
    <row r="27" customFormat="false" ht="21" hidden="false" customHeight="true" outlineLevel="0" collapsed="false">
      <c r="A27" s="1" t="n">
        <v>20</v>
      </c>
      <c r="B27" s="15" t="n">
        <f aca="false">0.7*(Electrico!$B$18-Electrico!$B$16*H26+Electrico!$B$17*I26)+0.3*B26</f>
        <v>5874.84319801332</v>
      </c>
      <c r="C27" s="15" t="n">
        <f aca="false">0.7*(-Electrico!$B$16*I26-Electrico!$B$17*H26)+0.3*C26</f>
        <v>-200.951933650774</v>
      </c>
      <c r="D27" s="15" t="n">
        <f aca="false">0.7*(Electrico!$B$18-Electrico!$B$16*H26+Electrico!$B$17*I26-Electrico!$B$10*J26+Electrico!$B$11*K26)+0.3*D26</f>
        <v>5803.86733191517</v>
      </c>
      <c r="E27" s="15" t="n">
        <f aca="false">0.7*(-Electrico!$B$16*I26-Electrico!$B$17*H26-Electrico!$B$10*K26-Electrico!$B$11*J26)+0.3*E26</f>
        <v>-199.887128007316</v>
      </c>
      <c r="F27" s="15" t="n">
        <f aca="false">0.7*(Electrico!$B$18-Electrico!$B$16*H26+Electrico!$B$17*I26-Electrico!$B$10*J26+Electrico!$B$11*K26-Electrico!$B$16*L26+Electrico!$B$17*M26)+0.3*F26</f>
        <v>5623.47460877789</v>
      </c>
      <c r="G27" s="15" t="n">
        <f aca="false">0.7*(-Electrico!$B$16*I26-Electrico!$B$17*H26-Electrico!$B$10*K26-Electrico!$B$11*J26-Electrico!$B$16*M26-Electrico!$B$17*L26)+0.3*G26</f>
        <v>-401.286628336443</v>
      </c>
      <c r="H27" s="15" t="n">
        <f aca="false">J27+(Parametros!$E$33*1000*B27+Parametros!$E$34*1000*C27)/(3*(B27^2+C27^2))</f>
        <v>9.80539535421294</v>
      </c>
      <c r="I27" s="15" t="n">
        <f aca="false">K27+(Parametros!$E$33*1000*C27-Parametros!$E$34*1000*B27)/(3*(B27^2+C27^2))</f>
        <v>-5.90667801514484</v>
      </c>
      <c r="J27" s="15" t="n">
        <f aca="false">L27+(Parametros!$E$33*1000*D27+Parametros!$E$34*1000*E27)/(3*(D27^2+E27^2))</f>
        <v>9.78473889934426</v>
      </c>
      <c r="K27" s="15" t="n">
        <f aca="false">M27+(Parametros!$E$33*1000*E27-Parametros!$E$34*1000*D27)/(3*(D27^2+E27^2))</f>
        <v>-5.76412369332655</v>
      </c>
      <c r="L27" s="15" t="n">
        <f aca="false">(Demanda!$G$21*1000*F27+Demanda!$G$24*1000*G27)/(3*(F27^2+G27^2))</f>
        <v>9.76386385045759</v>
      </c>
      <c r="M27" s="15" t="n">
        <f aca="false">(Demanda!$G$21*1000*G27-Demanda!$G$24*1000*F27)/(3*(F27^2+G27^2))</f>
        <v>-5.61982232683995</v>
      </c>
      <c r="N27" s="15" t="n">
        <f aca="false">SQRT(F27^2+G27^2)*SQRT(3)*Parametros!$E$29/(Parametros!$E$27*1000)</f>
        <v>371.066629797099</v>
      </c>
      <c r="O27" s="15" t="n">
        <f aca="false">SQRT(J27^2+K27^2)</f>
        <v>11.3563302734778</v>
      </c>
      <c r="P27" s="15" t="n">
        <f aca="false">3*O27^2*Electrico!$B$10/1000</f>
        <v>2.10185397353514</v>
      </c>
      <c r="Q27" s="15" t="n">
        <f aca="false">MAX(ABS(B27-B26),ABS(C27-C26),ABS(D27-D26),ABS(E27-E26),ABS(F27-F26),ABS(G27-G26))</f>
        <v>2.38087613979587E-006</v>
      </c>
    </row>
    <row r="28" customFormat="false" ht="21" hidden="false" customHeight="true" outlineLevel="0" collapsed="false">
      <c r="A28" s="1" t="n">
        <v>21</v>
      </c>
      <c r="B28" s="15" t="n">
        <f aca="false">0.7*(Electrico!$B$18-Electrico!$B$16*H27+Electrico!$B$17*I27)+0.3*B27</f>
        <v>5874.8431976176</v>
      </c>
      <c r="C28" s="15" t="n">
        <f aca="false">0.7*(-Electrico!$B$16*I27-Electrico!$B$17*H27)+0.3*C27</f>
        <v>-200.951933828559</v>
      </c>
      <c r="D28" s="15" t="n">
        <f aca="false">0.7*(Electrico!$B$18-Electrico!$B$16*H27+Electrico!$B$17*I27-Electrico!$B$10*J27+Electrico!$B$11*K27)+0.3*D27</f>
        <v>5803.86733141657</v>
      </c>
      <c r="E28" s="15" t="n">
        <f aca="false">0.7*(-Electrico!$B$16*I27-Electrico!$B$17*H27-Electrico!$B$10*K27-Electrico!$B$11*J27)+0.3*E27</f>
        <v>-199.887128139348</v>
      </c>
      <c r="F28" s="15" t="n">
        <f aca="false">0.7*(Electrico!$B$18-Electrico!$B$16*H27+Electrico!$B$17*I27-Electrico!$B$10*J27+Electrico!$B$11*K27-Electrico!$B$16*L27+Electrico!$B$17*M27)+0.3*F27</f>
        <v>5623.47460788853</v>
      </c>
      <c r="G28" s="15" t="n">
        <f aca="false">0.7*(-Electrico!$B$16*I27-Electrico!$B$17*H27-Electrico!$B$10*K27-Electrico!$B$11*J27-Electrico!$B$16*M27-Electrico!$B$17*L27)+0.3*G27</f>
        <v>-401.286628648513</v>
      </c>
      <c r="H28" s="15" t="n">
        <f aca="false">J28+(Parametros!$E$33*1000*B28+Parametros!$E$34*1000*C28)/(3*(B28^2+C28^2))</f>
        <v>9.80539535533221</v>
      </c>
      <c r="I28" s="15" t="n">
        <f aca="false">K28+(Parametros!$E$33*1000*C28-Parametros!$E$34*1000*B28)/(3*(B28^2+C28^2))</f>
        <v>-5.90667801667862</v>
      </c>
      <c r="J28" s="15" t="n">
        <f aca="false">L28+(Parametros!$E$33*1000*D28+Parametros!$E$34*1000*E28)/(3*(D28^2+E28^2))</f>
        <v>9.7847389004668</v>
      </c>
      <c r="K28" s="15" t="n">
        <f aca="false">M28+(Parametros!$E$33*1000*E28-Parametros!$E$34*1000*D28)/(3*(D28^2+E28^2))</f>
        <v>-5.76412369485021</v>
      </c>
      <c r="L28" s="15" t="n">
        <f aca="false">(Demanda!$G$21*1000*F28+Demanda!$G$24*1000*G28)/(3*(F28^2+G28^2))</f>
        <v>9.76386385158206</v>
      </c>
      <c r="M28" s="15" t="n">
        <f aca="false">(Demanda!$G$21*1000*G28-Demanda!$G$24*1000*F28)/(3*(F28^2+G28^2))</f>
        <v>-5.61982232835081</v>
      </c>
      <c r="N28" s="15" t="n">
        <f aca="false">SQRT(F28^2+G28^2)*SQRT(3)*Parametros!$E$29/(Parametros!$E$27*1000)</f>
        <v>371.066629740174</v>
      </c>
      <c r="O28" s="15" t="n">
        <f aca="false">SQRT(J28^2+K28^2)</f>
        <v>11.3563302752184</v>
      </c>
      <c r="P28" s="15" t="n">
        <f aca="false">3*O28^2*Electrico!$B$10/1000</f>
        <v>2.10185397417944</v>
      </c>
      <c r="Q28" s="15" t="n">
        <f aca="false">MAX(ABS(B28-B27),ABS(C28-C27),ABS(D28-D27),ABS(E28-E27),ABS(F28-F27),ABS(G28-G27))</f>
        <v>8.89351213118061E-007</v>
      </c>
    </row>
    <row r="29" customFormat="false" ht="21" hidden="false" customHeight="true" outlineLevel="0" collapsed="false">
      <c r="A29" s="1" t="n">
        <v>22</v>
      </c>
      <c r="B29" s="15" t="n">
        <f aca="false">0.7*(Electrico!$B$18-Electrico!$B$16*H28+Electrico!$B$17*I28)+0.3*B28</f>
        <v>5874.84319746979</v>
      </c>
      <c r="C29" s="15" t="n">
        <f aca="false">0.7*(-Electrico!$B$16*I28-Electrico!$B$17*H28)+0.3*C28</f>
        <v>-200.951933894967</v>
      </c>
      <c r="D29" s="15" t="n">
        <f aca="false">0.7*(Electrico!$B$18-Electrico!$B$16*H28+Electrico!$B$17*I28-Electrico!$B$10*J28+Electrico!$B$11*K28)+0.3*D28</f>
        <v>5803.86733123032</v>
      </c>
      <c r="E29" s="15" t="n">
        <f aca="false">0.7*(-Electrico!$B$16*I28-Electrico!$B$17*H28-Electrico!$B$10*K28-Electrico!$B$11*J28)+0.3*E28</f>
        <v>-199.887128188665</v>
      </c>
      <c r="F29" s="15" t="n">
        <f aca="false">0.7*(Electrico!$B$18-Electrico!$B$16*H28+Electrico!$B$17*I28-Electrico!$B$10*J28+Electrico!$B$11*K28-Electrico!$B$16*L28+Electrico!$B$17*M28)+0.3*F28</f>
        <v>5623.47460755633</v>
      </c>
      <c r="G29" s="15" t="n">
        <f aca="false">0.7*(-Electrico!$B$16*I28-Electrico!$B$17*H28-Electrico!$B$10*K28-Electrico!$B$11*J28-Electrico!$B$16*M28-Electrico!$B$17*L28)+0.3*G28</f>
        <v>-401.28662876508</v>
      </c>
      <c r="H29" s="15" t="n">
        <f aca="false">J29+(Parametros!$E$33*1000*B29+Parametros!$E$34*1000*C29)/(3*(B29^2+C29^2))</f>
        <v>9.80539535575031</v>
      </c>
      <c r="I29" s="15" t="n">
        <f aca="false">K29+(Parametros!$E$33*1000*C29-Parametros!$E$34*1000*B29)/(3*(B29^2+C29^2))</f>
        <v>-5.90667801725154</v>
      </c>
      <c r="J29" s="15" t="n">
        <f aca="false">L29+(Parametros!$E$33*1000*D29+Parametros!$E$34*1000*E29)/(3*(D29^2+E29^2))</f>
        <v>9.78473890088612</v>
      </c>
      <c r="K29" s="15" t="n">
        <f aca="false">M29+(Parametros!$E$33*1000*E29-Parametros!$E$34*1000*D29)/(3*(D29^2+E29^2))</f>
        <v>-5.76412369541935</v>
      </c>
      <c r="L29" s="15" t="n">
        <f aca="false">(Demanda!$G$21*1000*F29+Demanda!$G$24*1000*G29)/(3*(F29^2+G29^2))</f>
        <v>9.7638638520021</v>
      </c>
      <c r="M29" s="15" t="n">
        <f aca="false">(Demanda!$G$21*1000*G29-Demanda!$G$24*1000*F29)/(3*(F29^2+G29^2))</f>
        <v>-5.61982232891516</v>
      </c>
      <c r="N29" s="15" t="n">
        <f aca="false">SQRT(F29^2+G29^2)*SQRT(3)*Parametros!$E$29/(Parametros!$E$27*1000)</f>
        <v>371.06662971891</v>
      </c>
      <c r="O29" s="15" t="n">
        <f aca="false">SQRT(J29^2+K29^2)</f>
        <v>11.3563302758686</v>
      </c>
      <c r="P29" s="15" t="n">
        <f aca="false">3*O29^2*Electrico!$B$10/1000</f>
        <v>2.10185397442011</v>
      </c>
      <c r="Q29" s="15" t="n">
        <f aca="false">MAX(ABS(B29-B28),ABS(C29-C28),ABS(D29-D28),ABS(E29-E28),ABS(F29-F28),ABS(G29-G28))</f>
        <v>3.32208401232492E-007</v>
      </c>
    </row>
    <row r="30" customFormat="false" ht="21" hidden="false" customHeight="true" outlineLevel="0" collapsed="false">
      <c r="A30" s="1" t="n">
        <v>23</v>
      </c>
      <c r="B30" s="15" t="n">
        <f aca="false">0.7*(Electrico!$B$18-Electrico!$B$16*H29+Electrico!$B$17*I29)+0.3*B29</f>
        <v>5874.84319741458</v>
      </c>
      <c r="C30" s="15" t="n">
        <f aca="false">0.7*(-Electrico!$B$16*I29-Electrico!$B$17*H29)+0.3*C29</f>
        <v>-200.951933919772</v>
      </c>
      <c r="D30" s="15" t="n">
        <f aca="false">0.7*(Electrico!$B$18-Electrico!$B$16*H29+Electrico!$B$17*I29-Electrico!$B$10*J29+Electrico!$B$11*K29)+0.3*D29</f>
        <v>5803.86733116075</v>
      </c>
      <c r="E30" s="15" t="n">
        <f aca="false">0.7*(-Electrico!$B$16*I29-Electrico!$B$17*H29-Electrico!$B$10*K29-Electrico!$B$11*J29)+0.3*E29</f>
        <v>-199.887128207087</v>
      </c>
      <c r="F30" s="15" t="n">
        <f aca="false">0.7*(Electrico!$B$18-Electrico!$B$16*H29+Electrico!$B$17*I29-Electrico!$B$10*J29+Electrico!$B$11*K29-Electrico!$B$16*L29+Electrico!$B$17*M29)+0.3*F29</f>
        <v>5623.47460743223</v>
      </c>
      <c r="G30" s="15" t="n">
        <f aca="false">0.7*(-Electrico!$B$16*I29-Electrico!$B$17*H29-Electrico!$B$10*K29-Electrico!$B$11*J29-Electrico!$B$16*M29-Electrico!$B$17*L29)+0.3*G29</f>
        <v>-401.286628808621</v>
      </c>
      <c r="H30" s="15" t="n">
        <f aca="false">J30+(Parametros!$E$33*1000*B30+Parametros!$E$34*1000*C30)/(3*(B30^2+C30^2))</f>
        <v>9.80539535590649</v>
      </c>
      <c r="I30" s="15" t="n">
        <f aca="false">K30+(Parametros!$E$33*1000*C30-Parametros!$E$34*1000*B30)/(3*(B30^2+C30^2))</f>
        <v>-5.90667801746554</v>
      </c>
      <c r="J30" s="15" t="n">
        <f aca="false">L30+(Parametros!$E$33*1000*D30+Parametros!$E$34*1000*E30)/(3*(D30^2+E30^2))</f>
        <v>9.78473890104275</v>
      </c>
      <c r="K30" s="15" t="n">
        <f aca="false">M30+(Parametros!$E$33*1000*E30-Parametros!$E$34*1000*D30)/(3*(D30^2+E30^2))</f>
        <v>-5.76412369563195</v>
      </c>
      <c r="L30" s="15" t="n">
        <f aca="false">(Demanda!$G$21*1000*F30+Demanda!$G$24*1000*G30)/(3*(F30^2+G30^2))</f>
        <v>9.76386385215901</v>
      </c>
      <c r="M30" s="15" t="n">
        <f aca="false">(Demanda!$G$21*1000*G30-Demanda!$G$24*1000*F30)/(3*(F30^2+G30^2))</f>
        <v>-5.61982232912597</v>
      </c>
      <c r="N30" s="15" t="n">
        <f aca="false">SQRT(F30^2+G30^2)*SQRT(3)*Parametros!$E$29/(Parametros!$E$27*1000)</f>
        <v>371.066629710967</v>
      </c>
      <c r="O30" s="15" t="n">
        <f aca="false">SQRT(J30^2+K30^2)</f>
        <v>11.3563302761114</v>
      </c>
      <c r="P30" s="15" t="n">
        <f aca="false">3*O30^2*Electrico!$B$10/1000</f>
        <v>2.10185397451001</v>
      </c>
      <c r="Q30" s="15" t="n">
        <f aca="false">MAX(ABS(B30-B29),ABS(C30-C29),ABS(D30-D29),ABS(E30-E29),ABS(F30-F29),ABS(G30-G29))</f>
        <v>1.24091457109898E-007</v>
      </c>
    </row>
    <row r="31" customFormat="false" ht="21" hidden="false" customHeight="true" outlineLevel="0" collapsed="false">
      <c r="A31" s="1" t="n">
        <v>24</v>
      </c>
      <c r="B31" s="15" t="n">
        <f aca="false">0.7*(Electrico!$B$18-Electrico!$B$16*H30+Electrico!$B$17*I30)+0.3*B30</f>
        <v>5874.84319739395</v>
      </c>
      <c r="C31" s="15" t="n">
        <f aca="false">0.7*(-Electrico!$B$16*I30-Electrico!$B$17*H30)+0.3*C30</f>
        <v>-200.951933929038</v>
      </c>
      <c r="D31" s="15" t="n">
        <f aca="false">0.7*(Electrico!$B$18-Electrico!$B$16*H30+Electrico!$B$17*I30-Electrico!$B$10*J30+Electrico!$B$11*K30)+0.3*D30</f>
        <v>5803.86733113477</v>
      </c>
      <c r="E31" s="15" t="n">
        <f aca="false">0.7*(-Electrico!$B$16*I30-Electrico!$B$17*H30-Electrico!$B$10*K30-Electrico!$B$11*J30)+0.3*E30</f>
        <v>-199.887128213968</v>
      </c>
      <c r="F31" s="15" t="n">
        <f aca="false">0.7*(Electrico!$B$18-Electrico!$B$16*H30+Electrico!$B$17*I30-Electrico!$B$10*J30+Electrico!$B$11*K30-Electrico!$B$16*L30+Electrico!$B$17*M30)+0.3*F30</f>
        <v>5623.47460738588</v>
      </c>
      <c r="G31" s="15" t="n">
        <f aca="false">0.7*(-Electrico!$B$16*I30-Electrico!$B$17*H30-Electrico!$B$10*K30-Electrico!$B$11*J30-Electrico!$B$16*M30-Electrico!$B$17*L30)+0.3*G30</f>
        <v>-401.286628824885</v>
      </c>
      <c r="H31" s="15" t="n">
        <f aca="false">J31+(Parametros!$E$33*1000*B31+Parametros!$E$34*1000*C31)/(3*(B31^2+C31^2))</f>
        <v>9.80539535596482</v>
      </c>
      <c r="I31" s="15" t="n">
        <f aca="false">K31+(Parametros!$E$33*1000*C31-Parametros!$E$34*1000*B31)/(3*(B31^2+C31^2))</f>
        <v>-5.90667801754548</v>
      </c>
      <c r="J31" s="15" t="n">
        <f aca="false">L31+(Parametros!$E$33*1000*D31+Parametros!$E$34*1000*E31)/(3*(D31^2+E31^2))</f>
        <v>9.78473890110126</v>
      </c>
      <c r="K31" s="15" t="n">
        <f aca="false">M31+(Parametros!$E$33*1000*E31-Parametros!$E$34*1000*D31)/(3*(D31^2+E31^2))</f>
        <v>-5.76412369571136</v>
      </c>
      <c r="L31" s="15" t="n">
        <f aca="false">(Demanda!$G$21*1000*F31+Demanda!$G$24*1000*G31)/(3*(F31^2+G31^2))</f>
        <v>9.76386385221761</v>
      </c>
      <c r="M31" s="15" t="n">
        <f aca="false">(Demanda!$G$21*1000*G31-Demanda!$G$24*1000*F31)/(3*(F31^2+G31^2))</f>
        <v>-5.61982232920471</v>
      </c>
      <c r="N31" s="15" t="n">
        <f aca="false">SQRT(F31^2+G31^2)*SQRT(3)*Parametros!$E$29/(Parametros!$E$27*1000)</f>
        <v>371.066629708001</v>
      </c>
      <c r="O31" s="15" t="n">
        <f aca="false">SQRT(J31^2+K31^2)</f>
        <v>11.3563302762021</v>
      </c>
      <c r="P31" s="15" t="n">
        <f aca="false">3*O31^2*Electrico!$B$10/1000</f>
        <v>2.10185397454358</v>
      </c>
      <c r="Q31" s="15" t="n">
        <f aca="false">MAX(ABS(B31-B30),ABS(C31-C30),ABS(D31-D30),ABS(E31-E30),ABS(F31-F30),ABS(G31-G30))</f>
        <v>4.63523974758573E-008</v>
      </c>
    </row>
    <row r="32" customFormat="false" ht="21" hidden="false" customHeight="true" outlineLevel="0" collapsed="false">
      <c r="A32" s="1" t="n">
        <v>25</v>
      </c>
      <c r="B32" s="15" t="n">
        <f aca="false">0.7*(Electrico!$B$18-Electrico!$B$16*H31+Electrico!$B$17*I31)+0.3*B31</f>
        <v>5874.84319738625</v>
      </c>
      <c r="C32" s="15" t="n">
        <f aca="false">0.7*(-Electrico!$B$16*I31-Electrico!$B$17*H31)+0.3*C31</f>
        <v>-200.951933932499</v>
      </c>
      <c r="D32" s="15" t="n">
        <f aca="false">0.7*(Electrico!$B$18-Electrico!$B$16*H31+Electrico!$B$17*I31-Electrico!$B$10*J31+Electrico!$B$11*K31)+0.3*D31</f>
        <v>5803.86733112506</v>
      </c>
      <c r="E32" s="15" t="n">
        <f aca="false">0.7*(-Electrico!$B$16*I31-Electrico!$B$17*H31-Electrico!$B$10*K31-Electrico!$B$11*J31)+0.3*E31</f>
        <v>-199.887128216538</v>
      </c>
      <c r="F32" s="15" t="n">
        <f aca="false">0.7*(Electrico!$B$18-Electrico!$B$16*H31+Electrico!$B$17*I31-Electrico!$B$10*J31+Electrico!$B$11*K31-Electrico!$B$16*L31+Electrico!$B$17*M31)+0.3*F31</f>
        <v>5623.47460736857</v>
      </c>
      <c r="G32" s="15" t="n">
        <f aca="false">0.7*(-Electrico!$B$16*I31-Electrico!$B$17*H31-Electrico!$B$10*K31-Electrico!$B$11*J31-Electrico!$B$16*M31-Electrico!$B$17*L31)+0.3*G31</f>
        <v>-401.28662883096</v>
      </c>
      <c r="H32" s="15" t="n">
        <f aca="false">J32+(Parametros!$E$33*1000*B32+Parametros!$E$34*1000*C32)/(3*(B32^2+C32^2))</f>
        <v>9.80539535598662</v>
      </c>
      <c r="I32" s="15" t="n">
        <f aca="false">K32+(Parametros!$E$33*1000*C32-Parametros!$E$34*1000*B32)/(3*(B32^2+C32^2))</f>
        <v>-5.90667801757534</v>
      </c>
      <c r="J32" s="15" t="n">
        <f aca="false">L32+(Parametros!$E$33*1000*D32+Parametros!$E$34*1000*E32)/(3*(D32^2+E32^2))</f>
        <v>9.78473890112312</v>
      </c>
      <c r="K32" s="15" t="n">
        <f aca="false">M32+(Parametros!$E$33*1000*E32-Parametros!$E$34*1000*D32)/(3*(D32^2+E32^2))</f>
        <v>-5.76412369574102</v>
      </c>
      <c r="L32" s="15" t="n">
        <f aca="false">(Demanda!$G$21*1000*F32+Demanda!$G$24*1000*G32)/(3*(F32^2+G32^2))</f>
        <v>9.76386385223951</v>
      </c>
      <c r="M32" s="15" t="n">
        <f aca="false">(Demanda!$G$21*1000*G32-Demanda!$G$24*1000*F32)/(3*(F32^2+G32^2))</f>
        <v>-5.61982232923413</v>
      </c>
      <c r="N32" s="15" t="n">
        <f aca="false">SQRT(F32^2+G32^2)*SQRT(3)*Parametros!$E$29/(Parametros!$E$27*1000)</f>
        <v>371.066629706892</v>
      </c>
      <c r="O32" s="15" t="n">
        <f aca="false">SQRT(J32^2+K32^2)</f>
        <v>11.356330276236</v>
      </c>
      <c r="P32" s="15" t="n">
        <f aca="false">3*O32^2*Electrico!$B$10/1000</f>
        <v>2.10185397455613</v>
      </c>
      <c r="Q32" s="15" t="n">
        <f aca="false">MAX(ABS(B32-B31),ABS(C32-C31),ABS(D32-D31),ABS(E32-E31),ABS(F32-F31),ABS(G32-G31))</f>
        <v>1.7314960132353E-008</v>
      </c>
    </row>
    <row r="33" customFormat="false" ht="21" hidden="false" customHeight="true" outlineLevel="0" collapsed="false">
      <c r="A33" s="1" t="n">
        <v>26</v>
      </c>
      <c r="B33" s="15" t="n">
        <f aca="false">0.7*(Electrico!$B$18-Electrico!$B$16*H32+Electrico!$B$17*I32)+0.3*B32</f>
        <v>5874.84319738337</v>
      </c>
      <c r="C33" s="15" t="n">
        <f aca="false">0.7*(-Electrico!$B$16*I32-Electrico!$B$17*H32)+0.3*C32</f>
        <v>-200.951933933792</v>
      </c>
      <c r="D33" s="15" t="n">
        <f aca="false">0.7*(Electrico!$B$18-Electrico!$B$16*H32+Electrico!$B$17*I32-Electrico!$B$10*J32+Electrico!$B$11*K32)+0.3*D32</f>
        <v>5803.86733112143</v>
      </c>
      <c r="E33" s="15" t="n">
        <f aca="false">0.7*(-Electrico!$B$16*I32-Electrico!$B$17*H32-Electrico!$B$10*K32-Electrico!$B$11*J32)+0.3*E32</f>
        <v>-199.887128217498</v>
      </c>
      <c r="F33" s="15" t="n">
        <f aca="false">0.7*(Electrico!$B$18-Electrico!$B$16*H32+Electrico!$B$17*I32-Electrico!$B$10*J32+Electrico!$B$11*K32-Electrico!$B$16*L32+Electrico!$B$17*M32)+0.3*F32</f>
        <v>5623.4746073621</v>
      </c>
      <c r="G33" s="15" t="n">
        <f aca="false">0.7*(-Electrico!$B$16*I32-Electrico!$B$17*H32-Electrico!$B$10*K32-Electrico!$B$11*J32-Electrico!$B$16*M32-Electrico!$B$17*L32)+0.3*G32</f>
        <v>-401.286628833229</v>
      </c>
      <c r="H33" s="15" t="n">
        <f aca="false">J33+(Parametros!$E$33*1000*B33+Parametros!$E$34*1000*C33)/(3*(B33^2+C33^2))</f>
        <v>9.80539535599475</v>
      </c>
      <c r="I33" s="15" t="n">
        <f aca="false">K33+(Parametros!$E$33*1000*C33-Parametros!$E$34*1000*B33)/(3*(B33^2+C33^2))</f>
        <v>-5.90667801758649</v>
      </c>
      <c r="J33" s="15" t="n">
        <f aca="false">L33+(Parametros!$E$33*1000*D33+Parametros!$E$34*1000*E33)/(3*(D33^2+E33^2))</f>
        <v>9.78473890113128</v>
      </c>
      <c r="K33" s="15" t="n">
        <f aca="false">M33+(Parametros!$E$33*1000*E33-Parametros!$E$34*1000*D33)/(3*(D33^2+E33^2))</f>
        <v>-5.7641236957521</v>
      </c>
      <c r="L33" s="15" t="n">
        <f aca="false">(Demanda!$G$21*1000*F33+Demanda!$G$24*1000*G33)/(3*(F33^2+G33^2))</f>
        <v>9.76386385224768</v>
      </c>
      <c r="M33" s="15" t="n">
        <f aca="false">(Demanda!$G$21*1000*G33-Demanda!$G$24*1000*F33)/(3*(F33^2+G33^2))</f>
        <v>-5.61982232924512</v>
      </c>
      <c r="N33" s="15" t="n">
        <f aca="false">SQRT(F33^2+G33^2)*SQRT(3)*Parametros!$E$29/(Parametros!$E$27*1000)</f>
        <v>371.066629706478</v>
      </c>
      <c r="O33" s="15" t="n">
        <f aca="false">SQRT(J33^2+K33^2)</f>
        <v>11.3563302762487</v>
      </c>
      <c r="P33" s="15" t="n">
        <f aca="false">3*O33^2*Electrico!$B$10/1000</f>
        <v>2.10185397456081</v>
      </c>
      <c r="Q33" s="15" t="n">
        <f aca="false">MAX(ABS(B33-B32),ABS(C33-C32),ABS(D33-D32),ABS(E33-E32),ABS(F33-F32),ABS(G33-G32))</f>
        <v>6.46741682430729E-009</v>
      </c>
    </row>
    <row r="34" customFormat="false" ht="21" hidden="false" customHeight="true" outlineLevel="0" collapsed="false">
      <c r="A34" s="1" t="n">
        <v>27</v>
      </c>
      <c r="B34" s="15" t="n">
        <f aca="false">0.7*(Electrico!$B$18-Electrico!$B$16*H33+Electrico!$B$17*I33)+0.3*B33</f>
        <v>5874.8431973823</v>
      </c>
      <c r="C34" s="15" t="n">
        <f aca="false">0.7*(-Electrico!$B$16*I33-Electrico!$B$17*H33)+0.3*C33</f>
        <v>-200.951933934275</v>
      </c>
      <c r="D34" s="15" t="n">
        <f aca="false">0.7*(Electrico!$B$18-Electrico!$B$16*H33+Electrico!$B$17*I33-Electrico!$B$10*J33+Electrico!$B$11*K33)+0.3*D33</f>
        <v>5803.86733112008</v>
      </c>
      <c r="E34" s="15" t="n">
        <f aca="false">0.7*(-Electrico!$B$16*I33-Electrico!$B$17*H33-Electrico!$B$10*K33-Electrico!$B$11*J33)+0.3*E33</f>
        <v>-199.887128217857</v>
      </c>
      <c r="F34" s="15" t="n">
        <f aca="false">0.7*(Electrico!$B$18-Electrico!$B$16*H33+Electrico!$B$17*I33-Electrico!$B$10*J33+Electrico!$B$11*K33-Electrico!$B$16*L33+Electrico!$B$17*M33)+0.3*F33</f>
        <v>5623.47460735968</v>
      </c>
      <c r="G34" s="15" t="n">
        <f aca="false">0.7*(-Electrico!$B$16*I33-Electrico!$B$17*H33-Electrico!$B$10*K33-Electrico!$B$11*J33-Electrico!$B$16*M33-Electrico!$B$17*L33)+0.3*G33</f>
        <v>-401.286628834077</v>
      </c>
      <c r="H34" s="15" t="n">
        <f aca="false">J34+(Parametros!$E$33*1000*B34+Parametros!$E$34*1000*C34)/(3*(B34^2+C34^2))</f>
        <v>9.8053953559978</v>
      </c>
      <c r="I34" s="15" t="n">
        <f aca="false">K34+(Parametros!$E$33*1000*C34-Parametros!$E$34*1000*B34)/(3*(B34^2+C34^2))</f>
        <v>-5.90667801759066</v>
      </c>
      <c r="J34" s="15" t="n">
        <f aca="false">L34+(Parametros!$E$33*1000*D34+Parametros!$E$34*1000*E34)/(3*(D34^2+E34^2))</f>
        <v>9.78473890113433</v>
      </c>
      <c r="K34" s="15" t="n">
        <f aca="false">M34+(Parametros!$E$33*1000*E34-Parametros!$E$34*1000*D34)/(3*(D34^2+E34^2))</f>
        <v>-5.76412369575624</v>
      </c>
      <c r="L34" s="15" t="n">
        <f aca="false">(Demanda!$G$21*1000*F34+Demanda!$G$24*1000*G34)/(3*(F34^2+G34^2))</f>
        <v>9.76386385225074</v>
      </c>
      <c r="M34" s="15" t="n">
        <f aca="false">(Demanda!$G$21*1000*G34-Demanda!$G$24*1000*F34)/(3*(F34^2+G34^2))</f>
        <v>-5.61982232924922</v>
      </c>
      <c r="N34" s="15" t="n">
        <f aca="false">SQRT(F34^2+G34^2)*SQRT(3)*Parametros!$E$29/(Parametros!$E$27*1000)</f>
        <v>371.066629706324</v>
      </c>
      <c r="O34" s="15" t="n">
        <f aca="false">SQRT(J34^2+K34^2)</f>
        <v>11.3563302762534</v>
      </c>
      <c r="P34" s="15" t="n">
        <f aca="false">3*O34^2*Electrico!$B$10/1000</f>
        <v>2.10185397456256</v>
      </c>
      <c r="Q34" s="15" t="n">
        <f aca="false">MAX(ABS(B34-B33),ABS(C34-C33),ABS(D34-D33),ABS(E34-E33),ABS(F34-F33),ABS(G34-G33))</f>
        <v>2.41652742261067E-009</v>
      </c>
    </row>
    <row r="35" customFormat="false" ht="21" hidden="false" customHeight="true" outlineLevel="0" collapsed="false">
      <c r="A35" s="1" t="n">
        <v>28</v>
      </c>
      <c r="B35" s="15" t="n">
        <f aca="false">0.7*(Electrico!$B$18-Electrico!$B$16*H34+Electrico!$B$17*I34)+0.3*B34</f>
        <v>5874.8431973819</v>
      </c>
      <c r="C35" s="15" t="n">
        <f aca="false">0.7*(-Electrico!$B$16*I34-Electrico!$B$17*H34)+0.3*C34</f>
        <v>-200.951933934455</v>
      </c>
      <c r="D35" s="15" t="n">
        <f aca="false">0.7*(Electrico!$B$18-Electrico!$B$16*H34+Electrico!$B$17*I34-Electrico!$B$10*J34+Electrico!$B$11*K34)+0.3*D34</f>
        <v>5803.86733111957</v>
      </c>
      <c r="E35" s="15" t="n">
        <f aca="false">0.7*(-Electrico!$B$16*I34-Electrico!$B$17*H34-Electrico!$B$10*K34-Electrico!$B$11*J34)+0.3*E34</f>
        <v>-199.887128217991</v>
      </c>
      <c r="F35" s="15" t="n">
        <f aca="false">0.7*(Electrico!$B$18-Electrico!$B$16*H34+Electrico!$B$17*I34-Electrico!$B$10*J34+Electrico!$B$11*K34-Electrico!$B$16*L34+Electrico!$B$17*M34)+0.3*F34</f>
        <v>5623.47460735878</v>
      </c>
      <c r="G35" s="15" t="n">
        <f aca="false">0.7*(-Electrico!$B$16*I34-Electrico!$B$17*H34-Electrico!$B$10*K34-Electrico!$B$11*J34-Electrico!$B$16*M34-Electrico!$B$17*L34)+0.3*G34</f>
        <v>-401.286628834394</v>
      </c>
      <c r="H35" s="15" t="n">
        <f aca="false">J35+(Parametros!$E$33*1000*B35+Parametros!$E$34*1000*C35)/(3*(B35^2+C35^2))</f>
        <v>9.80539535599893</v>
      </c>
      <c r="I35" s="15" t="n">
        <f aca="false">K35+(Parametros!$E$33*1000*C35-Parametros!$E$34*1000*B35)/(3*(B35^2+C35^2))</f>
        <v>-5.90667801759221</v>
      </c>
      <c r="J35" s="15" t="n">
        <f aca="false">L35+(Parametros!$E$33*1000*D35+Parametros!$E$34*1000*E35)/(3*(D35^2+E35^2))</f>
        <v>9.78473890113547</v>
      </c>
      <c r="K35" s="15" t="n">
        <f aca="false">M35+(Parametros!$E$33*1000*E35-Parametros!$E$34*1000*D35)/(3*(D35^2+E35^2))</f>
        <v>-5.76412369575779</v>
      </c>
      <c r="L35" s="15" t="n">
        <f aca="false">(Demanda!$G$21*1000*F35+Demanda!$G$24*1000*G35)/(3*(F35^2+G35^2))</f>
        <v>9.76386385225188</v>
      </c>
      <c r="M35" s="15" t="n">
        <f aca="false">(Demanda!$G$21*1000*G35-Demanda!$G$24*1000*F35)/(3*(F35^2+G35^2))</f>
        <v>-5.61982232925075</v>
      </c>
      <c r="N35" s="15" t="n">
        <f aca="false">SQRT(F35^2+G35^2)*SQRT(3)*Parametros!$E$29/(Parametros!$E$27*1000)</f>
        <v>371.066629706266</v>
      </c>
      <c r="O35" s="15" t="n">
        <f aca="false">SQRT(J35^2+K35^2)</f>
        <v>11.3563302762552</v>
      </c>
      <c r="P35" s="15" t="n">
        <f aca="false">3*O35^2*Electrico!$B$10/1000</f>
        <v>2.10185397456322</v>
      </c>
      <c r="Q35" s="15" t="n">
        <f aca="false">MAX(ABS(B35-B34),ABS(C35-C34),ABS(D35-D34),ABS(E35-E34),ABS(F35-F34),ABS(G35-G34))</f>
        <v>9.03128238860518E-010</v>
      </c>
    </row>
    <row r="36" customFormat="false" ht="21" hidden="false" customHeight="true" outlineLevel="0" collapsed="false">
      <c r="A36" s="1" t="n">
        <v>29</v>
      </c>
      <c r="B36" s="15" t="n">
        <f aca="false">0.7*(Electrico!$B$18-Electrico!$B$16*H35+Electrico!$B$17*I35)+0.3*B35</f>
        <v>5874.84319738175</v>
      </c>
      <c r="C36" s="15" t="n">
        <f aca="false">0.7*(-Electrico!$B$16*I35-Electrico!$B$17*H35)+0.3*C35</f>
        <v>-200.951933934523</v>
      </c>
      <c r="D36" s="15" t="n">
        <f aca="false">0.7*(Electrico!$B$18-Electrico!$B$16*H35+Electrico!$B$17*I35-Electrico!$B$10*J35+Electrico!$B$11*K35)+0.3*D35</f>
        <v>5803.86733111938</v>
      </c>
      <c r="E36" s="15" t="n">
        <f aca="false">0.7*(-Electrico!$B$16*I35-Electrico!$B$17*H35-Electrico!$B$10*K35-Electrico!$B$11*J35)+0.3*E35</f>
        <v>-199.887128218041</v>
      </c>
      <c r="F36" s="15" t="n">
        <f aca="false">0.7*(Electrico!$B$18-Electrico!$B$16*H35+Electrico!$B$17*I35-Electrico!$B$10*J35+Electrico!$B$11*K35-Electrico!$B$16*L35+Electrico!$B$17*M35)+0.3*F35</f>
        <v>5623.47460735844</v>
      </c>
      <c r="G36" s="15" t="n">
        <f aca="false">0.7*(-Electrico!$B$16*I35-Electrico!$B$17*H35-Electrico!$B$10*K35-Electrico!$B$11*J35-Electrico!$B$16*M35-Electrico!$B$17*L35)+0.3*G35</f>
        <v>-401.286628834512</v>
      </c>
      <c r="H36" s="15" t="n">
        <f aca="false">J36+(Parametros!$E$33*1000*B36+Parametros!$E$34*1000*C36)/(3*(B36^2+C36^2))</f>
        <v>9.80539535599936</v>
      </c>
      <c r="I36" s="15" t="n">
        <f aca="false">K36+(Parametros!$E$33*1000*C36-Parametros!$E$34*1000*B36)/(3*(B36^2+C36^2))</f>
        <v>-5.9066780175928</v>
      </c>
      <c r="J36" s="15" t="n">
        <f aca="false">L36+(Parametros!$E$33*1000*D36+Parametros!$E$34*1000*E36)/(3*(D36^2+E36^2))</f>
        <v>9.7847389011359</v>
      </c>
      <c r="K36" s="15" t="n">
        <f aca="false">M36+(Parametros!$E$33*1000*E36-Parametros!$E$34*1000*D36)/(3*(D36^2+E36^2))</f>
        <v>-5.76412369575837</v>
      </c>
      <c r="L36" s="15" t="n">
        <f aca="false">(Demanda!$G$21*1000*F36+Demanda!$G$24*1000*G36)/(3*(F36^2+G36^2))</f>
        <v>9.76386385225231</v>
      </c>
      <c r="M36" s="15" t="n">
        <f aca="false">(Demanda!$G$21*1000*G36-Demanda!$G$24*1000*F36)/(3*(F36^2+G36^2))</f>
        <v>-5.61982232925133</v>
      </c>
      <c r="N36" s="15" t="n">
        <f aca="false">SQRT(F36^2+G36^2)*SQRT(3)*Parametros!$E$29/(Parametros!$E$27*1000)</f>
        <v>371.066629706244</v>
      </c>
      <c r="O36" s="15" t="n">
        <f aca="false">SQRT(J36^2+K36^2)</f>
        <v>11.3563302762558</v>
      </c>
      <c r="P36" s="15" t="n">
        <f aca="false">3*O36^2*Electrico!$B$10/1000</f>
        <v>2.10185397456346</v>
      </c>
      <c r="Q36" s="15" t="n">
        <f aca="false">MAX(ABS(B36-B35),ABS(C36-C35),ABS(D36-D35),ABS(E36-E35),ABS(F36-F35),ABS(G36-G35))</f>
        <v>3.37422534357756E-010</v>
      </c>
    </row>
    <row r="37" customFormat="false" ht="21" hidden="false" customHeight="true" outlineLevel="0" collapsed="false">
      <c r="A37" s="1" t="n">
        <v>30</v>
      </c>
      <c r="B37" s="15" t="n">
        <f aca="false">0.7*(Electrico!$B$18-Electrico!$B$16*H36+Electrico!$B$17*I36)+0.3*B36</f>
        <v>5874.84319738169</v>
      </c>
      <c r="C37" s="15" t="n">
        <f aca="false">0.7*(-Electrico!$B$16*I36-Electrico!$B$17*H36)+0.3*C36</f>
        <v>-200.951933934548</v>
      </c>
      <c r="D37" s="15" t="n">
        <f aca="false">0.7*(Electrico!$B$18-Electrico!$B$16*H36+Electrico!$B$17*I36-Electrico!$B$10*J36+Electrico!$B$11*K36)+0.3*D36</f>
        <v>5803.86733111931</v>
      </c>
      <c r="E37" s="15" t="n">
        <f aca="false">0.7*(-Electrico!$B$16*I36-Electrico!$B$17*H36-Electrico!$B$10*K36-Electrico!$B$11*J36)+0.3*E36</f>
        <v>-199.887128218059</v>
      </c>
      <c r="F37" s="15" t="n">
        <f aca="false">0.7*(Electrico!$B$18-Electrico!$B$16*H36+Electrico!$B$17*I36-Electrico!$B$10*J36+Electrico!$B$11*K36-Electrico!$B$16*L36+Electrico!$B$17*M36)+0.3*F36</f>
        <v>5623.47460735832</v>
      </c>
      <c r="G37" s="15" t="n">
        <f aca="false">0.7*(-Electrico!$B$16*I36-Electrico!$B$17*H36-Electrico!$B$10*K36-Electrico!$B$11*J36-Electrico!$B$16*M36-Electrico!$B$17*L36)+0.3*G36</f>
        <v>-401.286628834556</v>
      </c>
      <c r="H37" s="15" t="n">
        <f aca="false">J37+(Parametros!$E$33*1000*B37+Parametros!$E$34*1000*C37)/(3*(B37^2+C37^2))</f>
        <v>9.80539535599952</v>
      </c>
      <c r="I37" s="15" t="n">
        <f aca="false">K37+(Parametros!$E$33*1000*C37-Parametros!$E$34*1000*B37)/(3*(B37^2+C37^2))</f>
        <v>-5.90667801759301</v>
      </c>
      <c r="J37" s="15" t="n">
        <f aca="false">L37+(Parametros!$E$33*1000*D37+Parametros!$E$34*1000*E37)/(3*(D37^2+E37^2))</f>
        <v>9.78473890113605</v>
      </c>
      <c r="K37" s="15" t="n">
        <f aca="false">M37+(Parametros!$E$33*1000*E37-Parametros!$E$34*1000*D37)/(3*(D37^2+E37^2))</f>
        <v>-5.76412369575858</v>
      </c>
      <c r="L37" s="15" t="n">
        <f aca="false">(Demanda!$G$21*1000*F37+Demanda!$G$24*1000*G37)/(3*(F37^2+G37^2))</f>
        <v>9.76386385225247</v>
      </c>
      <c r="M37" s="15" t="n">
        <f aca="false">(Demanda!$G$21*1000*G37-Demanda!$G$24*1000*F37)/(3*(F37^2+G37^2))</f>
        <v>-5.61982232925154</v>
      </c>
      <c r="N37" s="15" t="n">
        <f aca="false">SQRT(F37^2+G37^2)*SQRT(3)*Parametros!$E$29/(Parametros!$E$27*1000)</f>
        <v>371.066629706236</v>
      </c>
      <c r="O37" s="15" t="n">
        <f aca="false">SQRT(J37^2+K37^2)</f>
        <v>11.3563302762561</v>
      </c>
      <c r="P37" s="15" t="n">
        <f aca="false">3*O37^2*Electrico!$B$10/1000</f>
        <v>2.10185397456355</v>
      </c>
      <c r="Q37" s="15" t="n">
        <f aca="false">MAX(ABS(B37-B36),ABS(C37-C36),ABS(D37-D36),ABS(E37-E36),ABS(F37-F36),ABS(G37-G36))</f>
        <v>1.25510268844664E-010</v>
      </c>
    </row>
    <row r="38" customFormat="false" ht="21" hidden="false" customHeight="true" outlineLevel="0" collapsed="false">
      <c r="A38" s="1" t="n">
        <v>31</v>
      </c>
      <c r="B38" s="15" t="n">
        <f aca="false">0.7*(Electrico!$B$18-Electrico!$B$16*H37+Electrico!$B$17*I37)+0.3*B37</f>
        <v>5874.84319738167</v>
      </c>
      <c r="C38" s="15" t="n">
        <f aca="false">0.7*(-Electrico!$B$16*I37-Electrico!$B$17*H37)+0.3*C37</f>
        <v>-200.951933934557</v>
      </c>
      <c r="D38" s="15" t="n">
        <f aca="false">0.7*(Electrico!$B$18-Electrico!$B$16*H37+Electrico!$B$17*I37-Electrico!$B$10*J37+Electrico!$B$11*K37)+0.3*D37</f>
        <v>5803.86733111929</v>
      </c>
      <c r="E38" s="15" t="n">
        <f aca="false">0.7*(-Electrico!$B$16*I37-Electrico!$B$17*H37-Electrico!$B$10*K37-Electrico!$B$11*J37)+0.3*E37</f>
        <v>-199.887128218066</v>
      </c>
      <c r="F38" s="15" t="n">
        <f aca="false">0.7*(Electrico!$B$18-Electrico!$B$16*H37+Electrico!$B$17*I37-Electrico!$B$10*J37+Electrico!$B$11*K37-Electrico!$B$16*L37+Electrico!$B$17*M37)+0.3*F37</f>
        <v>5623.47460735827</v>
      </c>
      <c r="G38" s="15" t="n">
        <f aca="false">0.7*(-Electrico!$B$16*I37-Electrico!$B$17*H37-Electrico!$B$10*K37-Electrico!$B$11*J37-Electrico!$B$16*M37-Electrico!$B$17*L37)+0.3*G37</f>
        <v>-401.286628834573</v>
      </c>
      <c r="H38" s="15" t="n">
        <f aca="false">J38+(Parametros!$E$33*1000*B38+Parametros!$E$34*1000*C38)/(3*(B38^2+C38^2))</f>
        <v>9.80539535599958</v>
      </c>
      <c r="I38" s="15" t="n">
        <f aca="false">K38+(Parametros!$E$33*1000*C38-Parametros!$E$34*1000*B38)/(3*(B38^2+C38^2))</f>
        <v>-5.90667801759309</v>
      </c>
      <c r="J38" s="15" t="n">
        <f aca="false">L38+(Parametros!$E$33*1000*D38+Parametros!$E$34*1000*E38)/(3*(D38^2+E38^2))</f>
        <v>9.78473890113611</v>
      </c>
      <c r="K38" s="15" t="n">
        <f aca="false">M38+(Parametros!$E$33*1000*E38-Parametros!$E$34*1000*D38)/(3*(D38^2+E38^2))</f>
        <v>-5.76412369575866</v>
      </c>
      <c r="L38" s="15" t="n">
        <f aca="false">(Demanda!$G$21*1000*F38+Demanda!$G$24*1000*G38)/(3*(F38^2+G38^2))</f>
        <v>9.76386385225253</v>
      </c>
      <c r="M38" s="15" t="n">
        <f aca="false">(Demanda!$G$21*1000*G38-Demanda!$G$24*1000*F38)/(3*(F38^2+G38^2))</f>
        <v>-5.61982232925162</v>
      </c>
      <c r="N38" s="15" t="n">
        <f aca="false">SQRT(F38^2+G38^2)*SQRT(3)*Parametros!$E$29/(Parametros!$E$27*1000)</f>
        <v>371.066629706233</v>
      </c>
      <c r="O38" s="15" t="n">
        <f aca="false">SQRT(J38^2+K38^2)</f>
        <v>11.3563302762562</v>
      </c>
      <c r="P38" s="15" t="n">
        <f aca="false">3*O38^2*Electrico!$B$10/1000</f>
        <v>2.10185397456359</v>
      </c>
      <c r="Q38" s="15" t="n">
        <f aca="false">MAX(ABS(B38-B37),ABS(C38-C37),ABS(D38-D37),ABS(E38-E37),ABS(F38-F37),ABS(G38-G37))</f>
        <v>4.63842297904193E-011</v>
      </c>
    </row>
    <row r="39" customFormat="false" ht="21" hidden="false" customHeight="true" outlineLevel="0" collapsed="false">
      <c r="A39" s="1" t="n">
        <v>32</v>
      </c>
      <c r="B39" s="15" t="n">
        <f aca="false">0.7*(Electrico!$B$18-Electrico!$B$16*H38+Electrico!$B$17*I38)+0.3*B38</f>
        <v>5874.84319738166</v>
      </c>
      <c r="C39" s="15" t="n">
        <f aca="false">0.7*(-Electrico!$B$16*I38-Electrico!$B$17*H38)+0.3*C38</f>
        <v>-200.951933934561</v>
      </c>
      <c r="D39" s="15" t="n">
        <f aca="false">0.7*(Electrico!$B$18-Electrico!$B$16*H38+Electrico!$B$17*I38-Electrico!$B$10*J38+Electrico!$B$11*K38)+0.3*D38</f>
        <v>5803.86733111928</v>
      </c>
      <c r="E39" s="15" t="n">
        <f aca="false">0.7*(-Electrico!$B$16*I38-Electrico!$B$17*H38-Electrico!$B$10*K38-Electrico!$B$11*J38)+0.3*E38</f>
        <v>-199.887128218069</v>
      </c>
      <c r="F39" s="15" t="n">
        <f aca="false">0.7*(Electrico!$B$18-Electrico!$B$16*H38+Electrico!$B$17*I38-Electrico!$B$10*J38+Electrico!$B$11*K38-Electrico!$B$16*L38+Electrico!$B$17*M38)+0.3*F38</f>
        <v>5623.47460735825</v>
      </c>
      <c r="G39" s="15" t="n">
        <f aca="false">0.7*(-Electrico!$B$16*I38-Electrico!$B$17*H38-Electrico!$B$10*K38-Electrico!$B$11*J38-Electrico!$B$16*M38-Electrico!$B$17*L38)+0.3*G38</f>
        <v>-401.286628834579</v>
      </c>
      <c r="H39" s="15" t="n">
        <f aca="false">J39+(Parametros!$E$33*1000*B39+Parametros!$E$34*1000*C39)/(3*(B39^2+C39^2))</f>
        <v>9.8053953559996</v>
      </c>
      <c r="I39" s="15" t="n">
        <f aca="false">K39+(Parametros!$E$33*1000*C39-Parametros!$E$34*1000*B39)/(3*(B39^2+C39^2))</f>
        <v>-5.90667801759312</v>
      </c>
      <c r="J39" s="15" t="n">
        <f aca="false">L39+(Parametros!$E$33*1000*D39+Parametros!$E$34*1000*E39)/(3*(D39^2+E39^2))</f>
        <v>9.78473890113613</v>
      </c>
      <c r="K39" s="15" t="n">
        <f aca="false">M39+(Parametros!$E$33*1000*E39-Parametros!$E$34*1000*D39)/(3*(D39^2+E39^2))</f>
        <v>-5.76412369575869</v>
      </c>
      <c r="L39" s="15" t="n">
        <f aca="false">(Demanda!$G$21*1000*F39+Demanda!$G$24*1000*G39)/(3*(F39^2+G39^2))</f>
        <v>9.76386385225255</v>
      </c>
      <c r="M39" s="15" t="n">
        <f aca="false">(Demanda!$G$21*1000*G39-Demanda!$G$24*1000*F39)/(3*(F39^2+G39^2))</f>
        <v>-5.61982232925165</v>
      </c>
      <c r="N39" s="15" t="n">
        <f aca="false">SQRT(F39^2+G39^2)*SQRT(3)*Parametros!$E$29/(Parametros!$E$27*1000)</f>
        <v>371.066629706232</v>
      </c>
      <c r="O39" s="15" t="n">
        <f aca="false">SQRT(J39^2+K39^2)</f>
        <v>11.3563302762562</v>
      </c>
      <c r="P39" s="15" t="n">
        <f aca="false">3*O39^2*Electrico!$B$10/1000</f>
        <v>2.1018539745636</v>
      </c>
      <c r="Q39" s="15" t="n">
        <f aca="false">MAX(ABS(B39-B38),ABS(C39-C38),ABS(D39-D38),ABS(E39-E38),ABS(F39-F38),ABS(G39-G38))</f>
        <v>6.13908923696727E-012</v>
      </c>
    </row>
    <row r="40" customFormat="false" ht="21" hidden="false" customHeight="true" outlineLevel="0" collapsed="false">
      <c r="A40" s="1" t="n">
        <v>33</v>
      </c>
      <c r="B40" s="15" t="n">
        <f aca="false">0.7*(Electrico!$B$18-Electrico!$B$16*H39+Electrico!$B$17*I39)+0.3*B39</f>
        <v>5874.84319738166</v>
      </c>
      <c r="C40" s="15" t="n">
        <f aca="false">0.7*(-Electrico!$B$16*I39-Electrico!$B$17*H39)+0.3*C39</f>
        <v>-200.951933934562</v>
      </c>
      <c r="D40" s="15" t="n">
        <f aca="false">0.7*(Electrico!$B$18-Electrico!$B$16*H39+Electrico!$B$17*I39-Electrico!$B$10*J39+Electrico!$B$11*K39)+0.3*D39</f>
        <v>5803.86733111927</v>
      </c>
      <c r="E40" s="15" t="n">
        <f aca="false">0.7*(-Electrico!$B$16*I39-Electrico!$B$17*H39-Electrico!$B$10*K39-Electrico!$B$11*J39)+0.3*E39</f>
        <v>-199.88712821807</v>
      </c>
      <c r="F40" s="15" t="n">
        <f aca="false">0.7*(Electrico!$B$18-Electrico!$B$16*H39+Electrico!$B$17*I39-Electrico!$B$10*J39+Electrico!$B$11*K39-Electrico!$B$16*L39+Electrico!$B$17*M39)+0.3*F39</f>
        <v>5623.47460735825</v>
      </c>
      <c r="G40" s="15" t="n">
        <f aca="false">0.7*(-Electrico!$B$16*I39-Electrico!$B$17*H39-Electrico!$B$10*K39-Electrico!$B$11*J39-Electrico!$B$16*M39-Electrico!$B$17*L39)+0.3*G39</f>
        <v>-401.286628834581</v>
      </c>
      <c r="H40" s="15" t="n">
        <f aca="false">J40+(Parametros!$E$33*1000*B40+Parametros!$E$34*1000*C40)/(3*(B40^2+C40^2))</f>
        <v>9.8053953559996</v>
      </c>
      <c r="I40" s="15" t="n">
        <f aca="false">K40+(Parametros!$E$33*1000*C40-Parametros!$E$34*1000*B40)/(3*(B40^2+C40^2))</f>
        <v>-5.90667801759313</v>
      </c>
      <c r="J40" s="15" t="n">
        <f aca="false">L40+(Parametros!$E$33*1000*D40+Parametros!$E$34*1000*E40)/(3*(D40^2+E40^2))</f>
        <v>9.78473890113614</v>
      </c>
      <c r="K40" s="15" t="n">
        <f aca="false">M40+(Parametros!$E$33*1000*E40-Parametros!$E$34*1000*D40)/(3*(D40^2+E40^2))</f>
        <v>-5.7641236957587</v>
      </c>
      <c r="L40" s="15" t="n">
        <f aca="false">(Demanda!$G$21*1000*F40+Demanda!$G$24*1000*G40)/(3*(F40^2+G40^2))</f>
        <v>9.76386385225255</v>
      </c>
      <c r="M40" s="15" t="n">
        <f aca="false">(Demanda!$G$21*1000*G40-Demanda!$G$24*1000*F40)/(3*(F40^2+G40^2))</f>
        <v>-5.61982232925166</v>
      </c>
      <c r="N40" s="15" t="n">
        <f aca="false">SQRT(F40^2+G40^2)*SQRT(3)*Parametros!$E$29/(Parametros!$E$27*1000)</f>
        <v>371.066629706232</v>
      </c>
      <c r="O40" s="15" t="n">
        <f aca="false">SQRT(J40^2+K40^2)</f>
        <v>11.3563302762562</v>
      </c>
      <c r="P40" s="15" t="n">
        <f aca="false">3*O40^2*Electrico!$B$10/1000</f>
        <v>2.1018539745636</v>
      </c>
      <c r="Q40" s="15" t="n">
        <f aca="false">MAX(ABS(B40-B39),ABS(C40-C39),ABS(D40-D39),ABS(E40-E39),ABS(F40-F39),ABS(G40-G39))</f>
        <v>2.21689333557151E-012</v>
      </c>
    </row>
    <row r="41" customFormat="false" ht="21" hidden="false" customHeight="true" outlineLevel="0" collapsed="false">
      <c r="A41" s="1" t="n">
        <v>34</v>
      </c>
      <c r="B41" s="15" t="n">
        <f aca="false">0.7*(Electrico!$B$18-Electrico!$B$16*H40+Electrico!$B$17*I40)+0.3*B40</f>
        <v>5874.84319738166</v>
      </c>
      <c r="C41" s="15" t="n">
        <f aca="false">0.7*(-Electrico!$B$16*I40-Electrico!$B$17*H40)+0.3*C40</f>
        <v>-200.951933934563</v>
      </c>
      <c r="D41" s="15" t="n">
        <f aca="false">0.7*(Electrico!$B$18-Electrico!$B$16*H40+Electrico!$B$17*I40-Electrico!$B$10*J40+Electrico!$B$11*K40)+0.3*D40</f>
        <v>5803.86733111927</v>
      </c>
      <c r="E41" s="15" t="n">
        <f aca="false">0.7*(-Electrico!$B$16*I40-Electrico!$B$17*H40-Electrico!$B$10*K40-Electrico!$B$11*J40)+0.3*E40</f>
        <v>-199.88712821807</v>
      </c>
      <c r="F41" s="15" t="n">
        <f aca="false">0.7*(Electrico!$B$18-Electrico!$B$16*H40+Electrico!$B$17*I40-Electrico!$B$10*J40+Electrico!$B$11*K40-Electrico!$B$16*L40+Electrico!$B$17*M40)+0.3*F40</f>
        <v>5623.47460735825</v>
      </c>
      <c r="G41" s="15" t="n">
        <f aca="false">0.7*(-Electrico!$B$16*I40-Electrico!$B$17*H40-Electrico!$B$10*K40-Electrico!$B$11*J40-Electrico!$B$16*M40-Electrico!$B$17*L40)+0.3*G40</f>
        <v>-401.286628834582</v>
      </c>
      <c r="H41" s="15" t="n">
        <f aca="false">J41+(Parametros!$E$33*1000*B41+Parametros!$E$34*1000*C41)/(3*(B41^2+C41^2))</f>
        <v>9.80539535599961</v>
      </c>
      <c r="I41" s="15" t="n">
        <f aca="false">K41+(Parametros!$E$33*1000*C41-Parametros!$E$34*1000*B41)/(3*(B41^2+C41^2))</f>
        <v>-5.90667801759314</v>
      </c>
      <c r="J41" s="15" t="n">
        <f aca="false">L41+(Parametros!$E$33*1000*D41+Parametros!$E$34*1000*E41)/(3*(D41^2+E41^2))</f>
        <v>9.78473890113614</v>
      </c>
      <c r="K41" s="15" t="n">
        <f aca="false">M41+(Parametros!$E$33*1000*E41-Parametros!$E$34*1000*D41)/(3*(D41^2+E41^2))</f>
        <v>-5.7641236957587</v>
      </c>
      <c r="L41" s="15" t="n">
        <f aca="false">(Demanda!$G$21*1000*F41+Demanda!$G$24*1000*G41)/(3*(F41^2+G41^2))</f>
        <v>9.76386385225256</v>
      </c>
      <c r="M41" s="15" t="n">
        <f aca="false">(Demanda!$G$21*1000*G41-Demanda!$G$24*1000*F41)/(3*(F41^2+G41^2))</f>
        <v>-5.61982232925166</v>
      </c>
      <c r="N41" s="15" t="n">
        <f aca="false">SQRT(F41^2+G41^2)*SQRT(3)*Parametros!$E$29/(Parametros!$E$27*1000)</f>
        <v>371.066629706232</v>
      </c>
      <c r="O41" s="15" t="n">
        <f aca="false">SQRT(J41^2+K41^2)</f>
        <v>11.3563302762562</v>
      </c>
      <c r="P41" s="15" t="n">
        <f aca="false">3*O41^2*Electrico!$B$10/1000</f>
        <v>2.10185397456361</v>
      </c>
      <c r="Q41" s="15" t="n">
        <f aca="false">MAX(ABS(B41-B40),ABS(C41-C40),ABS(D41-D40),ABS(E41-E40),ABS(F41-F40),ABS(G41-G40))</f>
        <v>0</v>
      </c>
    </row>
    <row r="42" customFormat="false" ht="21" hidden="false" customHeight="true" outlineLevel="0" collapsed="false">
      <c r="A42" s="1" t="n">
        <v>35</v>
      </c>
      <c r="B42" s="15" t="n">
        <f aca="false">0.7*(Electrico!$B$18-Electrico!$B$16*H41+Electrico!$B$17*I41)+0.3*B41</f>
        <v>5874.84319738166</v>
      </c>
      <c r="C42" s="15" t="n">
        <f aca="false">0.7*(-Electrico!$B$16*I41-Electrico!$B$17*H41)+0.3*C41</f>
        <v>-200.951933934563</v>
      </c>
      <c r="D42" s="15" t="n">
        <f aca="false">0.7*(Electrico!$B$18-Electrico!$B$16*H41+Electrico!$B$17*I41-Electrico!$B$10*J41+Electrico!$B$11*K41)+0.3*D41</f>
        <v>5803.86733111927</v>
      </c>
      <c r="E42" s="15" t="n">
        <f aca="false">0.7*(-Electrico!$B$16*I41-Electrico!$B$17*H41-Electrico!$B$10*K41-Electrico!$B$11*J41)+0.3*E41</f>
        <v>-199.88712821807</v>
      </c>
      <c r="F42" s="15" t="n">
        <f aca="false">0.7*(Electrico!$B$18-Electrico!$B$16*H41+Electrico!$B$17*I41-Electrico!$B$10*J41+Electrico!$B$11*K41-Electrico!$B$16*L41+Electrico!$B$17*M41)+0.3*F41</f>
        <v>5623.47460735824</v>
      </c>
      <c r="G42" s="15" t="n">
        <f aca="false">0.7*(-Electrico!$B$16*I41-Electrico!$B$17*H41-Electrico!$B$10*K41-Electrico!$B$11*J41-Electrico!$B$16*M41-Electrico!$B$17*L41)+0.3*G41</f>
        <v>-401.286628834582</v>
      </c>
      <c r="H42" s="15" t="n">
        <f aca="false">J42+(Parametros!$E$33*1000*B42+Parametros!$E$34*1000*C42)/(3*(B42^2+C42^2))</f>
        <v>9.80539535599961</v>
      </c>
      <c r="I42" s="15" t="n">
        <f aca="false">K42+(Parametros!$E$33*1000*C42-Parametros!$E$34*1000*B42)/(3*(B42^2+C42^2))</f>
        <v>-5.90667801759314</v>
      </c>
      <c r="J42" s="15" t="n">
        <f aca="false">L42+(Parametros!$E$33*1000*D42+Parametros!$E$34*1000*E42)/(3*(D42^2+E42^2))</f>
        <v>9.78473890113615</v>
      </c>
      <c r="K42" s="15" t="n">
        <f aca="false">M42+(Parametros!$E$33*1000*E42-Parametros!$E$34*1000*D42)/(3*(D42^2+E42^2))</f>
        <v>-5.76412369575871</v>
      </c>
      <c r="L42" s="15" t="n">
        <f aca="false">(Demanda!$G$21*1000*F42+Demanda!$G$24*1000*G42)/(3*(F42^2+G42^2))</f>
        <v>9.76386385225256</v>
      </c>
      <c r="M42" s="15" t="n">
        <f aca="false">(Demanda!$G$21*1000*G42-Demanda!$G$24*1000*F42)/(3*(F42^2+G42^2))</f>
        <v>-5.61982232925167</v>
      </c>
      <c r="N42" s="15" t="n">
        <f aca="false">SQRT(F42^2+G42^2)*SQRT(3)*Parametros!$E$29/(Parametros!$E$27*1000)</f>
        <v>371.066629706231</v>
      </c>
      <c r="O42" s="15" t="n">
        <f aca="false">SQRT(J42^2+K42^2)</f>
        <v>11.3563302762562</v>
      </c>
      <c r="P42" s="15" t="n">
        <f aca="false">3*O42^2*Electrico!$B$10/1000</f>
        <v>2.10185397456361</v>
      </c>
      <c r="Q42" s="15" t="n">
        <f aca="false">MAX(ABS(B42-B41),ABS(C42-C41),ABS(D42-D41),ABS(E42-E41),ABS(F42-F41),ABS(G42-G41))</f>
        <v>0</v>
      </c>
    </row>
    <row r="43" customFormat="false" ht="21" hidden="false" customHeight="true" outlineLevel="0" collapsed="false">
      <c r="A43" s="1" t="n">
        <v>36</v>
      </c>
      <c r="B43" s="15" t="n">
        <f aca="false">0.7*(Electrico!$B$18-Electrico!$B$16*H42+Electrico!$B$17*I42)+0.3*B42</f>
        <v>5874.84319738166</v>
      </c>
      <c r="C43" s="15" t="n">
        <f aca="false">0.7*(-Electrico!$B$16*I42-Electrico!$B$17*H42)+0.3*C42</f>
        <v>-200.951933934563</v>
      </c>
      <c r="D43" s="15" t="n">
        <f aca="false">0.7*(Electrico!$B$18-Electrico!$B$16*H42+Electrico!$B$17*I42-Electrico!$B$10*J42+Electrico!$B$11*K42)+0.3*D42</f>
        <v>5803.86733111927</v>
      </c>
      <c r="E43" s="15" t="n">
        <f aca="false">0.7*(-Electrico!$B$16*I42-Electrico!$B$17*H42-Electrico!$B$10*K42-Electrico!$B$11*J42)+0.3*E42</f>
        <v>-199.887128218071</v>
      </c>
      <c r="F43" s="15" t="n">
        <f aca="false">0.7*(Electrico!$B$18-Electrico!$B$16*H42+Electrico!$B$17*I42-Electrico!$B$10*J42+Electrico!$B$11*K42-Electrico!$B$16*L42+Electrico!$B$17*M42)+0.3*F42</f>
        <v>5623.47460735824</v>
      </c>
      <c r="G43" s="15" t="n">
        <f aca="false">0.7*(-Electrico!$B$16*I42-Electrico!$B$17*H42-Electrico!$B$10*K42-Electrico!$B$11*J42-Electrico!$B$16*M42-Electrico!$B$17*L42)+0.3*G42</f>
        <v>-401.286628834582</v>
      </c>
      <c r="H43" s="15" t="n">
        <f aca="false">J43+(Parametros!$E$33*1000*B43+Parametros!$E$34*1000*C43)/(3*(B43^2+C43^2))</f>
        <v>9.80539535599961</v>
      </c>
      <c r="I43" s="15" t="n">
        <f aca="false">K43+(Parametros!$E$33*1000*C43-Parametros!$E$34*1000*B43)/(3*(B43^2+C43^2))</f>
        <v>-5.90667801759314</v>
      </c>
      <c r="J43" s="15" t="n">
        <f aca="false">L43+(Parametros!$E$33*1000*D43+Parametros!$E$34*1000*E43)/(3*(D43^2+E43^2))</f>
        <v>9.78473890113615</v>
      </c>
      <c r="K43" s="15" t="n">
        <f aca="false">M43+(Parametros!$E$33*1000*E43-Parametros!$E$34*1000*D43)/(3*(D43^2+E43^2))</f>
        <v>-5.76412369575871</v>
      </c>
      <c r="L43" s="15" t="n">
        <f aca="false">(Demanda!$G$21*1000*F43+Demanda!$G$24*1000*G43)/(3*(F43^2+G43^2))</f>
        <v>9.76386385225256</v>
      </c>
      <c r="M43" s="15" t="n">
        <f aca="false">(Demanda!$G$21*1000*G43-Demanda!$G$24*1000*F43)/(3*(F43^2+G43^2))</f>
        <v>-5.61982232925167</v>
      </c>
      <c r="N43" s="15" t="n">
        <f aca="false">SQRT(F43^2+G43^2)*SQRT(3)*Parametros!$E$29/(Parametros!$E$27*1000)</f>
        <v>371.066629706231</v>
      </c>
      <c r="O43" s="15" t="n">
        <f aca="false">SQRT(J43^2+K43^2)</f>
        <v>11.3563302762562</v>
      </c>
      <c r="P43" s="15" t="n">
        <f aca="false">3*O43^2*Electrico!$B$10/1000</f>
        <v>2.10185397456361</v>
      </c>
      <c r="Q43" s="15" t="n">
        <f aca="false">MAX(ABS(B43-B42),ABS(C43-C42),ABS(D43-D42),ABS(E43-E42),ABS(F43-F42),ABS(G43-G42))</f>
        <v>0</v>
      </c>
    </row>
    <row r="44" customFormat="false" ht="21" hidden="false" customHeight="true" outlineLevel="0" collapsed="false">
      <c r="A44" s="1" t="n">
        <v>37</v>
      </c>
      <c r="B44" s="15" t="n">
        <f aca="false">0.7*(Electrico!$B$18-Electrico!$B$16*H43+Electrico!$B$17*I43)+0.3*B43</f>
        <v>5874.84319738166</v>
      </c>
      <c r="C44" s="15" t="n">
        <f aca="false">0.7*(-Electrico!$B$16*I43-Electrico!$B$17*H43)+0.3*C43</f>
        <v>-200.951933934563</v>
      </c>
      <c r="D44" s="15" t="n">
        <f aca="false">0.7*(Electrico!$B$18-Electrico!$B$16*H43+Electrico!$B$17*I43-Electrico!$B$10*J43+Electrico!$B$11*K43)+0.3*D43</f>
        <v>5803.86733111927</v>
      </c>
      <c r="E44" s="15" t="n">
        <f aca="false">0.7*(-Electrico!$B$16*I43-Electrico!$B$17*H43-Electrico!$B$10*K43-Electrico!$B$11*J43)+0.3*E43</f>
        <v>-199.887128218071</v>
      </c>
      <c r="F44" s="15" t="n">
        <f aca="false">0.7*(Electrico!$B$18-Electrico!$B$16*H43+Electrico!$B$17*I43-Electrico!$B$10*J43+Electrico!$B$11*K43-Electrico!$B$16*L43+Electrico!$B$17*M43)+0.3*F43</f>
        <v>5623.47460735824</v>
      </c>
      <c r="G44" s="15" t="n">
        <f aca="false">0.7*(-Electrico!$B$16*I43-Electrico!$B$17*H43-Electrico!$B$10*K43-Electrico!$B$11*J43-Electrico!$B$16*M43-Electrico!$B$17*L43)+0.3*G43</f>
        <v>-401.286628834582</v>
      </c>
      <c r="H44" s="15" t="n">
        <f aca="false">J44+(Parametros!$E$33*1000*B44+Parametros!$E$34*1000*C44)/(3*(B44^2+C44^2))</f>
        <v>9.80539535599961</v>
      </c>
      <c r="I44" s="15" t="n">
        <f aca="false">K44+(Parametros!$E$33*1000*C44-Parametros!$E$34*1000*B44)/(3*(B44^2+C44^2))</f>
        <v>-5.90667801759314</v>
      </c>
      <c r="J44" s="15" t="n">
        <f aca="false">L44+(Parametros!$E$33*1000*D44+Parametros!$E$34*1000*E44)/(3*(D44^2+E44^2))</f>
        <v>9.78473890113615</v>
      </c>
      <c r="K44" s="15" t="n">
        <f aca="false">M44+(Parametros!$E$33*1000*E44-Parametros!$E$34*1000*D44)/(3*(D44^2+E44^2))</f>
        <v>-5.76412369575871</v>
      </c>
      <c r="L44" s="15" t="n">
        <f aca="false">(Demanda!$G$21*1000*F44+Demanda!$G$24*1000*G44)/(3*(F44^2+G44^2))</f>
        <v>9.76386385225256</v>
      </c>
      <c r="M44" s="15" t="n">
        <f aca="false">(Demanda!$G$21*1000*G44-Demanda!$G$24*1000*F44)/(3*(F44^2+G44^2))</f>
        <v>-5.61982232925167</v>
      </c>
      <c r="N44" s="15" t="n">
        <f aca="false">SQRT(F44^2+G44^2)*SQRT(3)*Parametros!$E$29/(Parametros!$E$27*1000)</f>
        <v>371.066629706231</v>
      </c>
      <c r="O44" s="15" t="n">
        <f aca="false">SQRT(J44^2+K44^2)</f>
        <v>11.3563302762562</v>
      </c>
      <c r="P44" s="15" t="n">
        <f aca="false">3*O44^2*Electrico!$B$10/1000</f>
        <v>2.10185397456361</v>
      </c>
      <c r="Q44" s="15" t="n">
        <f aca="false">MAX(ABS(B44-B43),ABS(C44-C43),ABS(D44-D43),ABS(E44-E43),ABS(F44-F43),ABS(G44-G43))</f>
        <v>0</v>
      </c>
    </row>
    <row r="45" customFormat="false" ht="21" hidden="false" customHeight="true" outlineLevel="0" collapsed="false">
      <c r="A45" s="1" t="n">
        <v>38</v>
      </c>
      <c r="B45" s="15" t="n">
        <f aca="false">0.7*(Electrico!$B$18-Electrico!$B$16*H44+Electrico!$B$17*I44)+0.3*B44</f>
        <v>5874.84319738166</v>
      </c>
      <c r="C45" s="15" t="n">
        <f aca="false">0.7*(-Electrico!$B$16*I44-Electrico!$B$17*H44)+0.3*C44</f>
        <v>-200.951933934563</v>
      </c>
      <c r="D45" s="15" t="n">
        <f aca="false">0.7*(Electrico!$B$18-Electrico!$B$16*H44+Electrico!$B$17*I44-Electrico!$B$10*J44+Electrico!$B$11*K44)+0.3*D44</f>
        <v>5803.86733111927</v>
      </c>
      <c r="E45" s="15" t="n">
        <f aca="false">0.7*(-Electrico!$B$16*I44-Electrico!$B$17*H44-Electrico!$B$10*K44-Electrico!$B$11*J44)+0.3*E44</f>
        <v>-199.887128218071</v>
      </c>
      <c r="F45" s="15" t="n">
        <f aca="false">0.7*(Electrico!$B$18-Electrico!$B$16*H44+Electrico!$B$17*I44-Electrico!$B$10*J44+Electrico!$B$11*K44-Electrico!$B$16*L44+Electrico!$B$17*M44)+0.3*F44</f>
        <v>5623.47460735824</v>
      </c>
      <c r="G45" s="15" t="n">
        <f aca="false">0.7*(-Electrico!$B$16*I44-Electrico!$B$17*H44-Electrico!$B$10*K44-Electrico!$B$11*J44-Electrico!$B$16*M44-Electrico!$B$17*L44)+0.3*G44</f>
        <v>-401.286628834582</v>
      </c>
      <c r="H45" s="15" t="n">
        <f aca="false">J45+(Parametros!$E$33*1000*B45+Parametros!$E$34*1000*C45)/(3*(B45^2+C45^2))</f>
        <v>9.80539535599961</v>
      </c>
      <c r="I45" s="15" t="n">
        <f aca="false">K45+(Parametros!$E$33*1000*C45-Parametros!$E$34*1000*B45)/(3*(B45^2+C45^2))</f>
        <v>-5.90667801759314</v>
      </c>
      <c r="J45" s="15" t="n">
        <f aca="false">L45+(Parametros!$E$33*1000*D45+Parametros!$E$34*1000*E45)/(3*(D45^2+E45^2))</f>
        <v>9.78473890113615</v>
      </c>
      <c r="K45" s="15" t="n">
        <f aca="false">M45+(Parametros!$E$33*1000*E45-Parametros!$E$34*1000*D45)/(3*(D45^2+E45^2))</f>
        <v>-5.76412369575871</v>
      </c>
      <c r="L45" s="15" t="n">
        <f aca="false">(Demanda!$G$21*1000*F45+Demanda!$G$24*1000*G45)/(3*(F45^2+G45^2))</f>
        <v>9.76386385225256</v>
      </c>
      <c r="M45" s="15" t="n">
        <f aca="false">(Demanda!$G$21*1000*G45-Demanda!$G$24*1000*F45)/(3*(F45^2+G45^2))</f>
        <v>-5.61982232925167</v>
      </c>
      <c r="N45" s="15" t="n">
        <f aca="false">SQRT(F45^2+G45^2)*SQRT(3)*Parametros!$E$29/(Parametros!$E$27*1000)</f>
        <v>371.066629706231</v>
      </c>
      <c r="O45" s="15" t="n">
        <f aca="false">SQRT(J45^2+K45^2)</f>
        <v>11.3563302762562</v>
      </c>
      <c r="P45" s="15" t="n">
        <f aca="false">3*O45^2*Electrico!$B$10/1000</f>
        <v>2.10185397456361</v>
      </c>
      <c r="Q45" s="15" t="n">
        <f aca="false">MAX(ABS(B45-B44),ABS(C45-C44),ABS(D45-D44),ABS(E45-E44),ABS(F45-F44),ABS(G45-G44))</f>
        <v>0</v>
      </c>
    </row>
    <row r="46" customFormat="false" ht="21" hidden="false" customHeight="true" outlineLevel="0" collapsed="false">
      <c r="A46" s="1" t="n">
        <v>39</v>
      </c>
      <c r="B46" s="15" t="n">
        <f aca="false">0.7*(Electrico!$B$18-Electrico!$B$16*H45+Electrico!$B$17*I45)+0.3*B45</f>
        <v>5874.84319738166</v>
      </c>
      <c r="C46" s="15" t="n">
        <f aca="false">0.7*(-Electrico!$B$16*I45-Electrico!$B$17*H45)+0.3*C45</f>
        <v>-200.951933934563</v>
      </c>
      <c r="D46" s="15" t="n">
        <f aca="false">0.7*(Electrico!$B$18-Electrico!$B$16*H45+Electrico!$B$17*I45-Electrico!$B$10*J45+Electrico!$B$11*K45)+0.3*D45</f>
        <v>5803.86733111927</v>
      </c>
      <c r="E46" s="15" t="n">
        <f aca="false">0.7*(-Electrico!$B$16*I45-Electrico!$B$17*H45-Electrico!$B$10*K45-Electrico!$B$11*J45)+0.3*E45</f>
        <v>-199.887128218071</v>
      </c>
      <c r="F46" s="15" t="n">
        <f aca="false">0.7*(Electrico!$B$18-Electrico!$B$16*H45+Electrico!$B$17*I45-Electrico!$B$10*J45+Electrico!$B$11*K45-Electrico!$B$16*L45+Electrico!$B$17*M45)+0.3*F45</f>
        <v>5623.47460735824</v>
      </c>
      <c r="G46" s="15" t="n">
        <f aca="false">0.7*(-Electrico!$B$16*I45-Electrico!$B$17*H45-Electrico!$B$10*K45-Electrico!$B$11*J45-Electrico!$B$16*M45-Electrico!$B$17*L45)+0.3*G45</f>
        <v>-401.286628834582</v>
      </c>
      <c r="H46" s="15" t="n">
        <f aca="false">J46+(Parametros!$E$33*1000*B46+Parametros!$E$34*1000*C46)/(3*(B46^2+C46^2))</f>
        <v>9.80539535599961</v>
      </c>
      <c r="I46" s="15" t="n">
        <f aca="false">K46+(Parametros!$E$33*1000*C46-Parametros!$E$34*1000*B46)/(3*(B46^2+C46^2))</f>
        <v>-5.90667801759314</v>
      </c>
      <c r="J46" s="15" t="n">
        <f aca="false">L46+(Parametros!$E$33*1000*D46+Parametros!$E$34*1000*E46)/(3*(D46^2+E46^2))</f>
        <v>9.78473890113615</v>
      </c>
      <c r="K46" s="15" t="n">
        <f aca="false">M46+(Parametros!$E$33*1000*E46-Parametros!$E$34*1000*D46)/(3*(D46^2+E46^2))</f>
        <v>-5.76412369575871</v>
      </c>
      <c r="L46" s="15" t="n">
        <f aca="false">(Demanda!$G$21*1000*F46+Demanda!$G$24*1000*G46)/(3*(F46^2+G46^2))</f>
        <v>9.76386385225256</v>
      </c>
      <c r="M46" s="15" t="n">
        <f aca="false">(Demanda!$G$21*1000*G46-Demanda!$G$24*1000*F46)/(3*(F46^2+G46^2))</f>
        <v>-5.61982232925167</v>
      </c>
      <c r="N46" s="15" t="n">
        <f aca="false">SQRT(F46^2+G46^2)*SQRT(3)*Parametros!$E$29/(Parametros!$E$27*1000)</f>
        <v>371.066629706231</v>
      </c>
      <c r="O46" s="15" t="n">
        <f aca="false">SQRT(J46^2+K46^2)</f>
        <v>11.3563302762562</v>
      </c>
      <c r="P46" s="15" t="n">
        <f aca="false">3*O46^2*Electrico!$B$10/1000</f>
        <v>2.10185397456361</v>
      </c>
      <c r="Q46" s="15" t="n">
        <f aca="false">MAX(ABS(B46-B45),ABS(C46-C45),ABS(D46-D45),ABS(E46-E45),ABS(F46-F45),ABS(G46-G45))</f>
        <v>0</v>
      </c>
    </row>
    <row r="47" customFormat="false" ht="21" hidden="false" customHeight="true" outlineLevel="0" collapsed="false">
      <c r="A47" s="1" t="n">
        <v>40</v>
      </c>
      <c r="B47" s="15" t="n">
        <f aca="false">0.7*(Electrico!$B$18-Electrico!$B$16*H46+Electrico!$B$17*I46)+0.3*B46</f>
        <v>5874.84319738166</v>
      </c>
      <c r="C47" s="15" t="n">
        <f aca="false">0.7*(-Electrico!$B$16*I46-Electrico!$B$17*H46)+0.3*C46</f>
        <v>-200.951933934563</v>
      </c>
      <c r="D47" s="15" t="n">
        <f aca="false">0.7*(Electrico!$B$18-Electrico!$B$16*H46+Electrico!$B$17*I46-Electrico!$B$10*J46+Electrico!$B$11*K46)+0.3*D46</f>
        <v>5803.86733111927</v>
      </c>
      <c r="E47" s="15" t="n">
        <f aca="false">0.7*(-Electrico!$B$16*I46-Electrico!$B$17*H46-Electrico!$B$10*K46-Electrico!$B$11*J46)+0.3*E46</f>
        <v>-199.887128218071</v>
      </c>
      <c r="F47" s="15" t="n">
        <f aca="false">0.7*(Electrico!$B$18-Electrico!$B$16*H46+Electrico!$B$17*I46-Electrico!$B$10*J46+Electrico!$B$11*K46-Electrico!$B$16*L46+Electrico!$B$17*M46)+0.3*F46</f>
        <v>5623.47460735824</v>
      </c>
      <c r="G47" s="15" t="n">
        <f aca="false">0.7*(-Electrico!$B$16*I46-Electrico!$B$17*H46-Electrico!$B$10*K46-Electrico!$B$11*J46-Electrico!$B$16*M46-Electrico!$B$17*L46)+0.3*G46</f>
        <v>-401.286628834582</v>
      </c>
      <c r="H47" s="15" t="n">
        <f aca="false">J47+(Parametros!$E$33*1000*B47+Parametros!$E$34*1000*C47)/(3*(B47^2+C47^2))</f>
        <v>9.80539535599961</v>
      </c>
      <c r="I47" s="15" t="n">
        <f aca="false">K47+(Parametros!$E$33*1000*C47-Parametros!$E$34*1000*B47)/(3*(B47^2+C47^2))</f>
        <v>-5.90667801759314</v>
      </c>
      <c r="J47" s="15" t="n">
        <f aca="false">L47+(Parametros!$E$33*1000*D47+Parametros!$E$34*1000*E47)/(3*(D47^2+E47^2))</f>
        <v>9.78473890113615</v>
      </c>
      <c r="K47" s="15" t="n">
        <f aca="false">M47+(Parametros!$E$33*1000*E47-Parametros!$E$34*1000*D47)/(3*(D47^2+E47^2))</f>
        <v>-5.76412369575871</v>
      </c>
      <c r="L47" s="15" t="n">
        <f aca="false">(Demanda!$G$21*1000*F47+Demanda!$G$24*1000*G47)/(3*(F47^2+G47^2))</f>
        <v>9.76386385225256</v>
      </c>
      <c r="M47" s="15" t="n">
        <f aca="false">(Demanda!$G$21*1000*G47-Demanda!$G$24*1000*F47)/(3*(F47^2+G47^2))</f>
        <v>-5.61982232925167</v>
      </c>
      <c r="N47" s="15" t="n">
        <f aca="false">SQRT(F47^2+G47^2)*SQRT(3)*Parametros!$E$29/(Parametros!$E$27*1000)</f>
        <v>371.066629706231</v>
      </c>
      <c r="O47" s="15" t="n">
        <f aca="false">SQRT(J47^2+K47^2)</f>
        <v>11.3563302762562</v>
      </c>
      <c r="P47" s="15" t="n">
        <f aca="false">3*O47^2*Electrico!$B$10/1000</f>
        <v>2.10185397456361</v>
      </c>
      <c r="Q47" s="15" t="n">
        <f aca="false">MAX(ABS(B47-B46),ABS(C47-C46),ABS(D47-D46),ABS(E47-E46),ABS(F47-F46),ABS(G47-G46))</f>
        <v>0</v>
      </c>
    </row>
    <row r="48" customFormat="false" ht="21" hidden="false" customHeight="true" outlineLevel="0" collapsed="false">
      <c r="A48" s="1" t="n">
        <v>41</v>
      </c>
      <c r="B48" s="15" t="n">
        <f aca="false">0.7*(Electrico!$B$18-Electrico!$B$16*H47+Electrico!$B$17*I47)+0.3*B47</f>
        <v>5874.84319738166</v>
      </c>
      <c r="C48" s="15" t="n">
        <f aca="false">0.7*(-Electrico!$B$16*I47-Electrico!$B$17*H47)+0.3*C47</f>
        <v>-200.951933934563</v>
      </c>
      <c r="D48" s="15" t="n">
        <f aca="false">0.7*(Electrico!$B$18-Electrico!$B$16*H47+Electrico!$B$17*I47-Electrico!$B$10*J47+Electrico!$B$11*K47)+0.3*D47</f>
        <v>5803.86733111927</v>
      </c>
      <c r="E48" s="15" t="n">
        <f aca="false">0.7*(-Electrico!$B$16*I47-Electrico!$B$17*H47-Electrico!$B$10*K47-Electrico!$B$11*J47)+0.3*E47</f>
        <v>-199.887128218071</v>
      </c>
      <c r="F48" s="15" t="n">
        <f aca="false">0.7*(Electrico!$B$18-Electrico!$B$16*H47+Electrico!$B$17*I47-Electrico!$B$10*J47+Electrico!$B$11*K47-Electrico!$B$16*L47+Electrico!$B$17*M47)+0.3*F47</f>
        <v>5623.47460735824</v>
      </c>
      <c r="G48" s="15" t="n">
        <f aca="false">0.7*(-Electrico!$B$16*I47-Electrico!$B$17*H47-Electrico!$B$10*K47-Electrico!$B$11*J47-Electrico!$B$16*M47-Electrico!$B$17*L47)+0.3*G47</f>
        <v>-401.286628834582</v>
      </c>
      <c r="H48" s="15" t="n">
        <f aca="false">J48+(Parametros!$E$33*1000*B48+Parametros!$E$34*1000*C48)/(3*(B48^2+C48^2))</f>
        <v>9.80539535599961</v>
      </c>
      <c r="I48" s="15" t="n">
        <f aca="false">K48+(Parametros!$E$33*1000*C48-Parametros!$E$34*1000*B48)/(3*(B48^2+C48^2))</f>
        <v>-5.90667801759314</v>
      </c>
      <c r="J48" s="15" t="n">
        <f aca="false">L48+(Parametros!$E$33*1000*D48+Parametros!$E$34*1000*E48)/(3*(D48^2+E48^2))</f>
        <v>9.78473890113615</v>
      </c>
      <c r="K48" s="15" t="n">
        <f aca="false">M48+(Parametros!$E$33*1000*E48-Parametros!$E$34*1000*D48)/(3*(D48^2+E48^2))</f>
        <v>-5.76412369575871</v>
      </c>
      <c r="L48" s="15" t="n">
        <f aca="false">(Demanda!$G$21*1000*F48+Demanda!$G$24*1000*G48)/(3*(F48^2+G48^2))</f>
        <v>9.76386385225256</v>
      </c>
      <c r="M48" s="15" t="n">
        <f aca="false">(Demanda!$G$21*1000*G48-Demanda!$G$24*1000*F48)/(3*(F48^2+G48^2))</f>
        <v>-5.61982232925167</v>
      </c>
      <c r="N48" s="15" t="n">
        <f aca="false">SQRT(F48^2+G48^2)*SQRT(3)*Parametros!$E$29/(Parametros!$E$27*1000)</f>
        <v>371.066629706231</v>
      </c>
      <c r="O48" s="15" t="n">
        <f aca="false">SQRT(J48^2+K48^2)</f>
        <v>11.3563302762562</v>
      </c>
      <c r="P48" s="15" t="n">
        <f aca="false">3*O48^2*Electrico!$B$10/1000</f>
        <v>2.10185397456361</v>
      </c>
      <c r="Q48" s="15" t="n">
        <f aca="false">MAX(ABS(B48-B47),ABS(C48-C47),ABS(D48-D47),ABS(E48-E47),ABS(F48-F47),ABS(G48-G47))</f>
        <v>0</v>
      </c>
    </row>
    <row r="49" customFormat="false" ht="21" hidden="false" customHeight="true" outlineLevel="0" collapsed="false">
      <c r="A49" s="1" t="n">
        <v>42</v>
      </c>
      <c r="B49" s="15" t="n">
        <f aca="false">0.7*(Electrico!$B$18-Electrico!$B$16*H48+Electrico!$B$17*I48)+0.3*B48</f>
        <v>5874.84319738166</v>
      </c>
      <c r="C49" s="15" t="n">
        <f aca="false">0.7*(-Electrico!$B$16*I48-Electrico!$B$17*H48)+0.3*C48</f>
        <v>-200.951933934563</v>
      </c>
      <c r="D49" s="15" t="n">
        <f aca="false">0.7*(Electrico!$B$18-Electrico!$B$16*H48+Electrico!$B$17*I48-Electrico!$B$10*J48+Electrico!$B$11*K48)+0.3*D48</f>
        <v>5803.86733111927</v>
      </c>
      <c r="E49" s="15" t="n">
        <f aca="false">0.7*(-Electrico!$B$16*I48-Electrico!$B$17*H48-Electrico!$B$10*K48-Electrico!$B$11*J48)+0.3*E48</f>
        <v>-199.887128218071</v>
      </c>
      <c r="F49" s="15" t="n">
        <f aca="false">0.7*(Electrico!$B$18-Electrico!$B$16*H48+Electrico!$B$17*I48-Electrico!$B$10*J48+Electrico!$B$11*K48-Electrico!$B$16*L48+Electrico!$B$17*M48)+0.3*F48</f>
        <v>5623.47460735824</v>
      </c>
      <c r="G49" s="15" t="n">
        <f aca="false">0.7*(-Electrico!$B$16*I48-Electrico!$B$17*H48-Electrico!$B$10*K48-Electrico!$B$11*J48-Electrico!$B$16*M48-Electrico!$B$17*L48)+0.3*G48</f>
        <v>-401.286628834582</v>
      </c>
      <c r="H49" s="15" t="n">
        <f aca="false">J49+(Parametros!$E$33*1000*B49+Parametros!$E$34*1000*C49)/(3*(B49^2+C49^2))</f>
        <v>9.80539535599961</v>
      </c>
      <c r="I49" s="15" t="n">
        <f aca="false">K49+(Parametros!$E$33*1000*C49-Parametros!$E$34*1000*B49)/(3*(B49^2+C49^2))</f>
        <v>-5.90667801759314</v>
      </c>
      <c r="J49" s="15" t="n">
        <f aca="false">L49+(Parametros!$E$33*1000*D49+Parametros!$E$34*1000*E49)/(3*(D49^2+E49^2))</f>
        <v>9.78473890113615</v>
      </c>
      <c r="K49" s="15" t="n">
        <f aca="false">M49+(Parametros!$E$33*1000*E49-Parametros!$E$34*1000*D49)/(3*(D49^2+E49^2))</f>
        <v>-5.76412369575871</v>
      </c>
      <c r="L49" s="15" t="n">
        <f aca="false">(Demanda!$G$21*1000*F49+Demanda!$G$24*1000*G49)/(3*(F49^2+G49^2))</f>
        <v>9.76386385225256</v>
      </c>
      <c r="M49" s="15" t="n">
        <f aca="false">(Demanda!$G$21*1000*G49-Demanda!$G$24*1000*F49)/(3*(F49^2+G49^2))</f>
        <v>-5.61982232925167</v>
      </c>
      <c r="N49" s="15" t="n">
        <f aca="false">SQRT(F49^2+G49^2)*SQRT(3)*Parametros!$E$29/(Parametros!$E$27*1000)</f>
        <v>371.066629706231</v>
      </c>
      <c r="O49" s="15" t="n">
        <f aca="false">SQRT(J49^2+K49^2)</f>
        <v>11.3563302762562</v>
      </c>
      <c r="P49" s="15" t="n">
        <f aca="false">3*O49^2*Electrico!$B$10/1000</f>
        <v>2.10185397456361</v>
      </c>
      <c r="Q49" s="15" t="n">
        <f aca="false">MAX(ABS(B49-B48),ABS(C49-C48),ABS(D49-D48),ABS(E49-E48),ABS(F49-F48),ABS(G49-G48))</f>
        <v>0</v>
      </c>
    </row>
    <row r="50" customFormat="false" ht="21" hidden="false" customHeight="true" outlineLevel="0" collapsed="false">
      <c r="A50" s="1" t="n">
        <v>43</v>
      </c>
      <c r="B50" s="15" t="n">
        <f aca="false">0.7*(Electrico!$B$18-Electrico!$B$16*H49+Electrico!$B$17*I49)+0.3*B49</f>
        <v>5874.84319738166</v>
      </c>
      <c r="C50" s="15" t="n">
        <f aca="false">0.7*(-Electrico!$B$16*I49-Electrico!$B$17*H49)+0.3*C49</f>
        <v>-200.951933934563</v>
      </c>
      <c r="D50" s="15" t="n">
        <f aca="false">0.7*(Electrico!$B$18-Electrico!$B$16*H49+Electrico!$B$17*I49-Electrico!$B$10*J49+Electrico!$B$11*K49)+0.3*D49</f>
        <v>5803.86733111927</v>
      </c>
      <c r="E50" s="15" t="n">
        <f aca="false">0.7*(-Electrico!$B$16*I49-Electrico!$B$17*H49-Electrico!$B$10*K49-Electrico!$B$11*J49)+0.3*E49</f>
        <v>-199.887128218071</v>
      </c>
      <c r="F50" s="15" t="n">
        <f aca="false">0.7*(Electrico!$B$18-Electrico!$B$16*H49+Electrico!$B$17*I49-Electrico!$B$10*J49+Electrico!$B$11*K49-Electrico!$B$16*L49+Electrico!$B$17*M49)+0.3*F49</f>
        <v>5623.47460735824</v>
      </c>
      <c r="G50" s="15" t="n">
        <f aca="false">0.7*(-Electrico!$B$16*I49-Electrico!$B$17*H49-Electrico!$B$10*K49-Electrico!$B$11*J49-Electrico!$B$16*M49-Electrico!$B$17*L49)+0.3*G49</f>
        <v>-401.286628834582</v>
      </c>
      <c r="H50" s="15" t="n">
        <f aca="false">J50+(Parametros!$E$33*1000*B50+Parametros!$E$34*1000*C50)/(3*(B50^2+C50^2))</f>
        <v>9.80539535599961</v>
      </c>
      <c r="I50" s="15" t="n">
        <f aca="false">K50+(Parametros!$E$33*1000*C50-Parametros!$E$34*1000*B50)/(3*(B50^2+C50^2))</f>
        <v>-5.90667801759314</v>
      </c>
      <c r="J50" s="15" t="n">
        <f aca="false">L50+(Parametros!$E$33*1000*D50+Parametros!$E$34*1000*E50)/(3*(D50^2+E50^2))</f>
        <v>9.78473890113615</v>
      </c>
      <c r="K50" s="15" t="n">
        <f aca="false">M50+(Parametros!$E$33*1000*E50-Parametros!$E$34*1000*D50)/(3*(D50^2+E50^2))</f>
        <v>-5.76412369575871</v>
      </c>
      <c r="L50" s="15" t="n">
        <f aca="false">(Demanda!$G$21*1000*F50+Demanda!$G$24*1000*G50)/(3*(F50^2+G50^2))</f>
        <v>9.76386385225256</v>
      </c>
      <c r="M50" s="15" t="n">
        <f aca="false">(Demanda!$G$21*1000*G50-Demanda!$G$24*1000*F50)/(3*(F50^2+G50^2))</f>
        <v>-5.61982232925167</v>
      </c>
      <c r="N50" s="15" t="n">
        <f aca="false">SQRT(F50^2+G50^2)*SQRT(3)*Parametros!$E$29/(Parametros!$E$27*1000)</f>
        <v>371.066629706231</v>
      </c>
      <c r="O50" s="15" t="n">
        <f aca="false">SQRT(J50^2+K50^2)</f>
        <v>11.3563302762562</v>
      </c>
      <c r="P50" s="15" t="n">
        <f aca="false">3*O50^2*Electrico!$B$10/1000</f>
        <v>2.10185397456361</v>
      </c>
      <c r="Q50" s="15" t="n">
        <f aca="false">MAX(ABS(B50-B49),ABS(C50-C49),ABS(D50-D49),ABS(E50-E49),ABS(F50-F49),ABS(G50-G49))</f>
        <v>0</v>
      </c>
    </row>
    <row r="51" customFormat="false" ht="21" hidden="false" customHeight="true" outlineLevel="0" collapsed="false">
      <c r="A51" s="1" t="n">
        <v>44</v>
      </c>
      <c r="B51" s="15" t="n">
        <f aca="false">0.7*(Electrico!$B$18-Electrico!$B$16*H50+Electrico!$B$17*I50)+0.3*B50</f>
        <v>5874.84319738166</v>
      </c>
      <c r="C51" s="15" t="n">
        <f aca="false">0.7*(-Electrico!$B$16*I50-Electrico!$B$17*H50)+0.3*C50</f>
        <v>-200.951933934563</v>
      </c>
      <c r="D51" s="15" t="n">
        <f aca="false">0.7*(Electrico!$B$18-Electrico!$B$16*H50+Electrico!$B$17*I50-Electrico!$B$10*J50+Electrico!$B$11*K50)+0.3*D50</f>
        <v>5803.86733111927</v>
      </c>
      <c r="E51" s="15" t="n">
        <f aca="false">0.7*(-Electrico!$B$16*I50-Electrico!$B$17*H50-Electrico!$B$10*K50-Electrico!$B$11*J50)+0.3*E50</f>
        <v>-199.887128218071</v>
      </c>
      <c r="F51" s="15" t="n">
        <f aca="false">0.7*(Electrico!$B$18-Electrico!$B$16*H50+Electrico!$B$17*I50-Electrico!$B$10*J50+Electrico!$B$11*K50-Electrico!$B$16*L50+Electrico!$B$17*M50)+0.3*F50</f>
        <v>5623.47460735824</v>
      </c>
      <c r="G51" s="15" t="n">
        <f aca="false">0.7*(-Electrico!$B$16*I50-Electrico!$B$17*H50-Electrico!$B$10*K50-Electrico!$B$11*J50-Electrico!$B$16*M50-Electrico!$B$17*L50)+0.3*G50</f>
        <v>-401.286628834582</v>
      </c>
      <c r="H51" s="15" t="n">
        <f aca="false">J51+(Parametros!$E$33*1000*B51+Parametros!$E$34*1000*C51)/(3*(B51^2+C51^2))</f>
        <v>9.80539535599961</v>
      </c>
      <c r="I51" s="15" t="n">
        <f aca="false">K51+(Parametros!$E$33*1000*C51-Parametros!$E$34*1000*B51)/(3*(B51^2+C51^2))</f>
        <v>-5.90667801759314</v>
      </c>
      <c r="J51" s="15" t="n">
        <f aca="false">L51+(Parametros!$E$33*1000*D51+Parametros!$E$34*1000*E51)/(3*(D51^2+E51^2))</f>
        <v>9.78473890113615</v>
      </c>
      <c r="K51" s="15" t="n">
        <f aca="false">M51+(Parametros!$E$33*1000*E51-Parametros!$E$34*1000*D51)/(3*(D51^2+E51^2))</f>
        <v>-5.76412369575871</v>
      </c>
      <c r="L51" s="15" t="n">
        <f aca="false">(Demanda!$G$21*1000*F51+Demanda!$G$24*1000*G51)/(3*(F51^2+G51^2))</f>
        <v>9.76386385225256</v>
      </c>
      <c r="M51" s="15" t="n">
        <f aca="false">(Demanda!$G$21*1000*G51-Demanda!$G$24*1000*F51)/(3*(F51^2+G51^2))</f>
        <v>-5.61982232925167</v>
      </c>
      <c r="N51" s="15" t="n">
        <f aca="false">SQRT(F51^2+G51^2)*SQRT(3)*Parametros!$E$29/(Parametros!$E$27*1000)</f>
        <v>371.066629706231</v>
      </c>
      <c r="O51" s="15" t="n">
        <f aca="false">SQRT(J51^2+K51^2)</f>
        <v>11.3563302762562</v>
      </c>
      <c r="P51" s="15" t="n">
        <f aca="false">3*O51^2*Electrico!$B$10/1000</f>
        <v>2.10185397456361</v>
      </c>
      <c r="Q51" s="15" t="n">
        <f aca="false">MAX(ABS(B51-B50),ABS(C51-C50),ABS(D51-D50),ABS(E51-E50),ABS(F51-F50),ABS(G51-G50))</f>
        <v>0</v>
      </c>
    </row>
    <row r="52" customFormat="false" ht="21" hidden="false" customHeight="true" outlineLevel="0" collapsed="false">
      <c r="A52" s="1" t="n">
        <v>45</v>
      </c>
      <c r="B52" s="15" t="n">
        <f aca="false">0.7*(Electrico!$B$18-Electrico!$B$16*H51+Electrico!$B$17*I51)+0.3*B51</f>
        <v>5874.84319738166</v>
      </c>
      <c r="C52" s="15" t="n">
        <f aca="false">0.7*(-Electrico!$B$16*I51-Electrico!$B$17*H51)+0.3*C51</f>
        <v>-200.951933934563</v>
      </c>
      <c r="D52" s="15" t="n">
        <f aca="false">0.7*(Electrico!$B$18-Electrico!$B$16*H51+Electrico!$B$17*I51-Electrico!$B$10*J51+Electrico!$B$11*K51)+0.3*D51</f>
        <v>5803.86733111927</v>
      </c>
      <c r="E52" s="15" t="n">
        <f aca="false">0.7*(-Electrico!$B$16*I51-Electrico!$B$17*H51-Electrico!$B$10*K51-Electrico!$B$11*J51)+0.3*E51</f>
        <v>-199.887128218071</v>
      </c>
      <c r="F52" s="15" t="n">
        <f aca="false">0.7*(Electrico!$B$18-Electrico!$B$16*H51+Electrico!$B$17*I51-Electrico!$B$10*J51+Electrico!$B$11*K51-Electrico!$B$16*L51+Electrico!$B$17*M51)+0.3*F51</f>
        <v>5623.47460735824</v>
      </c>
      <c r="G52" s="15" t="n">
        <f aca="false">0.7*(-Electrico!$B$16*I51-Electrico!$B$17*H51-Electrico!$B$10*K51-Electrico!$B$11*J51-Electrico!$B$16*M51-Electrico!$B$17*L51)+0.3*G51</f>
        <v>-401.286628834582</v>
      </c>
      <c r="H52" s="15" t="n">
        <f aca="false">J52+(Parametros!$E$33*1000*B52+Parametros!$E$34*1000*C52)/(3*(B52^2+C52^2))</f>
        <v>9.80539535599961</v>
      </c>
      <c r="I52" s="15" t="n">
        <f aca="false">K52+(Parametros!$E$33*1000*C52-Parametros!$E$34*1000*B52)/(3*(B52^2+C52^2))</f>
        <v>-5.90667801759314</v>
      </c>
      <c r="J52" s="15" t="n">
        <f aca="false">L52+(Parametros!$E$33*1000*D52+Parametros!$E$34*1000*E52)/(3*(D52^2+E52^2))</f>
        <v>9.78473890113615</v>
      </c>
      <c r="K52" s="15" t="n">
        <f aca="false">M52+(Parametros!$E$33*1000*E52-Parametros!$E$34*1000*D52)/(3*(D52^2+E52^2))</f>
        <v>-5.76412369575871</v>
      </c>
      <c r="L52" s="15" t="n">
        <f aca="false">(Demanda!$G$21*1000*F52+Demanda!$G$24*1000*G52)/(3*(F52^2+G52^2))</f>
        <v>9.76386385225256</v>
      </c>
      <c r="M52" s="15" t="n">
        <f aca="false">(Demanda!$G$21*1000*G52-Demanda!$G$24*1000*F52)/(3*(F52^2+G52^2))</f>
        <v>-5.61982232925167</v>
      </c>
      <c r="N52" s="15" t="n">
        <f aca="false">SQRT(F52^2+G52^2)*SQRT(3)*Parametros!$E$29/(Parametros!$E$27*1000)</f>
        <v>371.066629706231</v>
      </c>
      <c r="O52" s="15" t="n">
        <f aca="false">SQRT(J52^2+K52^2)</f>
        <v>11.3563302762562</v>
      </c>
      <c r="P52" s="15" t="n">
        <f aca="false">3*O52^2*Electrico!$B$10/1000</f>
        <v>2.10185397456361</v>
      </c>
      <c r="Q52" s="15" t="n">
        <f aca="false">MAX(ABS(B52-B51),ABS(C52-C51),ABS(D52-D51),ABS(E52-E51),ABS(F52-F51),ABS(G52-G51))</f>
        <v>0</v>
      </c>
    </row>
    <row r="53" customFormat="false" ht="21" hidden="false" customHeight="true" outlineLevel="0" collapsed="false">
      <c r="A53" s="1" t="n">
        <v>46</v>
      </c>
      <c r="B53" s="15" t="n">
        <f aca="false">0.7*(Electrico!$B$18-Electrico!$B$16*H52+Electrico!$B$17*I52)+0.3*B52</f>
        <v>5874.84319738166</v>
      </c>
      <c r="C53" s="15" t="n">
        <f aca="false">0.7*(-Electrico!$B$16*I52-Electrico!$B$17*H52)+0.3*C52</f>
        <v>-200.951933934563</v>
      </c>
      <c r="D53" s="15" t="n">
        <f aca="false">0.7*(Electrico!$B$18-Electrico!$B$16*H52+Electrico!$B$17*I52-Electrico!$B$10*J52+Electrico!$B$11*K52)+0.3*D52</f>
        <v>5803.86733111927</v>
      </c>
      <c r="E53" s="15" t="n">
        <f aca="false">0.7*(-Electrico!$B$16*I52-Electrico!$B$17*H52-Electrico!$B$10*K52-Electrico!$B$11*J52)+0.3*E52</f>
        <v>-199.887128218071</v>
      </c>
      <c r="F53" s="15" t="n">
        <f aca="false">0.7*(Electrico!$B$18-Electrico!$B$16*H52+Electrico!$B$17*I52-Electrico!$B$10*J52+Electrico!$B$11*K52-Electrico!$B$16*L52+Electrico!$B$17*M52)+0.3*F52</f>
        <v>5623.47460735824</v>
      </c>
      <c r="G53" s="15" t="n">
        <f aca="false">0.7*(-Electrico!$B$16*I52-Electrico!$B$17*H52-Electrico!$B$10*K52-Electrico!$B$11*J52-Electrico!$B$16*M52-Electrico!$B$17*L52)+0.3*G52</f>
        <v>-401.286628834582</v>
      </c>
      <c r="H53" s="15" t="n">
        <f aca="false">J53+(Parametros!$E$33*1000*B53+Parametros!$E$34*1000*C53)/(3*(B53^2+C53^2))</f>
        <v>9.80539535599961</v>
      </c>
      <c r="I53" s="15" t="n">
        <f aca="false">K53+(Parametros!$E$33*1000*C53-Parametros!$E$34*1000*B53)/(3*(B53^2+C53^2))</f>
        <v>-5.90667801759314</v>
      </c>
      <c r="J53" s="15" t="n">
        <f aca="false">L53+(Parametros!$E$33*1000*D53+Parametros!$E$34*1000*E53)/(3*(D53^2+E53^2))</f>
        <v>9.78473890113615</v>
      </c>
      <c r="K53" s="15" t="n">
        <f aca="false">M53+(Parametros!$E$33*1000*E53-Parametros!$E$34*1000*D53)/(3*(D53^2+E53^2))</f>
        <v>-5.76412369575871</v>
      </c>
      <c r="L53" s="15" t="n">
        <f aca="false">(Demanda!$G$21*1000*F53+Demanda!$G$24*1000*G53)/(3*(F53^2+G53^2))</f>
        <v>9.76386385225256</v>
      </c>
      <c r="M53" s="15" t="n">
        <f aca="false">(Demanda!$G$21*1000*G53-Demanda!$G$24*1000*F53)/(3*(F53^2+G53^2))</f>
        <v>-5.61982232925167</v>
      </c>
      <c r="N53" s="15" t="n">
        <f aca="false">SQRT(F53^2+G53^2)*SQRT(3)*Parametros!$E$29/(Parametros!$E$27*1000)</f>
        <v>371.066629706231</v>
      </c>
      <c r="O53" s="15" t="n">
        <f aca="false">SQRT(J53^2+K53^2)</f>
        <v>11.3563302762562</v>
      </c>
      <c r="P53" s="15" t="n">
        <f aca="false">3*O53^2*Electrico!$B$10/1000</f>
        <v>2.10185397456361</v>
      </c>
      <c r="Q53" s="15" t="n">
        <f aca="false">MAX(ABS(B53-B52),ABS(C53-C52),ABS(D53-D52),ABS(E53-E52),ABS(F53-F52),ABS(G53-G52))</f>
        <v>0</v>
      </c>
    </row>
    <row r="54" customFormat="false" ht="21" hidden="false" customHeight="true" outlineLevel="0" collapsed="false">
      <c r="A54" s="1" t="n">
        <v>47</v>
      </c>
      <c r="B54" s="15" t="n">
        <f aca="false">0.7*(Electrico!$B$18-Electrico!$B$16*H53+Electrico!$B$17*I53)+0.3*B53</f>
        <v>5874.84319738166</v>
      </c>
      <c r="C54" s="15" t="n">
        <f aca="false">0.7*(-Electrico!$B$16*I53-Electrico!$B$17*H53)+0.3*C53</f>
        <v>-200.951933934563</v>
      </c>
      <c r="D54" s="15" t="n">
        <f aca="false">0.7*(Electrico!$B$18-Electrico!$B$16*H53+Electrico!$B$17*I53-Electrico!$B$10*J53+Electrico!$B$11*K53)+0.3*D53</f>
        <v>5803.86733111927</v>
      </c>
      <c r="E54" s="15" t="n">
        <f aca="false">0.7*(-Electrico!$B$16*I53-Electrico!$B$17*H53-Electrico!$B$10*K53-Electrico!$B$11*J53)+0.3*E53</f>
        <v>-199.887128218071</v>
      </c>
      <c r="F54" s="15" t="n">
        <f aca="false">0.7*(Electrico!$B$18-Electrico!$B$16*H53+Electrico!$B$17*I53-Electrico!$B$10*J53+Electrico!$B$11*K53-Electrico!$B$16*L53+Electrico!$B$17*M53)+0.3*F53</f>
        <v>5623.47460735824</v>
      </c>
      <c r="G54" s="15" t="n">
        <f aca="false">0.7*(-Electrico!$B$16*I53-Electrico!$B$17*H53-Electrico!$B$10*K53-Electrico!$B$11*J53-Electrico!$B$16*M53-Electrico!$B$17*L53)+0.3*G53</f>
        <v>-401.286628834582</v>
      </c>
      <c r="H54" s="15" t="n">
        <f aca="false">J54+(Parametros!$E$33*1000*B54+Parametros!$E$34*1000*C54)/(3*(B54^2+C54^2))</f>
        <v>9.80539535599961</v>
      </c>
      <c r="I54" s="15" t="n">
        <f aca="false">K54+(Parametros!$E$33*1000*C54-Parametros!$E$34*1000*B54)/(3*(B54^2+C54^2))</f>
        <v>-5.90667801759314</v>
      </c>
      <c r="J54" s="15" t="n">
        <f aca="false">L54+(Parametros!$E$33*1000*D54+Parametros!$E$34*1000*E54)/(3*(D54^2+E54^2))</f>
        <v>9.78473890113615</v>
      </c>
      <c r="K54" s="15" t="n">
        <f aca="false">M54+(Parametros!$E$33*1000*E54-Parametros!$E$34*1000*D54)/(3*(D54^2+E54^2))</f>
        <v>-5.76412369575871</v>
      </c>
      <c r="L54" s="15" t="n">
        <f aca="false">(Demanda!$G$21*1000*F54+Demanda!$G$24*1000*G54)/(3*(F54^2+G54^2))</f>
        <v>9.76386385225256</v>
      </c>
      <c r="M54" s="15" t="n">
        <f aca="false">(Demanda!$G$21*1000*G54-Demanda!$G$24*1000*F54)/(3*(F54^2+G54^2))</f>
        <v>-5.61982232925167</v>
      </c>
      <c r="N54" s="15" t="n">
        <f aca="false">SQRT(F54^2+G54^2)*SQRT(3)*Parametros!$E$29/(Parametros!$E$27*1000)</f>
        <v>371.066629706231</v>
      </c>
      <c r="O54" s="15" t="n">
        <f aca="false">SQRT(J54^2+K54^2)</f>
        <v>11.3563302762562</v>
      </c>
      <c r="P54" s="15" t="n">
        <f aca="false">3*O54^2*Electrico!$B$10/1000</f>
        <v>2.10185397456361</v>
      </c>
      <c r="Q54" s="15" t="n">
        <f aca="false">MAX(ABS(B54-B53),ABS(C54-C53),ABS(D54-D53),ABS(E54-E53),ABS(F54-F53),ABS(G54-G53))</f>
        <v>0</v>
      </c>
    </row>
    <row r="55" customFormat="false" ht="21" hidden="false" customHeight="true" outlineLevel="0" collapsed="false">
      <c r="A55" s="1" t="n">
        <v>48</v>
      </c>
      <c r="B55" s="15" t="n">
        <f aca="false">0.7*(Electrico!$B$18-Electrico!$B$16*H54+Electrico!$B$17*I54)+0.3*B54</f>
        <v>5874.84319738166</v>
      </c>
      <c r="C55" s="15" t="n">
        <f aca="false">0.7*(-Electrico!$B$16*I54-Electrico!$B$17*H54)+0.3*C54</f>
        <v>-200.951933934563</v>
      </c>
      <c r="D55" s="15" t="n">
        <f aca="false">0.7*(Electrico!$B$18-Electrico!$B$16*H54+Electrico!$B$17*I54-Electrico!$B$10*J54+Electrico!$B$11*K54)+0.3*D54</f>
        <v>5803.86733111927</v>
      </c>
      <c r="E55" s="15" t="n">
        <f aca="false">0.7*(-Electrico!$B$16*I54-Electrico!$B$17*H54-Electrico!$B$10*K54-Electrico!$B$11*J54)+0.3*E54</f>
        <v>-199.887128218071</v>
      </c>
      <c r="F55" s="15" t="n">
        <f aca="false">0.7*(Electrico!$B$18-Electrico!$B$16*H54+Electrico!$B$17*I54-Electrico!$B$10*J54+Electrico!$B$11*K54-Electrico!$B$16*L54+Electrico!$B$17*M54)+0.3*F54</f>
        <v>5623.47460735824</v>
      </c>
      <c r="G55" s="15" t="n">
        <f aca="false">0.7*(-Electrico!$B$16*I54-Electrico!$B$17*H54-Electrico!$B$10*K54-Electrico!$B$11*J54-Electrico!$B$16*M54-Electrico!$B$17*L54)+0.3*G54</f>
        <v>-401.286628834582</v>
      </c>
      <c r="H55" s="15" t="n">
        <f aca="false">J55+(Parametros!$E$33*1000*B55+Parametros!$E$34*1000*C55)/(3*(B55^2+C55^2))</f>
        <v>9.80539535599961</v>
      </c>
      <c r="I55" s="15" t="n">
        <f aca="false">K55+(Parametros!$E$33*1000*C55-Parametros!$E$34*1000*B55)/(3*(B55^2+C55^2))</f>
        <v>-5.90667801759314</v>
      </c>
      <c r="J55" s="15" t="n">
        <f aca="false">L55+(Parametros!$E$33*1000*D55+Parametros!$E$34*1000*E55)/(3*(D55^2+E55^2))</f>
        <v>9.78473890113615</v>
      </c>
      <c r="K55" s="15" t="n">
        <f aca="false">M55+(Parametros!$E$33*1000*E55-Parametros!$E$34*1000*D55)/(3*(D55^2+E55^2))</f>
        <v>-5.76412369575871</v>
      </c>
      <c r="L55" s="15" t="n">
        <f aca="false">(Demanda!$G$21*1000*F55+Demanda!$G$24*1000*G55)/(3*(F55^2+G55^2))</f>
        <v>9.76386385225256</v>
      </c>
      <c r="M55" s="15" t="n">
        <f aca="false">(Demanda!$G$21*1000*G55-Demanda!$G$24*1000*F55)/(3*(F55^2+G55^2))</f>
        <v>-5.61982232925167</v>
      </c>
      <c r="N55" s="15" t="n">
        <f aca="false">SQRT(F55^2+G55^2)*SQRT(3)*Parametros!$E$29/(Parametros!$E$27*1000)</f>
        <v>371.066629706231</v>
      </c>
      <c r="O55" s="15" t="n">
        <f aca="false">SQRT(J55^2+K55^2)</f>
        <v>11.3563302762562</v>
      </c>
      <c r="P55" s="15" t="n">
        <f aca="false">3*O55^2*Electrico!$B$10/1000</f>
        <v>2.10185397456361</v>
      </c>
      <c r="Q55" s="15" t="n">
        <f aca="false">MAX(ABS(B55-B54),ABS(C55-C54),ABS(D55-D54),ABS(E55-E54),ABS(F55-F54),ABS(G55-G54))</f>
        <v>0</v>
      </c>
    </row>
    <row r="56" customFormat="false" ht="21" hidden="false" customHeight="true" outlineLevel="0" collapsed="false">
      <c r="A56" s="1" t="n">
        <v>49</v>
      </c>
      <c r="B56" s="15" t="n">
        <f aca="false">0.7*(Electrico!$B$18-Electrico!$B$16*H55+Electrico!$B$17*I55)+0.3*B55</f>
        <v>5874.84319738166</v>
      </c>
      <c r="C56" s="15" t="n">
        <f aca="false">0.7*(-Electrico!$B$16*I55-Electrico!$B$17*H55)+0.3*C55</f>
        <v>-200.951933934563</v>
      </c>
      <c r="D56" s="15" t="n">
        <f aca="false">0.7*(Electrico!$B$18-Electrico!$B$16*H55+Electrico!$B$17*I55-Electrico!$B$10*J55+Electrico!$B$11*K55)+0.3*D55</f>
        <v>5803.86733111927</v>
      </c>
      <c r="E56" s="15" t="n">
        <f aca="false">0.7*(-Electrico!$B$16*I55-Electrico!$B$17*H55-Electrico!$B$10*K55-Electrico!$B$11*J55)+0.3*E55</f>
        <v>-199.887128218071</v>
      </c>
      <c r="F56" s="15" t="n">
        <f aca="false">0.7*(Electrico!$B$18-Electrico!$B$16*H55+Electrico!$B$17*I55-Electrico!$B$10*J55+Electrico!$B$11*K55-Electrico!$B$16*L55+Electrico!$B$17*M55)+0.3*F55</f>
        <v>5623.47460735824</v>
      </c>
      <c r="G56" s="15" t="n">
        <f aca="false">0.7*(-Electrico!$B$16*I55-Electrico!$B$17*H55-Electrico!$B$10*K55-Electrico!$B$11*J55-Electrico!$B$16*M55-Electrico!$B$17*L55)+0.3*G55</f>
        <v>-401.286628834582</v>
      </c>
      <c r="H56" s="15" t="n">
        <f aca="false">J56+(Parametros!$E$33*1000*B56+Parametros!$E$34*1000*C56)/(3*(B56^2+C56^2))</f>
        <v>9.80539535599961</v>
      </c>
      <c r="I56" s="15" t="n">
        <f aca="false">K56+(Parametros!$E$33*1000*C56-Parametros!$E$34*1000*B56)/(3*(B56^2+C56^2))</f>
        <v>-5.90667801759314</v>
      </c>
      <c r="J56" s="15" t="n">
        <f aca="false">L56+(Parametros!$E$33*1000*D56+Parametros!$E$34*1000*E56)/(3*(D56^2+E56^2))</f>
        <v>9.78473890113615</v>
      </c>
      <c r="K56" s="15" t="n">
        <f aca="false">M56+(Parametros!$E$33*1000*E56-Parametros!$E$34*1000*D56)/(3*(D56^2+E56^2))</f>
        <v>-5.76412369575871</v>
      </c>
      <c r="L56" s="15" t="n">
        <f aca="false">(Demanda!$G$21*1000*F56+Demanda!$G$24*1000*G56)/(3*(F56^2+G56^2))</f>
        <v>9.76386385225256</v>
      </c>
      <c r="M56" s="15" t="n">
        <f aca="false">(Demanda!$G$21*1000*G56-Demanda!$G$24*1000*F56)/(3*(F56^2+G56^2))</f>
        <v>-5.61982232925167</v>
      </c>
      <c r="N56" s="15" t="n">
        <f aca="false">SQRT(F56^2+G56^2)*SQRT(3)*Parametros!$E$29/(Parametros!$E$27*1000)</f>
        <v>371.066629706231</v>
      </c>
      <c r="O56" s="15" t="n">
        <f aca="false">SQRT(J56^2+K56^2)</f>
        <v>11.3563302762562</v>
      </c>
      <c r="P56" s="15" t="n">
        <f aca="false">3*O56^2*Electrico!$B$10/1000</f>
        <v>2.10185397456361</v>
      </c>
      <c r="Q56" s="15" t="n">
        <f aca="false">MAX(ABS(B56-B55),ABS(C56-C55),ABS(D56-D55),ABS(E56-E55),ABS(F56-F55),ABS(G56-G55))</f>
        <v>0</v>
      </c>
    </row>
    <row r="57" customFormat="false" ht="21" hidden="false" customHeight="true" outlineLevel="0" collapsed="false">
      <c r="A57" s="1" t="n">
        <v>50</v>
      </c>
      <c r="B57" s="15" t="n">
        <f aca="false">0.7*(Electrico!$B$18-Electrico!$B$16*H56+Electrico!$B$17*I56)+0.3*B56</f>
        <v>5874.84319738166</v>
      </c>
      <c r="C57" s="15" t="n">
        <f aca="false">0.7*(-Electrico!$B$16*I56-Electrico!$B$17*H56)+0.3*C56</f>
        <v>-200.951933934563</v>
      </c>
      <c r="D57" s="15" t="n">
        <f aca="false">0.7*(Electrico!$B$18-Electrico!$B$16*H56+Electrico!$B$17*I56-Electrico!$B$10*J56+Electrico!$B$11*K56)+0.3*D56</f>
        <v>5803.86733111927</v>
      </c>
      <c r="E57" s="15" t="n">
        <f aca="false">0.7*(-Electrico!$B$16*I56-Electrico!$B$17*H56-Electrico!$B$10*K56-Electrico!$B$11*J56)+0.3*E56</f>
        <v>-199.887128218071</v>
      </c>
      <c r="F57" s="15" t="n">
        <f aca="false">0.7*(Electrico!$B$18-Electrico!$B$16*H56+Electrico!$B$17*I56-Electrico!$B$10*J56+Electrico!$B$11*K56-Electrico!$B$16*L56+Electrico!$B$17*M56)+0.3*F56</f>
        <v>5623.47460735824</v>
      </c>
      <c r="G57" s="15" t="n">
        <f aca="false">0.7*(-Electrico!$B$16*I56-Electrico!$B$17*H56-Electrico!$B$10*K56-Electrico!$B$11*J56-Electrico!$B$16*M56-Electrico!$B$17*L56)+0.3*G56</f>
        <v>-401.286628834582</v>
      </c>
      <c r="H57" s="15" t="n">
        <f aca="false">J57+(Parametros!$E$33*1000*B57+Parametros!$E$34*1000*C57)/(3*(B57^2+C57^2))</f>
        <v>9.80539535599961</v>
      </c>
      <c r="I57" s="15" t="n">
        <f aca="false">K57+(Parametros!$E$33*1000*C57-Parametros!$E$34*1000*B57)/(3*(B57^2+C57^2))</f>
        <v>-5.90667801759314</v>
      </c>
      <c r="J57" s="15" t="n">
        <f aca="false">L57+(Parametros!$E$33*1000*D57+Parametros!$E$34*1000*E57)/(3*(D57^2+E57^2))</f>
        <v>9.78473890113615</v>
      </c>
      <c r="K57" s="15" t="n">
        <f aca="false">M57+(Parametros!$E$33*1000*E57-Parametros!$E$34*1000*D57)/(3*(D57^2+E57^2))</f>
        <v>-5.76412369575871</v>
      </c>
      <c r="L57" s="15" t="n">
        <f aca="false">(Demanda!$G$21*1000*F57+Demanda!$G$24*1000*G57)/(3*(F57^2+G57^2))</f>
        <v>9.76386385225256</v>
      </c>
      <c r="M57" s="15" t="n">
        <f aca="false">(Demanda!$G$21*1000*G57-Demanda!$G$24*1000*F57)/(3*(F57^2+G57^2))</f>
        <v>-5.61982232925167</v>
      </c>
      <c r="N57" s="15" t="n">
        <f aca="false">SQRT(F57^2+G57^2)*SQRT(3)*Parametros!$E$29/(Parametros!$E$27*1000)</f>
        <v>371.066629706231</v>
      </c>
      <c r="O57" s="15" t="n">
        <f aca="false">SQRT(J57^2+K57^2)</f>
        <v>11.3563302762562</v>
      </c>
      <c r="P57" s="15" t="n">
        <f aca="false">3*O57^2*Electrico!$B$10/1000</f>
        <v>2.10185397456361</v>
      </c>
      <c r="Q57" s="15" t="n">
        <f aca="false">MAX(ABS(B57-B56),ABS(C57-C56),ABS(D57-D56),ABS(E57-E56),ABS(F57-F56),ABS(G57-G56))</f>
        <v>0</v>
      </c>
    </row>
    <row r="58" customFormat="false" ht="21" hidden="false" customHeight="true" outlineLevel="0" collapsed="false">
      <c r="A58" s="1" t="n">
        <v>51</v>
      </c>
      <c r="B58" s="15" t="n">
        <f aca="false">0.7*(Electrico!$B$18-Electrico!$B$16*H57+Electrico!$B$17*I57)+0.3*B57</f>
        <v>5874.84319738166</v>
      </c>
      <c r="C58" s="15" t="n">
        <f aca="false">0.7*(-Electrico!$B$16*I57-Electrico!$B$17*H57)+0.3*C57</f>
        <v>-200.951933934563</v>
      </c>
      <c r="D58" s="15" t="n">
        <f aca="false">0.7*(Electrico!$B$18-Electrico!$B$16*H57+Electrico!$B$17*I57-Electrico!$B$10*J57+Electrico!$B$11*K57)+0.3*D57</f>
        <v>5803.86733111927</v>
      </c>
      <c r="E58" s="15" t="n">
        <f aca="false">0.7*(-Electrico!$B$16*I57-Electrico!$B$17*H57-Electrico!$B$10*K57-Electrico!$B$11*J57)+0.3*E57</f>
        <v>-199.887128218071</v>
      </c>
      <c r="F58" s="15" t="n">
        <f aca="false">0.7*(Electrico!$B$18-Electrico!$B$16*H57+Electrico!$B$17*I57-Electrico!$B$10*J57+Electrico!$B$11*K57-Electrico!$B$16*L57+Electrico!$B$17*M57)+0.3*F57</f>
        <v>5623.47460735824</v>
      </c>
      <c r="G58" s="15" t="n">
        <f aca="false">0.7*(-Electrico!$B$16*I57-Electrico!$B$17*H57-Electrico!$B$10*K57-Electrico!$B$11*J57-Electrico!$B$16*M57-Electrico!$B$17*L57)+0.3*G57</f>
        <v>-401.286628834582</v>
      </c>
      <c r="H58" s="15" t="n">
        <f aca="false">J58+(Parametros!$E$33*1000*B58+Parametros!$E$34*1000*C58)/(3*(B58^2+C58^2))</f>
        <v>9.80539535599961</v>
      </c>
      <c r="I58" s="15" t="n">
        <f aca="false">K58+(Parametros!$E$33*1000*C58-Parametros!$E$34*1000*B58)/(3*(B58^2+C58^2))</f>
        <v>-5.90667801759314</v>
      </c>
      <c r="J58" s="15" t="n">
        <f aca="false">L58+(Parametros!$E$33*1000*D58+Parametros!$E$34*1000*E58)/(3*(D58^2+E58^2))</f>
        <v>9.78473890113615</v>
      </c>
      <c r="K58" s="15" t="n">
        <f aca="false">M58+(Parametros!$E$33*1000*E58-Parametros!$E$34*1000*D58)/(3*(D58^2+E58^2))</f>
        <v>-5.76412369575871</v>
      </c>
      <c r="L58" s="15" t="n">
        <f aca="false">(Demanda!$G$21*1000*F58+Demanda!$G$24*1000*G58)/(3*(F58^2+G58^2))</f>
        <v>9.76386385225256</v>
      </c>
      <c r="M58" s="15" t="n">
        <f aca="false">(Demanda!$G$21*1000*G58-Demanda!$G$24*1000*F58)/(3*(F58^2+G58^2))</f>
        <v>-5.61982232925167</v>
      </c>
      <c r="N58" s="15" t="n">
        <f aca="false">SQRT(F58^2+G58^2)*SQRT(3)*Parametros!$E$29/(Parametros!$E$27*1000)</f>
        <v>371.066629706231</v>
      </c>
      <c r="O58" s="15" t="n">
        <f aca="false">SQRT(J58^2+K58^2)</f>
        <v>11.3563302762562</v>
      </c>
      <c r="P58" s="15" t="n">
        <f aca="false">3*O58^2*Electrico!$B$10/1000</f>
        <v>2.10185397456361</v>
      </c>
      <c r="Q58" s="15" t="n">
        <f aca="false">MAX(ABS(B58-B57),ABS(C58-C57),ABS(D58-D57),ABS(E58-E57),ABS(F58-F57),ABS(G58-G57))</f>
        <v>0</v>
      </c>
    </row>
    <row r="59" customFormat="false" ht="21" hidden="false" customHeight="true" outlineLevel="0" collapsed="false">
      <c r="A59" s="1" t="n">
        <v>52</v>
      </c>
      <c r="B59" s="15" t="n">
        <f aca="false">0.7*(Electrico!$B$18-Electrico!$B$16*H58+Electrico!$B$17*I58)+0.3*B58</f>
        <v>5874.84319738166</v>
      </c>
      <c r="C59" s="15" t="n">
        <f aca="false">0.7*(-Electrico!$B$16*I58-Electrico!$B$17*H58)+0.3*C58</f>
        <v>-200.951933934563</v>
      </c>
      <c r="D59" s="15" t="n">
        <f aca="false">0.7*(Electrico!$B$18-Electrico!$B$16*H58+Electrico!$B$17*I58-Electrico!$B$10*J58+Electrico!$B$11*K58)+0.3*D58</f>
        <v>5803.86733111927</v>
      </c>
      <c r="E59" s="15" t="n">
        <f aca="false">0.7*(-Electrico!$B$16*I58-Electrico!$B$17*H58-Electrico!$B$10*K58-Electrico!$B$11*J58)+0.3*E58</f>
        <v>-199.887128218071</v>
      </c>
      <c r="F59" s="15" t="n">
        <f aca="false">0.7*(Electrico!$B$18-Electrico!$B$16*H58+Electrico!$B$17*I58-Electrico!$B$10*J58+Electrico!$B$11*K58-Electrico!$B$16*L58+Electrico!$B$17*M58)+0.3*F58</f>
        <v>5623.47460735824</v>
      </c>
      <c r="G59" s="15" t="n">
        <f aca="false">0.7*(-Electrico!$B$16*I58-Electrico!$B$17*H58-Electrico!$B$10*K58-Electrico!$B$11*J58-Electrico!$B$16*M58-Electrico!$B$17*L58)+0.3*G58</f>
        <v>-401.286628834582</v>
      </c>
      <c r="H59" s="15" t="n">
        <f aca="false">J59+(Parametros!$E$33*1000*B59+Parametros!$E$34*1000*C59)/(3*(B59^2+C59^2))</f>
        <v>9.80539535599961</v>
      </c>
      <c r="I59" s="15" t="n">
        <f aca="false">K59+(Parametros!$E$33*1000*C59-Parametros!$E$34*1000*B59)/(3*(B59^2+C59^2))</f>
        <v>-5.90667801759314</v>
      </c>
      <c r="J59" s="15" t="n">
        <f aca="false">L59+(Parametros!$E$33*1000*D59+Parametros!$E$34*1000*E59)/(3*(D59^2+E59^2))</f>
        <v>9.78473890113615</v>
      </c>
      <c r="K59" s="15" t="n">
        <f aca="false">M59+(Parametros!$E$33*1000*E59-Parametros!$E$34*1000*D59)/(3*(D59^2+E59^2))</f>
        <v>-5.76412369575871</v>
      </c>
      <c r="L59" s="15" t="n">
        <f aca="false">(Demanda!$G$21*1000*F59+Demanda!$G$24*1000*G59)/(3*(F59^2+G59^2))</f>
        <v>9.76386385225256</v>
      </c>
      <c r="M59" s="15" t="n">
        <f aca="false">(Demanda!$G$21*1000*G59-Demanda!$G$24*1000*F59)/(3*(F59^2+G59^2))</f>
        <v>-5.61982232925167</v>
      </c>
      <c r="N59" s="15" t="n">
        <f aca="false">SQRT(F59^2+G59^2)*SQRT(3)*Parametros!$E$29/(Parametros!$E$27*1000)</f>
        <v>371.066629706231</v>
      </c>
      <c r="O59" s="15" t="n">
        <f aca="false">SQRT(J59^2+K59^2)</f>
        <v>11.3563302762562</v>
      </c>
      <c r="P59" s="15" t="n">
        <f aca="false">3*O59^2*Electrico!$B$10/1000</f>
        <v>2.10185397456361</v>
      </c>
      <c r="Q59" s="15" t="n">
        <f aca="false">MAX(ABS(B59-B58),ABS(C59-C58),ABS(D59-D58),ABS(E59-E58),ABS(F59-F58),ABS(G59-G58))</f>
        <v>0</v>
      </c>
    </row>
    <row r="60" customFormat="false" ht="21" hidden="false" customHeight="true" outlineLevel="0" collapsed="false">
      <c r="A60" s="1" t="n">
        <v>53</v>
      </c>
      <c r="B60" s="15" t="n">
        <f aca="false">0.7*(Electrico!$B$18-Electrico!$B$16*H59+Electrico!$B$17*I59)+0.3*B59</f>
        <v>5874.84319738166</v>
      </c>
      <c r="C60" s="15" t="n">
        <f aca="false">0.7*(-Electrico!$B$16*I59-Electrico!$B$17*H59)+0.3*C59</f>
        <v>-200.951933934563</v>
      </c>
      <c r="D60" s="15" t="n">
        <f aca="false">0.7*(Electrico!$B$18-Electrico!$B$16*H59+Electrico!$B$17*I59-Electrico!$B$10*J59+Electrico!$B$11*K59)+0.3*D59</f>
        <v>5803.86733111927</v>
      </c>
      <c r="E60" s="15" t="n">
        <f aca="false">0.7*(-Electrico!$B$16*I59-Electrico!$B$17*H59-Electrico!$B$10*K59-Electrico!$B$11*J59)+0.3*E59</f>
        <v>-199.887128218071</v>
      </c>
      <c r="F60" s="15" t="n">
        <f aca="false">0.7*(Electrico!$B$18-Electrico!$B$16*H59+Electrico!$B$17*I59-Electrico!$B$10*J59+Electrico!$B$11*K59-Electrico!$B$16*L59+Electrico!$B$17*M59)+0.3*F59</f>
        <v>5623.47460735824</v>
      </c>
      <c r="G60" s="15" t="n">
        <f aca="false">0.7*(-Electrico!$B$16*I59-Electrico!$B$17*H59-Electrico!$B$10*K59-Electrico!$B$11*J59-Electrico!$B$16*M59-Electrico!$B$17*L59)+0.3*G59</f>
        <v>-401.286628834582</v>
      </c>
      <c r="H60" s="15" t="n">
        <f aca="false">J60+(Parametros!$E$33*1000*B60+Parametros!$E$34*1000*C60)/(3*(B60^2+C60^2))</f>
        <v>9.80539535599961</v>
      </c>
      <c r="I60" s="15" t="n">
        <f aca="false">K60+(Parametros!$E$33*1000*C60-Parametros!$E$34*1000*B60)/(3*(B60^2+C60^2))</f>
        <v>-5.90667801759314</v>
      </c>
      <c r="J60" s="15" t="n">
        <f aca="false">L60+(Parametros!$E$33*1000*D60+Parametros!$E$34*1000*E60)/(3*(D60^2+E60^2))</f>
        <v>9.78473890113615</v>
      </c>
      <c r="K60" s="15" t="n">
        <f aca="false">M60+(Parametros!$E$33*1000*E60-Parametros!$E$34*1000*D60)/(3*(D60^2+E60^2))</f>
        <v>-5.76412369575871</v>
      </c>
      <c r="L60" s="15" t="n">
        <f aca="false">(Demanda!$G$21*1000*F60+Demanda!$G$24*1000*G60)/(3*(F60^2+G60^2))</f>
        <v>9.76386385225256</v>
      </c>
      <c r="M60" s="15" t="n">
        <f aca="false">(Demanda!$G$21*1000*G60-Demanda!$G$24*1000*F60)/(3*(F60^2+G60^2))</f>
        <v>-5.61982232925167</v>
      </c>
      <c r="N60" s="15" t="n">
        <f aca="false">SQRT(F60^2+G60^2)*SQRT(3)*Parametros!$E$29/(Parametros!$E$27*1000)</f>
        <v>371.066629706231</v>
      </c>
      <c r="O60" s="15" t="n">
        <f aca="false">SQRT(J60^2+K60^2)</f>
        <v>11.3563302762562</v>
      </c>
      <c r="P60" s="15" t="n">
        <f aca="false">3*O60^2*Electrico!$B$10/1000</f>
        <v>2.10185397456361</v>
      </c>
      <c r="Q60" s="15" t="n">
        <f aca="false">MAX(ABS(B60-B59),ABS(C60-C59),ABS(D60-D59),ABS(E60-E59),ABS(F60-F59),ABS(G60-G59))</f>
        <v>0</v>
      </c>
    </row>
    <row r="61" customFormat="false" ht="21" hidden="false" customHeight="true" outlineLevel="0" collapsed="false">
      <c r="A61" s="1" t="n">
        <v>54</v>
      </c>
      <c r="B61" s="15" t="n">
        <f aca="false">0.7*(Electrico!$B$18-Electrico!$B$16*H60+Electrico!$B$17*I60)+0.3*B60</f>
        <v>5874.84319738166</v>
      </c>
      <c r="C61" s="15" t="n">
        <f aca="false">0.7*(-Electrico!$B$16*I60-Electrico!$B$17*H60)+0.3*C60</f>
        <v>-200.951933934563</v>
      </c>
      <c r="D61" s="15" t="n">
        <f aca="false">0.7*(Electrico!$B$18-Electrico!$B$16*H60+Electrico!$B$17*I60-Electrico!$B$10*J60+Electrico!$B$11*K60)+0.3*D60</f>
        <v>5803.86733111927</v>
      </c>
      <c r="E61" s="15" t="n">
        <f aca="false">0.7*(-Electrico!$B$16*I60-Electrico!$B$17*H60-Electrico!$B$10*K60-Electrico!$B$11*J60)+0.3*E60</f>
        <v>-199.887128218071</v>
      </c>
      <c r="F61" s="15" t="n">
        <f aca="false">0.7*(Electrico!$B$18-Electrico!$B$16*H60+Electrico!$B$17*I60-Electrico!$B$10*J60+Electrico!$B$11*K60-Electrico!$B$16*L60+Electrico!$B$17*M60)+0.3*F60</f>
        <v>5623.47460735824</v>
      </c>
      <c r="G61" s="15" t="n">
        <f aca="false">0.7*(-Electrico!$B$16*I60-Electrico!$B$17*H60-Electrico!$B$10*K60-Electrico!$B$11*J60-Electrico!$B$16*M60-Electrico!$B$17*L60)+0.3*G60</f>
        <v>-401.286628834582</v>
      </c>
      <c r="H61" s="15" t="n">
        <f aca="false">J61+(Parametros!$E$33*1000*B61+Parametros!$E$34*1000*C61)/(3*(B61^2+C61^2))</f>
        <v>9.80539535599961</v>
      </c>
      <c r="I61" s="15" t="n">
        <f aca="false">K61+(Parametros!$E$33*1000*C61-Parametros!$E$34*1000*B61)/(3*(B61^2+C61^2))</f>
        <v>-5.90667801759314</v>
      </c>
      <c r="J61" s="15" t="n">
        <f aca="false">L61+(Parametros!$E$33*1000*D61+Parametros!$E$34*1000*E61)/(3*(D61^2+E61^2))</f>
        <v>9.78473890113615</v>
      </c>
      <c r="K61" s="15" t="n">
        <f aca="false">M61+(Parametros!$E$33*1000*E61-Parametros!$E$34*1000*D61)/(3*(D61^2+E61^2))</f>
        <v>-5.76412369575871</v>
      </c>
      <c r="L61" s="15" t="n">
        <f aca="false">(Demanda!$G$21*1000*F61+Demanda!$G$24*1000*G61)/(3*(F61^2+G61^2))</f>
        <v>9.76386385225256</v>
      </c>
      <c r="M61" s="15" t="n">
        <f aca="false">(Demanda!$G$21*1000*G61-Demanda!$G$24*1000*F61)/(3*(F61^2+G61^2))</f>
        <v>-5.61982232925167</v>
      </c>
      <c r="N61" s="15" t="n">
        <f aca="false">SQRT(F61^2+G61^2)*SQRT(3)*Parametros!$E$29/(Parametros!$E$27*1000)</f>
        <v>371.066629706231</v>
      </c>
      <c r="O61" s="15" t="n">
        <f aca="false">SQRT(J61^2+K61^2)</f>
        <v>11.3563302762562</v>
      </c>
      <c r="P61" s="15" t="n">
        <f aca="false">3*O61^2*Electrico!$B$10/1000</f>
        <v>2.10185397456361</v>
      </c>
      <c r="Q61" s="15" t="n">
        <f aca="false">MAX(ABS(B61-B60),ABS(C61-C60),ABS(D61-D60),ABS(E61-E60),ABS(F61-F60),ABS(G61-G60))</f>
        <v>0</v>
      </c>
    </row>
    <row r="62" customFormat="false" ht="21" hidden="false" customHeight="true" outlineLevel="0" collapsed="false">
      <c r="A62" s="1" t="n">
        <v>55</v>
      </c>
      <c r="B62" s="15" t="n">
        <f aca="false">0.7*(Electrico!$B$18-Electrico!$B$16*H61+Electrico!$B$17*I61)+0.3*B61</f>
        <v>5874.84319738166</v>
      </c>
      <c r="C62" s="15" t="n">
        <f aca="false">0.7*(-Electrico!$B$16*I61-Electrico!$B$17*H61)+0.3*C61</f>
        <v>-200.951933934563</v>
      </c>
      <c r="D62" s="15" t="n">
        <f aca="false">0.7*(Electrico!$B$18-Electrico!$B$16*H61+Electrico!$B$17*I61-Electrico!$B$10*J61+Electrico!$B$11*K61)+0.3*D61</f>
        <v>5803.86733111927</v>
      </c>
      <c r="E62" s="15" t="n">
        <f aca="false">0.7*(-Electrico!$B$16*I61-Electrico!$B$17*H61-Electrico!$B$10*K61-Electrico!$B$11*J61)+0.3*E61</f>
        <v>-199.887128218071</v>
      </c>
      <c r="F62" s="15" t="n">
        <f aca="false">0.7*(Electrico!$B$18-Electrico!$B$16*H61+Electrico!$B$17*I61-Electrico!$B$10*J61+Electrico!$B$11*K61-Electrico!$B$16*L61+Electrico!$B$17*M61)+0.3*F61</f>
        <v>5623.47460735824</v>
      </c>
      <c r="G62" s="15" t="n">
        <f aca="false">0.7*(-Electrico!$B$16*I61-Electrico!$B$17*H61-Electrico!$B$10*K61-Electrico!$B$11*J61-Electrico!$B$16*M61-Electrico!$B$17*L61)+0.3*G61</f>
        <v>-401.286628834582</v>
      </c>
      <c r="H62" s="15" t="n">
        <f aca="false">J62+(Parametros!$E$33*1000*B62+Parametros!$E$34*1000*C62)/(3*(B62^2+C62^2))</f>
        <v>9.80539535599961</v>
      </c>
      <c r="I62" s="15" t="n">
        <f aca="false">K62+(Parametros!$E$33*1000*C62-Parametros!$E$34*1000*B62)/(3*(B62^2+C62^2))</f>
        <v>-5.90667801759314</v>
      </c>
      <c r="J62" s="15" t="n">
        <f aca="false">L62+(Parametros!$E$33*1000*D62+Parametros!$E$34*1000*E62)/(3*(D62^2+E62^2))</f>
        <v>9.78473890113615</v>
      </c>
      <c r="K62" s="15" t="n">
        <f aca="false">M62+(Parametros!$E$33*1000*E62-Parametros!$E$34*1000*D62)/(3*(D62^2+E62^2))</f>
        <v>-5.76412369575871</v>
      </c>
      <c r="L62" s="15" t="n">
        <f aca="false">(Demanda!$G$21*1000*F62+Demanda!$G$24*1000*G62)/(3*(F62^2+G62^2))</f>
        <v>9.76386385225256</v>
      </c>
      <c r="M62" s="15" t="n">
        <f aca="false">(Demanda!$G$21*1000*G62-Demanda!$G$24*1000*F62)/(3*(F62^2+G62^2))</f>
        <v>-5.61982232925167</v>
      </c>
      <c r="N62" s="15" t="n">
        <f aca="false">SQRT(F62^2+G62^2)*SQRT(3)*Parametros!$E$29/(Parametros!$E$27*1000)</f>
        <v>371.066629706231</v>
      </c>
      <c r="O62" s="15" t="n">
        <f aca="false">SQRT(J62^2+K62^2)</f>
        <v>11.3563302762562</v>
      </c>
      <c r="P62" s="15" t="n">
        <f aca="false">3*O62^2*Electrico!$B$10/1000</f>
        <v>2.10185397456361</v>
      </c>
      <c r="Q62" s="15" t="n">
        <f aca="false">MAX(ABS(B62-B61),ABS(C62-C61),ABS(D62-D61),ABS(E62-E61),ABS(F62-F61),ABS(G62-G61))</f>
        <v>0</v>
      </c>
    </row>
    <row r="63" customFormat="false" ht="21" hidden="false" customHeight="true" outlineLevel="0" collapsed="false">
      <c r="A63" s="1" t="n">
        <v>56</v>
      </c>
      <c r="B63" s="15" t="n">
        <f aca="false">0.7*(Electrico!$B$18-Electrico!$B$16*H62+Electrico!$B$17*I62)+0.3*B62</f>
        <v>5874.84319738166</v>
      </c>
      <c r="C63" s="15" t="n">
        <f aca="false">0.7*(-Electrico!$B$16*I62-Electrico!$B$17*H62)+0.3*C62</f>
        <v>-200.951933934563</v>
      </c>
      <c r="D63" s="15" t="n">
        <f aca="false">0.7*(Electrico!$B$18-Electrico!$B$16*H62+Electrico!$B$17*I62-Electrico!$B$10*J62+Electrico!$B$11*K62)+0.3*D62</f>
        <v>5803.86733111927</v>
      </c>
      <c r="E63" s="15" t="n">
        <f aca="false">0.7*(-Electrico!$B$16*I62-Electrico!$B$17*H62-Electrico!$B$10*K62-Electrico!$B$11*J62)+0.3*E62</f>
        <v>-199.887128218071</v>
      </c>
      <c r="F63" s="15" t="n">
        <f aca="false">0.7*(Electrico!$B$18-Electrico!$B$16*H62+Electrico!$B$17*I62-Electrico!$B$10*J62+Electrico!$B$11*K62-Electrico!$B$16*L62+Electrico!$B$17*M62)+0.3*F62</f>
        <v>5623.47460735824</v>
      </c>
      <c r="G63" s="15" t="n">
        <f aca="false">0.7*(-Electrico!$B$16*I62-Electrico!$B$17*H62-Electrico!$B$10*K62-Electrico!$B$11*J62-Electrico!$B$16*M62-Electrico!$B$17*L62)+0.3*G62</f>
        <v>-401.286628834582</v>
      </c>
      <c r="H63" s="15" t="n">
        <f aca="false">J63+(Parametros!$E$33*1000*B63+Parametros!$E$34*1000*C63)/(3*(B63^2+C63^2))</f>
        <v>9.80539535599961</v>
      </c>
      <c r="I63" s="15" t="n">
        <f aca="false">K63+(Parametros!$E$33*1000*C63-Parametros!$E$34*1000*B63)/(3*(B63^2+C63^2))</f>
        <v>-5.90667801759314</v>
      </c>
      <c r="J63" s="15" t="n">
        <f aca="false">L63+(Parametros!$E$33*1000*D63+Parametros!$E$34*1000*E63)/(3*(D63^2+E63^2))</f>
        <v>9.78473890113615</v>
      </c>
      <c r="K63" s="15" t="n">
        <f aca="false">M63+(Parametros!$E$33*1000*E63-Parametros!$E$34*1000*D63)/(3*(D63^2+E63^2))</f>
        <v>-5.76412369575871</v>
      </c>
      <c r="L63" s="15" t="n">
        <f aca="false">(Demanda!$G$21*1000*F63+Demanda!$G$24*1000*G63)/(3*(F63^2+G63^2))</f>
        <v>9.76386385225256</v>
      </c>
      <c r="M63" s="15" t="n">
        <f aca="false">(Demanda!$G$21*1000*G63-Demanda!$G$24*1000*F63)/(3*(F63^2+G63^2))</f>
        <v>-5.61982232925167</v>
      </c>
      <c r="N63" s="15" t="n">
        <f aca="false">SQRT(F63^2+G63^2)*SQRT(3)*Parametros!$E$29/(Parametros!$E$27*1000)</f>
        <v>371.066629706231</v>
      </c>
      <c r="O63" s="15" t="n">
        <f aca="false">SQRT(J63^2+K63^2)</f>
        <v>11.3563302762562</v>
      </c>
      <c r="P63" s="15" t="n">
        <f aca="false">3*O63^2*Electrico!$B$10/1000</f>
        <v>2.10185397456361</v>
      </c>
      <c r="Q63" s="15" t="n">
        <f aca="false">MAX(ABS(B63-B62),ABS(C63-C62),ABS(D63-D62),ABS(E63-E62),ABS(F63-F62),ABS(G63-G62))</f>
        <v>0</v>
      </c>
    </row>
    <row r="64" customFormat="false" ht="21" hidden="false" customHeight="true" outlineLevel="0" collapsed="false">
      <c r="A64" s="1" t="n">
        <v>57</v>
      </c>
      <c r="B64" s="15" t="n">
        <f aca="false">0.7*(Electrico!$B$18-Electrico!$B$16*H63+Electrico!$B$17*I63)+0.3*B63</f>
        <v>5874.84319738166</v>
      </c>
      <c r="C64" s="15" t="n">
        <f aca="false">0.7*(-Electrico!$B$16*I63-Electrico!$B$17*H63)+0.3*C63</f>
        <v>-200.951933934563</v>
      </c>
      <c r="D64" s="15" t="n">
        <f aca="false">0.7*(Electrico!$B$18-Electrico!$B$16*H63+Electrico!$B$17*I63-Electrico!$B$10*J63+Electrico!$B$11*K63)+0.3*D63</f>
        <v>5803.86733111927</v>
      </c>
      <c r="E64" s="15" t="n">
        <f aca="false">0.7*(-Electrico!$B$16*I63-Electrico!$B$17*H63-Electrico!$B$10*K63-Electrico!$B$11*J63)+0.3*E63</f>
        <v>-199.887128218071</v>
      </c>
      <c r="F64" s="15" t="n">
        <f aca="false">0.7*(Electrico!$B$18-Electrico!$B$16*H63+Electrico!$B$17*I63-Electrico!$B$10*J63+Electrico!$B$11*K63-Electrico!$B$16*L63+Electrico!$B$17*M63)+0.3*F63</f>
        <v>5623.47460735824</v>
      </c>
      <c r="G64" s="15" t="n">
        <f aca="false">0.7*(-Electrico!$B$16*I63-Electrico!$B$17*H63-Electrico!$B$10*K63-Electrico!$B$11*J63-Electrico!$B$16*M63-Electrico!$B$17*L63)+0.3*G63</f>
        <v>-401.286628834582</v>
      </c>
      <c r="H64" s="15" t="n">
        <f aca="false">J64+(Parametros!$E$33*1000*B64+Parametros!$E$34*1000*C64)/(3*(B64^2+C64^2))</f>
        <v>9.80539535599961</v>
      </c>
      <c r="I64" s="15" t="n">
        <f aca="false">K64+(Parametros!$E$33*1000*C64-Parametros!$E$34*1000*B64)/(3*(B64^2+C64^2))</f>
        <v>-5.90667801759314</v>
      </c>
      <c r="J64" s="15" t="n">
        <f aca="false">L64+(Parametros!$E$33*1000*D64+Parametros!$E$34*1000*E64)/(3*(D64^2+E64^2))</f>
        <v>9.78473890113615</v>
      </c>
      <c r="K64" s="15" t="n">
        <f aca="false">M64+(Parametros!$E$33*1000*E64-Parametros!$E$34*1000*D64)/(3*(D64^2+E64^2))</f>
        <v>-5.76412369575871</v>
      </c>
      <c r="L64" s="15" t="n">
        <f aca="false">(Demanda!$G$21*1000*F64+Demanda!$G$24*1000*G64)/(3*(F64^2+G64^2))</f>
        <v>9.76386385225256</v>
      </c>
      <c r="M64" s="15" t="n">
        <f aca="false">(Demanda!$G$21*1000*G64-Demanda!$G$24*1000*F64)/(3*(F64^2+G64^2))</f>
        <v>-5.61982232925167</v>
      </c>
      <c r="N64" s="15" t="n">
        <f aca="false">SQRT(F64^2+G64^2)*SQRT(3)*Parametros!$E$29/(Parametros!$E$27*1000)</f>
        <v>371.066629706231</v>
      </c>
      <c r="O64" s="15" t="n">
        <f aca="false">SQRT(J64^2+K64^2)</f>
        <v>11.3563302762562</v>
      </c>
      <c r="P64" s="15" t="n">
        <f aca="false">3*O64^2*Electrico!$B$10/1000</f>
        <v>2.10185397456361</v>
      </c>
      <c r="Q64" s="15" t="n">
        <f aca="false">MAX(ABS(B64-B63),ABS(C64-C63),ABS(D64-D63),ABS(E64-E63),ABS(F64-F63),ABS(G64-G63))</f>
        <v>0</v>
      </c>
    </row>
    <row r="65" customFormat="false" ht="21" hidden="false" customHeight="true" outlineLevel="0" collapsed="false">
      <c r="A65" s="1" t="n">
        <v>58</v>
      </c>
      <c r="B65" s="15" t="n">
        <f aca="false">0.7*(Electrico!$B$18-Electrico!$B$16*H64+Electrico!$B$17*I64)+0.3*B64</f>
        <v>5874.84319738166</v>
      </c>
      <c r="C65" s="15" t="n">
        <f aca="false">0.7*(-Electrico!$B$16*I64-Electrico!$B$17*H64)+0.3*C64</f>
        <v>-200.951933934563</v>
      </c>
      <c r="D65" s="15" t="n">
        <f aca="false">0.7*(Electrico!$B$18-Electrico!$B$16*H64+Electrico!$B$17*I64-Electrico!$B$10*J64+Electrico!$B$11*K64)+0.3*D64</f>
        <v>5803.86733111927</v>
      </c>
      <c r="E65" s="15" t="n">
        <f aca="false">0.7*(-Electrico!$B$16*I64-Electrico!$B$17*H64-Electrico!$B$10*K64-Electrico!$B$11*J64)+0.3*E64</f>
        <v>-199.887128218071</v>
      </c>
      <c r="F65" s="15" t="n">
        <f aca="false">0.7*(Electrico!$B$18-Electrico!$B$16*H64+Electrico!$B$17*I64-Electrico!$B$10*J64+Electrico!$B$11*K64-Electrico!$B$16*L64+Electrico!$B$17*M64)+0.3*F64</f>
        <v>5623.47460735824</v>
      </c>
      <c r="G65" s="15" t="n">
        <f aca="false">0.7*(-Electrico!$B$16*I64-Electrico!$B$17*H64-Electrico!$B$10*K64-Electrico!$B$11*J64-Electrico!$B$16*M64-Electrico!$B$17*L64)+0.3*G64</f>
        <v>-401.286628834582</v>
      </c>
      <c r="H65" s="15" t="n">
        <f aca="false">J65+(Parametros!$E$33*1000*B65+Parametros!$E$34*1000*C65)/(3*(B65^2+C65^2))</f>
        <v>9.80539535599961</v>
      </c>
      <c r="I65" s="15" t="n">
        <f aca="false">K65+(Parametros!$E$33*1000*C65-Parametros!$E$34*1000*B65)/(3*(B65^2+C65^2))</f>
        <v>-5.90667801759314</v>
      </c>
      <c r="J65" s="15" t="n">
        <f aca="false">L65+(Parametros!$E$33*1000*D65+Parametros!$E$34*1000*E65)/(3*(D65^2+E65^2))</f>
        <v>9.78473890113615</v>
      </c>
      <c r="K65" s="15" t="n">
        <f aca="false">M65+(Parametros!$E$33*1000*E65-Parametros!$E$34*1000*D65)/(3*(D65^2+E65^2))</f>
        <v>-5.76412369575871</v>
      </c>
      <c r="L65" s="15" t="n">
        <f aca="false">(Demanda!$G$21*1000*F65+Demanda!$G$24*1000*G65)/(3*(F65^2+G65^2))</f>
        <v>9.76386385225256</v>
      </c>
      <c r="M65" s="15" t="n">
        <f aca="false">(Demanda!$G$21*1000*G65-Demanda!$G$24*1000*F65)/(3*(F65^2+G65^2))</f>
        <v>-5.61982232925167</v>
      </c>
      <c r="N65" s="15" t="n">
        <f aca="false">SQRT(F65^2+G65^2)*SQRT(3)*Parametros!$E$29/(Parametros!$E$27*1000)</f>
        <v>371.066629706231</v>
      </c>
      <c r="O65" s="15" t="n">
        <f aca="false">SQRT(J65^2+K65^2)</f>
        <v>11.3563302762562</v>
      </c>
      <c r="P65" s="15" t="n">
        <f aca="false">3*O65^2*Electrico!$B$10/1000</f>
        <v>2.10185397456361</v>
      </c>
      <c r="Q65" s="15" t="n">
        <f aca="false">MAX(ABS(B65-B64),ABS(C65-C64),ABS(D65-D64),ABS(E65-E64),ABS(F65-F64),ABS(G65-G64))</f>
        <v>0</v>
      </c>
    </row>
    <row r="66" customFormat="false" ht="21" hidden="false" customHeight="true" outlineLevel="0" collapsed="false">
      <c r="A66" s="6" t="n">
        <v>59</v>
      </c>
      <c r="B66" s="16" t="n">
        <f aca="false">0.7*(Electrico!$B$18-Electrico!$B$16*H65+Electrico!$B$17*I65)+0.3*B65</f>
        <v>5874.84319738166</v>
      </c>
      <c r="C66" s="16" t="n">
        <f aca="false">0.7*(-Electrico!$B$16*I65-Electrico!$B$17*H65)+0.3*C65</f>
        <v>-200.951933934563</v>
      </c>
      <c r="D66" s="16" t="n">
        <f aca="false">0.7*(Electrico!$B$18-Electrico!$B$16*H65+Electrico!$B$17*I65-Electrico!$B$10*J65+Electrico!$B$11*K65)+0.3*D65</f>
        <v>5803.86733111927</v>
      </c>
      <c r="E66" s="16" t="n">
        <f aca="false">0.7*(-Electrico!$B$16*I65-Electrico!$B$17*H65-Electrico!$B$10*K65-Electrico!$B$11*J65)+0.3*E65</f>
        <v>-199.887128218071</v>
      </c>
      <c r="F66" s="16" t="n">
        <f aca="false">0.7*(Electrico!$B$18-Electrico!$B$16*H65+Electrico!$B$17*I65-Electrico!$B$10*J65+Electrico!$B$11*K65-Electrico!$B$16*L65+Electrico!$B$17*M65)+0.3*F65</f>
        <v>5623.47460735824</v>
      </c>
      <c r="G66" s="16" t="n">
        <f aca="false">0.7*(-Electrico!$B$16*I65-Electrico!$B$17*H65-Electrico!$B$10*K65-Electrico!$B$11*J65-Electrico!$B$16*M65-Electrico!$B$17*L65)+0.3*G65</f>
        <v>-401.286628834582</v>
      </c>
      <c r="H66" s="16" t="n">
        <f aca="false">J66+(Parametros!$E$33*1000*B66+Parametros!$E$34*1000*C66)/(3*(B66^2+C66^2))</f>
        <v>9.80539535599961</v>
      </c>
      <c r="I66" s="16" t="n">
        <f aca="false">K66+(Parametros!$E$33*1000*C66-Parametros!$E$34*1000*B66)/(3*(B66^2+C66^2))</f>
        <v>-5.90667801759314</v>
      </c>
      <c r="J66" s="16" t="n">
        <f aca="false">L66+(Parametros!$E$33*1000*D66+Parametros!$E$34*1000*E66)/(3*(D66^2+E66^2))</f>
        <v>9.78473890113615</v>
      </c>
      <c r="K66" s="16" t="n">
        <f aca="false">M66+(Parametros!$E$33*1000*E66-Parametros!$E$34*1000*D66)/(3*(D66^2+E66^2))</f>
        <v>-5.76412369575871</v>
      </c>
      <c r="L66" s="16" t="n">
        <f aca="false">(Demanda!$G$21*1000*F66+Demanda!$G$24*1000*G66)/(3*(F66^2+G66^2))</f>
        <v>9.76386385225256</v>
      </c>
      <c r="M66" s="16" t="n">
        <f aca="false">(Demanda!$G$21*1000*G66-Demanda!$G$24*1000*F66)/(3*(F66^2+G66^2))</f>
        <v>-5.61982232925167</v>
      </c>
      <c r="N66" s="16" t="n">
        <f aca="false">SQRT(F66^2+G66^2)*SQRT(3)*Parametros!$E$29/(Parametros!$E$27*1000)</f>
        <v>371.066629706231</v>
      </c>
      <c r="O66" s="16" t="n">
        <f aca="false">SQRT(J66^2+K66^2)</f>
        <v>11.3563302762562</v>
      </c>
      <c r="P66" s="16" t="n">
        <f aca="false">3*O66^2*Electrico!$B$10/1000</f>
        <v>2.10185397456361</v>
      </c>
      <c r="Q66" s="16" t="n">
        <f aca="false">MAX(ABS(B66-B65),ABS(C66-C65),ABS(D66-D65),ABS(E66-E65),ABS(F66-F65),ABS(G66-G65))</f>
        <v>0</v>
      </c>
    </row>
    <row r="67" customFormat="false" ht="21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customFormat="false" ht="21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customFormat="false" ht="21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customFormat="false" ht="21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</sheetData>
  <printOptions headings="false" gridLines="false" gridLinesSet="true" horizontalCentered="false" verticalCentered="false"/>
  <pageMargins left="0.39375" right="0.39375" top="0.551388888888889" bottom="0.551388888888889" header="0.511811023622047" footer="0.3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&amp;CInstalaciones Eléctricas II | Aquiles Taylor Ramos Yapo | 227368&amp;RHoja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9"/>
    <col collapsed="false" customWidth="true" hidden="false" outlineLevel="0" max="4" min="4" style="0" width="15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19"/>
  </cols>
  <sheetData>
    <row r="1" customFormat="false" ht="21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21" hidden="false" customHeight="true" outlineLevel="0" collapsed="false">
      <c r="A2" s="2" t="s">
        <v>158</v>
      </c>
      <c r="B2" s="2"/>
      <c r="C2" s="2"/>
      <c r="D2" s="2"/>
      <c r="E2" s="2"/>
      <c r="F2" s="2"/>
      <c r="G2" s="2"/>
      <c r="H2" s="2"/>
    </row>
    <row r="3" customFormat="false" ht="21" hidden="false" customHeight="tru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21" hidden="false" customHeight="true" outlineLevel="0" collapsed="false">
      <c r="A4" s="3"/>
      <c r="B4" s="3"/>
      <c r="C4" s="3"/>
      <c r="D4" s="3"/>
      <c r="E4" s="3"/>
      <c r="F4" s="3"/>
      <c r="G4" s="3"/>
      <c r="H4" s="3"/>
    </row>
    <row r="5" customFormat="false" ht="21" hidden="false" customHeight="true" outlineLevel="0" collapsed="false">
      <c r="A5" s="1"/>
      <c r="B5" s="1"/>
      <c r="C5" s="1"/>
      <c r="D5" s="1"/>
      <c r="E5" s="1"/>
      <c r="F5" s="1"/>
      <c r="G5" s="1"/>
      <c r="H5" s="1"/>
    </row>
    <row r="6" customFormat="false" ht="36" hidden="false" customHeight="true" outlineLevel="0" collapsed="false">
      <c r="A6" s="4" t="s">
        <v>159</v>
      </c>
      <c r="B6" s="4" t="s">
        <v>160</v>
      </c>
      <c r="C6" s="4" t="s">
        <v>161</v>
      </c>
      <c r="D6" s="4" t="s">
        <v>162</v>
      </c>
      <c r="E6" s="4" t="s">
        <v>163</v>
      </c>
      <c r="F6" s="4" t="s">
        <v>164</v>
      </c>
      <c r="G6" s="4" t="s">
        <v>165</v>
      </c>
      <c r="H6" s="4" t="s">
        <v>166</v>
      </c>
    </row>
    <row r="7" customFormat="false" ht="21" hidden="false" customHeight="true" outlineLevel="0" collapsed="false">
      <c r="A7" s="1" t="s">
        <v>167</v>
      </c>
      <c r="B7" s="1" t="s">
        <v>168</v>
      </c>
      <c r="C7" s="11" t="n">
        <f aca="false">Parametros!$E$38</f>
        <v>0.2</v>
      </c>
      <c r="D7" s="11" t="n">
        <f aca="false">Parametros!$E$27*1000</f>
        <v>10000</v>
      </c>
      <c r="E7" s="11" t="n">
        <f aca="false">Parametros!$E$37*Electrico!$B$15+1*Electrico!$B$16+0*Electrico!$B$10</f>
        <v>12.96</v>
      </c>
      <c r="F7" s="11" t="n">
        <f aca="false">C7*Electrico!$B$15+1*Electrico!$B$17+0*Electrico!$B$11</f>
        <v>103.481873860491</v>
      </c>
      <c r="G7" s="11" t="n">
        <f aca="false">SQRT(E7^2+F7^2)</f>
        <v>104.290267128235</v>
      </c>
      <c r="H7" s="11" t="n">
        <f aca="false">D7/SQRT(3)/G7</f>
        <v>55.3599377092131</v>
      </c>
    </row>
    <row r="8" customFormat="false" ht="21" hidden="false" customHeight="true" outlineLevel="0" collapsed="false">
      <c r="A8" s="1" t="s">
        <v>167</v>
      </c>
      <c r="B8" s="1" t="s">
        <v>169</v>
      </c>
      <c r="C8" s="11" t="n">
        <f aca="false">Parametros!$E$38</f>
        <v>0.2</v>
      </c>
      <c r="D8" s="11" t="n">
        <f aca="false">Parametros!$E$27*1000</f>
        <v>10000</v>
      </c>
      <c r="E8" s="11" t="n">
        <f aca="false">Parametros!$E$37*Electrico!$B$15+1*Electrico!$B$16+1*Electrico!$B$10</f>
        <v>18.3925690657748</v>
      </c>
      <c r="F8" s="11" t="n">
        <f aca="false">C8*Electrico!$B$15+1*Electrico!$B$17+1*Electrico!$B$11</f>
        <v>106.573340548567</v>
      </c>
      <c r="G8" s="11" t="n">
        <f aca="false">SQRT(E8^2+F8^2)</f>
        <v>108.148802640252</v>
      </c>
      <c r="H8" s="11" t="n">
        <f aca="false">D8/SQRT(3)/G8</f>
        <v>53.3848045558243</v>
      </c>
    </row>
    <row r="9" customFormat="false" ht="21" hidden="false" customHeight="true" outlineLevel="0" collapsed="false">
      <c r="A9" s="1" t="s">
        <v>167</v>
      </c>
      <c r="B9" s="1" t="s">
        <v>170</v>
      </c>
      <c r="C9" s="11" t="n">
        <f aca="false">Parametros!$E$38</f>
        <v>0.2</v>
      </c>
      <c r="D9" s="11" t="n">
        <f aca="false">Parametros!$E$27*1000</f>
        <v>10000</v>
      </c>
      <c r="E9" s="11" t="n">
        <f aca="false">Parametros!$E$37*Electrico!$B$15+2*Electrico!$B$16+1*Electrico!$B$10</f>
        <v>23.3525690657748</v>
      </c>
      <c r="F9" s="11" t="n">
        <f aca="false">C9*Electrico!$B$15+2*Electrico!$B$17+1*Electrico!$B$11</f>
        <v>130.055214409058</v>
      </c>
      <c r="G9" s="11" t="n">
        <f aca="false">SQRT(E9^2+F9^2)</f>
        <v>132.135162908886</v>
      </c>
      <c r="H9" s="11" t="n">
        <f aca="false">D9/SQRT(3)/G9*D9/Parametros!$E$29</f>
        <v>1149.83989137288</v>
      </c>
    </row>
    <row r="10" customFormat="false" ht="21" hidden="false" customHeight="true" outlineLevel="0" collapsed="false">
      <c r="A10" s="1" t="s">
        <v>171</v>
      </c>
      <c r="B10" s="1" t="s">
        <v>168</v>
      </c>
      <c r="C10" s="11" t="n">
        <f aca="false">Parametros!$E$39</f>
        <v>0.3</v>
      </c>
      <c r="D10" s="11" t="n">
        <f aca="false">Parametros!$E$27*1000</f>
        <v>10000</v>
      </c>
      <c r="E10" s="11" t="n">
        <f aca="false">Parametros!$E$37*Electrico!$B$15+1*Electrico!$B$16+0*Electrico!$B$10</f>
        <v>12.96</v>
      </c>
      <c r="F10" s="11" t="n">
        <f aca="false">C10*Electrico!$B$15+1*Electrico!$B$17+0*Electrico!$B$11</f>
        <v>143.481873860491</v>
      </c>
      <c r="G10" s="11" t="n">
        <f aca="false">SQRT(E10^2+F10^2)</f>
        <v>144.065990874036</v>
      </c>
      <c r="H10" s="11" t="n">
        <f aca="false">D10/SQRT(3)/G10</f>
        <v>40.0754033402951</v>
      </c>
    </row>
    <row r="11" customFormat="false" ht="21" hidden="false" customHeight="true" outlineLevel="0" collapsed="false">
      <c r="A11" s="1" t="s">
        <v>171</v>
      </c>
      <c r="B11" s="1" t="s">
        <v>169</v>
      </c>
      <c r="C11" s="11" t="n">
        <f aca="false">Parametros!$E$39</f>
        <v>0.3</v>
      </c>
      <c r="D11" s="11" t="n">
        <f aca="false">Parametros!$E$27*1000</f>
        <v>10000</v>
      </c>
      <c r="E11" s="11" t="n">
        <f aca="false">Parametros!$E$37*Electrico!$B$15+1*Electrico!$B$16+1*Electrico!$B$10</f>
        <v>18.3925690657748</v>
      </c>
      <c r="F11" s="11" t="n">
        <f aca="false">C11*Electrico!$B$15+1*Electrico!$B$17+1*Electrico!$B$11</f>
        <v>146.573340548567</v>
      </c>
      <c r="G11" s="11" t="n">
        <f aca="false">SQRT(E11^2+F11^2)</f>
        <v>147.72281731813</v>
      </c>
      <c r="H11" s="11" t="n">
        <f aca="false">D11/SQRT(3)/G11</f>
        <v>39.0833508100694</v>
      </c>
    </row>
    <row r="12" customFormat="false" ht="21" hidden="false" customHeight="true" outlineLevel="0" collapsed="false">
      <c r="A12" s="1" t="s">
        <v>171</v>
      </c>
      <c r="B12" s="1" t="s">
        <v>170</v>
      </c>
      <c r="C12" s="11" t="n">
        <f aca="false">Parametros!$E$39</f>
        <v>0.3</v>
      </c>
      <c r="D12" s="11" t="n">
        <f aca="false">Parametros!$E$27*1000</f>
        <v>10000</v>
      </c>
      <c r="E12" s="11" t="n">
        <f aca="false">Parametros!$E$37*Electrico!$B$15+2*Electrico!$B$16+1*Electrico!$B$10</f>
        <v>23.3525690657748</v>
      </c>
      <c r="F12" s="11" t="n">
        <f aca="false">C12*Electrico!$B$15+2*Electrico!$B$17+1*Electrico!$B$11</f>
        <v>170.055214409058</v>
      </c>
      <c r="G12" s="11" t="n">
        <f aca="false">SQRT(E12^2+F12^2)</f>
        <v>171.651153301347</v>
      </c>
      <c r="H12" s="11" t="n">
        <f aca="false">D12/SQRT(3)/G12*D12/Parametros!$E$29</f>
        <v>885.134054992097</v>
      </c>
    </row>
    <row r="13" customFormat="false" ht="21" hidden="false" customHeight="true" outlineLevel="0" collapsed="false">
      <c r="A13" s="1" t="s">
        <v>172</v>
      </c>
      <c r="B13" s="1" t="s">
        <v>168</v>
      </c>
      <c r="C13" s="11" t="n">
        <f aca="false">Parametros!$E$40</f>
        <v>1.8</v>
      </c>
      <c r="D13" s="11" t="n">
        <f aca="false">Parametros!$E$27*1000</f>
        <v>10000</v>
      </c>
      <c r="E13" s="11" t="n">
        <f aca="false">Parametros!$E$37*Electrico!$B$15+1*Electrico!$B$16+0*Electrico!$B$10</f>
        <v>12.96</v>
      </c>
      <c r="F13" s="11" t="n">
        <f aca="false">C13*Electrico!$B$15+1*Electrico!$B$17+0*Electrico!$B$11</f>
        <v>743.481873860491</v>
      </c>
      <c r="G13" s="11" t="n">
        <f aca="false">SQRT(E13^2+F13^2)</f>
        <v>743.59482136383</v>
      </c>
      <c r="H13" s="11" t="n">
        <f aca="false">D13/SQRT(3)/G13</f>
        <v>7.76431266870182</v>
      </c>
    </row>
    <row r="14" customFormat="false" ht="21" hidden="false" customHeight="true" outlineLevel="0" collapsed="false">
      <c r="A14" s="1" t="s">
        <v>172</v>
      </c>
      <c r="B14" s="1" t="s">
        <v>169</v>
      </c>
      <c r="C14" s="11" t="n">
        <f aca="false">Parametros!$E$40</f>
        <v>1.8</v>
      </c>
      <c r="D14" s="11" t="n">
        <f aca="false">Parametros!$E$27*1000</f>
        <v>10000</v>
      </c>
      <c r="E14" s="11" t="n">
        <f aca="false">Parametros!$E$37*Electrico!$B$15+1*Electrico!$B$16+1*Electrico!$B$10</f>
        <v>18.3925690657748</v>
      </c>
      <c r="F14" s="11" t="n">
        <f aca="false">C14*Electrico!$B$15+1*Electrico!$B$17+1*Electrico!$B$11</f>
        <v>746.573340548567</v>
      </c>
      <c r="G14" s="11" t="n">
        <f aca="false">SQRT(E14^2+F14^2)</f>
        <v>746.799865703447</v>
      </c>
      <c r="H14" s="11" t="n">
        <f aca="false">D14/SQRT(3)/G14</f>
        <v>7.73099053313021</v>
      </c>
    </row>
    <row r="15" customFormat="false" ht="21" hidden="false" customHeight="true" outlineLevel="0" collapsed="false">
      <c r="A15" s="1" t="s">
        <v>172</v>
      </c>
      <c r="B15" s="1" t="s">
        <v>170</v>
      </c>
      <c r="C15" s="11" t="n">
        <f aca="false">Parametros!$E$40</f>
        <v>1.8</v>
      </c>
      <c r="D15" s="11" t="n">
        <f aca="false">Parametros!$E$27*1000</f>
        <v>10000</v>
      </c>
      <c r="E15" s="11" t="n">
        <f aca="false">Parametros!$E$37*Electrico!$B$15+2*Electrico!$B$16+1*Electrico!$B$10</f>
        <v>23.3525690657748</v>
      </c>
      <c r="F15" s="11" t="n">
        <f aca="false">C15*Electrico!$B$15+2*Electrico!$B$17+1*Electrico!$B$11</f>
        <v>770.055214409058</v>
      </c>
      <c r="G15" s="11" t="n">
        <f aca="false">SQRT(E15^2+F15^2)</f>
        <v>770.409226139298</v>
      </c>
      <c r="H15" s="11" t="n">
        <f aca="false">D15/SQRT(3)/G15*D15/Parametros!$E$29</f>
        <v>197.21243750814</v>
      </c>
    </row>
    <row r="16" customFormat="false" ht="21" hidden="false" customHeight="true" outlineLevel="0" collapsed="false">
      <c r="A16" s="1"/>
      <c r="B16" s="1"/>
      <c r="C16" s="1"/>
      <c r="D16" s="1"/>
      <c r="E16" s="1"/>
      <c r="F16" s="1"/>
      <c r="G16" s="1"/>
      <c r="H16" s="1"/>
    </row>
    <row r="17" customFormat="false" ht="21" hidden="false" customHeight="true" outlineLevel="0" collapsed="false">
      <c r="A17" s="1"/>
      <c r="B17" s="1"/>
      <c r="C17" s="1"/>
      <c r="D17" s="1"/>
      <c r="E17" s="1"/>
      <c r="F17" s="1"/>
      <c r="G17" s="1"/>
      <c r="H17" s="1"/>
    </row>
    <row r="18" customFormat="false" ht="21" hidden="false" customHeight="true" outlineLevel="0" collapsed="false">
      <c r="A18" s="1"/>
      <c r="B18" s="1"/>
      <c r="C18" s="1"/>
      <c r="D18" s="1"/>
      <c r="E18" s="1"/>
      <c r="F18" s="1"/>
      <c r="G18" s="1"/>
      <c r="H18" s="1"/>
    </row>
    <row r="19" customFormat="false" ht="21" hidden="false" customHeight="true" outlineLevel="0" collapsed="false">
      <c r="A19" s="1" t="s">
        <v>173</v>
      </c>
      <c r="B19" s="1"/>
      <c r="C19" s="1"/>
      <c r="D19" s="1"/>
      <c r="E19" s="1"/>
      <c r="F19" s="1"/>
      <c r="G19" s="1"/>
      <c r="H19" s="1"/>
    </row>
    <row r="20" customFormat="false" ht="21" hidden="false" customHeight="true" outlineLevel="0" collapsed="false">
      <c r="A20" s="1"/>
      <c r="B20" s="1"/>
      <c r="C20" s="1"/>
      <c r="D20" s="1"/>
      <c r="E20" s="1"/>
      <c r="F20" s="1"/>
      <c r="G20" s="1"/>
      <c r="H20" s="1"/>
    </row>
    <row r="21" customFormat="false" ht="21" hidden="false" customHeight="true" outlineLevel="0" collapsed="false">
      <c r="A21" s="1" t="s">
        <v>174</v>
      </c>
      <c r="B21" s="1"/>
      <c r="C21" s="1"/>
      <c r="D21" s="1"/>
      <c r="E21" s="1"/>
      <c r="F21" s="1"/>
      <c r="G21" s="1"/>
      <c r="H21" s="1"/>
    </row>
    <row r="22" customFormat="false" ht="21" hidden="false" customHeight="true" outlineLevel="0" collapsed="false">
      <c r="A22" s="1"/>
      <c r="B22" s="1"/>
      <c r="C22" s="1"/>
      <c r="D22" s="1"/>
      <c r="E22" s="1"/>
      <c r="F22" s="1"/>
      <c r="G22" s="1"/>
      <c r="H22" s="1"/>
    </row>
    <row r="23" customFormat="false" ht="21" hidden="false" customHeight="true" outlineLevel="0" collapsed="false">
      <c r="A23" s="1"/>
      <c r="B23" s="1"/>
      <c r="C23" s="1"/>
      <c r="D23" s="1"/>
      <c r="E23" s="1"/>
      <c r="F23" s="1"/>
      <c r="G23" s="1"/>
      <c r="H23" s="1"/>
    </row>
    <row r="24" customFormat="false" ht="21" hidden="false" customHeight="true" outlineLevel="0" collapsed="false">
      <c r="A24" s="1"/>
      <c r="B24" s="1"/>
      <c r="C24" s="1"/>
      <c r="D24" s="1"/>
      <c r="E24" s="1"/>
      <c r="F24" s="1"/>
      <c r="G24" s="1"/>
      <c r="H24" s="1"/>
    </row>
    <row r="25" customFormat="false" ht="21" hidden="false" customHeight="true" outlineLevel="0" collapsed="false">
      <c r="A25" s="1"/>
      <c r="B25" s="1"/>
      <c r="C25" s="1"/>
      <c r="D25" s="1"/>
      <c r="E25" s="1"/>
      <c r="F25" s="1"/>
      <c r="G25" s="1"/>
      <c r="H25" s="1"/>
    </row>
    <row r="26" customFormat="false" ht="21" hidden="false" customHeight="true" outlineLevel="0" collapsed="false">
      <c r="A26" s="1"/>
      <c r="B26" s="1"/>
      <c r="C26" s="1"/>
      <c r="D26" s="1"/>
      <c r="E26" s="1"/>
      <c r="F26" s="1"/>
      <c r="G26" s="1"/>
      <c r="H26" s="1"/>
    </row>
    <row r="27" customFormat="false" ht="21" hidden="false" customHeight="true" outlineLevel="0" collapsed="false">
      <c r="A27" s="1"/>
      <c r="B27" s="1"/>
      <c r="C27" s="1"/>
      <c r="D27" s="1"/>
      <c r="E27" s="1"/>
      <c r="F27" s="1"/>
      <c r="G27" s="1"/>
      <c r="H27" s="1"/>
    </row>
    <row r="28" customFormat="false" ht="21" hidden="false" customHeight="true" outlineLevel="0" collapsed="false">
      <c r="A28" s="1"/>
      <c r="B28" s="1"/>
      <c r="C28" s="1"/>
      <c r="D28" s="1"/>
      <c r="E28" s="1"/>
      <c r="F28" s="1"/>
      <c r="G28" s="1"/>
      <c r="H28" s="1"/>
    </row>
  </sheetData>
  <printOptions headings="false" gridLines="false" gridLinesSet="true" horizontalCentered="false" verticalCentered="false"/>
  <pageMargins left="0.39375" right="0.39375" top="0.551388888888889" bottom="0.551388888888889" header="0.511811023622047" footer="0.3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&amp;CInstalaciones Eléctricas II | Aquiles Taylor Ramos Yapo | 227368&amp;RHoja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2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7"/>
    <col collapsed="false" customWidth="true" hidden="false" outlineLevel="0" max="6" min="5" style="0" width="18"/>
    <col collapsed="false" customWidth="true" hidden="false" outlineLevel="0" max="7" min="7" style="0" width="17"/>
    <col collapsed="false" customWidth="true" hidden="false" outlineLevel="0" max="8" min="8" style="0" width="14"/>
    <col collapsed="false" customWidth="true" hidden="false" outlineLevel="0" max="10" min="9" style="0" width="16"/>
    <col collapsed="false" customWidth="true" hidden="false" outlineLevel="0" max="11" min="11" style="0" width="18"/>
    <col collapsed="false" customWidth="true" hidden="false" outlineLevel="0" max="12" min="12" style="0" width="16"/>
  </cols>
  <sheetData>
    <row r="1" customFormat="false" ht="21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" hidden="false" customHeight="true" outlineLevel="0" collapsed="false">
      <c r="A2" s="2" t="s">
        <v>175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1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21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21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36" hidden="false" customHeight="true" outlineLevel="0" collapsed="false">
      <c r="A6" s="4" t="s">
        <v>176</v>
      </c>
      <c r="B6" s="4" t="s">
        <v>177</v>
      </c>
      <c r="C6" s="4" t="s">
        <v>178</v>
      </c>
      <c r="D6" s="4" t="s">
        <v>179</v>
      </c>
      <c r="E6" s="4" t="s">
        <v>180</v>
      </c>
      <c r="F6" s="4" t="s">
        <v>181</v>
      </c>
      <c r="G6" s="4" t="s">
        <v>182</v>
      </c>
      <c r="H6" s="4" t="s">
        <v>183</v>
      </c>
      <c r="I6" s="4" t="s">
        <v>184</v>
      </c>
      <c r="J6" s="4" t="s">
        <v>185</v>
      </c>
      <c r="K6" s="4" t="s">
        <v>186</v>
      </c>
      <c r="L6" s="4" t="s">
        <v>187</v>
      </c>
    </row>
    <row r="7" customFormat="false" ht="21" hidden="false" customHeight="true" outlineLevel="0" collapsed="false">
      <c r="A7" s="1" t="s">
        <v>188</v>
      </c>
      <c r="B7" s="11" t="n">
        <f aca="false">Postes!E7</f>
        <v>13</v>
      </c>
      <c r="C7" s="11" t="n">
        <f aca="false">Postes!F7</f>
        <v>1.9</v>
      </c>
      <c r="D7" s="11" t="n">
        <v>20.5713881014213</v>
      </c>
      <c r="E7" s="11" t="n">
        <f aca="false">Parametros!$E$14*Parametros!$E$12*10*Parametros!$E$13*(B7-C7-Parametros!$E$15)/1000</f>
        <v>85.41</v>
      </c>
      <c r="F7" s="11" t="n">
        <f aca="false">D7/E7</f>
        <v>0.240854561543394</v>
      </c>
      <c r="G7" s="11" t="n">
        <v>-4.66499581186891</v>
      </c>
      <c r="H7" s="11" t="n">
        <f aca="false">Postes!J7</f>
        <v>1</v>
      </c>
      <c r="I7" s="11" t="n">
        <v>24.506622982339</v>
      </c>
      <c r="J7" s="11" t="n">
        <f aca="false">IF(H7=0,0,ROUNDUP(MAX(Parametros!$E$16,I7/Parametros!$E$17)/10,0)*10)</f>
        <v>60</v>
      </c>
      <c r="K7" s="11" t="n">
        <f aca="false">J7*Parametros!$E$17</f>
        <v>54</v>
      </c>
      <c r="L7" s="11" t="n">
        <f aca="false">IF(H7=0,0,I7/K7)</f>
        <v>0.453826351524797</v>
      </c>
    </row>
    <row r="8" customFormat="false" ht="21" hidden="false" customHeight="true" outlineLevel="0" collapsed="false">
      <c r="A8" s="1" t="s">
        <v>189</v>
      </c>
      <c r="B8" s="11" t="n">
        <f aca="false">Postes!E8</f>
        <v>13</v>
      </c>
      <c r="C8" s="11" t="n">
        <f aca="false">Postes!F8</f>
        <v>1.9</v>
      </c>
      <c r="D8" s="11" t="n">
        <v>27.2574593597772</v>
      </c>
      <c r="E8" s="11" t="n">
        <f aca="false">Parametros!$E$14*Parametros!$E$12*10*Parametros!$E$13*(B8-C8-Parametros!$E$15)/1000</f>
        <v>85.41</v>
      </c>
      <c r="F8" s="11" t="n">
        <f aca="false">D8/E8</f>
        <v>0.319136627558567</v>
      </c>
      <c r="G8" s="11" t="n">
        <v>0.781123934189766</v>
      </c>
      <c r="H8" s="11" t="n">
        <f aca="false">Postes!J8</f>
        <v>0</v>
      </c>
      <c r="I8" s="11" t="n">
        <v>0</v>
      </c>
      <c r="J8" s="11" t="n">
        <f aca="false">IF(H8=0,0,ROUNDUP(MAX(Parametros!$E$16,I8/Parametros!$E$17)/10,0)*10)</f>
        <v>0</v>
      </c>
      <c r="K8" s="11" t="n">
        <f aca="false">J8*Parametros!$E$17</f>
        <v>0</v>
      </c>
      <c r="L8" s="11" t="n">
        <f aca="false">IF(H8=0,0,I8/K8)</f>
        <v>0</v>
      </c>
    </row>
    <row r="9" customFormat="false" ht="21" hidden="false" customHeight="true" outlineLevel="0" collapsed="false">
      <c r="A9" s="1" t="s">
        <v>190</v>
      </c>
      <c r="B9" s="11" t="n">
        <f aca="false">Postes!E9</f>
        <v>15</v>
      </c>
      <c r="C9" s="11" t="n">
        <f aca="false">Postes!F9</f>
        <v>2.1</v>
      </c>
      <c r="D9" s="11" t="n">
        <v>30.9189505851337</v>
      </c>
      <c r="E9" s="11" t="n">
        <f aca="false">Parametros!$E$14*Parametros!$E$12*10*Parametros!$E$13*(B9-C9-Parametros!$E$15)/1000</f>
        <v>99.45</v>
      </c>
      <c r="F9" s="11" t="n">
        <f aca="false">D9/E9</f>
        <v>0.310899452841968</v>
      </c>
      <c r="G9" s="11" t="n">
        <v>1.3298383752693</v>
      </c>
      <c r="H9" s="11" t="n">
        <f aca="false">Postes!J9</f>
        <v>2</v>
      </c>
      <c r="I9" s="11" t="n">
        <v>26.3520277075036</v>
      </c>
      <c r="J9" s="11" t="n">
        <f aca="false">IF(H9=0,0,ROUNDUP(MAX(Parametros!$E$16,I9/Parametros!$E$17)/10,0)*10)</f>
        <v>60</v>
      </c>
      <c r="K9" s="11" t="n">
        <f aca="false">J9*Parametros!$E$17</f>
        <v>54</v>
      </c>
      <c r="L9" s="11" t="n">
        <f aca="false">IF(H9=0,0,I9/K9)</f>
        <v>0.488000513101919</v>
      </c>
    </row>
    <row r="10" customFormat="false" ht="21" hidden="false" customHeight="true" outlineLevel="0" collapsed="false">
      <c r="A10" s="1" t="s">
        <v>191</v>
      </c>
      <c r="B10" s="11" t="n">
        <f aca="false">Postes!E10</f>
        <v>15</v>
      </c>
      <c r="C10" s="11" t="n">
        <f aca="false">Postes!F10</f>
        <v>2.1</v>
      </c>
      <c r="D10" s="11" t="n">
        <v>42.7153397846099</v>
      </c>
      <c r="E10" s="11" t="n">
        <f aca="false">Parametros!$E$14*Parametros!$E$12*10*Parametros!$E$13*(B10-C10-Parametros!$E$15)/1000</f>
        <v>99.45</v>
      </c>
      <c r="F10" s="11" t="n">
        <f aca="false">D10/E10</f>
        <v>0.429515734385218</v>
      </c>
      <c r="G10" s="11" t="n">
        <v>0.938300871873831</v>
      </c>
      <c r="H10" s="11" t="n">
        <f aca="false">Postes!J10</f>
        <v>0</v>
      </c>
      <c r="I10" s="11" t="n">
        <v>0</v>
      </c>
      <c r="J10" s="11" t="n">
        <f aca="false">IF(H10=0,0,ROUNDUP(MAX(Parametros!$E$16,I10/Parametros!$E$17)/10,0)*10)</f>
        <v>0</v>
      </c>
      <c r="K10" s="11" t="n">
        <f aca="false">J10*Parametros!$E$17</f>
        <v>0</v>
      </c>
      <c r="L10" s="11" t="n">
        <f aca="false">IF(H10=0,0,I10/K10)</f>
        <v>0</v>
      </c>
    </row>
    <row r="11" customFormat="false" ht="21" hidden="false" customHeight="true" outlineLevel="0" collapsed="false">
      <c r="A11" s="1" t="s">
        <v>192</v>
      </c>
      <c r="B11" s="11" t="n">
        <f aca="false">Postes!E11</f>
        <v>15</v>
      </c>
      <c r="C11" s="11" t="n">
        <f aca="false">Postes!F11</f>
        <v>2.1</v>
      </c>
      <c r="D11" s="11" t="n">
        <v>41.9568407581337</v>
      </c>
      <c r="E11" s="11" t="n">
        <f aca="false">Parametros!$E$14*Parametros!$E$12*10*Parametros!$E$13*(B11-C11-Parametros!$E$15)/1000</f>
        <v>99.45</v>
      </c>
      <c r="F11" s="11" t="n">
        <f aca="false">D11/E11</f>
        <v>0.421888795959113</v>
      </c>
      <c r="G11" s="11" t="n">
        <v>-1.12494864396147</v>
      </c>
      <c r="H11" s="11" t="n">
        <f aca="false">Postes!J11</f>
        <v>2</v>
      </c>
      <c r="I11" s="11" t="n">
        <v>26.3509393807518</v>
      </c>
      <c r="J11" s="11" t="n">
        <f aca="false">IF(H11=0,0,ROUNDUP(MAX(Parametros!$E$16,I11/Parametros!$E$17)/10,0)*10)</f>
        <v>60</v>
      </c>
      <c r="K11" s="11" t="n">
        <f aca="false">J11*Parametros!$E$17</f>
        <v>54</v>
      </c>
      <c r="L11" s="11" t="n">
        <f aca="false">IF(H11=0,0,I11/K11)</f>
        <v>0.487980358902811</v>
      </c>
    </row>
    <row r="12" customFormat="false" ht="21" hidden="false" customHeight="true" outlineLevel="0" collapsed="false">
      <c r="A12" s="1" t="s">
        <v>193</v>
      </c>
      <c r="B12" s="11" t="n">
        <f aca="false">Postes!E12</f>
        <v>17</v>
      </c>
      <c r="C12" s="11" t="n">
        <f aca="false">Postes!F12</f>
        <v>2.1</v>
      </c>
      <c r="D12" s="11" t="n">
        <v>51.0857561359463</v>
      </c>
      <c r="E12" s="11" t="n">
        <f aca="false">Parametros!$E$14*Parametros!$E$12*10*Parametros!$E$13*(B12-C12-Parametros!$E$15)/1000</f>
        <v>115.05</v>
      </c>
      <c r="F12" s="11" t="n">
        <f aca="false">D12/E12</f>
        <v>0.444030909482367</v>
      </c>
      <c r="G12" s="11" t="n">
        <v>1.05555941778792</v>
      </c>
      <c r="H12" s="11" t="n">
        <f aca="false">Postes!J12</f>
        <v>0</v>
      </c>
      <c r="I12" s="11" t="n">
        <v>0</v>
      </c>
      <c r="J12" s="11" t="n">
        <f aca="false">IF(H12=0,0,ROUNDUP(MAX(Parametros!$E$16,I12/Parametros!$E$17)/10,0)*10)</f>
        <v>0</v>
      </c>
      <c r="K12" s="11" t="n">
        <f aca="false">J12*Parametros!$E$17</f>
        <v>0</v>
      </c>
      <c r="L12" s="11" t="n">
        <f aca="false">IF(H12=0,0,I12/K12)</f>
        <v>0</v>
      </c>
    </row>
    <row r="13" customFormat="false" ht="21" hidden="false" customHeight="true" outlineLevel="0" collapsed="false">
      <c r="A13" s="1" t="s">
        <v>194</v>
      </c>
      <c r="B13" s="11" t="n">
        <f aca="false">Postes!E13</f>
        <v>15</v>
      </c>
      <c r="C13" s="11" t="n">
        <f aca="false">Postes!F13</f>
        <v>2.1</v>
      </c>
      <c r="D13" s="11" t="n">
        <v>39.1556080721614</v>
      </c>
      <c r="E13" s="11" t="n">
        <f aca="false">Parametros!$E$14*Parametros!$E$12*10*Parametros!$E$13*(B13-C13-Parametros!$E$15)/1000</f>
        <v>99.45</v>
      </c>
      <c r="F13" s="11" t="n">
        <f aca="false">D13/E13</f>
        <v>0.393721549242447</v>
      </c>
      <c r="G13" s="11" t="n">
        <v>0.989691347987131</v>
      </c>
      <c r="H13" s="11" t="n">
        <f aca="false">Postes!J13</f>
        <v>2</v>
      </c>
      <c r="I13" s="11" t="n">
        <v>26.0441223893448</v>
      </c>
      <c r="J13" s="11" t="n">
        <f aca="false">IF(H13=0,0,ROUNDUP(MAX(Parametros!$E$16,I13/Parametros!$E$17)/10,0)*10)</f>
        <v>60</v>
      </c>
      <c r="K13" s="11" t="n">
        <f aca="false">J13*Parametros!$E$17</f>
        <v>54</v>
      </c>
      <c r="L13" s="11" t="n">
        <f aca="false">IF(H13=0,0,I13/K13)</f>
        <v>0.482298562765644</v>
      </c>
    </row>
    <row r="14" customFormat="false" ht="21" hidden="false" customHeight="true" outlineLevel="0" collapsed="false">
      <c r="A14" s="1" t="s">
        <v>195</v>
      </c>
      <c r="B14" s="11" t="n">
        <f aca="false">Postes!E14</f>
        <v>13</v>
      </c>
      <c r="C14" s="11" t="n">
        <f aca="false">Postes!F14</f>
        <v>1.9</v>
      </c>
      <c r="D14" s="11" t="n">
        <v>30.9610636788708</v>
      </c>
      <c r="E14" s="11" t="n">
        <f aca="false">Parametros!$E$14*Parametros!$E$12*10*Parametros!$E$13*(B14-C14-Parametros!$E$15)/1000</f>
        <v>85.41</v>
      </c>
      <c r="F14" s="11" t="n">
        <f aca="false">D14/E14</f>
        <v>0.362499282038061</v>
      </c>
      <c r="G14" s="11" t="n">
        <v>-0.0816005167232696</v>
      </c>
      <c r="H14" s="11" t="n">
        <f aca="false">Postes!J14</f>
        <v>2</v>
      </c>
      <c r="I14" s="11" t="n">
        <v>25.9881123882928</v>
      </c>
      <c r="J14" s="11" t="n">
        <f aca="false">IF(H14=0,0,ROUNDUP(MAX(Parametros!$E$16,I14/Parametros!$E$17)/10,0)*10)</f>
        <v>60</v>
      </c>
      <c r="K14" s="11" t="n">
        <f aca="false">J14*Parametros!$E$17</f>
        <v>54</v>
      </c>
      <c r="L14" s="11" t="n">
        <f aca="false">IF(H14=0,0,I14/K14)</f>
        <v>0.481261340523941</v>
      </c>
    </row>
    <row r="15" customFormat="false" ht="21" hidden="false" customHeight="true" outlineLevel="0" collapsed="false">
      <c r="A15" s="1" t="s">
        <v>196</v>
      </c>
      <c r="B15" s="11" t="n">
        <f aca="false">Postes!E15</f>
        <v>13</v>
      </c>
      <c r="C15" s="11" t="n">
        <f aca="false">Postes!F15</f>
        <v>1.9</v>
      </c>
      <c r="D15" s="11" t="n">
        <v>33.0941005851709</v>
      </c>
      <c r="E15" s="11" t="n">
        <f aca="false">Parametros!$E$14*Parametros!$E$12*10*Parametros!$E$13*(B15-C15-Parametros!$E$15)/1000</f>
        <v>85.41</v>
      </c>
      <c r="F15" s="11" t="n">
        <f aca="false">D15/E15</f>
        <v>0.38747337062605</v>
      </c>
      <c r="G15" s="11" t="n">
        <v>-0.220406427486781</v>
      </c>
      <c r="H15" s="11" t="n">
        <f aca="false">Postes!J15</f>
        <v>2</v>
      </c>
      <c r="I15" s="11" t="n">
        <v>25.9881123882928</v>
      </c>
      <c r="J15" s="11" t="n">
        <f aca="false">IF(H15=0,0,ROUNDUP(MAX(Parametros!$E$16,I15/Parametros!$E$17)/10,0)*10)</f>
        <v>60</v>
      </c>
      <c r="K15" s="11" t="n">
        <f aca="false">J15*Parametros!$E$17</f>
        <v>54</v>
      </c>
      <c r="L15" s="11" t="n">
        <f aca="false">IF(H15=0,0,I15/K15)</f>
        <v>0.481261340523941</v>
      </c>
    </row>
    <row r="16" customFormat="false" ht="21" hidden="false" customHeight="true" outlineLevel="0" collapsed="false">
      <c r="A16" s="1" t="s">
        <v>197</v>
      </c>
      <c r="B16" s="11" t="n">
        <f aca="false">Postes!E16</f>
        <v>13</v>
      </c>
      <c r="C16" s="11" t="n">
        <f aca="false">Postes!F16</f>
        <v>1.9</v>
      </c>
      <c r="D16" s="11" t="n">
        <v>29.9180606345036</v>
      </c>
      <c r="E16" s="11" t="n">
        <f aca="false">Parametros!$E$14*Parametros!$E$12*10*Parametros!$E$13*(B16-C16-Parametros!$E$15)/1000</f>
        <v>85.41</v>
      </c>
      <c r="F16" s="11" t="n">
        <f aca="false">D16/E16</f>
        <v>0.350287561579482</v>
      </c>
      <c r="G16" s="11" t="n">
        <v>-1.27966219481232</v>
      </c>
      <c r="H16" s="11" t="n">
        <f aca="false">Postes!J16</f>
        <v>2</v>
      </c>
      <c r="I16" s="11" t="n">
        <v>25.94288262961</v>
      </c>
      <c r="J16" s="11" t="n">
        <f aca="false">IF(H16=0,0,ROUNDUP(MAX(Parametros!$E$16,I16/Parametros!$E$17)/10,0)*10)</f>
        <v>60</v>
      </c>
      <c r="K16" s="11" t="n">
        <f aca="false">J16*Parametros!$E$17</f>
        <v>54</v>
      </c>
      <c r="L16" s="11" t="n">
        <f aca="false">IF(H16=0,0,I16/K16)</f>
        <v>0.480423752400185</v>
      </c>
    </row>
    <row r="17" customFormat="false" ht="21" hidden="false" customHeight="true" outlineLevel="0" collapsed="false">
      <c r="A17" s="1" t="s">
        <v>198</v>
      </c>
      <c r="B17" s="11" t="n">
        <f aca="false">Postes!E17</f>
        <v>13</v>
      </c>
      <c r="C17" s="11" t="n">
        <f aca="false">Postes!F17</f>
        <v>1.9</v>
      </c>
      <c r="D17" s="11" t="n">
        <v>25.6604435594518</v>
      </c>
      <c r="E17" s="11" t="n">
        <f aca="false">Parametros!$E$14*Parametros!$E$12*10*Parametros!$E$13*(B17-C17-Parametros!$E$15)/1000</f>
        <v>85.41</v>
      </c>
      <c r="F17" s="11" t="n">
        <f aca="false">D17/E17</f>
        <v>0.300438397839267</v>
      </c>
      <c r="G17" s="11" t="n">
        <v>1.04606951938056</v>
      </c>
      <c r="H17" s="11" t="n">
        <f aca="false">Postes!J17</f>
        <v>2</v>
      </c>
      <c r="I17" s="11" t="n">
        <v>25.3730424335546</v>
      </c>
      <c r="J17" s="11" t="n">
        <f aca="false">IF(H17=0,0,ROUNDUP(MAX(Parametros!$E$16,I17/Parametros!$E$17)/10,0)*10)</f>
        <v>60</v>
      </c>
      <c r="K17" s="11" t="n">
        <f aca="false">J17*Parametros!$E$17</f>
        <v>54</v>
      </c>
      <c r="L17" s="11" t="n">
        <f aca="false">IF(H17=0,0,I17/K17)</f>
        <v>0.469871156176936</v>
      </c>
    </row>
    <row r="18" customFormat="false" ht="21" hidden="false" customHeight="true" outlineLevel="0" collapsed="false">
      <c r="A18" s="1" t="s">
        <v>199</v>
      </c>
      <c r="B18" s="11" t="n">
        <f aca="false">Postes!E18</f>
        <v>13</v>
      </c>
      <c r="C18" s="11" t="n">
        <f aca="false">Postes!F18</f>
        <v>1.9</v>
      </c>
      <c r="D18" s="11" t="n">
        <v>28.8599659740075</v>
      </c>
      <c r="E18" s="11" t="n">
        <f aca="false">Parametros!$E$14*Parametros!$E$12*10*Parametros!$E$13*(B18-C18-Parametros!$E$15)/1000</f>
        <v>85.41</v>
      </c>
      <c r="F18" s="11" t="n">
        <f aca="false">D18/E18</f>
        <v>0.337899144994819</v>
      </c>
      <c r="G18" s="11" t="n">
        <v>0.685480949581924</v>
      </c>
      <c r="H18" s="11" t="n">
        <f aca="false">Postes!J18</f>
        <v>2</v>
      </c>
      <c r="I18" s="11" t="n">
        <v>25.3730424335546</v>
      </c>
      <c r="J18" s="11" t="n">
        <f aca="false">IF(H18=0,0,ROUNDUP(MAX(Parametros!$E$16,I18/Parametros!$E$17)/10,0)*10)</f>
        <v>60</v>
      </c>
      <c r="K18" s="11" t="n">
        <f aca="false">J18*Parametros!$E$17</f>
        <v>54</v>
      </c>
      <c r="L18" s="11" t="n">
        <f aca="false">IF(H18=0,0,I18/K18)</f>
        <v>0.469871156176936</v>
      </c>
    </row>
    <row r="19" customFormat="false" ht="21" hidden="false" customHeight="true" outlineLevel="0" collapsed="false">
      <c r="A19" s="1" t="s">
        <v>200</v>
      </c>
      <c r="B19" s="11" t="n">
        <f aca="false">Postes!E19</f>
        <v>13</v>
      </c>
      <c r="C19" s="11" t="n">
        <f aca="false">Postes!F19</f>
        <v>1.9</v>
      </c>
      <c r="D19" s="11" t="n">
        <v>22.9662935357295</v>
      </c>
      <c r="E19" s="11" t="n">
        <f aca="false">Parametros!$E$14*Parametros!$E$12*10*Parametros!$E$13*(B19-C19-Parametros!$E$15)/1000</f>
        <v>85.41</v>
      </c>
      <c r="F19" s="11" t="n">
        <f aca="false">D19/E19</f>
        <v>0.268894667319161</v>
      </c>
      <c r="G19" s="11" t="n">
        <v>-3.26778480036129</v>
      </c>
      <c r="H19" s="11" t="n">
        <f aca="false">Postes!J19</f>
        <v>2</v>
      </c>
      <c r="I19" s="11" t="n">
        <v>24.9463061634578</v>
      </c>
      <c r="J19" s="11" t="n">
        <f aca="false">IF(H19=0,0,ROUNDUP(MAX(Parametros!$E$16,I19/Parametros!$E$17)/10,0)*10)</f>
        <v>60</v>
      </c>
      <c r="K19" s="11" t="n">
        <f aca="false">J19*Parametros!$E$17</f>
        <v>54</v>
      </c>
      <c r="L19" s="11" t="n">
        <f aca="false">IF(H19=0,0,I19/K19)</f>
        <v>0.461968632656626</v>
      </c>
    </row>
    <row r="20" customFormat="false" ht="21" hidden="false" customHeight="true" outlineLevel="0" collapsed="false">
      <c r="A20" s="1" t="s">
        <v>201</v>
      </c>
      <c r="B20" s="11" t="n">
        <f aca="false">Postes!E20</f>
        <v>13</v>
      </c>
      <c r="C20" s="11" t="n">
        <f aca="false">Postes!F20</f>
        <v>1.9</v>
      </c>
      <c r="D20" s="11" t="n">
        <v>26.5591576166636</v>
      </c>
      <c r="E20" s="11" t="n">
        <f aca="false">Parametros!$E$14*Parametros!$E$12*10*Parametros!$E$13*(B20-C20-Parametros!$E$15)/1000</f>
        <v>85.41</v>
      </c>
      <c r="F20" s="11" t="n">
        <f aca="false">D20/E20</f>
        <v>0.310960749521878</v>
      </c>
      <c r="G20" s="11" t="n">
        <v>0.777076237583922</v>
      </c>
      <c r="H20" s="11" t="n">
        <f aca="false">Postes!J20</f>
        <v>2</v>
      </c>
      <c r="I20" s="11" t="n">
        <v>25.9196684482614</v>
      </c>
      <c r="J20" s="11" t="n">
        <f aca="false">IF(H20=0,0,ROUNDUP(MAX(Parametros!$E$16,I20/Parametros!$E$17)/10,0)*10)</f>
        <v>60</v>
      </c>
      <c r="K20" s="11" t="n">
        <f aca="false">J20*Parametros!$E$17</f>
        <v>54</v>
      </c>
      <c r="L20" s="11" t="n">
        <f aca="false">IF(H20=0,0,I20/K20)</f>
        <v>0.479993860152989</v>
      </c>
    </row>
    <row r="21" customFormat="false" ht="21" hidden="false" customHeight="true" outlineLevel="0" collapsed="false">
      <c r="A21" s="1" t="s">
        <v>202</v>
      </c>
      <c r="B21" s="11" t="n">
        <f aca="false">Postes!E21</f>
        <v>15</v>
      </c>
      <c r="C21" s="11" t="n">
        <f aca="false">Postes!F21</f>
        <v>2.1</v>
      </c>
      <c r="D21" s="11" t="n">
        <v>41.9136951190896</v>
      </c>
      <c r="E21" s="11" t="n">
        <f aca="false">Parametros!$E$14*Parametros!$E$12*10*Parametros!$E$13*(B21-C21-Parametros!$E$15)/1000</f>
        <v>99.45</v>
      </c>
      <c r="F21" s="11" t="n">
        <f aca="false">D21/E21</f>
        <v>0.421454953434787</v>
      </c>
      <c r="G21" s="11" t="n">
        <v>0.927534220111564</v>
      </c>
      <c r="H21" s="11" t="n">
        <f aca="false">Postes!J21</f>
        <v>0</v>
      </c>
      <c r="I21" s="11" t="n">
        <v>0</v>
      </c>
      <c r="J21" s="11" t="n">
        <f aca="false">IF(H21=0,0,ROUNDUP(MAX(Parametros!$E$16,I21/Parametros!$E$17)/10,0)*10)</f>
        <v>0</v>
      </c>
      <c r="K21" s="11" t="n">
        <f aca="false">J21*Parametros!$E$17</f>
        <v>0</v>
      </c>
      <c r="L21" s="11" t="n">
        <f aca="false">IF(H21=0,0,I21/K21)</f>
        <v>0</v>
      </c>
    </row>
    <row r="22" customFormat="false" ht="21" hidden="false" customHeight="true" outlineLevel="0" collapsed="false">
      <c r="A22" s="1" t="s">
        <v>203</v>
      </c>
      <c r="B22" s="11" t="n">
        <f aca="false">Postes!E22</f>
        <v>15</v>
      </c>
      <c r="C22" s="11" t="n">
        <f aca="false">Postes!F22</f>
        <v>2.1</v>
      </c>
      <c r="D22" s="11" t="n">
        <v>41.7932314440799</v>
      </c>
      <c r="E22" s="11" t="n">
        <f aca="false">Parametros!$E$14*Parametros!$E$12*10*Parametros!$E$13*(B22-C22-Parametros!$E$15)/1000</f>
        <v>99.45</v>
      </c>
      <c r="F22" s="11" t="n">
        <f aca="false">D22/E22</f>
        <v>0.420243654540773</v>
      </c>
      <c r="G22" s="11" t="n">
        <v>1.09925837978026</v>
      </c>
      <c r="H22" s="11" t="n">
        <f aca="false">Postes!J22</f>
        <v>0</v>
      </c>
      <c r="I22" s="11" t="n">
        <v>0</v>
      </c>
      <c r="J22" s="11" t="n">
        <f aca="false">IF(H22=0,0,ROUNDUP(MAX(Parametros!$E$16,I22/Parametros!$E$17)/10,0)*10)</f>
        <v>0</v>
      </c>
      <c r="K22" s="11" t="n">
        <f aca="false">J22*Parametros!$E$17</f>
        <v>0</v>
      </c>
      <c r="L22" s="11" t="n">
        <f aca="false">IF(H22=0,0,I22/K22)</f>
        <v>0</v>
      </c>
    </row>
    <row r="23" customFormat="false" ht="21" hidden="false" customHeight="true" outlineLevel="0" collapsed="false">
      <c r="A23" s="1" t="s">
        <v>204</v>
      </c>
      <c r="B23" s="11" t="n">
        <f aca="false">Postes!E23</f>
        <v>13</v>
      </c>
      <c r="C23" s="11" t="n">
        <f aca="false">Postes!F23</f>
        <v>1.9</v>
      </c>
      <c r="D23" s="11" t="n">
        <v>29.4972143475179</v>
      </c>
      <c r="E23" s="11" t="n">
        <f aca="false">Parametros!$E$14*Parametros!$E$12*10*Parametros!$E$13*(B23-C23-Parametros!$E$15)/1000</f>
        <v>85.41</v>
      </c>
      <c r="F23" s="11" t="n">
        <f aca="false">D23/E23</f>
        <v>0.345360196083806</v>
      </c>
      <c r="G23" s="11" t="n">
        <v>0.923731170994123</v>
      </c>
      <c r="H23" s="11" t="n">
        <f aca="false">Postes!J23</f>
        <v>2</v>
      </c>
      <c r="I23" s="11" t="n">
        <v>26.068853093529</v>
      </c>
      <c r="J23" s="11" t="n">
        <f aca="false">IF(H23=0,0,ROUNDUP(MAX(Parametros!$E$16,I23/Parametros!$E$17)/10,0)*10)</f>
        <v>60</v>
      </c>
      <c r="K23" s="11" t="n">
        <f aca="false">J23*Parametros!$E$17</f>
        <v>54</v>
      </c>
      <c r="L23" s="11" t="n">
        <f aca="false">IF(H23=0,0,I23/K23)</f>
        <v>0.482756538769056</v>
      </c>
    </row>
    <row r="24" customFormat="false" ht="21" hidden="false" customHeight="true" outlineLevel="0" collapsed="false">
      <c r="A24" s="1" t="s">
        <v>205</v>
      </c>
      <c r="B24" s="11" t="n">
        <f aca="false">Postes!E24</f>
        <v>13</v>
      </c>
      <c r="C24" s="11" t="n">
        <f aca="false">Postes!F24</f>
        <v>1.9</v>
      </c>
      <c r="D24" s="11" t="n">
        <v>28.657290504305</v>
      </c>
      <c r="E24" s="11" t="n">
        <f aca="false">Parametros!$E$14*Parametros!$E$12*10*Parametros!$E$13*(B24-C24-Parametros!$E$15)/1000</f>
        <v>85.41</v>
      </c>
      <c r="F24" s="11" t="n">
        <f aca="false">D24/E24</f>
        <v>0.33552617380055</v>
      </c>
      <c r="G24" s="11" t="n">
        <v>0.0980255947398985</v>
      </c>
      <c r="H24" s="11" t="n">
        <f aca="false">Postes!J24</f>
        <v>0</v>
      </c>
      <c r="I24" s="11" t="n">
        <v>0</v>
      </c>
      <c r="J24" s="11" t="n">
        <f aca="false">IF(H24=0,0,ROUNDUP(MAX(Parametros!$E$16,I24/Parametros!$E$17)/10,0)*10)</f>
        <v>0</v>
      </c>
      <c r="K24" s="11" t="n">
        <f aca="false">J24*Parametros!$E$17</f>
        <v>0</v>
      </c>
      <c r="L24" s="11" t="n">
        <f aca="false">IF(H24=0,0,I24/K24)</f>
        <v>0</v>
      </c>
    </row>
    <row r="25" customFormat="false" ht="21" hidden="false" customHeight="true" outlineLevel="0" collapsed="false">
      <c r="A25" s="1" t="s">
        <v>206</v>
      </c>
      <c r="B25" s="11" t="n">
        <f aca="false">Postes!E25</f>
        <v>13</v>
      </c>
      <c r="C25" s="11" t="n">
        <f aca="false">Postes!F25</f>
        <v>1.9</v>
      </c>
      <c r="D25" s="11" t="n">
        <v>23.5436477684058</v>
      </c>
      <c r="E25" s="11" t="n">
        <f aca="false">Parametros!$E$14*Parametros!$E$12*10*Parametros!$E$13*(B25-C25-Parametros!$E$15)/1000</f>
        <v>85.41</v>
      </c>
      <c r="F25" s="11" t="n">
        <f aca="false">D25/E25</f>
        <v>0.275654463978525</v>
      </c>
      <c r="G25" s="11" t="n">
        <v>-1.09965130845847</v>
      </c>
      <c r="H25" s="11" t="n">
        <f aca="false">Postes!J25</f>
        <v>2</v>
      </c>
      <c r="I25" s="11" t="n">
        <v>25.0191453516167</v>
      </c>
      <c r="J25" s="11" t="n">
        <f aca="false">IF(H25=0,0,ROUNDUP(MAX(Parametros!$E$16,I25/Parametros!$E$17)/10,0)*10)</f>
        <v>60</v>
      </c>
      <c r="K25" s="11" t="n">
        <f aca="false">J25*Parametros!$E$17</f>
        <v>54</v>
      </c>
      <c r="L25" s="11" t="n">
        <f aca="false">IF(H25=0,0,I25/K25)</f>
        <v>0.463317506511421</v>
      </c>
    </row>
    <row r="26" customFormat="false" ht="21" hidden="false" customHeight="true" outlineLevel="0" collapsed="false">
      <c r="A26" s="1" t="s">
        <v>207</v>
      </c>
      <c r="B26" s="11" t="n">
        <f aca="false">Postes!E26</f>
        <v>13</v>
      </c>
      <c r="C26" s="11" t="n">
        <f aca="false">Postes!F26</f>
        <v>1.9</v>
      </c>
      <c r="D26" s="11" t="n">
        <v>21.0154988177961</v>
      </c>
      <c r="E26" s="11" t="n">
        <f aca="false">Parametros!$E$14*Parametros!$E$12*10*Parametros!$E$13*(B26-C26-Parametros!$E$15)/1000</f>
        <v>85.41</v>
      </c>
      <c r="F26" s="11" t="n">
        <f aca="false">D26/E26</f>
        <v>0.246054312349796</v>
      </c>
      <c r="G26" s="11" t="n">
        <v>0.683167312243913</v>
      </c>
      <c r="H26" s="11" t="n">
        <f aca="false">Postes!J26</f>
        <v>2</v>
      </c>
      <c r="I26" s="11" t="n">
        <v>25.1155054455524</v>
      </c>
      <c r="J26" s="11" t="n">
        <f aca="false">IF(H26=0,0,ROUNDUP(MAX(Parametros!$E$16,I26/Parametros!$E$17)/10,0)*10)</f>
        <v>60</v>
      </c>
      <c r="K26" s="11" t="n">
        <f aca="false">J26*Parametros!$E$17</f>
        <v>54</v>
      </c>
      <c r="L26" s="11" t="n">
        <f aca="false">IF(H26=0,0,I26/K26)</f>
        <v>0.465101952695415</v>
      </c>
    </row>
    <row r="27" customFormat="false" ht="21" hidden="false" customHeight="true" outlineLevel="0" collapsed="false">
      <c r="A27" s="1" t="s">
        <v>208</v>
      </c>
      <c r="B27" s="11" t="n">
        <f aca="false">Postes!E27</f>
        <v>13</v>
      </c>
      <c r="C27" s="11" t="n">
        <f aca="false">Postes!F27</f>
        <v>1.9</v>
      </c>
      <c r="D27" s="11" t="n">
        <v>25.9522359937449</v>
      </c>
      <c r="E27" s="11" t="n">
        <f aca="false">Parametros!$E$14*Parametros!$E$12*10*Parametros!$E$13*(B27-C27-Parametros!$E$15)/1000</f>
        <v>85.41</v>
      </c>
      <c r="F27" s="11" t="n">
        <f aca="false">D27/E27</f>
        <v>0.30385477103085</v>
      </c>
      <c r="G27" s="11" t="n">
        <v>-0.580800572697847</v>
      </c>
      <c r="H27" s="11" t="n">
        <f aca="false">Postes!J27</f>
        <v>2</v>
      </c>
      <c r="I27" s="11" t="n">
        <v>25.2369099541117</v>
      </c>
      <c r="J27" s="11" t="n">
        <f aca="false">IF(H27=0,0,ROUNDUP(MAX(Parametros!$E$16,I27/Parametros!$E$17)/10,0)*10)</f>
        <v>60</v>
      </c>
      <c r="K27" s="11" t="n">
        <f aca="false">J27*Parametros!$E$17</f>
        <v>54</v>
      </c>
      <c r="L27" s="11" t="n">
        <f aca="false">IF(H27=0,0,I27/K27)</f>
        <v>0.467350184335402</v>
      </c>
    </row>
    <row r="28" customFormat="false" ht="21" hidden="false" customHeight="true" outlineLevel="0" collapsed="false">
      <c r="A28" s="1" t="s">
        <v>209</v>
      </c>
      <c r="B28" s="11" t="n">
        <f aca="false">Postes!E28</f>
        <v>13</v>
      </c>
      <c r="C28" s="11" t="n">
        <f aca="false">Postes!F28</f>
        <v>1.9</v>
      </c>
      <c r="D28" s="11" t="n">
        <v>30.8996347298064</v>
      </c>
      <c r="E28" s="11" t="n">
        <f aca="false">Parametros!$E$14*Parametros!$E$12*10*Parametros!$E$13*(B28-C28-Parametros!$E$15)/1000</f>
        <v>85.41</v>
      </c>
      <c r="F28" s="11" t="n">
        <f aca="false">D28/E28</f>
        <v>0.361780057719311</v>
      </c>
      <c r="G28" s="11" t="n">
        <v>0.894031934159178</v>
      </c>
      <c r="H28" s="11" t="n">
        <f aca="false">Postes!J28</f>
        <v>0</v>
      </c>
      <c r="I28" s="11" t="n">
        <v>0</v>
      </c>
      <c r="J28" s="11" t="n">
        <f aca="false">IF(H28=0,0,ROUNDUP(MAX(Parametros!$E$16,I28/Parametros!$E$17)/10,0)*10)</f>
        <v>0</v>
      </c>
      <c r="K28" s="11" t="n">
        <f aca="false">J28*Parametros!$E$17</f>
        <v>0</v>
      </c>
      <c r="L28" s="11" t="n">
        <f aca="false">IF(H28=0,0,I28/K28)</f>
        <v>0</v>
      </c>
    </row>
    <row r="29" customFormat="false" ht="21" hidden="false" customHeight="true" outlineLevel="0" collapsed="false">
      <c r="A29" s="1" t="s">
        <v>210</v>
      </c>
      <c r="B29" s="11" t="n">
        <f aca="false">Postes!E29</f>
        <v>15</v>
      </c>
      <c r="C29" s="11" t="n">
        <f aca="false">Postes!F29</f>
        <v>2.1</v>
      </c>
      <c r="D29" s="11" t="n">
        <v>38.6763355989837</v>
      </c>
      <c r="E29" s="11" t="n">
        <f aca="false">Parametros!$E$14*Parametros!$E$12*10*Parametros!$E$13*(B29-C29-Parametros!$E$15)/1000</f>
        <v>99.45</v>
      </c>
      <c r="F29" s="11" t="n">
        <f aca="false">D29/E29</f>
        <v>0.388902318742923</v>
      </c>
      <c r="G29" s="11" t="n">
        <v>0.359891453239788</v>
      </c>
      <c r="H29" s="11" t="n">
        <f aca="false">Postes!J29</f>
        <v>0</v>
      </c>
      <c r="I29" s="11" t="n">
        <v>0</v>
      </c>
      <c r="J29" s="11" t="n">
        <f aca="false">IF(H29=0,0,ROUNDUP(MAX(Parametros!$E$16,I29/Parametros!$E$17)/10,0)*10)</f>
        <v>0</v>
      </c>
      <c r="K29" s="11" t="n">
        <f aca="false">J29*Parametros!$E$17</f>
        <v>0</v>
      </c>
      <c r="L29" s="11" t="n">
        <f aca="false">IF(H29=0,0,I29/K29)</f>
        <v>0</v>
      </c>
    </row>
    <row r="30" customFormat="false" ht="21" hidden="false" customHeight="true" outlineLevel="0" collapsed="false">
      <c r="A30" s="1" t="s">
        <v>211</v>
      </c>
      <c r="B30" s="11" t="n">
        <f aca="false">Postes!E30</f>
        <v>17</v>
      </c>
      <c r="C30" s="11" t="n">
        <f aca="false">Postes!F30</f>
        <v>2.1</v>
      </c>
      <c r="D30" s="11" t="n">
        <v>68.7653784835524</v>
      </c>
      <c r="E30" s="11" t="n">
        <f aca="false">Parametros!$E$14*Parametros!$E$12*10*Parametros!$E$13*(B30-C30-Parametros!$E$15)/1000</f>
        <v>115.05</v>
      </c>
      <c r="F30" s="11" t="n">
        <f aca="false">D30/E30</f>
        <v>0.597699943359864</v>
      </c>
      <c r="G30" s="11" t="n">
        <v>1.33922499657345</v>
      </c>
      <c r="H30" s="11" t="n">
        <f aca="false">Postes!J30</f>
        <v>0</v>
      </c>
      <c r="I30" s="11" t="n">
        <v>0</v>
      </c>
      <c r="J30" s="11" t="n">
        <f aca="false">IF(H30=0,0,ROUNDUP(MAX(Parametros!$E$16,I30/Parametros!$E$17)/10,0)*10)</f>
        <v>0</v>
      </c>
      <c r="K30" s="11" t="n">
        <f aca="false">J30*Parametros!$E$17</f>
        <v>0</v>
      </c>
      <c r="L30" s="11" t="n">
        <f aca="false">IF(H30=0,0,I30/K30)</f>
        <v>0</v>
      </c>
    </row>
    <row r="31" customFormat="false" ht="21" hidden="false" customHeight="true" outlineLevel="0" collapsed="false">
      <c r="A31" s="1" t="s">
        <v>212</v>
      </c>
      <c r="B31" s="11" t="n">
        <f aca="false">Postes!E31</f>
        <v>17</v>
      </c>
      <c r="C31" s="11" t="n">
        <f aca="false">Postes!F31</f>
        <v>2.1</v>
      </c>
      <c r="D31" s="11" t="n">
        <v>51.9317846387835</v>
      </c>
      <c r="E31" s="11" t="n">
        <f aca="false">Parametros!$E$14*Parametros!$E$12*10*Parametros!$E$13*(B31-C31-Parametros!$E$15)/1000</f>
        <v>115.05</v>
      </c>
      <c r="F31" s="11" t="n">
        <f aca="false">D31/E31</f>
        <v>0.451384481866871</v>
      </c>
      <c r="G31" s="11" t="n">
        <v>0.0380727145243303</v>
      </c>
      <c r="H31" s="11" t="n">
        <f aca="false">Postes!J31</f>
        <v>0</v>
      </c>
      <c r="I31" s="11" t="n">
        <v>0</v>
      </c>
      <c r="J31" s="11" t="n">
        <f aca="false">IF(H31=0,0,ROUNDUP(MAX(Parametros!$E$16,I31/Parametros!$E$17)/10,0)*10)</f>
        <v>0</v>
      </c>
      <c r="K31" s="11" t="n">
        <f aca="false">J31*Parametros!$E$17</f>
        <v>0</v>
      </c>
      <c r="L31" s="11" t="n">
        <f aca="false">IF(H31=0,0,I31/K31)</f>
        <v>0</v>
      </c>
    </row>
    <row r="32" customFormat="false" ht="21" hidden="false" customHeight="true" outlineLevel="0" collapsed="false">
      <c r="A32" s="1" t="s">
        <v>213</v>
      </c>
      <c r="B32" s="11" t="n">
        <f aca="false">Postes!E32</f>
        <v>15</v>
      </c>
      <c r="C32" s="11" t="n">
        <f aca="false">Postes!F32</f>
        <v>2.1</v>
      </c>
      <c r="D32" s="11" t="n">
        <v>42.197295897621</v>
      </c>
      <c r="E32" s="11" t="n">
        <f aca="false">Parametros!$E$14*Parametros!$E$12*10*Parametros!$E$13*(B32-C32-Parametros!$E$15)/1000</f>
        <v>99.45</v>
      </c>
      <c r="F32" s="11" t="n">
        <f aca="false">D32/E32</f>
        <v>0.424306645526606</v>
      </c>
      <c r="G32" s="11" t="n">
        <v>-0.36664205424469</v>
      </c>
      <c r="H32" s="11" t="n">
        <f aca="false">Postes!J32</f>
        <v>2</v>
      </c>
      <c r="I32" s="11" t="n">
        <v>26.1872935775616</v>
      </c>
      <c r="J32" s="11" t="n">
        <f aca="false">IF(H32=0,0,ROUNDUP(MAX(Parametros!$E$16,I32/Parametros!$E$17)/10,0)*10)</f>
        <v>60</v>
      </c>
      <c r="K32" s="11" t="n">
        <f aca="false">J32*Parametros!$E$17</f>
        <v>54</v>
      </c>
      <c r="L32" s="11" t="n">
        <f aca="false">IF(H32=0,0,I32/K32)</f>
        <v>0.484949881065955</v>
      </c>
    </row>
    <row r="33" customFormat="false" ht="21" hidden="false" customHeight="true" outlineLevel="0" collapsed="false">
      <c r="A33" s="1" t="s">
        <v>214</v>
      </c>
      <c r="B33" s="11" t="n">
        <f aca="false">Postes!E33</f>
        <v>15</v>
      </c>
      <c r="C33" s="11" t="n">
        <f aca="false">Postes!F33</f>
        <v>2.1</v>
      </c>
      <c r="D33" s="11" t="n">
        <v>42.2727562862173</v>
      </c>
      <c r="E33" s="11" t="n">
        <f aca="false">Parametros!$E$14*Parametros!$E$12*10*Parametros!$E$13*(B33-C33-Parametros!$E$15)/1000</f>
        <v>99.45</v>
      </c>
      <c r="F33" s="11" t="n">
        <f aca="false">D33/E33</f>
        <v>0.425065422686952</v>
      </c>
      <c r="G33" s="11" t="n">
        <v>0.572422082311508</v>
      </c>
      <c r="H33" s="11" t="n">
        <f aca="false">Postes!J33</f>
        <v>0</v>
      </c>
      <c r="I33" s="11" t="n">
        <v>0</v>
      </c>
      <c r="J33" s="11" t="n">
        <f aca="false">IF(H33=0,0,ROUNDUP(MAX(Parametros!$E$16,I33/Parametros!$E$17)/10,0)*10)</f>
        <v>0</v>
      </c>
      <c r="K33" s="11" t="n">
        <f aca="false">J33*Parametros!$E$17</f>
        <v>0</v>
      </c>
      <c r="L33" s="11" t="n">
        <f aca="false">IF(H33=0,0,I33/K33)</f>
        <v>0</v>
      </c>
    </row>
    <row r="34" customFormat="false" ht="21" hidden="false" customHeight="true" outlineLevel="0" collapsed="false">
      <c r="A34" s="1" t="s">
        <v>215</v>
      </c>
      <c r="B34" s="11" t="n">
        <f aca="false">Postes!E34</f>
        <v>15</v>
      </c>
      <c r="C34" s="11" t="n">
        <f aca="false">Postes!F34</f>
        <v>2.1</v>
      </c>
      <c r="D34" s="11" t="n">
        <v>39.6290165247834</v>
      </c>
      <c r="E34" s="11" t="n">
        <f aca="false">Parametros!$E$14*Parametros!$E$12*10*Parametros!$E$13*(B34-C34-Parametros!$E$15)/1000</f>
        <v>99.45</v>
      </c>
      <c r="F34" s="11" t="n">
        <f aca="false">D34/E34</f>
        <v>0.398481815231608</v>
      </c>
      <c r="G34" s="11" t="n">
        <v>0.948576627944557</v>
      </c>
      <c r="H34" s="11" t="n">
        <f aca="false">Postes!J34</f>
        <v>2</v>
      </c>
      <c r="I34" s="11" t="n">
        <v>26.1116962209648</v>
      </c>
      <c r="J34" s="11" t="n">
        <f aca="false">IF(H34=0,0,ROUNDUP(MAX(Parametros!$E$16,I34/Parametros!$E$17)/10,0)*10)</f>
        <v>60</v>
      </c>
      <c r="K34" s="11" t="n">
        <f aca="false">J34*Parametros!$E$17</f>
        <v>54</v>
      </c>
      <c r="L34" s="11" t="n">
        <f aca="false">IF(H34=0,0,I34/K34)</f>
        <v>0.483549930017867</v>
      </c>
    </row>
    <row r="35" customFormat="false" ht="21" hidden="false" customHeight="true" outlineLevel="0" collapsed="false">
      <c r="A35" s="1" t="s">
        <v>216</v>
      </c>
      <c r="B35" s="11" t="n">
        <f aca="false">Postes!E35</f>
        <v>13</v>
      </c>
      <c r="C35" s="11" t="n">
        <f aca="false">Postes!F35</f>
        <v>1.9</v>
      </c>
      <c r="D35" s="11" t="n">
        <v>23.9420030853008</v>
      </c>
      <c r="E35" s="11" t="n">
        <f aca="false">Parametros!$E$14*Parametros!$E$12*10*Parametros!$E$13*(B35-C35-Parametros!$E$15)/1000</f>
        <v>85.41</v>
      </c>
      <c r="F35" s="11" t="n">
        <f aca="false">D35/E35</f>
        <v>0.280318500003522</v>
      </c>
      <c r="G35" s="11" t="n">
        <v>-1.95136611256315</v>
      </c>
      <c r="H35" s="11" t="n">
        <f aca="false">Postes!J35</f>
        <v>2</v>
      </c>
      <c r="I35" s="11" t="n">
        <v>25.2225641893416</v>
      </c>
      <c r="J35" s="11" t="n">
        <f aca="false">IF(H35=0,0,ROUNDUP(MAX(Parametros!$E$16,I35/Parametros!$E$17)/10,0)*10)</f>
        <v>60</v>
      </c>
      <c r="K35" s="11" t="n">
        <f aca="false">J35*Parametros!$E$17</f>
        <v>54</v>
      </c>
      <c r="L35" s="11" t="n">
        <f aca="false">IF(H35=0,0,I35/K35)</f>
        <v>0.467084522024845</v>
      </c>
    </row>
    <row r="36" customFormat="false" ht="21" hidden="false" customHeight="true" outlineLevel="0" collapsed="false">
      <c r="A36" s="1" t="s">
        <v>217</v>
      </c>
      <c r="B36" s="11" t="n">
        <f aca="false">Postes!E36</f>
        <v>15</v>
      </c>
      <c r="C36" s="11" t="n">
        <f aca="false">Postes!F36</f>
        <v>2.1</v>
      </c>
      <c r="D36" s="11" t="n">
        <v>34.2278354364859</v>
      </c>
      <c r="E36" s="11" t="n">
        <f aca="false">Parametros!$E$14*Parametros!$E$12*10*Parametros!$E$13*(B36-C36-Parametros!$E$15)/1000</f>
        <v>99.45</v>
      </c>
      <c r="F36" s="11" t="n">
        <f aca="false">D36/E36</f>
        <v>0.344171296495584</v>
      </c>
      <c r="G36" s="11" t="n">
        <v>0.574722934295624</v>
      </c>
      <c r="H36" s="11" t="n">
        <f aca="false">Postes!J36</f>
        <v>2</v>
      </c>
      <c r="I36" s="11" t="n">
        <v>26.7058351761949</v>
      </c>
      <c r="J36" s="11" t="n">
        <f aca="false">IF(H36=0,0,ROUNDUP(MAX(Parametros!$E$16,I36/Parametros!$E$17)/10,0)*10)</f>
        <v>60</v>
      </c>
      <c r="K36" s="11" t="n">
        <f aca="false">J36*Parametros!$E$17</f>
        <v>54</v>
      </c>
      <c r="L36" s="11" t="n">
        <f aca="false">IF(H36=0,0,I36/K36)</f>
        <v>0.494552503262868</v>
      </c>
    </row>
    <row r="37" customFormat="false" ht="21" hidden="false" customHeight="true" outlineLevel="0" collapsed="false">
      <c r="A37" s="1" t="s">
        <v>218</v>
      </c>
      <c r="B37" s="11" t="n">
        <f aca="false">Postes!E37</f>
        <v>17</v>
      </c>
      <c r="C37" s="11" t="n">
        <f aca="false">Postes!F37</f>
        <v>2.1</v>
      </c>
      <c r="D37" s="11" t="n">
        <v>55.2848075279536</v>
      </c>
      <c r="E37" s="11" t="n">
        <f aca="false">Parametros!$E$14*Parametros!$E$12*10*Parametros!$E$13*(B37-C37-Parametros!$E$15)/1000</f>
        <v>115.05</v>
      </c>
      <c r="F37" s="11" t="n">
        <f aca="false">D37/E37</f>
        <v>0.480528531316415</v>
      </c>
      <c r="G37" s="11" t="n">
        <v>1.07939323789526</v>
      </c>
      <c r="H37" s="11" t="n">
        <f aca="false">Postes!J37</f>
        <v>0</v>
      </c>
      <c r="I37" s="11" t="n">
        <v>0</v>
      </c>
      <c r="J37" s="11" t="n">
        <f aca="false">IF(H37=0,0,ROUNDUP(MAX(Parametros!$E$16,I37/Parametros!$E$17)/10,0)*10)</f>
        <v>0</v>
      </c>
      <c r="K37" s="11" t="n">
        <f aca="false">J37*Parametros!$E$17</f>
        <v>0</v>
      </c>
      <c r="L37" s="11" t="n">
        <f aca="false">IF(H37=0,0,I37/K37)</f>
        <v>0</v>
      </c>
    </row>
    <row r="38" customFormat="false" ht="21" hidden="false" customHeight="true" outlineLevel="0" collapsed="false">
      <c r="A38" s="1" t="s">
        <v>219</v>
      </c>
      <c r="B38" s="11" t="n">
        <f aca="false">Postes!E38</f>
        <v>15</v>
      </c>
      <c r="C38" s="11" t="n">
        <f aca="false">Postes!F38</f>
        <v>2.1</v>
      </c>
      <c r="D38" s="11" t="n">
        <v>43.6483873381882</v>
      </c>
      <c r="E38" s="11" t="n">
        <f aca="false">Parametros!$E$14*Parametros!$E$12*10*Parametros!$E$13*(B38-C38-Parametros!$E$15)/1000</f>
        <v>99.45</v>
      </c>
      <c r="F38" s="11" t="n">
        <f aca="false">D38/E38</f>
        <v>0.438897811344276</v>
      </c>
      <c r="G38" s="11" t="n">
        <v>0.724359963765083</v>
      </c>
      <c r="H38" s="11" t="n">
        <f aca="false">Postes!J38</f>
        <v>2</v>
      </c>
      <c r="I38" s="11" t="n">
        <v>26.7517912912059</v>
      </c>
      <c r="J38" s="11" t="n">
        <f aca="false">IF(H38=0,0,ROUNDUP(MAX(Parametros!$E$16,I38/Parametros!$E$17)/10,0)*10)</f>
        <v>60</v>
      </c>
      <c r="K38" s="11" t="n">
        <f aca="false">J38*Parametros!$E$17</f>
        <v>54</v>
      </c>
      <c r="L38" s="11" t="n">
        <f aca="false">IF(H38=0,0,I38/K38)</f>
        <v>0.495403542429739</v>
      </c>
    </row>
    <row r="39" customFormat="false" ht="21" hidden="false" customHeight="true" outlineLevel="0" collapsed="false">
      <c r="A39" s="1" t="s">
        <v>220</v>
      </c>
      <c r="B39" s="11" t="n">
        <f aca="false">Postes!E39</f>
        <v>15</v>
      </c>
      <c r="C39" s="11" t="n">
        <f aca="false">Postes!F39</f>
        <v>2.1</v>
      </c>
      <c r="D39" s="11" t="n">
        <v>42.3415815414009</v>
      </c>
      <c r="E39" s="11" t="n">
        <f aca="false">Parametros!$E$14*Parametros!$E$12*10*Parametros!$E$13*(B39-C39-Parametros!$E$15)/1000</f>
        <v>99.45</v>
      </c>
      <c r="F39" s="11" t="n">
        <f aca="false">D39/E39</f>
        <v>0.425757481562603</v>
      </c>
      <c r="G39" s="11" t="n">
        <v>0.188739067638654</v>
      </c>
      <c r="H39" s="11" t="n">
        <f aca="false">Postes!J39</f>
        <v>0</v>
      </c>
      <c r="I39" s="11" t="n">
        <v>0</v>
      </c>
      <c r="J39" s="11" t="n">
        <f aca="false">IF(H39=0,0,ROUNDUP(MAX(Parametros!$E$16,I39/Parametros!$E$17)/10,0)*10)</f>
        <v>0</v>
      </c>
      <c r="K39" s="11" t="n">
        <f aca="false">J39*Parametros!$E$17</f>
        <v>0</v>
      </c>
      <c r="L39" s="11" t="n">
        <f aca="false">IF(H39=0,0,I39/K39)</f>
        <v>0</v>
      </c>
    </row>
    <row r="40" customFormat="false" ht="21" hidden="false" customHeight="true" outlineLevel="0" collapsed="false">
      <c r="A40" s="1" t="s">
        <v>221</v>
      </c>
      <c r="B40" s="11" t="n">
        <f aca="false">Postes!E40</f>
        <v>15</v>
      </c>
      <c r="C40" s="11" t="n">
        <f aca="false">Postes!F40</f>
        <v>2.1</v>
      </c>
      <c r="D40" s="11" t="n">
        <v>42.3282424833532</v>
      </c>
      <c r="E40" s="11" t="n">
        <f aca="false">Parametros!$E$14*Parametros!$E$12*10*Parametros!$E$13*(B40-C40-Parametros!$E$15)/1000</f>
        <v>99.45</v>
      </c>
      <c r="F40" s="11" t="n">
        <f aca="false">D40/E40</f>
        <v>0.425623353276553</v>
      </c>
      <c r="G40" s="11" t="n">
        <v>1.17119200033039</v>
      </c>
      <c r="H40" s="11" t="n">
        <f aca="false">Postes!J40</f>
        <v>0</v>
      </c>
      <c r="I40" s="11" t="n">
        <v>0</v>
      </c>
      <c r="J40" s="11" t="n">
        <f aca="false">IF(H40=0,0,ROUNDUP(MAX(Parametros!$E$16,I40/Parametros!$E$17)/10,0)*10)</f>
        <v>0</v>
      </c>
      <c r="K40" s="11" t="n">
        <f aca="false">J40*Parametros!$E$17</f>
        <v>0</v>
      </c>
      <c r="L40" s="11" t="n">
        <f aca="false">IF(H40=0,0,I40/K40)</f>
        <v>0</v>
      </c>
    </row>
    <row r="41" customFormat="false" ht="21" hidden="false" customHeight="true" outlineLevel="0" collapsed="false">
      <c r="A41" s="1" t="s">
        <v>222</v>
      </c>
      <c r="B41" s="11" t="n">
        <f aca="false">Postes!E41</f>
        <v>13</v>
      </c>
      <c r="C41" s="11" t="n">
        <f aca="false">Postes!F41</f>
        <v>1.9</v>
      </c>
      <c r="D41" s="11" t="n">
        <v>26.8463435721643</v>
      </c>
      <c r="E41" s="11" t="n">
        <f aca="false">Parametros!$E$14*Parametros!$E$12*10*Parametros!$E$13*(B41-C41-Parametros!$E$15)/1000</f>
        <v>85.41</v>
      </c>
      <c r="F41" s="11" t="n">
        <f aca="false">D41/E41</f>
        <v>0.314323188996186</v>
      </c>
      <c r="G41" s="11" t="n">
        <v>-4.45258869501042</v>
      </c>
      <c r="H41" s="11" t="n">
        <f aca="false">Postes!J41</f>
        <v>2</v>
      </c>
      <c r="I41" s="11" t="n">
        <v>26.2130052760594</v>
      </c>
      <c r="J41" s="11" t="n">
        <f aca="false">IF(H41=0,0,ROUNDUP(MAX(Parametros!$E$16,I41/Parametros!$E$17)/10,0)*10)</f>
        <v>60</v>
      </c>
      <c r="K41" s="11" t="n">
        <f aca="false">J41*Parametros!$E$17</f>
        <v>54</v>
      </c>
      <c r="L41" s="11" t="n">
        <f aca="false">IF(H41=0,0,I41/K41)</f>
        <v>0.485426023630729</v>
      </c>
    </row>
    <row r="42" customFormat="false" ht="21" hidden="false" customHeight="true" outlineLevel="0" collapsed="false">
      <c r="A42" s="1" t="s">
        <v>223</v>
      </c>
      <c r="B42" s="11" t="n">
        <f aca="false">Postes!E42</f>
        <v>13</v>
      </c>
      <c r="C42" s="11" t="n">
        <f aca="false">Postes!F42</f>
        <v>1.9</v>
      </c>
      <c r="D42" s="11" t="n">
        <v>19.3560654051932</v>
      </c>
      <c r="E42" s="11" t="n">
        <f aca="false">Parametros!$E$14*Parametros!$E$12*10*Parametros!$E$13*(B42-C42-Parametros!$E$15)/1000</f>
        <v>85.41</v>
      </c>
      <c r="F42" s="11" t="n">
        <f aca="false">D42/E42</f>
        <v>0.226625282814579</v>
      </c>
      <c r="G42" s="11" t="n">
        <v>-4.73600167128241</v>
      </c>
      <c r="H42" s="11" t="n">
        <f aca="false">Postes!J42</f>
        <v>2</v>
      </c>
      <c r="I42" s="11" t="n">
        <v>24.7897447559329</v>
      </c>
      <c r="J42" s="11" t="n">
        <f aca="false">IF(H42=0,0,ROUNDUP(MAX(Parametros!$E$16,I42/Parametros!$E$17)/10,0)*10)</f>
        <v>60</v>
      </c>
      <c r="K42" s="11" t="n">
        <f aca="false">J42*Parametros!$E$17</f>
        <v>54</v>
      </c>
      <c r="L42" s="11" t="n">
        <f aca="false">IF(H42=0,0,I42/K42)</f>
        <v>0.45906934733209</v>
      </c>
    </row>
    <row r="43" customFormat="false" ht="21" hidden="false" customHeight="true" outlineLevel="0" collapsed="false">
      <c r="A43" s="1" t="s">
        <v>224</v>
      </c>
      <c r="B43" s="11" t="n">
        <f aca="false">Postes!E43</f>
        <v>13</v>
      </c>
      <c r="C43" s="11" t="n">
        <f aca="false">Postes!F43</f>
        <v>1.9</v>
      </c>
      <c r="D43" s="11" t="n">
        <v>20.7649709430387</v>
      </c>
      <c r="E43" s="11" t="n">
        <f aca="false">Parametros!$E$14*Parametros!$E$12*10*Parametros!$E$13*(B43-C43-Parametros!$E$15)/1000</f>
        <v>85.41</v>
      </c>
      <c r="F43" s="11" t="n">
        <f aca="false">D43/E43</f>
        <v>0.24312107414868</v>
      </c>
      <c r="G43" s="11" t="n">
        <v>-0.372101464053982</v>
      </c>
      <c r="H43" s="11" t="n">
        <f aca="false">Postes!J43</f>
        <v>2</v>
      </c>
      <c r="I43" s="11" t="n">
        <v>23.7468146957598</v>
      </c>
      <c r="J43" s="11" t="n">
        <f aca="false">IF(H43=0,0,ROUNDUP(MAX(Parametros!$E$16,I43/Parametros!$E$17)/10,0)*10)</f>
        <v>60</v>
      </c>
      <c r="K43" s="11" t="n">
        <f aca="false">J43*Parametros!$E$17</f>
        <v>54</v>
      </c>
      <c r="L43" s="11" t="n">
        <f aca="false">IF(H43=0,0,I43/K43)</f>
        <v>0.439755827699255</v>
      </c>
    </row>
    <row r="44" customFormat="false" ht="21" hidden="false" customHeight="true" outlineLevel="0" collapsed="false">
      <c r="A44" s="1" t="s">
        <v>225</v>
      </c>
      <c r="B44" s="11" t="n">
        <f aca="false">Postes!E44</f>
        <v>13</v>
      </c>
      <c r="C44" s="11" t="n">
        <f aca="false">Postes!F44</f>
        <v>1.9</v>
      </c>
      <c r="D44" s="11" t="n">
        <v>27.5382498166683</v>
      </c>
      <c r="E44" s="11" t="n">
        <f aca="false">Parametros!$E$14*Parametros!$E$12*10*Parametros!$E$13*(B44-C44-Parametros!$E$15)/1000</f>
        <v>85.41</v>
      </c>
      <c r="F44" s="11" t="n">
        <f aca="false">D44/E44</f>
        <v>0.322424187058521</v>
      </c>
      <c r="G44" s="11" t="n">
        <v>1.47297913601143</v>
      </c>
      <c r="H44" s="11" t="n">
        <f aca="false">Postes!J44</f>
        <v>2</v>
      </c>
      <c r="I44" s="11" t="n">
        <v>26.3601566604879</v>
      </c>
      <c r="J44" s="11" t="n">
        <f aca="false">IF(H44=0,0,ROUNDUP(MAX(Parametros!$E$16,I44/Parametros!$E$17)/10,0)*10)</f>
        <v>60</v>
      </c>
      <c r="K44" s="11" t="n">
        <f aca="false">J44*Parametros!$E$17</f>
        <v>54</v>
      </c>
      <c r="L44" s="11" t="n">
        <f aca="false">IF(H44=0,0,I44/K44)</f>
        <v>0.488151049268295</v>
      </c>
    </row>
    <row r="45" customFormat="false" ht="21" hidden="false" customHeight="true" outlineLevel="0" collapsed="false">
      <c r="A45" s="1" t="s">
        <v>226</v>
      </c>
      <c r="B45" s="11" t="n">
        <f aca="false">Postes!E45</f>
        <v>17</v>
      </c>
      <c r="C45" s="11" t="n">
        <f aca="false">Postes!F45</f>
        <v>2.1</v>
      </c>
      <c r="D45" s="11" t="n">
        <v>53.9477242362873</v>
      </c>
      <c r="E45" s="11" t="n">
        <f aca="false">Parametros!$E$14*Parametros!$E$12*10*Parametros!$E$13*(B45-C45-Parametros!$E$15)/1000</f>
        <v>115.05</v>
      </c>
      <c r="F45" s="11" t="n">
        <f aca="false">D45/E45</f>
        <v>0.468906773022923</v>
      </c>
      <c r="G45" s="11" t="n">
        <v>-0.446962172825899</v>
      </c>
      <c r="H45" s="11" t="n">
        <f aca="false">Postes!J45</f>
        <v>2</v>
      </c>
      <c r="I45" s="11" t="n">
        <v>26.7391159761745</v>
      </c>
      <c r="J45" s="11" t="n">
        <f aca="false">IF(H45=0,0,ROUNDUP(MAX(Parametros!$E$16,I45/Parametros!$E$17)/10,0)*10)</f>
        <v>60</v>
      </c>
      <c r="K45" s="11" t="n">
        <f aca="false">J45*Parametros!$E$17</f>
        <v>54</v>
      </c>
      <c r="L45" s="11" t="n">
        <f aca="false">IF(H45=0,0,I45/K45)</f>
        <v>0.495168814373601</v>
      </c>
    </row>
    <row r="46" customFormat="false" ht="21" hidden="false" customHeight="true" outlineLevel="0" collapsed="false">
      <c r="A46" s="1" t="s">
        <v>227</v>
      </c>
      <c r="B46" s="11" t="n">
        <f aca="false">Postes!E46</f>
        <v>17</v>
      </c>
      <c r="C46" s="11" t="n">
        <f aca="false">Postes!F46</f>
        <v>2.1</v>
      </c>
      <c r="D46" s="11" t="n">
        <v>55.9826088471951</v>
      </c>
      <c r="E46" s="11" t="n">
        <f aca="false">Parametros!$E$14*Parametros!$E$12*10*Parametros!$E$13*(B46-C46-Parametros!$E$15)/1000</f>
        <v>115.05</v>
      </c>
      <c r="F46" s="11" t="n">
        <f aca="false">D46/E46</f>
        <v>0.486593731831335</v>
      </c>
      <c r="G46" s="11" t="n">
        <v>-2.14795919181095</v>
      </c>
      <c r="H46" s="11" t="n">
        <f aca="false">Postes!J46</f>
        <v>2</v>
      </c>
      <c r="I46" s="11" t="n">
        <v>26.7391159761745</v>
      </c>
      <c r="J46" s="11" t="n">
        <f aca="false">IF(H46=0,0,ROUNDUP(MAX(Parametros!$E$16,I46/Parametros!$E$17)/10,0)*10)</f>
        <v>60</v>
      </c>
      <c r="K46" s="11" t="n">
        <f aca="false">J46*Parametros!$E$17</f>
        <v>54</v>
      </c>
      <c r="L46" s="11" t="n">
        <f aca="false">IF(H46=0,0,I46/K46)</f>
        <v>0.495168814373601</v>
      </c>
    </row>
    <row r="47" customFormat="false" ht="21" hidden="false" customHeight="true" outlineLevel="0" collapsed="false">
      <c r="A47" s="1" t="s">
        <v>228</v>
      </c>
      <c r="B47" s="11" t="n">
        <f aca="false">Postes!E47</f>
        <v>17</v>
      </c>
      <c r="C47" s="11" t="n">
        <f aca="false">Postes!F47</f>
        <v>2.1</v>
      </c>
      <c r="D47" s="11" t="n">
        <v>51.2154294385408</v>
      </c>
      <c r="E47" s="11" t="n">
        <f aca="false">Parametros!$E$14*Parametros!$E$12*10*Parametros!$E$13*(B47-C47-Parametros!$E$15)/1000</f>
        <v>115.05</v>
      </c>
      <c r="F47" s="11" t="n">
        <f aca="false">D47/E47</f>
        <v>0.445158013372801</v>
      </c>
      <c r="G47" s="11" t="n">
        <v>1.91173253658102</v>
      </c>
      <c r="H47" s="11" t="n">
        <f aca="false">Postes!J47</f>
        <v>2</v>
      </c>
      <c r="I47" s="11" t="n">
        <v>26.3226143267081</v>
      </c>
      <c r="J47" s="11" t="n">
        <f aca="false">IF(H47=0,0,ROUNDUP(MAX(Parametros!$E$16,I47/Parametros!$E$17)/10,0)*10)</f>
        <v>60</v>
      </c>
      <c r="K47" s="11" t="n">
        <f aca="false">J47*Parametros!$E$17</f>
        <v>54</v>
      </c>
      <c r="L47" s="11" t="n">
        <f aca="false">IF(H47=0,0,I47/K47)</f>
        <v>0.487455820864964</v>
      </c>
    </row>
    <row r="48" customFormat="false" ht="21" hidden="false" customHeight="true" outlineLevel="0" collapsed="false">
      <c r="A48" s="1" t="s">
        <v>229</v>
      </c>
      <c r="B48" s="11" t="n">
        <f aca="false">Postes!E48</f>
        <v>17</v>
      </c>
      <c r="C48" s="11" t="n">
        <f aca="false">Postes!F48</f>
        <v>2.1</v>
      </c>
      <c r="D48" s="11" t="n">
        <v>44.4590264646483</v>
      </c>
      <c r="E48" s="11" t="n">
        <f aca="false">Parametros!$E$14*Parametros!$E$12*10*Parametros!$E$13*(B48-C48-Parametros!$E$15)/1000</f>
        <v>115.05</v>
      </c>
      <c r="F48" s="11" t="n">
        <f aca="false">D48/E48</f>
        <v>0.386432216120368</v>
      </c>
      <c r="G48" s="11" t="n">
        <v>-2.74987717428721</v>
      </c>
      <c r="H48" s="11" t="n">
        <f aca="false">Postes!J48</f>
        <v>2</v>
      </c>
      <c r="I48" s="11" t="n">
        <v>25.4896589842847</v>
      </c>
      <c r="J48" s="11" t="n">
        <f aca="false">IF(H48=0,0,ROUNDUP(MAX(Parametros!$E$16,I48/Parametros!$E$17)/10,0)*10)</f>
        <v>60</v>
      </c>
      <c r="K48" s="11" t="n">
        <f aca="false">J48*Parametros!$E$17</f>
        <v>54</v>
      </c>
      <c r="L48" s="11" t="n">
        <f aca="false">IF(H48=0,0,I48/K48)</f>
        <v>0.472030721931198</v>
      </c>
    </row>
    <row r="49" customFormat="false" ht="21" hidden="false" customHeight="true" outlineLevel="0" collapsed="false">
      <c r="A49" s="1" t="s">
        <v>230</v>
      </c>
      <c r="B49" s="11" t="n">
        <f aca="false">Postes!E49</f>
        <v>15</v>
      </c>
      <c r="C49" s="11" t="n">
        <f aca="false">Postes!F49</f>
        <v>2.1</v>
      </c>
      <c r="D49" s="11" t="n">
        <v>38.7485019236349</v>
      </c>
      <c r="E49" s="11" t="n">
        <f aca="false">Parametros!$E$14*Parametros!$E$12*10*Parametros!$E$13*(B49-C49-Parametros!$E$15)/1000</f>
        <v>99.45</v>
      </c>
      <c r="F49" s="11" t="n">
        <f aca="false">D49/E49</f>
        <v>0.389627973088335</v>
      </c>
      <c r="G49" s="11" t="n">
        <v>0.942377883746398</v>
      </c>
      <c r="H49" s="11" t="n">
        <f aca="false">Postes!J49</f>
        <v>2</v>
      </c>
      <c r="I49" s="11" t="n">
        <v>26.6330401697777</v>
      </c>
      <c r="J49" s="11" t="n">
        <f aca="false">IF(H49=0,0,ROUNDUP(MAX(Parametros!$E$16,I49/Parametros!$E$17)/10,0)*10)</f>
        <v>60</v>
      </c>
      <c r="K49" s="11" t="n">
        <f aca="false">J49*Parametros!$E$17</f>
        <v>54</v>
      </c>
      <c r="L49" s="11" t="n">
        <f aca="false">IF(H49=0,0,I49/K49)</f>
        <v>0.493204447588476</v>
      </c>
    </row>
    <row r="50" customFormat="false" ht="21" hidden="false" customHeight="true" outlineLevel="0" collapsed="false">
      <c r="A50" s="1" t="s">
        <v>231</v>
      </c>
      <c r="B50" s="11" t="n">
        <f aca="false">Postes!E50</f>
        <v>15</v>
      </c>
      <c r="C50" s="11" t="n">
        <f aca="false">Postes!F50</f>
        <v>2.1</v>
      </c>
      <c r="D50" s="11" t="n">
        <v>44.484177609759</v>
      </c>
      <c r="E50" s="11" t="n">
        <f aca="false">Parametros!$E$14*Parametros!$E$12*10*Parametros!$E$13*(B50-C50-Parametros!$E$15)/1000</f>
        <v>99.45</v>
      </c>
      <c r="F50" s="11" t="n">
        <f aca="false">D50/E50</f>
        <v>0.447301936749714</v>
      </c>
      <c r="G50" s="11" t="n">
        <v>-0.112149436504458</v>
      </c>
      <c r="H50" s="11" t="n">
        <f aca="false">Postes!J50</f>
        <v>2</v>
      </c>
      <c r="I50" s="11" t="n">
        <v>26.6330401697777</v>
      </c>
      <c r="J50" s="11" t="n">
        <f aca="false">IF(H50=0,0,ROUNDUP(MAX(Parametros!$E$16,I50/Parametros!$E$17)/10,0)*10)</f>
        <v>60</v>
      </c>
      <c r="K50" s="11" t="n">
        <f aca="false">J50*Parametros!$E$17</f>
        <v>54</v>
      </c>
      <c r="L50" s="11" t="n">
        <f aca="false">IF(H50=0,0,I50/K50)</f>
        <v>0.493204447588476</v>
      </c>
    </row>
    <row r="51" customFormat="false" ht="21" hidden="false" customHeight="true" outlineLevel="0" collapsed="false">
      <c r="A51" s="1" t="s">
        <v>232</v>
      </c>
      <c r="B51" s="11" t="n">
        <f aca="false">Postes!E51</f>
        <v>13</v>
      </c>
      <c r="C51" s="11" t="n">
        <f aca="false">Postes!F51</f>
        <v>1.9</v>
      </c>
      <c r="D51" s="11" t="n">
        <v>31.9243578953385</v>
      </c>
      <c r="E51" s="11" t="n">
        <f aca="false">Parametros!$E$14*Parametros!$E$12*10*Parametros!$E$13*(B51-C51-Parametros!$E$15)/1000</f>
        <v>85.41</v>
      </c>
      <c r="F51" s="11" t="n">
        <f aca="false">D51/E51</f>
        <v>0.373777753135915</v>
      </c>
      <c r="G51" s="11" t="n">
        <v>1.23067870434806</v>
      </c>
      <c r="H51" s="11" t="n">
        <f aca="false">Postes!J51</f>
        <v>2</v>
      </c>
      <c r="I51" s="11" t="n">
        <v>26.5750730020794</v>
      </c>
      <c r="J51" s="11" t="n">
        <f aca="false">IF(H51=0,0,ROUNDUP(MAX(Parametros!$E$16,I51/Parametros!$E$17)/10,0)*10)</f>
        <v>60</v>
      </c>
      <c r="K51" s="11" t="n">
        <f aca="false">J51*Parametros!$E$17</f>
        <v>54</v>
      </c>
      <c r="L51" s="11" t="n">
        <f aca="false">IF(H51=0,0,I51/K51)</f>
        <v>0.492130981519988</v>
      </c>
    </row>
    <row r="52" customFormat="false" ht="21" hidden="false" customHeight="true" outlineLevel="0" collapsed="false">
      <c r="A52" s="1" t="s">
        <v>233</v>
      </c>
      <c r="B52" s="11" t="n">
        <f aca="false">Postes!E52</f>
        <v>13</v>
      </c>
      <c r="C52" s="11" t="n">
        <f aca="false">Postes!F52</f>
        <v>1.9</v>
      </c>
      <c r="D52" s="11" t="n">
        <v>30.7027693421861</v>
      </c>
      <c r="E52" s="11" t="n">
        <f aca="false">Parametros!$E$14*Parametros!$E$12*10*Parametros!$E$13*(B52-C52-Parametros!$E$15)/1000</f>
        <v>85.41</v>
      </c>
      <c r="F52" s="11" t="n">
        <f aca="false">D52/E52</f>
        <v>0.359475112307529</v>
      </c>
      <c r="G52" s="11" t="n">
        <v>0.0757170450579763</v>
      </c>
      <c r="H52" s="11" t="n">
        <f aca="false">Postes!J52</f>
        <v>0</v>
      </c>
      <c r="I52" s="11" t="n">
        <v>0</v>
      </c>
      <c r="J52" s="11" t="n">
        <f aca="false">IF(H52=0,0,ROUNDUP(MAX(Parametros!$E$16,I52/Parametros!$E$17)/10,0)*10)</f>
        <v>0</v>
      </c>
      <c r="K52" s="11" t="n">
        <f aca="false">J52*Parametros!$E$17</f>
        <v>0</v>
      </c>
      <c r="L52" s="11" t="n">
        <f aca="false">IF(H52=0,0,I52/K52)</f>
        <v>0</v>
      </c>
    </row>
    <row r="53" customFormat="false" ht="21" hidden="false" customHeight="true" outlineLevel="0" collapsed="false">
      <c r="A53" s="1" t="s">
        <v>234</v>
      </c>
      <c r="B53" s="11" t="n">
        <f aca="false">Postes!E53</f>
        <v>13</v>
      </c>
      <c r="C53" s="11" t="n">
        <f aca="false">Postes!F53</f>
        <v>1.9</v>
      </c>
      <c r="D53" s="11" t="n">
        <v>30.7233503528677</v>
      </c>
      <c r="E53" s="11" t="n">
        <f aca="false">Parametros!$E$14*Parametros!$E$12*10*Parametros!$E$13*(B53-C53-Parametros!$E$15)/1000</f>
        <v>85.41</v>
      </c>
      <c r="F53" s="11" t="n">
        <f aca="false">D53/E53</f>
        <v>0.359716079532464</v>
      </c>
      <c r="G53" s="11" t="n">
        <v>-0.0612854026713633</v>
      </c>
      <c r="H53" s="11" t="n">
        <f aca="false">Postes!J53</f>
        <v>2</v>
      </c>
      <c r="I53" s="11" t="n">
        <v>25.4215879712231</v>
      </c>
      <c r="J53" s="11" t="n">
        <f aca="false">IF(H53=0,0,ROUNDUP(MAX(Parametros!$E$16,I53/Parametros!$E$17)/10,0)*10)</f>
        <v>60</v>
      </c>
      <c r="K53" s="11" t="n">
        <f aca="false">J53*Parametros!$E$17</f>
        <v>54</v>
      </c>
      <c r="L53" s="11" t="n">
        <f aca="false">IF(H53=0,0,I53/K53)</f>
        <v>0.470770147615242</v>
      </c>
    </row>
    <row r="54" customFormat="false" ht="21" hidden="false" customHeight="true" outlineLevel="0" collapsed="false">
      <c r="A54" s="1" t="s">
        <v>235</v>
      </c>
      <c r="B54" s="11" t="n">
        <f aca="false">Postes!E54</f>
        <v>13</v>
      </c>
      <c r="C54" s="11" t="n">
        <f aca="false">Postes!F54</f>
        <v>1.9</v>
      </c>
      <c r="D54" s="11" t="n">
        <v>22.9534919810175</v>
      </c>
      <c r="E54" s="11" t="n">
        <f aca="false">Parametros!$E$14*Parametros!$E$12*10*Parametros!$E$13*(B54-C54-Parametros!$E$15)/1000</f>
        <v>85.41</v>
      </c>
      <c r="F54" s="11" t="n">
        <f aca="false">D54/E54</f>
        <v>0.268744783760889</v>
      </c>
      <c r="G54" s="11" t="n">
        <v>-2.48855939310986</v>
      </c>
      <c r="H54" s="11" t="n">
        <f aca="false">Postes!J54</f>
        <v>2</v>
      </c>
      <c r="I54" s="11" t="n">
        <v>25.3933743897258</v>
      </c>
      <c r="J54" s="11" t="n">
        <f aca="false">IF(H54=0,0,ROUNDUP(MAX(Parametros!$E$16,I54/Parametros!$E$17)/10,0)*10)</f>
        <v>60</v>
      </c>
      <c r="K54" s="11" t="n">
        <f aca="false">J54*Parametros!$E$17</f>
        <v>54</v>
      </c>
      <c r="L54" s="11" t="n">
        <f aca="false">IF(H54=0,0,I54/K54)</f>
        <v>0.470247673883811</v>
      </c>
    </row>
    <row r="55" customFormat="false" ht="21" hidden="false" customHeight="true" outlineLevel="0" collapsed="false">
      <c r="A55" s="1" t="s">
        <v>236</v>
      </c>
      <c r="B55" s="11" t="n">
        <f aca="false">Postes!E55</f>
        <v>13</v>
      </c>
      <c r="C55" s="11" t="n">
        <f aca="false">Postes!F55</f>
        <v>1.9</v>
      </c>
      <c r="D55" s="11" t="n">
        <v>26.2896301754812</v>
      </c>
      <c r="E55" s="11" t="n">
        <f aca="false">Parametros!$E$14*Parametros!$E$12*10*Parametros!$E$13*(B55-C55-Parametros!$E$15)/1000</f>
        <v>85.41</v>
      </c>
      <c r="F55" s="11" t="n">
        <f aca="false">D55/E55</f>
        <v>0.307805060010317</v>
      </c>
      <c r="G55" s="11" t="n">
        <v>0.883264799788619</v>
      </c>
      <c r="H55" s="11" t="n">
        <f aca="false">Postes!J55</f>
        <v>2</v>
      </c>
      <c r="I55" s="11" t="n">
        <v>26.5511413408772</v>
      </c>
      <c r="J55" s="11" t="n">
        <f aca="false">IF(H55=0,0,ROUNDUP(MAX(Parametros!$E$16,I55/Parametros!$E$17)/10,0)*10)</f>
        <v>60</v>
      </c>
      <c r="K55" s="11" t="n">
        <f aca="false">J55*Parametros!$E$17</f>
        <v>54</v>
      </c>
      <c r="L55" s="11" t="n">
        <f aca="false">IF(H55=0,0,I55/K55)</f>
        <v>0.491687802608837</v>
      </c>
    </row>
    <row r="56" customFormat="false" ht="21" hidden="false" customHeight="true" outlineLevel="0" collapsed="false">
      <c r="A56" s="1" t="s">
        <v>237</v>
      </c>
      <c r="B56" s="11" t="n">
        <f aca="false">Postes!E56</f>
        <v>13</v>
      </c>
      <c r="C56" s="11" t="n">
        <f aca="false">Postes!F56</f>
        <v>1.9</v>
      </c>
      <c r="D56" s="11" t="n">
        <v>32.2547462496083</v>
      </c>
      <c r="E56" s="11" t="n">
        <f aca="false">Parametros!$E$14*Parametros!$E$12*10*Parametros!$E$13*(B56-C56-Parametros!$E$15)/1000</f>
        <v>85.41</v>
      </c>
      <c r="F56" s="11" t="n">
        <f aca="false">D56/E56</f>
        <v>0.377646016269854</v>
      </c>
      <c r="G56" s="11" t="n">
        <v>1.17992523653323</v>
      </c>
      <c r="H56" s="11" t="n">
        <f aca="false">Postes!J56</f>
        <v>2</v>
      </c>
      <c r="I56" s="11" t="n">
        <v>26.5511413408772</v>
      </c>
      <c r="J56" s="11" t="n">
        <f aca="false">IF(H56=0,0,ROUNDUP(MAX(Parametros!$E$16,I56/Parametros!$E$17)/10,0)*10)</f>
        <v>60</v>
      </c>
      <c r="K56" s="11" t="n">
        <f aca="false">J56*Parametros!$E$17</f>
        <v>54</v>
      </c>
      <c r="L56" s="11" t="n">
        <f aca="false">IF(H56=0,0,I56/K56)</f>
        <v>0.491687802608837</v>
      </c>
    </row>
    <row r="57" customFormat="false" ht="21" hidden="false" customHeight="true" outlineLevel="0" collapsed="false">
      <c r="A57" s="1" t="s">
        <v>238</v>
      </c>
      <c r="B57" s="11" t="n">
        <f aca="false">Postes!E57</f>
        <v>13</v>
      </c>
      <c r="C57" s="11" t="n">
        <f aca="false">Postes!F57</f>
        <v>1.9</v>
      </c>
      <c r="D57" s="11" t="n">
        <v>29.5920341791778</v>
      </c>
      <c r="E57" s="11" t="n">
        <f aca="false">Parametros!$E$14*Parametros!$E$12*10*Parametros!$E$13*(B57-C57-Parametros!$E$15)/1000</f>
        <v>85.41</v>
      </c>
      <c r="F57" s="11" t="n">
        <f aca="false">D57/E57</f>
        <v>0.346470368565482</v>
      </c>
      <c r="G57" s="11" t="n">
        <v>-0.203575711109554</v>
      </c>
      <c r="H57" s="11" t="n">
        <f aca="false">Postes!J57</f>
        <v>2</v>
      </c>
      <c r="I57" s="11" t="n">
        <v>25.1946622891358</v>
      </c>
      <c r="J57" s="11" t="n">
        <f aca="false">IF(H57=0,0,ROUNDUP(MAX(Parametros!$E$16,I57/Parametros!$E$17)/10,0)*10)</f>
        <v>60</v>
      </c>
      <c r="K57" s="11" t="n">
        <f aca="false">J57*Parametros!$E$17</f>
        <v>54</v>
      </c>
      <c r="L57" s="11" t="n">
        <f aca="false">IF(H57=0,0,I57/K57)</f>
        <v>0.466567820169181</v>
      </c>
    </row>
    <row r="58" customFormat="false" ht="21" hidden="false" customHeight="true" outlineLevel="0" collapsed="false">
      <c r="A58" s="1" t="s">
        <v>239</v>
      </c>
      <c r="B58" s="11" t="n">
        <f aca="false">Postes!E58</f>
        <v>13</v>
      </c>
      <c r="C58" s="11" t="n">
        <f aca="false">Postes!F58</f>
        <v>1.9</v>
      </c>
      <c r="D58" s="11" t="n">
        <v>31.0666564384345</v>
      </c>
      <c r="E58" s="11" t="n">
        <f aca="false">Parametros!$E$14*Parametros!$E$12*10*Parametros!$E$13*(B58-C58-Parametros!$E$15)/1000</f>
        <v>85.41</v>
      </c>
      <c r="F58" s="11" t="n">
        <f aca="false">D58/E58</f>
        <v>0.363735586446956</v>
      </c>
      <c r="G58" s="11" t="n">
        <v>-2.8233371068312</v>
      </c>
      <c r="H58" s="11" t="n">
        <f aca="false">Postes!J58</f>
        <v>2</v>
      </c>
      <c r="I58" s="11" t="n">
        <v>26.3950264594783</v>
      </c>
      <c r="J58" s="11" t="n">
        <f aca="false">IF(H58=0,0,ROUNDUP(MAX(Parametros!$E$16,I58/Parametros!$E$17)/10,0)*10)</f>
        <v>60</v>
      </c>
      <c r="K58" s="11" t="n">
        <f aca="false">J58*Parametros!$E$17</f>
        <v>54</v>
      </c>
      <c r="L58" s="11" t="n">
        <f aca="false">IF(H58=0,0,I58/K58)</f>
        <v>0.488796786286635</v>
      </c>
    </row>
    <row r="59" customFormat="false" ht="21" hidden="false" customHeight="true" outlineLevel="0" collapsed="false">
      <c r="A59" s="1" t="s">
        <v>240</v>
      </c>
      <c r="B59" s="11" t="n">
        <f aca="false">Postes!E59</f>
        <v>13</v>
      </c>
      <c r="C59" s="11" t="n">
        <f aca="false">Postes!F59</f>
        <v>1.9</v>
      </c>
      <c r="D59" s="11" t="n">
        <v>31.1072117284661</v>
      </c>
      <c r="E59" s="11" t="n">
        <f aca="false">Parametros!$E$14*Parametros!$E$12*10*Parametros!$E$13*(B59-C59-Parametros!$E$15)/1000</f>
        <v>85.41</v>
      </c>
      <c r="F59" s="11" t="n">
        <f aca="false">D59/E59</f>
        <v>0.364210417146308</v>
      </c>
      <c r="G59" s="11" t="n">
        <v>1.55435300615976</v>
      </c>
      <c r="H59" s="11" t="n">
        <f aca="false">Postes!J59</f>
        <v>2</v>
      </c>
      <c r="I59" s="11" t="n">
        <v>26.3950264594783</v>
      </c>
      <c r="J59" s="11" t="n">
        <f aca="false">IF(H59=0,0,ROUNDUP(MAX(Parametros!$E$16,I59/Parametros!$E$17)/10,0)*10)</f>
        <v>60</v>
      </c>
      <c r="K59" s="11" t="n">
        <f aca="false">J59*Parametros!$E$17</f>
        <v>54</v>
      </c>
      <c r="L59" s="11" t="n">
        <f aca="false">IF(H59=0,0,I59/K59)</f>
        <v>0.488796786286635</v>
      </c>
    </row>
    <row r="60" customFormat="false" ht="21" hidden="false" customHeight="true" outlineLevel="0" collapsed="false">
      <c r="A60" s="1" t="s">
        <v>241</v>
      </c>
      <c r="B60" s="11" t="n">
        <f aca="false">Postes!E60</f>
        <v>13</v>
      </c>
      <c r="C60" s="11" t="n">
        <f aca="false">Postes!F60</f>
        <v>1.9</v>
      </c>
      <c r="D60" s="11" t="n">
        <v>26.8781482638207</v>
      </c>
      <c r="E60" s="11" t="n">
        <f aca="false">Parametros!$E$14*Parametros!$E$12*10*Parametros!$E$13*(B60-C60-Parametros!$E$15)/1000</f>
        <v>85.41</v>
      </c>
      <c r="F60" s="11" t="n">
        <f aca="false">D60/E60</f>
        <v>0.314695565669367</v>
      </c>
      <c r="G60" s="11" t="n">
        <v>0.861613622753447</v>
      </c>
      <c r="H60" s="11" t="n">
        <f aca="false">Postes!J60</f>
        <v>0</v>
      </c>
      <c r="I60" s="11" t="n">
        <v>0</v>
      </c>
      <c r="J60" s="11" t="n">
        <f aca="false">IF(H60=0,0,ROUNDUP(MAX(Parametros!$E$16,I60/Parametros!$E$17)/10,0)*10)</f>
        <v>0</v>
      </c>
      <c r="K60" s="11" t="n">
        <f aca="false">J60*Parametros!$E$17</f>
        <v>0</v>
      </c>
      <c r="L60" s="11" t="n">
        <f aca="false">IF(H60=0,0,I60/K60)</f>
        <v>0</v>
      </c>
    </row>
    <row r="61" customFormat="false" ht="21" hidden="false" customHeight="true" outlineLevel="0" collapsed="false">
      <c r="A61" s="1" t="s">
        <v>242</v>
      </c>
      <c r="B61" s="11" t="n">
        <f aca="false">Postes!E61</f>
        <v>13</v>
      </c>
      <c r="C61" s="11" t="n">
        <f aca="false">Postes!F61</f>
        <v>1.9</v>
      </c>
      <c r="D61" s="11" t="n">
        <v>30.16348307911</v>
      </c>
      <c r="E61" s="11" t="n">
        <f aca="false">Parametros!$E$14*Parametros!$E$12*10*Parametros!$E$13*(B61-C61-Parametros!$E$15)/1000</f>
        <v>85.41</v>
      </c>
      <c r="F61" s="11" t="n">
        <f aca="false">D61/E61</f>
        <v>0.353161024225618</v>
      </c>
      <c r="G61" s="11" t="n">
        <v>-2.07923220824606</v>
      </c>
      <c r="H61" s="11" t="n">
        <f aca="false">Postes!J61</f>
        <v>2</v>
      </c>
      <c r="I61" s="11" t="n">
        <v>26.1535898311941</v>
      </c>
      <c r="J61" s="11" t="n">
        <f aca="false">IF(H61=0,0,ROUNDUP(MAX(Parametros!$E$16,I61/Parametros!$E$17)/10,0)*10)</f>
        <v>60</v>
      </c>
      <c r="K61" s="11" t="n">
        <f aca="false">J61*Parametros!$E$17</f>
        <v>54</v>
      </c>
      <c r="L61" s="11" t="n">
        <f aca="false">IF(H61=0,0,I61/K61)</f>
        <v>0.484325737614706</v>
      </c>
    </row>
    <row r="62" customFormat="false" ht="21" hidden="false" customHeight="true" outlineLevel="0" collapsed="false">
      <c r="A62" s="1" t="s">
        <v>243</v>
      </c>
      <c r="B62" s="11" t="n">
        <f aca="false">Postes!E62</f>
        <v>13</v>
      </c>
      <c r="C62" s="11" t="n">
        <f aca="false">Postes!F62</f>
        <v>1.9</v>
      </c>
      <c r="D62" s="11" t="n">
        <v>30.1609086247985</v>
      </c>
      <c r="E62" s="11" t="n">
        <f aca="false">Parametros!$E$14*Parametros!$E$12*10*Parametros!$E$13*(B62-C62-Parametros!$E$15)/1000</f>
        <v>85.41</v>
      </c>
      <c r="F62" s="11" t="n">
        <f aca="false">D62/E62</f>
        <v>0.353130881920133</v>
      </c>
      <c r="G62" s="11" t="n">
        <v>1.6664998476828</v>
      </c>
      <c r="H62" s="11" t="n">
        <f aca="false">Postes!J62</f>
        <v>2</v>
      </c>
      <c r="I62" s="11" t="n">
        <v>26.6822479716043</v>
      </c>
      <c r="J62" s="11" t="n">
        <f aca="false">IF(H62=0,0,ROUNDUP(MAX(Parametros!$E$16,I62/Parametros!$E$17)/10,0)*10)</f>
        <v>60</v>
      </c>
      <c r="K62" s="11" t="n">
        <f aca="false">J62*Parametros!$E$17</f>
        <v>54</v>
      </c>
      <c r="L62" s="11" t="n">
        <f aca="false">IF(H62=0,0,I62/K62)</f>
        <v>0.494115703177858</v>
      </c>
    </row>
    <row r="63" customFormat="false" ht="21" hidden="false" customHeight="true" outlineLevel="0" collapsed="false">
      <c r="A63" s="1" t="s">
        <v>244</v>
      </c>
      <c r="B63" s="11" t="n">
        <f aca="false">Postes!E63</f>
        <v>13</v>
      </c>
      <c r="C63" s="11" t="n">
        <f aca="false">Postes!F63</f>
        <v>1.9</v>
      </c>
      <c r="D63" s="11" t="n">
        <v>25.8294501047506</v>
      </c>
      <c r="E63" s="11" t="n">
        <f aca="false">Parametros!$E$14*Parametros!$E$12*10*Parametros!$E$13*(B63-C63-Parametros!$E$15)/1000</f>
        <v>85.41</v>
      </c>
      <c r="F63" s="11" t="n">
        <f aca="false">D63/E63</f>
        <v>0.302417165492923</v>
      </c>
      <c r="G63" s="11" t="n">
        <v>-4.09152944947417</v>
      </c>
      <c r="H63" s="11" t="n">
        <f aca="false">Postes!J63</f>
        <v>2</v>
      </c>
      <c r="I63" s="11" t="n">
        <v>26.6822479716043</v>
      </c>
      <c r="J63" s="11" t="n">
        <f aca="false">IF(H63=0,0,ROUNDUP(MAX(Parametros!$E$16,I63/Parametros!$E$17)/10,0)*10)</f>
        <v>60</v>
      </c>
      <c r="K63" s="11" t="n">
        <f aca="false">J63*Parametros!$E$17</f>
        <v>54</v>
      </c>
      <c r="L63" s="11" t="n">
        <f aca="false">IF(H63=0,0,I63/K63)</f>
        <v>0.494115703177858</v>
      </c>
    </row>
    <row r="64" customFormat="false" ht="21" hidden="false" customHeight="true" outlineLevel="0" collapsed="false">
      <c r="A64" s="1" t="s">
        <v>245</v>
      </c>
      <c r="B64" s="11" t="n">
        <f aca="false">Postes!E64</f>
        <v>13</v>
      </c>
      <c r="C64" s="11" t="n">
        <f aca="false">Postes!F64</f>
        <v>1.9</v>
      </c>
      <c r="D64" s="11" t="n">
        <v>27.2251345078232</v>
      </c>
      <c r="E64" s="11" t="n">
        <f aca="false">Parametros!$E$14*Parametros!$E$12*10*Parametros!$E$13*(B64-C64-Parametros!$E$15)/1000</f>
        <v>85.41</v>
      </c>
      <c r="F64" s="11" t="n">
        <f aca="false">D64/E64</f>
        <v>0.318758160728523</v>
      </c>
      <c r="G64" s="11" t="n">
        <v>-2.07905661213853</v>
      </c>
      <c r="H64" s="11" t="n">
        <f aca="false">Postes!J64</f>
        <v>2</v>
      </c>
      <c r="I64" s="11" t="n">
        <v>24.7509956105389</v>
      </c>
      <c r="J64" s="11" t="n">
        <f aca="false">IF(H64=0,0,ROUNDUP(MAX(Parametros!$E$16,I64/Parametros!$E$17)/10,0)*10)</f>
        <v>60</v>
      </c>
      <c r="K64" s="11" t="n">
        <f aca="false">J64*Parametros!$E$17</f>
        <v>54</v>
      </c>
      <c r="L64" s="11" t="n">
        <f aca="false">IF(H64=0,0,I64/K64)</f>
        <v>0.458351770565536</v>
      </c>
    </row>
    <row r="65" customFormat="false" ht="21" hidden="false" customHeight="true" outlineLevel="0" collapsed="false">
      <c r="A65" s="1" t="s">
        <v>246</v>
      </c>
      <c r="B65" s="11" t="n">
        <f aca="false">Postes!E65</f>
        <v>13</v>
      </c>
      <c r="C65" s="11" t="n">
        <f aca="false">Postes!F65</f>
        <v>1.9</v>
      </c>
      <c r="D65" s="11" t="n">
        <v>25.8071006735844</v>
      </c>
      <c r="E65" s="11" t="n">
        <f aca="false">Parametros!$E$14*Parametros!$E$12*10*Parametros!$E$13*(B65-C65-Parametros!$E$15)/1000</f>
        <v>85.41</v>
      </c>
      <c r="F65" s="11" t="n">
        <f aca="false">D65/E65</f>
        <v>0.302155493192652</v>
      </c>
      <c r="G65" s="11" t="n">
        <v>0.918356110557106</v>
      </c>
      <c r="H65" s="11" t="n">
        <f aca="false">Postes!J65</f>
        <v>2</v>
      </c>
      <c r="I65" s="11" t="n">
        <v>24.7160458861098</v>
      </c>
      <c r="J65" s="11" t="n">
        <f aca="false">IF(H65=0,0,ROUNDUP(MAX(Parametros!$E$16,I65/Parametros!$E$17)/10,0)*10)</f>
        <v>60</v>
      </c>
      <c r="K65" s="11" t="n">
        <f aca="false">J65*Parametros!$E$17</f>
        <v>54</v>
      </c>
      <c r="L65" s="11" t="n">
        <f aca="false">IF(H65=0,0,I65/K65)</f>
        <v>0.457704553446477</v>
      </c>
    </row>
    <row r="66" customFormat="false" ht="21" hidden="false" customHeight="true" outlineLevel="0" collapsed="false">
      <c r="A66" s="1" t="s">
        <v>247</v>
      </c>
      <c r="B66" s="11" t="n">
        <f aca="false">Postes!E66</f>
        <v>15</v>
      </c>
      <c r="C66" s="11" t="n">
        <f aca="false">Postes!F66</f>
        <v>2.1</v>
      </c>
      <c r="D66" s="11" t="n">
        <v>35.4485213897162</v>
      </c>
      <c r="E66" s="11" t="n">
        <f aca="false">Parametros!$E$14*Parametros!$E$12*10*Parametros!$E$13*(B66-C66-Parametros!$E$15)/1000</f>
        <v>99.45</v>
      </c>
      <c r="F66" s="11" t="n">
        <f aca="false">D66/E66</f>
        <v>0.356445665054965</v>
      </c>
      <c r="G66" s="11" t="n">
        <v>1.06873231869394</v>
      </c>
      <c r="H66" s="11" t="n">
        <f aca="false">Postes!J66</f>
        <v>2</v>
      </c>
      <c r="I66" s="11" t="n">
        <v>25.8537779003633</v>
      </c>
      <c r="J66" s="11" t="n">
        <f aca="false">IF(H66=0,0,ROUNDUP(MAX(Parametros!$E$16,I66/Parametros!$E$17)/10,0)*10)</f>
        <v>60</v>
      </c>
      <c r="K66" s="11" t="n">
        <f aca="false">J66*Parametros!$E$17</f>
        <v>54</v>
      </c>
      <c r="L66" s="11" t="n">
        <f aca="false">IF(H66=0,0,I66/K66)</f>
        <v>0.478773664821542</v>
      </c>
    </row>
    <row r="67" customFormat="false" ht="21" hidden="false" customHeight="true" outlineLevel="0" collapsed="false">
      <c r="A67" s="1" t="s">
        <v>248</v>
      </c>
      <c r="B67" s="11" t="n">
        <f aca="false">Postes!E67</f>
        <v>15</v>
      </c>
      <c r="C67" s="11" t="n">
        <f aca="false">Postes!F67</f>
        <v>2.1</v>
      </c>
      <c r="D67" s="11" t="n">
        <v>40.761544125866</v>
      </c>
      <c r="E67" s="11" t="n">
        <f aca="false">Parametros!$E$14*Parametros!$E$12*10*Parametros!$E$13*(B67-C67-Parametros!$E$15)/1000</f>
        <v>99.45</v>
      </c>
      <c r="F67" s="11" t="n">
        <f aca="false">D67/E67</f>
        <v>0.409869724744756</v>
      </c>
      <c r="G67" s="11" t="n">
        <v>1.37422087081479</v>
      </c>
      <c r="H67" s="11" t="n">
        <f aca="false">Postes!J67</f>
        <v>0</v>
      </c>
      <c r="I67" s="11" t="n">
        <v>0</v>
      </c>
      <c r="J67" s="11" t="n">
        <f aca="false">IF(H67=0,0,ROUNDUP(MAX(Parametros!$E$16,I67/Parametros!$E$17)/10,0)*10)</f>
        <v>0</v>
      </c>
      <c r="K67" s="11" t="n">
        <f aca="false">J67*Parametros!$E$17</f>
        <v>0</v>
      </c>
      <c r="L67" s="11" t="n">
        <f aca="false">IF(H67=0,0,I67/K67)</f>
        <v>0</v>
      </c>
    </row>
    <row r="68" customFormat="false" ht="21" hidden="false" customHeight="true" outlineLevel="0" collapsed="false">
      <c r="A68" s="1" t="s">
        <v>249</v>
      </c>
      <c r="B68" s="11" t="n">
        <f aca="false">Postes!E68</f>
        <v>13</v>
      </c>
      <c r="C68" s="11" t="n">
        <f aca="false">Postes!F68</f>
        <v>1.9</v>
      </c>
      <c r="D68" s="11" t="n">
        <v>32.7967075831271</v>
      </c>
      <c r="E68" s="11" t="n">
        <f aca="false">Parametros!$E$14*Parametros!$E$12*10*Parametros!$E$13*(B68-C68-Parametros!$E$15)/1000</f>
        <v>85.41</v>
      </c>
      <c r="F68" s="11" t="n">
        <f aca="false">D68/E68</f>
        <v>0.383991424694147</v>
      </c>
      <c r="G68" s="11" t="n">
        <v>-5.12498706219176</v>
      </c>
      <c r="H68" s="11" t="n">
        <f aca="false">Postes!J68</f>
        <v>2</v>
      </c>
      <c r="I68" s="11" t="n">
        <v>25.7088615567615</v>
      </c>
      <c r="J68" s="11" t="n">
        <f aca="false">IF(H68=0,0,ROUNDUP(MAX(Parametros!$E$16,I68/Parametros!$E$17)/10,0)*10)</f>
        <v>60</v>
      </c>
      <c r="K68" s="11" t="n">
        <f aca="false">J68*Parametros!$E$17</f>
        <v>54</v>
      </c>
      <c r="L68" s="11" t="n">
        <f aca="false">IF(H68=0,0,I68/K68)</f>
        <v>0.476090028828916</v>
      </c>
    </row>
    <row r="69" customFormat="false" ht="21" hidden="false" customHeight="true" outlineLevel="0" collapsed="false">
      <c r="A69" s="1" t="s">
        <v>250</v>
      </c>
      <c r="B69" s="11" t="n">
        <f aca="false">Postes!E69</f>
        <v>13</v>
      </c>
      <c r="C69" s="11" t="n">
        <f aca="false">Postes!F69</f>
        <v>1.9</v>
      </c>
      <c r="D69" s="11" t="n">
        <v>32.7309828904712</v>
      </c>
      <c r="E69" s="11" t="n">
        <f aca="false">Parametros!$E$14*Parametros!$E$12*10*Parametros!$E$13*(B69-C69-Parametros!$E$15)/1000</f>
        <v>85.41</v>
      </c>
      <c r="F69" s="11" t="n">
        <f aca="false">D69/E69</f>
        <v>0.3832219048176</v>
      </c>
      <c r="G69" s="11" t="n">
        <v>1.49686116991159</v>
      </c>
      <c r="H69" s="11" t="n">
        <f aca="false">Postes!J69</f>
        <v>0</v>
      </c>
      <c r="I69" s="11" t="n">
        <v>0</v>
      </c>
      <c r="J69" s="11" t="n">
        <f aca="false">IF(H69=0,0,ROUNDUP(MAX(Parametros!$E$16,I69/Parametros!$E$17)/10,0)*10)</f>
        <v>0</v>
      </c>
      <c r="K69" s="11" t="n">
        <f aca="false">J69*Parametros!$E$17</f>
        <v>0</v>
      </c>
      <c r="L69" s="11" t="n">
        <f aca="false">IF(H69=0,0,I69/K69)</f>
        <v>0</v>
      </c>
    </row>
    <row r="70" customFormat="false" ht="21" hidden="false" customHeight="true" outlineLevel="0" collapsed="false">
      <c r="A70" s="1" t="s">
        <v>251</v>
      </c>
      <c r="B70" s="11" t="n">
        <f aca="false">Postes!E70</f>
        <v>13</v>
      </c>
      <c r="C70" s="11" t="n">
        <f aca="false">Postes!F70</f>
        <v>1.9</v>
      </c>
      <c r="D70" s="11" t="n">
        <v>28.4662216307551</v>
      </c>
      <c r="E70" s="11" t="n">
        <f aca="false">Parametros!$E$14*Parametros!$E$12*10*Parametros!$E$13*(B70-C70-Parametros!$E$15)/1000</f>
        <v>85.41</v>
      </c>
      <c r="F70" s="11" t="n">
        <f aca="false">D70/E70</f>
        <v>0.33328909531384</v>
      </c>
      <c r="G70" s="11" t="n">
        <v>-3.76780956087092</v>
      </c>
      <c r="H70" s="11" t="n">
        <f aca="false">Postes!J70</f>
        <v>2</v>
      </c>
      <c r="I70" s="11" t="n">
        <v>25.8413157394253</v>
      </c>
      <c r="J70" s="11" t="n">
        <f aca="false">IF(H70=0,0,ROUNDUP(MAX(Parametros!$E$16,I70/Parametros!$E$17)/10,0)*10)</f>
        <v>60</v>
      </c>
      <c r="K70" s="11" t="n">
        <f aca="false">J70*Parametros!$E$17</f>
        <v>54</v>
      </c>
      <c r="L70" s="11" t="n">
        <f aca="false">IF(H70=0,0,I70/K70)</f>
        <v>0.478542884063431</v>
      </c>
    </row>
    <row r="71" customFormat="false" ht="21" hidden="false" customHeight="true" outlineLevel="0" collapsed="false">
      <c r="A71" s="1" t="s">
        <v>252</v>
      </c>
      <c r="B71" s="11" t="n">
        <f aca="false">Postes!E71</f>
        <v>15</v>
      </c>
      <c r="C71" s="11" t="n">
        <f aca="false">Postes!F71</f>
        <v>2.1</v>
      </c>
      <c r="D71" s="11" t="n">
        <v>38.2198382440746</v>
      </c>
      <c r="E71" s="11" t="n">
        <f aca="false">Parametros!$E$14*Parametros!$E$12*10*Parametros!$E$13*(B71-C71-Parametros!$E$15)/1000</f>
        <v>99.45</v>
      </c>
      <c r="F71" s="11" t="n">
        <f aca="false">D71/E71</f>
        <v>0.384312098985164</v>
      </c>
      <c r="G71" s="11" t="n">
        <v>0.81340959341064</v>
      </c>
      <c r="H71" s="11" t="n">
        <f aca="false">Postes!J71</f>
        <v>2</v>
      </c>
      <c r="I71" s="11" t="n">
        <v>25.7872632195807</v>
      </c>
      <c r="J71" s="11" t="n">
        <f aca="false">IF(H71=0,0,ROUNDUP(MAX(Parametros!$E$16,I71/Parametros!$E$17)/10,0)*10)</f>
        <v>60</v>
      </c>
      <c r="K71" s="11" t="n">
        <f aca="false">J71*Parametros!$E$17</f>
        <v>54</v>
      </c>
      <c r="L71" s="11" t="n">
        <f aca="false">IF(H71=0,0,I71/K71)</f>
        <v>0.477541911473717</v>
      </c>
    </row>
    <row r="72" customFormat="false" ht="21" hidden="false" customHeight="true" outlineLevel="0" collapsed="false">
      <c r="A72" s="1" t="s">
        <v>253</v>
      </c>
      <c r="B72" s="11" t="n">
        <f aca="false">Postes!E72</f>
        <v>15</v>
      </c>
      <c r="C72" s="11" t="n">
        <f aca="false">Postes!F72</f>
        <v>2.1</v>
      </c>
      <c r="D72" s="11" t="n">
        <v>41.2177830203905</v>
      </c>
      <c r="E72" s="11" t="n">
        <f aca="false">Parametros!$E$14*Parametros!$E$12*10*Parametros!$E$13*(B72-C72-Parametros!$E$15)/1000</f>
        <v>99.45</v>
      </c>
      <c r="F72" s="11" t="n">
        <f aca="false">D72/E72</f>
        <v>0.414457345604731</v>
      </c>
      <c r="G72" s="11" t="n">
        <v>1.19625814825829</v>
      </c>
      <c r="H72" s="11" t="n">
        <f aca="false">Postes!J72</f>
        <v>0</v>
      </c>
      <c r="I72" s="11" t="n">
        <v>0</v>
      </c>
      <c r="J72" s="11" t="n">
        <f aca="false">IF(H72=0,0,ROUNDUP(MAX(Parametros!$E$16,I72/Parametros!$E$17)/10,0)*10)</f>
        <v>0</v>
      </c>
      <c r="K72" s="11" t="n">
        <f aca="false">J72*Parametros!$E$17</f>
        <v>0</v>
      </c>
      <c r="L72" s="11" t="n">
        <f aca="false">IF(H72=0,0,I72/K72)</f>
        <v>0</v>
      </c>
    </row>
    <row r="73" customFormat="false" ht="21" hidden="false" customHeight="true" outlineLevel="0" collapsed="false">
      <c r="A73" s="1" t="s">
        <v>254</v>
      </c>
      <c r="B73" s="11" t="n">
        <f aca="false">Postes!E73</f>
        <v>15</v>
      </c>
      <c r="C73" s="11" t="n">
        <f aca="false">Postes!F73</f>
        <v>2.1</v>
      </c>
      <c r="D73" s="11" t="n">
        <v>38.6595450699725</v>
      </c>
      <c r="E73" s="11" t="n">
        <f aca="false">Parametros!$E$14*Parametros!$E$12*10*Parametros!$E$13*(B73-C73-Parametros!$E$15)/1000</f>
        <v>99.45</v>
      </c>
      <c r="F73" s="11" t="n">
        <f aca="false">D73/E73</f>
        <v>0.38873348486649</v>
      </c>
      <c r="G73" s="11" t="n">
        <v>-1.91788407219209</v>
      </c>
      <c r="H73" s="11" t="n">
        <f aca="false">Postes!J73</f>
        <v>2</v>
      </c>
      <c r="I73" s="11" t="n">
        <v>25.9563713922113</v>
      </c>
      <c r="J73" s="11" t="n">
        <f aca="false">IF(H73=0,0,ROUNDUP(MAX(Parametros!$E$16,I73/Parametros!$E$17)/10,0)*10)</f>
        <v>60</v>
      </c>
      <c r="K73" s="11" t="n">
        <f aca="false">J73*Parametros!$E$17</f>
        <v>54</v>
      </c>
      <c r="L73" s="11" t="n">
        <f aca="false">IF(H73=0,0,I73/K73)</f>
        <v>0.48067354430021</v>
      </c>
    </row>
    <row r="74" customFormat="false" ht="21" hidden="false" customHeight="true" outlineLevel="0" collapsed="false">
      <c r="A74" s="1" t="s">
        <v>255</v>
      </c>
      <c r="B74" s="11" t="n">
        <f aca="false">Postes!E74</f>
        <v>15</v>
      </c>
      <c r="C74" s="11" t="n">
        <f aca="false">Postes!F74</f>
        <v>2.1</v>
      </c>
      <c r="D74" s="11" t="n">
        <v>37.2399700582794</v>
      </c>
      <c r="E74" s="11" t="n">
        <f aca="false">Parametros!$E$14*Parametros!$E$12*10*Parametros!$E$13*(B74-C74-Parametros!$E$15)/1000</f>
        <v>99.45</v>
      </c>
      <c r="F74" s="11" t="n">
        <f aca="false">D74/E74</f>
        <v>0.374459226327596</v>
      </c>
      <c r="G74" s="11" t="n">
        <v>0.873619842067987</v>
      </c>
      <c r="H74" s="11" t="n">
        <f aca="false">Postes!J74</f>
        <v>0</v>
      </c>
      <c r="I74" s="11" t="n">
        <v>0</v>
      </c>
      <c r="J74" s="11" t="n">
        <f aca="false">IF(H74=0,0,ROUNDUP(MAX(Parametros!$E$16,I74/Parametros!$E$17)/10,0)*10)</f>
        <v>0</v>
      </c>
      <c r="K74" s="11" t="n">
        <f aca="false">J74*Parametros!$E$17</f>
        <v>0</v>
      </c>
      <c r="L74" s="11" t="n">
        <f aca="false">IF(H74=0,0,I74/K74)</f>
        <v>0</v>
      </c>
    </row>
    <row r="75" customFormat="false" ht="21" hidden="false" customHeight="true" outlineLevel="0" collapsed="false">
      <c r="A75" s="1" t="s">
        <v>256</v>
      </c>
      <c r="B75" s="11" t="n">
        <f aca="false">Postes!E75</f>
        <v>13</v>
      </c>
      <c r="C75" s="11" t="n">
        <f aca="false">Postes!F75</f>
        <v>1.9</v>
      </c>
      <c r="D75" s="11" t="n">
        <v>30.8871616620718</v>
      </c>
      <c r="E75" s="11" t="n">
        <f aca="false">Parametros!$E$14*Parametros!$E$12*10*Parametros!$E$13*(B75-C75-Parametros!$E$15)/1000</f>
        <v>85.41</v>
      </c>
      <c r="F75" s="11" t="n">
        <f aca="false">D75/E75</f>
        <v>0.361634020162415</v>
      </c>
      <c r="G75" s="11" t="n">
        <v>1.30965492371308</v>
      </c>
      <c r="H75" s="11" t="n">
        <f aca="false">Postes!J75</f>
        <v>2</v>
      </c>
      <c r="I75" s="11" t="n">
        <v>25.851883065127</v>
      </c>
      <c r="J75" s="11" t="n">
        <f aca="false">IF(H75=0,0,ROUNDUP(MAX(Parametros!$E$16,I75/Parametros!$E$17)/10,0)*10)</f>
        <v>60</v>
      </c>
      <c r="K75" s="11" t="n">
        <f aca="false">J75*Parametros!$E$17</f>
        <v>54</v>
      </c>
      <c r="L75" s="11" t="n">
        <f aca="false">IF(H75=0,0,I75/K75)</f>
        <v>0.47873857528013</v>
      </c>
    </row>
    <row r="76" customFormat="false" ht="21" hidden="false" customHeight="true" outlineLevel="0" collapsed="false">
      <c r="A76" s="1" t="s">
        <v>257</v>
      </c>
      <c r="B76" s="11" t="n">
        <f aca="false">Postes!E76</f>
        <v>13</v>
      </c>
      <c r="C76" s="11" t="n">
        <f aca="false">Postes!F76</f>
        <v>1.9</v>
      </c>
      <c r="D76" s="11" t="n">
        <v>32.5326634809786</v>
      </c>
      <c r="E76" s="11" t="n">
        <f aca="false">Parametros!$E$14*Parametros!$E$12*10*Parametros!$E$13*(B76-C76-Parametros!$E$15)/1000</f>
        <v>85.41</v>
      </c>
      <c r="F76" s="11" t="n">
        <f aca="false">D76/E76</f>
        <v>0.380899935382023</v>
      </c>
      <c r="G76" s="11" t="n">
        <v>-0.330895986930921</v>
      </c>
      <c r="H76" s="11" t="n">
        <f aca="false">Postes!J76</f>
        <v>2</v>
      </c>
      <c r="I76" s="11" t="n">
        <v>25.8591184369514</v>
      </c>
      <c r="J76" s="11" t="n">
        <f aca="false">IF(H76=0,0,ROUNDUP(MAX(Parametros!$E$16,I76/Parametros!$E$17)/10,0)*10)</f>
        <v>60</v>
      </c>
      <c r="K76" s="11" t="n">
        <f aca="false">J76*Parametros!$E$17</f>
        <v>54</v>
      </c>
      <c r="L76" s="11" t="n">
        <f aca="false">IF(H76=0,0,I76/K76)</f>
        <v>0.478872563647248</v>
      </c>
    </row>
    <row r="77" customFormat="false" ht="21" hidden="false" customHeight="true" outlineLevel="0" collapsed="false">
      <c r="A77" s="1" t="s">
        <v>258</v>
      </c>
      <c r="B77" s="11" t="n">
        <f aca="false">Postes!E77</f>
        <v>13</v>
      </c>
      <c r="C77" s="11" t="n">
        <f aca="false">Postes!F77</f>
        <v>1.9</v>
      </c>
      <c r="D77" s="11" t="n">
        <v>30.9860481496845</v>
      </c>
      <c r="E77" s="11" t="n">
        <f aca="false">Parametros!$E$14*Parametros!$E$12*10*Parametros!$E$13*(B77-C77-Parametros!$E$15)/1000</f>
        <v>85.41</v>
      </c>
      <c r="F77" s="11" t="n">
        <f aca="false">D77/E77</f>
        <v>0.36279180599092</v>
      </c>
      <c r="G77" s="11" t="n">
        <v>0.921328513960065</v>
      </c>
      <c r="H77" s="11" t="n">
        <f aca="false">Postes!J77</f>
        <v>2</v>
      </c>
      <c r="I77" s="11" t="n">
        <v>25.8591184369514</v>
      </c>
      <c r="J77" s="11" t="n">
        <f aca="false">IF(H77=0,0,ROUNDUP(MAX(Parametros!$E$16,I77/Parametros!$E$17)/10,0)*10)</f>
        <v>60</v>
      </c>
      <c r="K77" s="11" t="n">
        <f aca="false">J77*Parametros!$E$17</f>
        <v>54</v>
      </c>
      <c r="L77" s="11" t="n">
        <f aca="false">IF(H77=0,0,I77/K77)</f>
        <v>0.478872563647248</v>
      </c>
    </row>
    <row r="78" customFormat="false" ht="21" hidden="false" customHeight="true" outlineLevel="0" collapsed="false">
      <c r="A78" s="1" t="s">
        <v>259</v>
      </c>
      <c r="B78" s="11" t="n">
        <f aca="false">Postes!E78</f>
        <v>13</v>
      </c>
      <c r="C78" s="11" t="n">
        <f aca="false">Postes!F78</f>
        <v>1.9</v>
      </c>
      <c r="D78" s="11" t="n">
        <v>30.0220564810678</v>
      </c>
      <c r="E78" s="11" t="n">
        <f aca="false">Parametros!$E$14*Parametros!$E$12*10*Parametros!$E$13*(B78-C78-Parametros!$E$15)/1000</f>
        <v>85.41</v>
      </c>
      <c r="F78" s="11" t="n">
        <f aca="false">D78/E78</f>
        <v>0.351505168962274</v>
      </c>
      <c r="G78" s="11" t="n">
        <v>-2.7776052321053</v>
      </c>
      <c r="H78" s="11" t="n">
        <f aca="false">Postes!J78</f>
        <v>2</v>
      </c>
      <c r="I78" s="11" t="n">
        <v>25.2466426287329</v>
      </c>
      <c r="J78" s="11" t="n">
        <f aca="false">IF(H78=0,0,ROUNDUP(MAX(Parametros!$E$16,I78/Parametros!$E$17)/10,0)*10)</f>
        <v>60</v>
      </c>
      <c r="K78" s="11" t="n">
        <f aca="false">J78*Parametros!$E$17</f>
        <v>54</v>
      </c>
      <c r="L78" s="11" t="n">
        <f aca="false">IF(H78=0,0,I78/K78)</f>
        <v>0.467530419050609</v>
      </c>
    </row>
    <row r="79" customFormat="false" ht="21" hidden="false" customHeight="true" outlineLevel="0" collapsed="false">
      <c r="A79" s="1" t="s">
        <v>260</v>
      </c>
      <c r="B79" s="11" t="n">
        <f aca="false">Postes!E79</f>
        <v>15</v>
      </c>
      <c r="C79" s="11" t="n">
        <f aca="false">Postes!F79</f>
        <v>2.1</v>
      </c>
      <c r="D79" s="11" t="n">
        <v>39.6866737153273</v>
      </c>
      <c r="E79" s="11" t="n">
        <f aca="false">Parametros!$E$14*Parametros!$E$12*10*Parametros!$E$13*(B79-C79-Parametros!$E$15)/1000</f>
        <v>99.45</v>
      </c>
      <c r="F79" s="11" t="n">
        <f aca="false">D79/E79</f>
        <v>0.399061575820285</v>
      </c>
      <c r="G79" s="11" t="n">
        <v>0.881036242830167</v>
      </c>
      <c r="H79" s="11" t="n">
        <f aca="false">Postes!J79</f>
        <v>2</v>
      </c>
      <c r="I79" s="11" t="n">
        <v>25.9631678078555</v>
      </c>
      <c r="J79" s="11" t="n">
        <f aca="false">IF(H79=0,0,ROUNDUP(MAX(Parametros!$E$16,I79/Parametros!$E$17)/10,0)*10)</f>
        <v>60</v>
      </c>
      <c r="K79" s="11" t="n">
        <f aca="false">J79*Parametros!$E$17</f>
        <v>54</v>
      </c>
      <c r="L79" s="11" t="n">
        <f aca="false">IF(H79=0,0,I79/K79)</f>
        <v>0.480799403849176</v>
      </c>
    </row>
    <row r="80" customFormat="false" ht="21" hidden="false" customHeight="true" outlineLevel="0" collapsed="false">
      <c r="A80" s="1" t="s">
        <v>261</v>
      </c>
      <c r="B80" s="11" t="n">
        <f aca="false">Postes!E80</f>
        <v>17</v>
      </c>
      <c r="C80" s="11" t="n">
        <f aca="false">Postes!F80</f>
        <v>2.1</v>
      </c>
      <c r="D80" s="11" t="n">
        <v>51.6443712581127</v>
      </c>
      <c r="E80" s="11" t="n">
        <f aca="false">Parametros!$E$14*Parametros!$E$12*10*Parametros!$E$13*(B80-C80-Parametros!$E$15)/1000</f>
        <v>115.05</v>
      </c>
      <c r="F80" s="11" t="n">
        <f aca="false">D80/E80</f>
        <v>0.448886321235226</v>
      </c>
      <c r="G80" s="11" t="n">
        <v>1.47093870213351</v>
      </c>
      <c r="H80" s="11" t="n">
        <f aca="false">Postes!J80</f>
        <v>0</v>
      </c>
      <c r="I80" s="11" t="n">
        <v>0</v>
      </c>
      <c r="J80" s="11" t="n">
        <f aca="false">IF(H80=0,0,ROUNDUP(MAX(Parametros!$E$16,I80/Parametros!$E$17)/10,0)*10)</f>
        <v>0</v>
      </c>
      <c r="K80" s="11" t="n">
        <f aca="false">J80*Parametros!$E$17</f>
        <v>0</v>
      </c>
      <c r="L80" s="11" t="n">
        <f aca="false">IF(H80=0,0,I80/K80)</f>
        <v>0</v>
      </c>
    </row>
    <row r="81" customFormat="false" ht="21" hidden="false" customHeight="true" outlineLevel="0" collapsed="false">
      <c r="A81" s="1" t="s">
        <v>262</v>
      </c>
      <c r="B81" s="11" t="n">
        <f aca="false">Postes!E81</f>
        <v>15</v>
      </c>
      <c r="C81" s="11" t="n">
        <f aca="false">Postes!F81</f>
        <v>2.1</v>
      </c>
      <c r="D81" s="11" t="n">
        <v>37.5536684482115</v>
      </c>
      <c r="E81" s="11" t="n">
        <f aca="false">Parametros!$E$14*Parametros!$E$12*10*Parametros!$E$13*(B81-C81-Parametros!$E$15)/1000</f>
        <v>99.45</v>
      </c>
      <c r="F81" s="11" t="n">
        <f aca="false">D81/E81</f>
        <v>0.377613559056928</v>
      </c>
      <c r="G81" s="11" t="n">
        <v>-1.66168220605489</v>
      </c>
      <c r="H81" s="11" t="n">
        <f aca="false">Postes!J81</f>
        <v>2</v>
      </c>
      <c r="I81" s="11" t="n">
        <v>26.0683517470989</v>
      </c>
      <c r="J81" s="11" t="n">
        <f aca="false">IF(H81=0,0,ROUNDUP(MAX(Parametros!$E$16,I81/Parametros!$E$17)/10,0)*10)</f>
        <v>60</v>
      </c>
      <c r="K81" s="11" t="n">
        <f aca="false">J81*Parametros!$E$17</f>
        <v>54</v>
      </c>
      <c r="L81" s="11" t="n">
        <f aca="false">IF(H81=0,0,I81/K81)</f>
        <v>0.482747254575906</v>
      </c>
    </row>
    <row r="82" customFormat="false" ht="21" hidden="false" customHeight="true" outlineLevel="0" collapsed="false">
      <c r="A82" s="1" t="s">
        <v>263</v>
      </c>
      <c r="B82" s="11" t="n">
        <f aca="false">Postes!E82</f>
        <v>13</v>
      </c>
      <c r="C82" s="11" t="n">
        <f aca="false">Postes!F82</f>
        <v>1.9</v>
      </c>
      <c r="D82" s="11" t="n">
        <v>27.1870977335552</v>
      </c>
      <c r="E82" s="11" t="n">
        <f aca="false">Parametros!$E$14*Parametros!$E$12*10*Parametros!$E$13*(B82-C82-Parametros!$E$15)/1000</f>
        <v>85.41</v>
      </c>
      <c r="F82" s="11" t="n">
        <f aca="false">D82/E82</f>
        <v>0.318312817393223</v>
      </c>
      <c r="G82" s="11" t="n">
        <v>0.926201828165672</v>
      </c>
      <c r="H82" s="11" t="n">
        <f aca="false">Postes!J82</f>
        <v>2</v>
      </c>
      <c r="I82" s="11" t="n">
        <v>24.8911404122741</v>
      </c>
      <c r="J82" s="11" t="n">
        <f aca="false">IF(H82=0,0,ROUNDUP(MAX(Parametros!$E$16,I82/Parametros!$E$17)/10,0)*10)</f>
        <v>60</v>
      </c>
      <c r="K82" s="11" t="n">
        <f aca="false">J82*Parametros!$E$17</f>
        <v>54</v>
      </c>
      <c r="L82" s="11" t="n">
        <f aca="false">IF(H82=0,0,I82/K82)</f>
        <v>0.460947044671742</v>
      </c>
    </row>
    <row r="83" customFormat="false" ht="21" hidden="false" customHeight="true" outlineLevel="0" collapsed="false">
      <c r="A83" s="1" t="s">
        <v>264</v>
      </c>
      <c r="B83" s="11" t="n">
        <f aca="false">Postes!E83</f>
        <v>13</v>
      </c>
      <c r="C83" s="11" t="n">
        <f aca="false">Postes!F83</f>
        <v>1.9</v>
      </c>
      <c r="D83" s="11" t="n">
        <v>28.4412248510157</v>
      </c>
      <c r="E83" s="11" t="n">
        <f aca="false">Parametros!$E$14*Parametros!$E$12*10*Parametros!$E$13*(B83-C83-Parametros!$E$15)/1000</f>
        <v>85.41</v>
      </c>
      <c r="F83" s="11" t="n">
        <f aca="false">D83/E83</f>
        <v>0.332996427245237</v>
      </c>
      <c r="G83" s="11" t="n">
        <v>-1.53561635328234</v>
      </c>
      <c r="H83" s="11" t="n">
        <f aca="false">Postes!J83</f>
        <v>2</v>
      </c>
      <c r="I83" s="11" t="n">
        <v>24.8911404122741</v>
      </c>
      <c r="J83" s="11" t="n">
        <f aca="false">IF(H83=0,0,ROUNDUP(MAX(Parametros!$E$16,I83/Parametros!$E$17)/10,0)*10)</f>
        <v>60</v>
      </c>
      <c r="K83" s="11" t="n">
        <f aca="false">J83*Parametros!$E$17</f>
        <v>54</v>
      </c>
      <c r="L83" s="11" t="n">
        <f aca="false">IF(H83=0,0,I83/K83)</f>
        <v>0.460947044671742</v>
      </c>
    </row>
    <row r="84" customFormat="false" ht="21" hidden="false" customHeight="true" outlineLevel="0" collapsed="false">
      <c r="A84" s="1" t="s">
        <v>265</v>
      </c>
      <c r="B84" s="11" t="n">
        <f aca="false">Postes!E84</f>
        <v>13</v>
      </c>
      <c r="C84" s="11" t="n">
        <f aca="false">Postes!F84</f>
        <v>1.9</v>
      </c>
      <c r="D84" s="11" t="n">
        <v>30.709833504014</v>
      </c>
      <c r="E84" s="11" t="n">
        <f aca="false">Parametros!$E$14*Parametros!$E$12*10*Parametros!$E$13*(B84-C84-Parametros!$E$15)/1000</f>
        <v>85.41</v>
      </c>
      <c r="F84" s="11" t="n">
        <f aca="false">D84/E84</f>
        <v>0.359557821145229</v>
      </c>
      <c r="G84" s="11" t="n">
        <v>1.0913242190492</v>
      </c>
      <c r="H84" s="11" t="n">
        <f aca="false">Postes!J84</f>
        <v>2</v>
      </c>
      <c r="I84" s="11" t="n">
        <v>26.1006022139601</v>
      </c>
      <c r="J84" s="11" t="n">
        <f aca="false">IF(H84=0,0,ROUNDUP(MAX(Parametros!$E$16,I84/Parametros!$E$17)/10,0)*10)</f>
        <v>60</v>
      </c>
      <c r="K84" s="11" t="n">
        <f aca="false">J84*Parametros!$E$17</f>
        <v>54</v>
      </c>
      <c r="L84" s="11" t="n">
        <f aca="false">IF(H84=0,0,I84/K84)</f>
        <v>0.483344485443705</v>
      </c>
    </row>
    <row r="85" customFormat="false" ht="21" hidden="false" customHeight="true" outlineLevel="0" collapsed="false">
      <c r="A85" s="1" t="s">
        <v>266</v>
      </c>
      <c r="B85" s="11" t="n">
        <f aca="false">Postes!E85</f>
        <v>13</v>
      </c>
      <c r="C85" s="11" t="n">
        <f aca="false">Postes!F85</f>
        <v>1.9</v>
      </c>
      <c r="D85" s="11" t="n">
        <v>32.427003871137</v>
      </c>
      <c r="E85" s="11" t="n">
        <f aca="false">Parametros!$E$14*Parametros!$E$12*10*Parametros!$E$13*(B85-C85-Parametros!$E$15)/1000</f>
        <v>85.41</v>
      </c>
      <c r="F85" s="11" t="n">
        <f aca="false">D85/E85</f>
        <v>0.37966284827464</v>
      </c>
      <c r="G85" s="11" t="n">
        <v>-0.245785828669812</v>
      </c>
      <c r="H85" s="11" t="n">
        <f aca="false">Postes!J85</f>
        <v>2</v>
      </c>
      <c r="I85" s="11" t="n">
        <v>26.1006022139601</v>
      </c>
      <c r="J85" s="11" t="n">
        <f aca="false">IF(H85=0,0,ROUNDUP(MAX(Parametros!$E$16,I85/Parametros!$E$17)/10,0)*10)</f>
        <v>60</v>
      </c>
      <c r="K85" s="11" t="n">
        <f aca="false">J85*Parametros!$E$17</f>
        <v>54</v>
      </c>
      <c r="L85" s="11" t="n">
        <f aca="false">IF(H85=0,0,I85/K85)</f>
        <v>0.483344485443705</v>
      </c>
    </row>
    <row r="86" customFormat="false" ht="21" hidden="false" customHeight="true" outlineLevel="0" collapsed="false">
      <c r="A86" s="1" t="s">
        <v>267</v>
      </c>
      <c r="B86" s="11" t="n">
        <f aca="false">Postes!E86</f>
        <v>13</v>
      </c>
      <c r="C86" s="11" t="n">
        <f aca="false">Postes!F86</f>
        <v>1.9</v>
      </c>
      <c r="D86" s="11" t="n">
        <v>33.513492624566</v>
      </c>
      <c r="E86" s="11" t="n">
        <f aca="false">Parametros!$E$14*Parametros!$E$12*10*Parametros!$E$13*(B86-C86-Parametros!$E$15)/1000</f>
        <v>85.41</v>
      </c>
      <c r="F86" s="11" t="n">
        <f aca="false">D86/E86</f>
        <v>0.392383709455169</v>
      </c>
      <c r="G86" s="11" t="n">
        <v>-0.466528819705793</v>
      </c>
      <c r="H86" s="11" t="n">
        <f aca="false">Postes!J86</f>
        <v>2</v>
      </c>
      <c r="I86" s="11" t="n">
        <v>26.5401279417001</v>
      </c>
      <c r="J86" s="11" t="n">
        <f aca="false">IF(H86=0,0,ROUNDUP(MAX(Parametros!$E$16,I86/Parametros!$E$17)/10,0)*10)</f>
        <v>60</v>
      </c>
      <c r="K86" s="11" t="n">
        <f aca="false">J86*Parametros!$E$17</f>
        <v>54</v>
      </c>
      <c r="L86" s="11" t="n">
        <f aca="false">IF(H86=0,0,I86/K86)</f>
        <v>0.491483850772223</v>
      </c>
    </row>
    <row r="87" customFormat="false" ht="21" hidden="false" customHeight="true" outlineLevel="0" collapsed="false">
      <c r="A87" s="1" t="s">
        <v>268</v>
      </c>
      <c r="B87" s="11" t="n">
        <f aca="false">Postes!E87</f>
        <v>13</v>
      </c>
      <c r="C87" s="11" t="n">
        <f aca="false">Postes!F87</f>
        <v>1.9</v>
      </c>
      <c r="D87" s="11" t="n">
        <v>35.7381957536211</v>
      </c>
      <c r="E87" s="11" t="n">
        <f aca="false">Parametros!$E$14*Parametros!$E$12*10*Parametros!$E$13*(B87-C87-Parametros!$E$15)/1000</f>
        <v>85.41</v>
      </c>
      <c r="F87" s="11" t="n">
        <f aca="false">D87/E87</f>
        <v>0.418431047343649</v>
      </c>
      <c r="G87" s="11" t="n">
        <v>1.14889011548672</v>
      </c>
      <c r="H87" s="11" t="n">
        <f aca="false">Postes!J87</f>
        <v>0</v>
      </c>
      <c r="I87" s="11" t="n">
        <v>0</v>
      </c>
      <c r="J87" s="11" t="n">
        <f aca="false">IF(H87=0,0,ROUNDUP(MAX(Parametros!$E$16,I87/Parametros!$E$17)/10,0)*10)</f>
        <v>0</v>
      </c>
      <c r="K87" s="11" t="n">
        <f aca="false">J87*Parametros!$E$17</f>
        <v>0</v>
      </c>
      <c r="L87" s="11" t="n">
        <f aca="false">IF(H87=0,0,I87/K87)</f>
        <v>0</v>
      </c>
    </row>
    <row r="88" customFormat="false" ht="21" hidden="false" customHeight="true" outlineLevel="0" collapsed="false">
      <c r="A88" s="1" t="s">
        <v>269</v>
      </c>
      <c r="B88" s="11" t="n">
        <f aca="false">Postes!E88</f>
        <v>13</v>
      </c>
      <c r="C88" s="11" t="n">
        <f aca="false">Postes!F88</f>
        <v>1.9</v>
      </c>
      <c r="D88" s="11" t="n">
        <v>35.7246876700071</v>
      </c>
      <c r="E88" s="11" t="n">
        <f aca="false">Parametros!$E$14*Parametros!$E$12*10*Parametros!$E$13*(B88-C88-Parametros!$E$15)/1000</f>
        <v>85.41</v>
      </c>
      <c r="F88" s="11" t="n">
        <f aca="false">D88/E88</f>
        <v>0.418272891581866</v>
      </c>
      <c r="G88" s="11" t="n">
        <v>-0.414740487675672</v>
      </c>
      <c r="H88" s="11" t="n">
        <f aca="false">Postes!J88</f>
        <v>2</v>
      </c>
      <c r="I88" s="11" t="n">
        <v>26.6269204871629</v>
      </c>
      <c r="J88" s="11" t="n">
        <f aca="false">IF(H88=0,0,ROUNDUP(MAX(Parametros!$E$16,I88/Parametros!$E$17)/10,0)*10)</f>
        <v>60</v>
      </c>
      <c r="K88" s="11" t="n">
        <f aca="false">J88*Parametros!$E$17</f>
        <v>54</v>
      </c>
      <c r="L88" s="11" t="n">
        <f aca="false">IF(H88=0,0,I88/K88)</f>
        <v>0.493091120132646</v>
      </c>
    </row>
    <row r="89" customFormat="false" ht="21" hidden="false" customHeight="true" outlineLevel="0" collapsed="false">
      <c r="A89" s="1" t="s">
        <v>270</v>
      </c>
      <c r="B89" s="11" t="n">
        <f aca="false">Postes!E89</f>
        <v>13</v>
      </c>
      <c r="C89" s="11" t="n">
        <f aca="false">Postes!F89</f>
        <v>1.9</v>
      </c>
      <c r="D89" s="11" t="n">
        <v>34.8743741812438</v>
      </c>
      <c r="E89" s="11" t="n">
        <f aca="false">Parametros!$E$14*Parametros!$E$12*10*Parametros!$E$13*(B89-C89-Parametros!$E$15)/1000</f>
        <v>85.41</v>
      </c>
      <c r="F89" s="11" t="n">
        <f aca="false">D89/E89</f>
        <v>0.408317224929678</v>
      </c>
      <c r="G89" s="11" t="n">
        <v>0.986516908063696</v>
      </c>
      <c r="H89" s="11" t="n">
        <f aca="false">Postes!J89</f>
        <v>2</v>
      </c>
      <c r="I89" s="11" t="n">
        <v>26.5347294639603</v>
      </c>
      <c r="J89" s="11" t="n">
        <f aca="false">IF(H89=0,0,ROUNDUP(MAX(Parametros!$E$16,I89/Parametros!$E$17)/10,0)*10)</f>
        <v>60</v>
      </c>
      <c r="K89" s="11" t="n">
        <f aca="false">J89*Parametros!$E$17</f>
        <v>54</v>
      </c>
      <c r="L89" s="11" t="n">
        <f aca="false">IF(H89=0,0,I89/K89)</f>
        <v>0.491383878962228</v>
      </c>
    </row>
    <row r="90" customFormat="false" ht="21" hidden="false" customHeight="true" outlineLevel="0" collapsed="false">
      <c r="A90" s="1" t="s">
        <v>271</v>
      </c>
      <c r="B90" s="11" t="n">
        <f aca="false">Postes!E90</f>
        <v>13</v>
      </c>
      <c r="C90" s="11" t="n">
        <f aca="false">Postes!F90</f>
        <v>1.9</v>
      </c>
      <c r="D90" s="11" t="n">
        <v>34.2776448758427</v>
      </c>
      <c r="E90" s="11" t="n">
        <f aca="false">Parametros!$E$14*Parametros!$E$12*10*Parametros!$E$13*(B90-C90-Parametros!$E$15)/1000</f>
        <v>85.41</v>
      </c>
      <c r="F90" s="11" t="n">
        <f aca="false">D90/E90</f>
        <v>0.401330580445412</v>
      </c>
      <c r="G90" s="11" t="n">
        <v>0.935807937415268</v>
      </c>
      <c r="H90" s="11" t="n">
        <f aca="false">Postes!J90</f>
        <v>0</v>
      </c>
      <c r="I90" s="11" t="n">
        <v>0</v>
      </c>
      <c r="J90" s="11" t="n">
        <f aca="false">IF(H90=0,0,ROUNDUP(MAX(Parametros!$E$16,I90/Parametros!$E$17)/10,0)*10)</f>
        <v>0</v>
      </c>
      <c r="K90" s="11" t="n">
        <f aca="false">J90*Parametros!$E$17</f>
        <v>0</v>
      </c>
      <c r="L90" s="11" t="n">
        <f aca="false">IF(H90=0,0,I90/K90)</f>
        <v>0</v>
      </c>
    </row>
    <row r="91" customFormat="false" ht="21" hidden="false" customHeight="true" outlineLevel="0" collapsed="false">
      <c r="A91" s="1" t="s">
        <v>272</v>
      </c>
      <c r="B91" s="11" t="n">
        <f aca="false">Postes!E91</f>
        <v>13</v>
      </c>
      <c r="C91" s="11" t="n">
        <f aca="false">Postes!F91</f>
        <v>1.9</v>
      </c>
      <c r="D91" s="11" t="n">
        <v>34.3447545572427</v>
      </c>
      <c r="E91" s="11" t="n">
        <f aca="false">Parametros!$E$14*Parametros!$E$12*10*Parametros!$E$13*(B91-C91-Parametros!$E$15)/1000</f>
        <v>85.41</v>
      </c>
      <c r="F91" s="11" t="n">
        <f aca="false">D91/E91</f>
        <v>0.402116316089951</v>
      </c>
      <c r="G91" s="11" t="n">
        <v>-0.234446423169786</v>
      </c>
      <c r="H91" s="11" t="n">
        <f aca="false">Postes!J91</f>
        <v>2</v>
      </c>
      <c r="I91" s="11" t="n">
        <v>26.20481737967</v>
      </c>
      <c r="J91" s="11" t="n">
        <f aca="false">IF(H91=0,0,ROUNDUP(MAX(Parametros!$E$16,I91/Parametros!$E$17)/10,0)*10)</f>
        <v>60</v>
      </c>
      <c r="K91" s="11" t="n">
        <f aca="false">J91*Parametros!$E$17</f>
        <v>54</v>
      </c>
      <c r="L91" s="11" t="n">
        <f aca="false">IF(H91=0,0,I91/K91)</f>
        <v>0.485274395919816</v>
      </c>
    </row>
    <row r="92" customFormat="false" ht="21" hidden="false" customHeight="true" outlineLevel="0" collapsed="false">
      <c r="A92" s="1" t="s">
        <v>273</v>
      </c>
      <c r="B92" s="11" t="n">
        <f aca="false">Postes!E92</f>
        <v>13</v>
      </c>
      <c r="C92" s="11" t="n">
        <f aca="false">Postes!F92</f>
        <v>1.9</v>
      </c>
      <c r="D92" s="11" t="n">
        <v>28.4849052153168</v>
      </c>
      <c r="E92" s="11" t="n">
        <f aca="false">Parametros!$E$14*Parametros!$E$12*10*Parametros!$E$13*(B92-C92-Parametros!$E$15)/1000</f>
        <v>85.41</v>
      </c>
      <c r="F92" s="11" t="n">
        <f aca="false">D92/E92</f>
        <v>0.333507847035672</v>
      </c>
      <c r="G92" s="11" t="n">
        <v>1.39453597881522</v>
      </c>
      <c r="H92" s="11" t="n">
        <f aca="false">Postes!J92</f>
        <v>2</v>
      </c>
      <c r="I92" s="11" t="n">
        <v>26.0966931684677</v>
      </c>
      <c r="J92" s="11" t="n">
        <f aca="false">IF(H92=0,0,ROUNDUP(MAX(Parametros!$E$16,I92/Parametros!$E$17)/10,0)*10)</f>
        <v>60</v>
      </c>
      <c r="K92" s="11" t="n">
        <f aca="false">J92*Parametros!$E$17</f>
        <v>54</v>
      </c>
      <c r="L92" s="11" t="n">
        <f aca="false">IF(H92=0,0,I92/K92)</f>
        <v>0.483272095712365</v>
      </c>
    </row>
    <row r="93" customFormat="false" ht="21" hidden="false" customHeight="true" outlineLevel="0" collapsed="false">
      <c r="A93" s="1" t="s">
        <v>274</v>
      </c>
      <c r="B93" s="11" t="n">
        <f aca="false">Postes!E93</f>
        <v>13</v>
      </c>
      <c r="C93" s="11" t="n">
        <f aca="false">Postes!F93</f>
        <v>1.9</v>
      </c>
      <c r="D93" s="11" t="n">
        <v>28.1326442137717</v>
      </c>
      <c r="E93" s="11" t="n">
        <f aca="false">Parametros!$E$14*Parametros!$E$12*10*Parametros!$E$13*(B93-C93-Parametros!$E$15)/1000</f>
        <v>85.41</v>
      </c>
      <c r="F93" s="11" t="n">
        <f aca="false">D93/E93</f>
        <v>0.329383493897339</v>
      </c>
      <c r="G93" s="11" t="n">
        <v>-0.571373423408993</v>
      </c>
      <c r="H93" s="11" t="n">
        <f aca="false">Postes!J93</f>
        <v>2</v>
      </c>
      <c r="I93" s="11" t="n">
        <v>26.0258133710354</v>
      </c>
      <c r="J93" s="11" t="n">
        <f aca="false">IF(H93=0,0,ROUNDUP(MAX(Parametros!$E$16,I93/Parametros!$E$17)/10,0)*10)</f>
        <v>60</v>
      </c>
      <c r="K93" s="11" t="n">
        <f aca="false">J93*Parametros!$E$17</f>
        <v>54</v>
      </c>
      <c r="L93" s="11" t="n">
        <f aca="false">IF(H93=0,0,I93/K93)</f>
        <v>0.481959506871026</v>
      </c>
    </row>
    <row r="94" customFormat="false" ht="21" hidden="false" customHeight="true" outlineLevel="0" collapsed="false">
      <c r="A94" s="1" t="s">
        <v>275</v>
      </c>
      <c r="B94" s="11" t="n">
        <f aca="false">Postes!E94</f>
        <v>13</v>
      </c>
      <c r="C94" s="11" t="n">
        <f aca="false">Postes!F94</f>
        <v>1.9</v>
      </c>
      <c r="D94" s="11" t="n">
        <v>29.2942907081767</v>
      </c>
      <c r="E94" s="11" t="n">
        <f aca="false">Parametros!$E$14*Parametros!$E$12*10*Parametros!$E$13*(B94-C94-Parametros!$E$15)/1000</f>
        <v>85.41</v>
      </c>
      <c r="F94" s="11" t="n">
        <f aca="false">D94/E94</f>
        <v>0.342984319262108</v>
      </c>
      <c r="G94" s="11" t="n">
        <v>-2.22827408454286</v>
      </c>
      <c r="H94" s="11" t="n">
        <f aca="false">Postes!J94</f>
        <v>2</v>
      </c>
      <c r="I94" s="11" t="n">
        <v>26.0258133710354</v>
      </c>
      <c r="J94" s="11" t="n">
        <f aca="false">IF(H94=0,0,ROUNDUP(MAX(Parametros!$E$16,I94/Parametros!$E$17)/10,0)*10)</f>
        <v>60</v>
      </c>
      <c r="K94" s="11" t="n">
        <f aca="false">J94*Parametros!$E$17</f>
        <v>54</v>
      </c>
      <c r="L94" s="11" t="n">
        <f aca="false">IF(H94=0,0,I94/K94)</f>
        <v>0.481959506871026</v>
      </c>
    </row>
    <row r="95" customFormat="false" ht="21" hidden="false" customHeight="true" outlineLevel="0" collapsed="false">
      <c r="A95" s="1" t="s">
        <v>276</v>
      </c>
      <c r="B95" s="11" t="n">
        <f aca="false">Postes!E95</f>
        <v>13</v>
      </c>
      <c r="C95" s="11" t="n">
        <f aca="false">Postes!F95</f>
        <v>1.9</v>
      </c>
      <c r="D95" s="11" t="n">
        <v>29.2199602835028</v>
      </c>
      <c r="E95" s="11" t="n">
        <f aca="false">Parametros!$E$14*Parametros!$E$12*10*Parametros!$E$13*(B95-C95-Parametros!$E$15)/1000</f>
        <v>85.41</v>
      </c>
      <c r="F95" s="11" t="n">
        <f aca="false">D95/E95</f>
        <v>0.342114041488149</v>
      </c>
      <c r="G95" s="11" t="n">
        <v>0.6058873322298</v>
      </c>
      <c r="H95" s="11" t="n">
        <f aca="false">Postes!J95</f>
        <v>0</v>
      </c>
      <c r="I95" s="11" t="n">
        <v>0</v>
      </c>
      <c r="J95" s="11" t="n">
        <f aca="false">IF(H95=0,0,ROUNDUP(MAX(Parametros!$E$16,I95/Parametros!$E$17)/10,0)*10)</f>
        <v>0</v>
      </c>
      <c r="K95" s="11" t="n">
        <f aca="false">J95*Parametros!$E$17</f>
        <v>0</v>
      </c>
      <c r="L95" s="11" t="n">
        <f aca="false">IF(H95=0,0,I95/K95)</f>
        <v>0</v>
      </c>
    </row>
    <row r="96" customFormat="false" ht="21" hidden="false" customHeight="true" outlineLevel="0" collapsed="false">
      <c r="A96" s="1" t="s">
        <v>277</v>
      </c>
      <c r="B96" s="11" t="n">
        <f aca="false">Postes!E96</f>
        <v>15</v>
      </c>
      <c r="C96" s="11" t="n">
        <f aca="false">Postes!F96</f>
        <v>2.1</v>
      </c>
      <c r="D96" s="11" t="n">
        <v>36.8484529654085</v>
      </c>
      <c r="E96" s="11" t="n">
        <f aca="false">Parametros!$E$14*Parametros!$E$12*10*Parametros!$E$13*(B96-C96-Parametros!$E$15)/1000</f>
        <v>99.45</v>
      </c>
      <c r="F96" s="11" t="n">
        <f aca="false">D96/E96</f>
        <v>0.370522402869869</v>
      </c>
      <c r="G96" s="11" t="n">
        <v>1.00375239005577</v>
      </c>
      <c r="H96" s="11" t="n">
        <f aca="false">Postes!J96</f>
        <v>2</v>
      </c>
      <c r="I96" s="11" t="n">
        <v>25.5210155715377</v>
      </c>
      <c r="J96" s="11" t="n">
        <f aca="false">IF(H96=0,0,ROUNDUP(MAX(Parametros!$E$16,I96/Parametros!$E$17)/10,0)*10)</f>
        <v>60</v>
      </c>
      <c r="K96" s="11" t="n">
        <f aca="false">J96*Parametros!$E$17</f>
        <v>54</v>
      </c>
      <c r="L96" s="11" t="n">
        <f aca="false">IF(H96=0,0,I96/K96)</f>
        <v>0.47261139947292</v>
      </c>
    </row>
    <row r="97" customFormat="false" ht="21" hidden="false" customHeight="true" outlineLevel="0" collapsed="false">
      <c r="A97" s="1" t="s">
        <v>278</v>
      </c>
      <c r="B97" s="11" t="n">
        <f aca="false">Postes!E97</f>
        <v>15</v>
      </c>
      <c r="C97" s="11" t="n">
        <f aca="false">Postes!F97</f>
        <v>2.1</v>
      </c>
      <c r="D97" s="11" t="n">
        <v>34.7439021884659</v>
      </c>
      <c r="E97" s="11" t="n">
        <f aca="false">Parametros!$E$14*Parametros!$E$12*10*Parametros!$E$13*(B97-C97-Parametros!$E$15)/1000</f>
        <v>99.45</v>
      </c>
      <c r="F97" s="11" t="n">
        <f aca="false">D97/E97</f>
        <v>0.349360504660291</v>
      </c>
      <c r="G97" s="11" t="n">
        <v>1.08144558853513</v>
      </c>
      <c r="H97" s="11" t="n">
        <f aca="false">Postes!J97</f>
        <v>2</v>
      </c>
      <c r="I97" s="11" t="n">
        <v>25.5210155715377</v>
      </c>
      <c r="J97" s="11" t="n">
        <f aca="false">IF(H97=0,0,ROUNDUP(MAX(Parametros!$E$16,I97/Parametros!$E$17)/10,0)*10)</f>
        <v>60</v>
      </c>
      <c r="K97" s="11" t="n">
        <f aca="false">J97*Parametros!$E$17</f>
        <v>54</v>
      </c>
      <c r="L97" s="11" t="n">
        <f aca="false">IF(H97=0,0,I97/K97)</f>
        <v>0.47261139947292</v>
      </c>
    </row>
    <row r="98" customFormat="false" ht="21" hidden="false" customHeight="true" outlineLevel="0" collapsed="false">
      <c r="A98" s="1" t="s">
        <v>279</v>
      </c>
      <c r="B98" s="11" t="n">
        <f aca="false">Postes!E98</f>
        <v>13</v>
      </c>
      <c r="C98" s="11" t="n">
        <f aca="false">Postes!F98</f>
        <v>1.9</v>
      </c>
      <c r="D98" s="11" t="n">
        <v>25.4859190089731</v>
      </c>
      <c r="E98" s="11" t="n">
        <f aca="false">Parametros!$E$14*Parametros!$E$12*10*Parametros!$E$13*(B98-C98-Parametros!$E$15)/1000</f>
        <v>85.41</v>
      </c>
      <c r="F98" s="11" t="n">
        <f aca="false">D98/E98</f>
        <v>0.298395024106933</v>
      </c>
      <c r="G98" s="11" t="n">
        <v>-1.39894356236136</v>
      </c>
      <c r="H98" s="11" t="n">
        <f aca="false">Postes!J98</f>
        <v>2</v>
      </c>
      <c r="I98" s="11" t="n">
        <v>24.8701028068881</v>
      </c>
      <c r="J98" s="11" t="n">
        <f aca="false">IF(H98=0,0,ROUNDUP(MAX(Parametros!$E$16,I98/Parametros!$E$17)/10,0)*10)</f>
        <v>60</v>
      </c>
      <c r="K98" s="11" t="n">
        <f aca="false">J98*Parametros!$E$17</f>
        <v>54</v>
      </c>
      <c r="L98" s="11" t="n">
        <f aca="false">IF(H98=0,0,I98/K98)</f>
        <v>0.460557459386816</v>
      </c>
    </row>
    <row r="99" customFormat="false" ht="21" hidden="false" customHeight="true" outlineLevel="0" collapsed="false">
      <c r="A99" s="1" t="s">
        <v>280</v>
      </c>
      <c r="B99" s="11" t="n">
        <f aca="false">Postes!E99</f>
        <v>13</v>
      </c>
      <c r="C99" s="11" t="n">
        <f aca="false">Postes!F99</f>
        <v>1.9</v>
      </c>
      <c r="D99" s="11" t="n">
        <v>23.0697226786199</v>
      </c>
      <c r="E99" s="11" t="n">
        <f aca="false">Parametros!$E$14*Parametros!$E$12*10*Parametros!$E$13*(B99-C99-Parametros!$E$15)/1000</f>
        <v>85.41</v>
      </c>
      <c r="F99" s="11" t="n">
        <f aca="false">D99/E99</f>
        <v>0.270105639604495</v>
      </c>
      <c r="G99" s="11" t="n">
        <v>-1.64084726134656</v>
      </c>
      <c r="H99" s="11" t="n">
        <f aca="false">Postes!J99</f>
        <v>2</v>
      </c>
      <c r="I99" s="11" t="n">
        <v>24.8460572429004</v>
      </c>
      <c r="J99" s="11" t="n">
        <f aca="false">IF(H99=0,0,ROUNDUP(MAX(Parametros!$E$16,I99/Parametros!$E$17)/10,0)*10)</f>
        <v>60</v>
      </c>
      <c r="K99" s="11" t="n">
        <f aca="false">J99*Parametros!$E$17</f>
        <v>54</v>
      </c>
      <c r="L99" s="11" t="n">
        <f aca="false">IF(H99=0,0,I99/K99)</f>
        <v>0.460112171164822</v>
      </c>
    </row>
    <row r="100" customFormat="false" ht="21" hidden="false" customHeight="true" outlineLevel="0" collapsed="false">
      <c r="A100" s="1" t="s">
        <v>281</v>
      </c>
      <c r="B100" s="11" t="n">
        <f aca="false">Postes!E100</f>
        <v>13</v>
      </c>
      <c r="C100" s="11" t="n">
        <f aca="false">Postes!F100</f>
        <v>1.9</v>
      </c>
      <c r="D100" s="11" t="n">
        <v>26.0350530721143</v>
      </c>
      <c r="E100" s="11" t="n">
        <f aca="false">Parametros!$E$14*Parametros!$E$12*10*Parametros!$E$13*(B100-C100-Parametros!$E$15)/1000</f>
        <v>85.41</v>
      </c>
      <c r="F100" s="11" t="n">
        <f aca="false">D100/E100</f>
        <v>0.304824412505728</v>
      </c>
      <c r="G100" s="11" t="n">
        <v>0.777267787028711</v>
      </c>
      <c r="H100" s="11" t="n">
        <f aca="false">Postes!J100</f>
        <v>2</v>
      </c>
      <c r="I100" s="11" t="n">
        <v>24.7463853075466</v>
      </c>
      <c r="J100" s="11" t="n">
        <f aca="false">IF(H100=0,0,ROUNDUP(MAX(Parametros!$E$16,I100/Parametros!$E$17)/10,0)*10)</f>
        <v>60</v>
      </c>
      <c r="K100" s="11" t="n">
        <f aca="false">J100*Parametros!$E$17</f>
        <v>54</v>
      </c>
      <c r="L100" s="11" t="n">
        <f aca="false">IF(H100=0,0,I100/K100)</f>
        <v>0.458266394584197</v>
      </c>
    </row>
    <row r="101" customFormat="false" ht="21" hidden="false" customHeight="true" outlineLevel="0" collapsed="false">
      <c r="A101" s="1" t="s">
        <v>282</v>
      </c>
      <c r="B101" s="11" t="n">
        <f aca="false">Postes!E101</f>
        <v>13</v>
      </c>
      <c r="C101" s="11" t="n">
        <f aca="false">Postes!F101</f>
        <v>1.9</v>
      </c>
      <c r="D101" s="11" t="n">
        <v>30.0174772794679</v>
      </c>
      <c r="E101" s="11" t="n">
        <f aca="false">Parametros!$E$14*Parametros!$E$12*10*Parametros!$E$13*(B101-C101-Parametros!$E$15)/1000</f>
        <v>85.41</v>
      </c>
      <c r="F101" s="11" t="n">
        <f aca="false">D101/E101</f>
        <v>0.351451554612667</v>
      </c>
      <c r="G101" s="11" t="n">
        <v>0.876837665367321</v>
      </c>
      <c r="H101" s="11" t="n">
        <f aca="false">Postes!J101</f>
        <v>2</v>
      </c>
      <c r="I101" s="11" t="n">
        <v>26.0628643338797</v>
      </c>
      <c r="J101" s="11" t="n">
        <f aca="false">IF(H101=0,0,ROUNDUP(MAX(Parametros!$E$16,I101/Parametros!$E$17)/10,0)*10)</f>
        <v>60</v>
      </c>
      <c r="K101" s="11" t="n">
        <f aca="false">J101*Parametros!$E$17</f>
        <v>54</v>
      </c>
      <c r="L101" s="11" t="n">
        <f aca="false">IF(H101=0,0,I101/K101)</f>
        <v>0.482645635812588</v>
      </c>
    </row>
    <row r="102" customFormat="false" ht="21" hidden="false" customHeight="true" outlineLevel="0" collapsed="false">
      <c r="A102" s="1" t="s">
        <v>283</v>
      </c>
      <c r="B102" s="11" t="n">
        <f aca="false">Postes!E102</f>
        <v>15</v>
      </c>
      <c r="C102" s="11" t="n">
        <f aca="false">Postes!F102</f>
        <v>2.1</v>
      </c>
      <c r="D102" s="11" t="n">
        <v>41.5421508567391</v>
      </c>
      <c r="E102" s="11" t="n">
        <f aca="false">Parametros!$E$14*Parametros!$E$12*10*Parametros!$E$13*(B102-C102-Parametros!$E$15)/1000</f>
        <v>99.45</v>
      </c>
      <c r="F102" s="11" t="n">
        <f aca="false">D102/E102</f>
        <v>0.417718962863138</v>
      </c>
      <c r="G102" s="11" t="n">
        <v>1.16938090895127</v>
      </c>
      <c r="H102" s="11" t="n">
        <f aca="false">Postes!J102</f>
        <v>0</v>
      </c>
      <c r="I102" s="11" t="n">
        <v>0</v>
      </c>
      <c r="J102" s="11" t="n">
        <f aca="false">IF(H102=0,0,ROUNDUP(MAX(Parametros!$E$16,I102/Parametros!$E$17)/10,0)*10)</f>
        <v>0</v>
      </c>
      <c r="K102" s="11" t="n">
        <f aca="false">J102*Parametros!$E$17</f>
        <v>0</v>
      </c>
      <c r="L102" s="11" t="n">
        <f aca="false">IF(H102=0,0,I102/K102)</f>
        <v>0</v>
      </c>
    </row>
    <row r="103" customFormat="false" ht="21" hidden="false" customHeight="true" outlineLevel="0" collapsed="false">
      <c r="A103" s="1" t="s">
        <v>284</v>
      </c>
      <c r="B103" s="11" t="n">
        <f aca="false">Postes!E103</f>
        <v>15</v>
      </c>
      <c r="C103" s="11" t="n">
        <f aca="false">Postes!F103</f>
        <v>2.1</v>
      </c>
      <c r="D103" s="11" t="n">
        <v>41.5815414552006</v>
      </c>
      <c r="E103" s="11" t="n">
        <f aca="false">Parametros!$E$14*Parametros!$E$12*10*Parametros!$E$13*(B103-C103-Parametros!$E$15)/1000</f>
        <v>99.45</v>
      </c>
      <c r="F103" s="11" t="n">
        <f aca="false">D103/E103</f>
        <v>0.418115047312223</v>
      </c>
      <c r="G103" s="11" t="n">
        <v>1.09698136766331</v>
      </c>
      <c r="H103" s="11" t="n">
        <f aca="false">Postes!J103</f>
        <v>0</v>
      </c>
      <c r="I103" s="11" t="n">
        <v>0</v>
      </c>
      <c r="J103" s="11" t="n">
        <f aca="false">IF(H103=0,0,ROUNDUP(MAX(Parametros!$E$16,I103/Parametros!$E$17)/10,0)*10)</f>
        <v>0</v>
      </c>
      <c r="K103" s="11" t="n">
        <f aca="false">J103*Parametros!$E$17</f>
        <v>0</v>
      </c>
      <c r="L103" s="11" t="n">
        <f aca="false">IF(H103=0,0,I103/K103)</f>
        <v>0</v>
      </c>
    </row>
    <row r="104" customFormat="false" ht="21" hidden="false" customHeight="true" outlineLevel="0" collapsed="false">
      <c r="A104" s="1" t="s">
        <v>285</v>
      </c>
      <c r="B104" s="11" t="n">
        <f aca="false">Postes!E104</f>
        <v>13</v>
      </c>
      <c r="C104" s="11" t="n">
        <f aca="false">Postes!F104</f>
        <v>1.9</v>
      </c>
      <c r="D104" s="11" t="n">
        <v>33.4780421282081</v>
      </c>
      <c r="E104" s="11" t="n">
        <f aca="false">Parametros!$E$14*Parametros!$E$12*10*Parametros!$E$13*(B104-C104-Parametros!$E$15)/1000</f>
        <v>85.41</v>
      </c>
      <c r="F104" s="11" t="n">
        <f aca="false">D104/E104</f>
        <v>0.391968646858776</v>
      </c>
      <c r="G104" s="11" t="n">
        <v>-3.8226360005858</v>
      </c>
      <c r="H104" s="11" t="n">
        <f aca="false">Postes!J104</f>
        <v>2</v>
      </c>
      <c r="I104" s="11" t="n">
        <v>26.0264176615966</v>
      </c>
      <c r="J104" s="11" t="n">
        <f aca="false">IF(H104=0,0,ROUNDUP(MAX(Parametros!$E$16,I104/Parametros!$E$17)/10,0)*10)</f>
        <v>60</v>
      </c>
      <c r="K104" s="11" t="n">
        <f aca="false">J104*Parametros!$E$17</f>
        <v>54</v>
      </c>
      <c r="L104" s="11" t="n">
        <f aca="false">IF(H104=0,0,I104/K104)</f>
        <v>0.481970697436975</v>
      </c>
    </row>
    <row r="105" customFormat="false" ht="21" hidden="false" customHeight="true" outlineLevel="0" collapsed="false">
      <c r="A105" s="1" t="s">
        <v>286</v>
      </c>
      <c r="B105" s="11" t="n">
        <f aca="false">Postes!E105</f>
        <v>15</v>
      </c>
      <c r="C105" s="11" t="n">
        <f aca="false">Postes!F105</f>
        <v>2.1</v>
      </c>
      <c r="D105" s="11" t="n">
        <v>41.6905372492133</v>
      </c>
      <c r="E105" s="11" t="n">
        <f aca="false">Parametros!$E$14*Parametros!$E$12*10*Parametros!$E$13*(B105-C105-Parametros!$E$15)/1000</f>
        <v>99.45</v>
      </c>
      <c r="F105" s="11" t="n">
        <f aca="false">D105/E105</f>
        <v>0.419211033174593</v>
      </c>
      <c r="G105" s="11" t="n">
        <v>1.38632111513843</v>
      </c>
      <c r="H105" s="11" t="n">
        <f aca="false">Postes!J105</f>
        <v>0</v>
      </c>
      <c r="I105" s="11" t="n">
        <v>0</v>
      </c>
      <c r="J105" s="11" t="n">
        <f aca="false">IF(H105=0,0,ROUNDUP(MAX(Parametros!$E$16,I105/Parametros!$E$17)/10,0)*10)</f>
        <v>0</v>
      </c>
      <c r="K105" s="11" t="n">
        <f aca="false">J105*Parametros!$E$17</f>
        <v>0</v>
      </c>
      <c r="L105" s="11" t="n">
        <f aca="false">IF(H105=0,0,I105/K105)</f>
        <v>0</v>
      </c>
    </row>
    <row r="106" customFormat="false" ht="21" hidden="false" customHeight="true" outlineLevel="0" collapsed="false">
      <c r="A106" s="1" t="s">
        <v>287</v>
      </c>
      <c r="B106" s="11" t="n">
        <f aca="false">Postes!E106</f>
        <v>15</v>
      </c>
      <c r="C106" s="11" t="n">
        <f aca="false">Postes!F106</f>
        <v>2.1</v>
      </c>
      <c r="D106" s="11" t="n">
        <v>36.5479427268708</v>
      </c>
      <c r="E106" s="11" t="n">
        <f aca="false">Parametros!$E$14*Parametros!$E$12*10*Parametros!$E$13*(B106-C106-Parametros!$E$15)/1000</f>
        <v>99.45</v>
      </c>
      <c r="F106" s="11" t="n">
        <f aca="false">D106/E106</f>
        <v>0.367500681014286</v>
      </c>
      <c r="G106" s="11" t="n">
        <v>-1.16740164379992</v>
      </c>
      <c r="H106" s="11" t="n">
        <f aca="false">Postes!J106</f>
        <v>2</v>
      </c>
      <c r="I106" s="11" t="n">
        <v>26.0976375481237</v>
      </c>
      <c r="J106" s="11" t="n">
        <f aca="false">IF(H106=0,0,ROUNDUP(MAX(Parametros!$E$16,I106/Parametros!$E$17)/10,0)*10)</f>
        <v>60</v>
      </c>
      <c r="K106" s="11" t="n">
        <f aca="false">J106*Parametros!$E$17</f>
        <v>54</v>
      </c>
      <c r="L106" s="11" t="n">
        <f aca="false">IF(H106=0,0,I106/K106)</f>
        <v>0.483289584224513</v>
      </c>
    </row>
    <row r="107" customFormat="false" ht="21" hidden="false" customHeight="true" outlineLevel="0" collapsed="false">
      <c r="A107" s="1" t="s">
        <v>288</v>
      </c>
      <c r="B107" s="11" t="n">
        <f aca="false">Postes!E107</f>
        <v>13</v>
      </c>
      <c r="C107" s="11" t="n">
        <f aca="false">Postes!F107</f>
        <v>1.9</v>
      </c>
      <c r="D107" s="11" t="n">
        <v>26.3164063648288</v>
      </c>
      <c r="E107" s="11" t="n">
        <f aca="false">Parametros!$E$14*Parametros!$E$12*10*Parametros!$E$13*(B107-C107-Parametros!$E$15)/1000</f>
        <v>85.41</v>
      </c>
      <c r="F107" s="11" t="n">
        <f aca="false">D107/E107</f>
        <v>0.308118561817455</v>
      </c>
      <c r="G107" s="11" t="n">
        <v>0.974230851789068</v>
      </c>
      <c r="H107" s="11" t="n">
        <f aca="false">Postes!J107</f>
        <v>0</v>
      </c>
      <c r="I107" s="11" t="n">
        <v>0</v>
      </c>
      <c r="J107" s="11" t="n">
        <f aca="false">IF(H107=0,0,ROUNDUP(MAX(Parametros!$E$16,I107/Parametros!$E$17)/10,0)*10)</f>
        <v>0</v>
      </c>
      <c r="K107" s="11" t="n">
        <f aca="false">J107*Parametros!$E$17</f>
        <v>0</v>
      </c>
      <c r="L107" s="11" t="n">
        <f aca="false">IF(H107=0,0,I107/K107)</f>
        <v>0</v>
      </c>
    </row>
    <row r="108" customFormat="false" ht="21" hidden="false" customHeight="true" outlineLevel="0" collapsed="false">
      <c r="A108" s="1" t="s">
        <v>289</v>
      </c>
      <c r="B108" s="11" t="n">
        <f aca="false">Postes!E108</f>
        <v>13</v>
      </c>
      <c r="C108" s="11" t="n">
        <f aca="false">Postes!F108</f>
        <v>1.9</v>
      </c>
      <c r="D108" s="11" t="n">
        <v>26.5307872389853</v>
      </c>
      <c r="E108" s="11" t="n">
        <f aca="false">Parametros!$E$14*Parametros!$E$12*10*Parametros!$E$13*(B108-C108-Parametros!$E$15)/1000</f>
        <v>85.41</v>
      </c>
      <c r="F108" s="11" t="n">
        <f aca="false">D108/E108</f>
        <v>0.310628582589689</v>
      </c>
      <c r="G108" s="11" t="n">
        <v>-3.22672026262017</v>
      </c>
      <c r="H108" s="11" t="n">
        <f aca="false">Postes!J108</f>
        <v>2</v>
      </c>
      <c r="I108" s="11" t="n">
        <v>24.8888338676393</v>
      </c>
      <c r="J108" s="11" t="n">
        <f aca="false">IF(H108=0,0,ROUNDUP(MAX(Parametros!$E$16,I108/Parametros!$E$17)/10,0)*10)</f>
        <v>60</v>
      </c>
      <c r="K108" s="11" t="n">
        <f aca="false">J108*Parametros!$E$17</f>
        <v>54</v>
      </c>
      <c r="L108" s="11" t="n">
        <f aca="false">IF(H108=0,0,I108/K108)</f>
        <v>0.460904330882209</v>
      </c>
    </row>
    <row r="109" customFormat="false" ht="21" hidden="false" customHeight="true" outlineLevel="0" collapsed="false">
      <c r="A109" s="1" t="s">
        <v>290</v>
      </c>
      <c r="B109" s="11" t="n">
        <f aca="false">Postes!E109</f>
        <v>13</v>
      </c>
      <c r="C109" s="11" t="n">
        <f aca="false">Postes!F109</f>
        <v>1.9</v>
      </c>
      <c r="D109" s="11" t="n">
        <v>27.0526511960263</v>
      </c>
      <c r="E109" s="11" t="n">
        <f aca="false">Parametros!$E$14*Parametros!$E$12*10*Parametros!$E$13*(B109-C109-Parametros!$E$15)/1000</f>
        <v>85.41</v>
      </c>
      <c r="F109" s="11" t="n">
        <f aca="false">D109/E109</f>
        <v>0.316738686289969</v>
      </c>
      <c r="G109" s="11" t="n">
        <v>1.02697056409333</v>
      </c>
      <c r="H109" s="11" t="n">
        <f aca="false">Postes!J109</f>
        <v>0</v>
      </c>
      <c r="I109" s="11" t="n">
        <v>0</v>
      </c>
      <c r="J109" s="11" t="n">
        <f aca="false">IF(H109=0,0,ROUNDUP(MAX(Parametros!$E$16,I109/Parametros!$E$17)/10,0)*10)</f>
        <v>0</v>
      </c>
      <c r="K109" s="11" t="n">
        <f aca="false">J109*Parametros!$E$17</f>
        <v>0</v>
      </c>
      <c r="L109" s="11" t="n">
        <f aca="false">IF(H109=0,0,I109/K109)</f>
        <v>0</v>
      </c>
    </row>
    <row r="110" customFormat="false" ht="21" hidden="false" customHeight="true" outlineLevel="0" collapsed="false">
      <c r="A110" s="1" t="s">
        <v>291</v>
      </c>
      <c r="B110" s="11" t="n">
        <f aca="false">Postes!E110</f>
        <v>13</v>
      </c>
      <c r="C110" s="11" t="n">
        <f aca="false">Postes!F110</f>
        <v>1.9</v>
      </c>
      <c r="D110" s="11" t="n">
        <v>30.4972199463578</v>
      </c>
      <c r="E110" s="11" t="n">
        <f aca="false">Parametros!$E$14*Parametros!$E$12*10*Parametros!$E$13*(B110-C110-Parametros!$E$15)/1000</f>
        <v>85.41</v>
      </c>
      <c r="F110" s="11" t="n">
        <f aca="false">D110/E110</f>
        <v>0.35706849252263</v>
      </c>
      <c r="G110" s="11" t="n">
        <v>1.15320091835524</v>
      </c>
      <c r="H110" s="11" t="n">
        <f aca="false">Postes!J110</f>
        <v>2</v>
      </c>
      <c r="I110" s="11" t="n">
        <v>26.4227833920827</v>
      </c>
      <c r="J110" s="11" t="n">
        <f aca="false">IF(H110=0,0,ROUNDUP(MAX(Parametros!$E$16,I110/Parametros!$E$17)/10,0)*10)</f>
        <v>60</v>
      </c>
      <c r="K110" s="11" t="n">
        <f aca="false">J110*Parametros!$E$17</f>
        <v>54</v>
      </c>
      <c r="L110" s="11" t="n">
        <f aca="false">IF(H110=0,0,I110/K110)</f>
        <v>0.489310803557087</v>
      </c>
    </row>
    <row r="111" customFormat="false" ht="21" hidden="false" customHeight="true" outlineLevel="0" collapsed="false">
      <c r="A111" s="1" t="s">
        <v>292</v>
      </c>
      <c r="B111" s="11" t="n">
        <f aca="false">Postes!E111</f>
        <v>13</v>
      </c>
      <c r="C111" s="11" t="n">
        <f aca="false">Postes!F111</f>
        <v>1.9</v>
      </c>
      <c r="D111" s="11" t="n">
        <v>35.2065271442857</v>
      </c>
      <c r="E111" s="11" t="n">
        <f aca="false">Parametros!$E$14*Parametros!$E$12*10*Parametros!$E$13*(B111-C111-Parametros!$E$15)/1000</f>
        <v>85.41</v>
      </c>
      <c r="F111" s="11" t="n">
        <f aca="false">D111/E111</f>
        <v>0.412206148510546</v>
      </c>
      <c r="G111" s="11" t="n">
        <v>0.325460130011159</v>
      </c>
      <c r="H111" s="11" t="n">
        <f aca="false">Postes!J111</f>
        <v>0</v>
      </c>
      <c r="I111" s="11" t="n">
        <v>0</v>
      </c>
      <c r="J111" s="11" t="n">
        <f aca="false">IF(H111=0,0,ROUNDUP(MAX(Parametros!$E$16,I111/Parametros!$E$17)/10,0)*10)</f>
        <v>0</v>
      </c>
      <c r="K111" s="11" t="n">
        <f aca="false">J111*Parametros!$E$17</f>
        <v>0</v>
      </c>
      <c r="L111" s="11" t="n">
        <f aca="false">IF(H111=0,0,I111/K111)</f>
        <v>0</v>
      </c>
    </row>
    <row r="112" customFormat="false" ht="21" hidden="false" customHeight="true" outlineLevel="0" collapsed="false">
      <c r="A112" s="1" t="s">
        <v>293</v>
      </c>
      <c r="B112" s="11" t="n">
        <f aca="false">Postes!E112</f>
        <v>13</v>
      </c>
      <c r="C112" s="11" t="n">
        <f aca="false">Postes!F112</f>
        <v>1.9</v>
      </c>
      <c r="D112" s="11" t="n">
        <v>31.8962163260789</v>
      </c>
      <c r="E112" s="11" t="n">
        <f aca="false">Parametros!$E$14*Parametros!$E$12*10*Parametros!$E$13*(B112-C112-Parametros!$E$15)/1000</f>
        <v>85.41</v>
      </c>
      <c r="F112" s="11" t="n">
        <f aca="false">D112/E112</f>
        <v>0.37344826514552</v>
      </c>
      <c r="G112" s="11" t="n">
        <v>-0.361175143716771</v>
      </c>
      <c r="H112" s="11" t="n">
        <f aca="false">Postes!J112</f>
        <v>2</v>
      </c>
      <c r="I112" s="11" t="n">
        <v>26.4591613827765</v>
      </c>
      <c r="J112" s="11" t="n">
        <f aca="false">IF(H112=0,0,ROUNDUP(MAX(Parametros!$E$16,I112/Parametros!$E$17)/10,0)*10)</f>
        <v>60</v>
      </c>
      <c r="K112" s="11" t="n">
        <f aca="false">J112*Parametros!$E$17</f>
        <v>54</v>
      </c>
      <c r="L112" s="11" t="n">
        <f aca="false">IF(H112=0,0,I112/K112)</f>
        <v>0.489984470051417</v>
      </c>
    </row>
    <row r="113" customFormat="false" ht="21" hidden="false" customHeight="true" outlineLevel="0" collapsed="false">
      <c r="A113" s="1" t="s">
        <v>294</v>
      </c>
      <c r="B113" s="11" t="n">
        <f aca="false">Postes!E113</f>
        <v>13</v>
      </c>
      <c r="C113" s="11" t="n">
        <f aca="false">Postes!F113</f>
        <v>1.9</v>
      </c>
      <c r="D113" s="11" t="n">
        <v>29.9289307861184</v>
      </c>
      <c r="E113" s="11" t="n">
        <f aca="false">Parametros!$E$14*Parametros!$E$12*10*Parametros!$E$13*(B113-C113-Parametros!$E$15)/1000</f>
        <v>85.41</v>
      </c>
      <c r="F113" s="11" t="n">
        <f aca="false">D113/E113</f>
        <v>0.350414831824357</v>
      </c>
      <c r="G113" s="11" t="n">
        <v>-0.547156256397143</v>
      </c>
      <c r="H113" s="11" t="n">
        <f aca="false">Postes!J113</f>
        <v>2</v>
      </c>
      <c r="I113" s="11" t="n">
        <v>25.2423034119337</v>
      </c>
      <c r="J113" s="11" t="n">
        <f aca="false">IF(H113=0,0,ROUNDUP(MAX(Parametros!$E$16,I113/Parametros!$E$17)/10,0)*10)</f>
        <v>60</v>
      </c>
      <c r="K113" s="11" t="n">
        <f aca="false">J113*Parametros!$E$17</f>
        <v>54</v>
      </c>
      <c r="L113" s="11" t="n">
        <f aca="false">IF(H113=0,0,I113/K113)</f>
        <v>0.467450063183957</v>
      </c>
    </row>
    <row r="114" customFormat="false" ht="21" hidden="false" customHeight="true" outlineLevel="0" collapsed="false">
      <c r="A114" s="1" t="s">
        <v>295</v>
      </c>
      <c r="B114" s="11" t="n">
        <f aca="false">Postes!E114</f>
        <v>13</v>
      </c>
      <c r="C114" s="11" t="n">
        <f aca="false">Postes!F114</f>
        <v>1.9</v>
      </c>
      <c r="D114" s="11" t="n">
        <v>26.7109272007385</v>
      </c>
      <c r="E114" s="11" t="n">
        <f aca="false">Parametros!$E$14*Parametros!$E$12*10*Parametros!$E$13*(B114-C114-Parametros!$E$15)/1000</f>
        <v>85.41</v>
      </c>
      <c r="F114" s="11" t="n">
        <f aca="false">D114/E114</f>
        <v>0.312737702853746</v>
      </c>
      <c r="G114" s="11" t="n">
        <v>1.09984309125789</v>
      </c>
      <c r="H114" s="11" t="n">
        <f aca="false">Postes!J114</f>
        <v>2</v>
      </c>
      <c r="I114" s="11" t="n">
        <v>25.2042399754862</v>
      </c>
      <c r="J114" s="11" t="n">
        <f aca="false">IF(H114=0,0,ROUNDUP(MAX(Parametros!$E$16,I114/Parametros!$E$17)/10,0)*10)</f>
        <v>60</v>
      </c>
      <c r="K114" s="11" t="n">
        <f aca="false">J114*Parametros!$E$17</f>
        <v>54</v>
      </c>
      <c r="L114" s="11" t="n">
        <f aca="false">IF(H114=0,0,I114/K114)</f>
        <v>0.466745184731227</v>
      </c>
    </row>
    <row r="115" customFormat="false" ht="21" hidden="false" customHeight="true" outlineLevel="0" collapsed="false">
      <c r="A115" s="1" t="s">
        <v>296</v>
      </c>
      <c r="B115" s="11" t="n">
        <f aca="false">Postes!E115</f>
        <v>13</v>
      </c>
      <c r="C115" s="11" t="n">
        <f aca="false">Postes!F115</f>
        <v>1.9</v>
      </c>
      <c r="D115" s="11" t="n">
        <v>23.9259215280857</v>
      </c>
      <c r="E115" s="11" t="n">
        <f aca="false">Parametros!$E$14*Parametros!$E$12*10*Parametros!$E$13*(B115-C115-Parametros!$E$15)/1000</f>
        <v>85.41</v>
      </c>
      <c r="F115" s="11" t="n">
        <f aca="false">D115/E115</f>
        <v>0.280130213418636</v>
      </c>
      <c r="G115" s="11" t="n">
        <v>-1.09440172210307</v>
      </c>
      <c r="H115" s="11" t="n">
        <f aca="false">Postes!J115</f>
        <v>2</v>
      </c>
      <c r="I115" s="11" t="n">
        <v>25.0212316584313</v>
      </c>
      <c r="J115" s="11" t="n">
        <f aca="false">IF(H115=0,0,ROUNDUP(MAX(Parametros!$E$16,I115/Parametros!$E$17)/10,0)*10)</f>
        <v>60</v>
      </c>
      <c r="K115" s="11" t="n">
        <f aca="false">J115*Parametros!$E$17</f>
        <v>54</v>
      </c>
      <c r="L115" s="11" t="n">
        <f aca="false">IF(H115=0,0,I115/K115)</f>
        <v>0.463356141822802</v>
      </c>
    </row>
    <row r="116" customFormat="false" ht="21" hidden="false" customHeight="true" outlineLevel="0" collapsed="false">
      <c r="A116" s="1" t="s">
        <v>297</v>
      </c>
      <c r="B116" s="11" t="n">
        <f aca="false">Postes!E116</f>
        <v>13</v>
      </c>
      <c r="C116" s="11" t="n">
        <f aca="false">Postes!F116</f>
        <v>1.9</v>
      </c>
      <c r="D116" s="11" t="n">
        <v>21.7389194350244</v>
      </c>
      <c r="E116" s="11" t="n">
        <f aca="false">Parametros!$E$14*Parametros!$E$12*10*Parametros!$E$13*(B116-C116-Parametros!$E$15)/1000</f>
        <v>85.41</v>
      </c>
      <c r="F116" s="11" t="n">
        <f aca="false">D116/E116</f>
        <v>0.254524287964225</v>
      </c>
      <c r="G116" s="11" t="n">
        <v>-0.06903793684607</v>
      </c>
      <c r="H116" s="11" t="n">
        <f aca="false">Postes!J116</f>
        <v>2</v>
      </c>
      <c r="I116" s="11" t="n">
        <v>25.2215153396281</v>
      </c>
      <c r="J116" s="11" t="n">
        <f aca="false">IF(H116=0,0,ROUNDUP(MAX(Parametros!$E$16,I116/Parametros!$E$17)/10,0)*10)</f>
        <v>60</v>
      </c>
      <c r="K116" s="11" t="n">
        <f aca="false">J116*Parametros!$E$17</f>
        <v>54</v>
      </c>
      <c r="L116" s="11" t="n">
        <f aca="false">IF(H116=0,0,I116/K116)</f>
        <v>0.467065098882003</v>
      </c>
    </row>
    <row r="117" customFormat="false" ht="21" hidden="false" customHeight="true" outlineLevel="0" collapsed="false">
      <c r="A117" s="1" t="s">
        <v>298</v>
      </c>
      <c r="B117" s="11" t="n">
        <f aca="false">Postes!E117</f>
        <v>13</v>
      </c>
      <c r="C117" s="11" t="n">
        <f aca="false">Postes!F117</f>
        <v>1.9</v>
      </c>
      <c r="D117" s="11" t="n">
        <v>16.5486256320226</v>
      </c>
      <c r="E117" s="11" t="n">
        <f aca="false">Parametros!$E$14*Parametros!$E$12*10*Parametros!$E$13*(B117-C117-Parametros!$E$15)/1000</f>
        <v>85.41</v>
      </c>
      <c r="F117" s="11" t="n">
        <f aca="false">D117/E117</f>
        <v>0.193755129750879</v>
      </c>
      <c r="G117" s="11" t="n">
        <v>0.548587431333093</v>
      </c>
      <c r="H117" s="11" t="n">
        <f aca="false">Postes!J117</f>
        <v>1</v>
      </c>
      <c r="I117" s="11" t="n">
        <v>25.2215153396281</v>
      </c>
      <c r="J117" s="11" t="n">
        <f aca="false">IF(H117=0,0,ROUNDUP(MAX(Parametros!$E$16,I117/Parametros!$E$17)/10,0)*10)</f>
        <v>60</v>
      </c>
      <c r="K117" s="11" t="n">
        <f aca="false">J117*Parametros!$E$17</f>
        <v>54</v>
      </c>
      <c r="L117" s="11" t="n">
        <f aca="false">IF(H117=0,0,I117/K117)</f>
        <v>0.467065098882003</v>
      </c>
    </row>
    <row r="118" customFormat="false" ht="21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customFormat="false" ht="21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customFormat="false" ht="21" hidden="false" customHeight="true" outlineLevel="0" collapsed="false">
      <c r="A120" s="1" t="s">
        <v>299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customFormat="false" ht="21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customFormat="false" ht="21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customFormat="false" ht="21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customFormat="false" ht="21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</sheetData>
  <printOptions headings="false" gridLines="false" gridLinesSet="true" horizontalCentered="false" verticalCentered="false"/>
  <pageMargins left="0.39375" right="0.39375" top="0.551388888888889" bottom="0.551388888888889" header="0.511811023622047" footer="0.3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&amp;CInstalaciones Eléctricas II | Aquiles Taylor Ramos Yapo | 227368&amp;RHoja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67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7" min="5" style="0" width="15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2" min="12" style="0" width="15"/>
    <col collapsed="false" customWidth="true" hidden="false" outlineLevel="0" max="14" min="13" style="0" width="14"/>
    <col collapsed="false" customWidth="true" hidden="false" outlineLevel="0" max="17" min="15" style="0" width="16"/>
  </cols>
  <sheetData>
    <row r="1" customFormat="false" ht="21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1" hidden="false" customHeight="true" outlineLevel="0" collapsed="false">
      <c r="A2" s="2" t="s">
        <v>300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21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customFormat="false" ht="21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customFormat="false" ht="21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customFormat="false" ht="36" hidden="false" customHeight="true" outlineLevel="0" collapsed="false">
      <c r="A6" s="4" t="s">
        <v>301</v>
      </c>
      <c r="B6" s="4" t="s">
        <v>302</v>
      </c>
      <c r="C6" s="4" t="s">
        <v>303</v>
      </c>
      <c r="D6" s="4" t="s">
        <v>304</v>
      </c>
      <c r="E6" s="4" t="s">
        <v>305</v>
      </c>
      <c r="F6" s="4" t="s">
        <v>306</v>
      </c>
      <c r="G6" s="4" t="s">
        <v>307</v>
      </c>
      <c r="H6" s="4" t="s">
        <v>308</v>
      </c>
      <c r="I6" s="4" t="s">
        <v>309</v>
      </c>
      <c r="J6" s="4" t="s">
        <v>310</v>
      </c>
      <c r="K6" s="4" t="s">
        <v>311</v>
      </c>
      <c r="L6" s="4" t="s">
        <v>312</v>
      </c>
      <c r="M6" s="4" t="s">
        <v>313</v>
      </c>
      <c r="N6" s="4" t="s">
        <v>314</v>
      </c>
      <c r="O6" s="4" t="s">
        <v>315</v>
      </c>
      <c r="P6" s="4" t="s">
        <v>316</v>
      </c>
      <c r="Q6" s="4" t="s">
        <v>317</v>
      </c>
    </row>
    <row r="7" customFormat="false" ht="21" hidden="false" customHeight="true" outlineLevel="0" collapsed="false">
      <c r="A7" s="1" t="s">
        <v>318</v>
      </c>
      <c r="B7" s="1" t="s">
        <v>319</v>
      </c>
      <c r="C7" s="15" t="n">
        <v>47.1465965706794</v>
      </c>
      <c r="D7" s="15" t="n">
        <v>14.3153865381791</v>
      </c>
      <c r="E7" s="15" t="n">
        <v>2204.99999999553</v>
      </c>
      <c r="F7" s="15" t="n">
        <v>1.32389775</v>
      </c>
      <c r="G7" s="15" t="n">
        <v>0</v>
      </c>
      <c r="H7" s="15" t="n">
        <f aca="false">SQRT(F7^2+G7^2)</f>
        <v>1.32389775</v>
      </c>
      <c r="I7" s="15" t="n">
        <f aca="false">D7*F7/H7</f>
        <v>14.3153865381791</v>
      </c>
      <c r="J7" s="15" t="n">
        <f aca="false">SQRT(C7^2+D7^2-I7^2)</f>
        <v>47.1465965706794</v>
      </c>
      <c r="K7" s="15" t="n">
        <f aca="false">E7/H7</f>
        <v>1665.53648119391</v>
      </c>
      <c r="L7" s="15" t="n">
        <f aca="false">J7/2-K7*ASINH(I7/(2*K7*SINH(J7/(2*K7))))</f>
        <v>-474.661783068904</v>
      </c>
      <c r="M7" s="15" t="n">
        <f aca="false">-L7/K7</f>
        <v>0.284990324996455</v>
      </c>
      <c r="N7" s="15" t="n">
        <f aca="false">(J7-L7)/K7</f>
        <v>0.313297478338953</v>
      </c>
      <c r="O7" s="15" t="n">
        <f aca="false">K7*(SINH(N7)-SINH(M7))</f>
        <v>49.2735252497326</v>
      </c>
      <c r="P7" s="15" t="n">
        <f aca="false">E7*COSH(M7)</f>
        <v>2295.1521888366</v>
      </c>
      <c r="Q7" s="15" t="n">
        <f aca="false">E7*COSH(N7)</f>
        <v>2314.10429686487</v>
      </c>
    </row>
    <row r="8" customFormat="false" ht="21" hidden="false" customHeight="true" outlineLevel="0" collapsed="false">
      <c r="A8" s="1" t="s">
        <v>318</v>
      </c>
      <c r="B8" s="1" t="s">
        <v>320</v>
      </c>
      <c r="C8" s="15" t="n">
        <v>47.1465965706794</v>
      </c>
      <c r="D8" s="15" t="n">
        <v>14.3153865381791</v>
      </c>
      <c r="E8" s="15" t="n">
        <v>3281.32442723028</v>
      </c>
      <c r="F8" s="15" t="n">
        <v>1.32389775</v>
      </c>
      <c r="G8" s="15" t="n">
        <v>3.443895</v>
      </c>
      <c r="H8" s="15" t="n">
        <f aca="false">SQRT(F8^2+G8^2)</f>
        <v>3.68959591601574</v>
      </c>
      <c r="I8" s="15" t="n">
        <f aca="false">D8*F8/H8</f>
        <v>5.13663513828398</v>
      </c>
      <c r="J8" s="15" t="n">
        <f aca="false">SQRT(C8^2+D8^2-I8^2)</f>
        <v>49.0035390496648</v>
      </c>
      <c r="K8" s="15" t="n">
        <f aca="false">E8/H8</f>
        <v>889.345202542847</v>
      </c>
      <c r="L8" s="15" t="n">
        <f aca="false">J8/2-K8*ASINH(I8/(2*K8*SINH(J8/(2*K8))))</f>
        <v>-68.5393176652229</v>
      </c>
      <c r="M8" s="15" t="n">
        <f aca="false">-L8/K8</f>
        <v>0.077067169721333</v>
      </c>
      <c r="N8" s="15" t="n">
        <f aca="false">(J8-L8)/K8</f>
        <v>0.132167865052631</v>
      </c>
      <c r="O8" s="15" t="n">
        <f aca="false">K8*(SINH(N8)-SINH(M8))</f>
        <v>49.2781846206933</v>
      </c>
      <c r="P8" s="15" t="n">
        <f aca="false">E8*COSH(M8)</f>
        <v>3291.0737160681</v>
      </c>
      <c r="Q8" s="15" t="n">
        <f aca="false">E8*COSH(N8)</f>
        <v>3310.02582409638</v>
      </c>
    </row>
    <row r="9" customFormat="false" ht="21" hidden="false" customHeight="true" outlineLevel="0" collapsed="false">
      <c r="A9" s="1" t="s">
        <v>318</v>
      </c>
      <c r="B9" s="1" t="s">
        <v>321</v>
      </c>
      <c r="C9" s="15" t="n">
        <v>47.1465965706794</v>
      </c>
      <c r="D9" s="15" t="n">
        <v>14.3153865381791</v>
      </c>
      <c r="E9" s="15" t="n">
        <v>3439.82230968739</v>
      </c>
      <c r="F9" s="15" t="n">
        <v>3.85543216183014</v>
      </c>
      <c r="G9" s="15" t="n">
        <v>0</v>
      </c>
      <c r="H9" s="15" t="n">
        <f aca="false">SQRT(F9^2+G9^2)</f>
        <v>3.85543216183014</v>
      </c>
      <c r="I9" s="15" t="n">
        <f aca="false">D9*F9/H9</f>
        <v>14.3153865381791</v>
      </c>
      <c r="J9" s="15" t="n">
        <f aca="false">SQRT(C9^2+D9^2-I9^2)</f>
        <v>47.1465965706794</v>
      </c>
      <c r="K9" s="15" t="n">
        <f aca="false">E9/H9</f>
        <v>892.201487486305</v>
      </c>
      <c r="L9" s="15" t="n">
        <f aca="false">J9/2-K9*ASINH(I9/(2*K9*SINH(J9/(2*K9))))</f>
        <v>-243.301832615737</v>
      </c>
      <c r="M9" s="15" t="n">
        <f aca="false">-L9/K9</f>
        <v>0.272698304170302</v>
      </c>
      <c r="N9" s="15" t="n">
        <f aca="false">(J9-L9)/K9</f>
        <v>0.325541296736377</v>
      </c>
      <c r="O9" s="15" t="n">
        <f aca="false">K9*(SINH(N9)-SINH(M9))</f>
        <v>49.2772680923802</v>
      </c>
      <c r="P9" s="15" t="n">
        <f aca="false">E9*COSH(M9)</f>
        <v>3568.51697887848</v>
      </c>
      <c r="Q9" s="15" t="n">
        <f aca="false">E9*COSH(N9)</f>
        <v>3623.70898054681</v>
      </c>
    </row>
    <row r="10" customFormat="false" ht="21" hidden="false" customHeight="true" outlineLevel="0" collapsed="false">
      <c r="A10" s="1" t="s">
        <v>318</v>
      </c>
      <c r="B10" s="1" t="s">
        <v>322</v>
      </c>
      <c r="C10" s="15" t="n">
        <v>47.1465965706794</v>
      </c>
      <c r="D10" s="15" t="n">
        <v>14.3153865381791</v>
      </c>
      <c r="E10" s="15" t="n">
        <v>3344.71884932708</v>
      </c>
      <c r="F10" s="15" t="n">
        <v>2.33651151473205</v>
      </c>
      <c r="G10" s="15" t="n">
        <v>1.43495625</v>
      </c>
      <c r="H10" s="15" t="n">
        <f aca="false">SQRT(F10^2+G10^2)</f>
        <v>2.74196745018783</v>
      </c>
      <c r="I10" s="15" t="n">
        <f aca="false">D10*F10/H10</f>
        <v>12.1985640208838</v>
      </c>
      <c r="J10" s="15" t="n">
        <f aca="false">SQRT(C10^2+D10^2-I10^2)</f>
        <v>47.7381073751807</v>
      </c>
      <c r="K10" s="15" t="n">
        <f aca="false">E10/H10</f>
        <v>1219.8244180827</v>
      </c>
      <c r="L10" s="15" t="n">
        <f aca="false">J10/2-K10*ASINH(I10/(2*K10*SINH(J10/(2*K10))))</f>
        <v>-284.518370525146</v>
      </c>
      <c r="M10" s="15" t="n">
        <f aca="false">-L10/K10</f>
        <v>0.233245347697128</v>
      </c>
      <c r="N10" s="15" t="n">
        <f aca="false">(J10-L10)/K10</f>
        <v>0.272380576232899</v>
      </c>
      <c r="O10" s="15" t="n">
        <f aca="false">K10*(SINH(N10)-SINH(M10))</f>
        <v>49.2749706786914</v>
      </c>
      <c r="P10" s="15" t="n">
        <f aca="false">E10*COSH(M10)</f>
        <v>3436.11410134607</v>
      </c>
      <c r="Q10" s="15" t="n">
        <f aca="false">E10*COSH(N10)</f>
        <v>3469.56216683037</v>
      </c>
    </row>
    <row r="11" customFormat="false" ht="21" hidden="false" customHeight="true" outlineLevel="0" collapsed="false">
      <c r="A11" s="1" t="s">
        <v>318</v>
      </c>
      <c r="B11" s="1" t="s">
        <v>323</v>
      </c>
      <c r="C11" s="15" t="n">
        <v>47.1465965706794</v>
      </c>
      <c r="D11" s="15" t="n">
        <v>14.3153865381791</v>
      </c>
      <c r="E11" s="15" t="n">
        <v>3500.76753430182</v>
      </c>
      <c r="F11" s="15" t="n">
        <v>1.32389775</v>
      </c>
      <c r="G11" s="15" t="n">
        <v>0</v>
      </c>
      <c r="H11" s="15" t="n">
        <f aca="false">SQRT(F11^2+G11^2)</f>
        <v>1.32389775</v>
      </c>
      <c r="I11" s="15" t="n">
        <f aca="false">D11*F11/H11</f>
        <v>14.3153865381791</v>
      </c>
      <c r="J11" s="15" t="n">
        <f aca="false">SQRT(C11^2+D11^2-I11^2)</f>
        <v>47.1465965706794</v>
      </c>
      <c r="K11" s="15" t="n">
        <f aca="false">E11/H11</f>
        <v>2644.28845377358</v>
      </c>
      <c r="L11" s="15" t="n">
        <f aca="false">J11/2-K11*ASINH(I11/(2*K11*SINH(J11/(2*K11))))</f>
        <v>-767.464940605304</v>
      </c>
      <c r="M11" s="15" t="n">
        <f aca="false">-L11/K11</f>
        <v>0.290234955082181</v>
      </c>
      <c r="N11" s="15" t="n">
        <f aca="false">(J11-L11)/K11</f>
        <v>0.308064551737341</v>
      </c>
      <c r="O11" s="15" t="n">
        <f aca="false">K11*(SINH(N11)-SINH(M11))</f>
        <v>49.272616586319</v>
      </c>
      <c r="P11" s="15" t="n">
        <f aca="false">E11*COSH(M11)</f>
        <v>3649.25137318854</v>
      </c>
      <c r="Q11" s="15" t="n">
        <f aca="false">E11*COSH(N11)</f>
        <v>3668.20348121681</v>
      </c>
    </row>
    <row r="12" customFormat="false" ht="21" hidden="false" customHeight="true" outlineLevel="0" collapsed="false">
      <c r="A12" s="1" t="s">
        <v>318</v>
      </c>
      <c r="B12" s="1" t="s">
        <v>324</v>
      </c>
      <c r="C12" s="15" t="n">
        <v>47.1465965706794</v>
      </c>
      <c r="D12" s="15" t="n">
        <v>14.3153865381791</v>
      </c>
      <c r="E12" s="15" t="n">
        <v>363.165452852776</v>
      </c>
      <c r="F12" s="15" t="n">
        <v>1.32389775</v>
      </c>
      <c r="G12" s="15" t="n">
        <v>0</v>
      </c>
      <c r="H12" s="15" t="n">
        <f aca="false">SQRT(F12^2+G12^2)</f>
        <v>1.32389775</v>
      </c>
      <c r="I12" s="15" t="n">
        <f aca="false">D12*F12/H12</f>
        <v>14.3153865381791</v>
      </c>
      <c r="J12" s="15" t="n">
        <f aca="false">SQRT(C12^2+D12^2-I12^2)</f>
        <v>47.1465965706794</v>
      </c>
      <c r="K12" s="15" t="n">
        <f aca="false">E12/H12</f>
        <v>274.315333531443</v>
      </c>
      <c r="L12" s="15" t="n">
        <f aca="false">J12/2-K12*ASINH(I12/(2*K12*SINH(J12/(2*K12))))</f>
        <v>-58.3911071924571</v>
      </c>
      <c r="M12" s="15" t="n">
        <f aca="false">-L12/K12</f>
        <v>0.212861258759216</v>
      </c>
      <c r="N12" s="15" t="n">
        <f aca="false">(J12-L12)/K12</f>
        <v>0.384731332384814</v>
      </c>
      <c r="O12" s="15" t="n">
        <f aca="false">K12*(SINH(N12)-SINH(M12))</f>
        <v>49.3275675601831</v>
      </c>
      <c r="P12" s="15" t="n">
        <f aca="false">E12*COSH(M12)</f>
        <v>371.424063400397</v>
      </c>
      <c r="Q12" s="15" t="n">
        <f aca="false">E12*COSH(N12)</f>
        <v>390.376171428672</v>
      </c>
    </row>
    <row r="13" customFormat="false" ht="21" hidden="false" customHeight="true" outlineLevel="0" collapsed="false">
      <c r="A13" s="1" t="s">
        <v>325</v>
      </c>
      <c r="B13" s="1" t="s">
        <v>319</v>
      </c>
      <c r="C13" s="15" t="n">
        <v>47.1465965692104</v>
      </c>
      <c r="D13" s="15" t="n">
        <v>13.2652472247413</v>
      </c>
      <c r="E13" s="15" t="n">
        <v>2204.99999999154</v>
      </c>
      <c r="F13" s="15" t="n">
        <v>1.32389775</v>
      </c>
      <c r="G13" s="15" t="n">
        <v>0</v>
      </c>
      <c r="H13" s="15" t="n">
        <f aca="false">SQRT(F13^2+G13^2)</f>
        <v>1.32389775</v>
      </c>
      <c r="I13" s="15" t="n">
        <f aca="false">D13*F13/H13</f>
        <v>13.2652472247413</v>
      </c>
      <c r="J13" s="15" t="n">
        <f aca="false">SQRT(C13^2+D13^2-I13^2)</f>
        <v>47.1465965692104</v>
      </c>
      <c r="K13" s="15" t="n">
        <f aca="false">E13/H13</f>
        <v>1665.53648119089</v>
      </c>
      <c r="L13" s="15" t="n">
        <f aca="false">J13/2-K13*ASINH(I13/(2*K13*SINH(J13/(2*K13))))</f>
        <v>-439.057271093808</v>
      </c>
      <c r="M13" s="15" t="n">
        <f aca="false">-L13/K13</f>
        <v>0.263613121689098</v>
      </c>
      <c r="N13" s="15" t="n">
        <f aca="false">(J13-L13)/K13</f>
        <v>0.291920275030765</v>
      </c>
      <c r="O13" s="15" t="n">
        <f aca="false">K13*(SINH(N13)-SINH(M13))</f>
        <v>48.9787380665686</v>
      </c>
      <c r="P13" s="15" t="n">
        <f aca="false">E13*COSH(M13)</f>
        <v>2282.05949991071</v>
      </c>
      <c r="Q13" s="15" t="n">
        <f aca="false">E13*COSH(N13)</f>
        <v>2299.62133086474</v>
      </c>
    </row>
    <row r="14" customFormat="false" ht="21" hidden="false" customHeight="true" outlineLevel="0" collapsed="false">
      <c r="A14" s="1" t="s">
        <v>325</v>
      </c>
      <c r="B14" s="1" t="s">
        <v>320</v>
      </c>
      <c r="C14" s="15" t="n">
        <v>47.1465965692104</v>
      </c>
      <c r="D14" s="15" t="n">
        <v>13.2652472247413</v>
      </c>
      <c r="E14" s="15" t="n">
        <v>3268.37774274864</v>
      </c>
      <c r="F14" s="15" t="n">
        <v>1.32389775</v>
      </c>
      <c r="G14" s="15" t="n">
        <v>3.443895</v>
      </c>
      <c r="H14" s="15" t="n">
        <f aca="false">SQRT(F14^2+G14^2)</f>
        <v>3.68959591601574</v>
      </c>
      <c r="I14" s="15" t="n">
        <f aca="false">D14*F14/H14</f>
        <v>4.75982501980681</v>
      </c>
      <c r="J14" s="15" t="n">
        <f aca="false">SQRT(C14^2+D14^2-I14^2)</f>
        <v>48.7453835534629</v>
      </c>
      <c r="K14" s="15" t="n">
        <f aca="false">E14/H14</f>
        <v>885.836231702588</v>
      </c>
      <c r="L14" s="15" t="n">
        <f aca="false">J14/2-K14*ASINH(I14/(2*K14*SINH(J14/(2*K14))))</f>
        <v>-61.9785442241783</v>
      </c>
      <c r="M14" s="15" t="n">
        <f aca="false">-L14/K14</f>
        <v>0.0699661427316591</v>
      </c>
      <c r="N14" s="15" t="n">
        <f aca="false">(J14-L14)/K14</f>
        <v>0.124993676951809</v>
      </c>
      <c r="O14" s="15" t="n">
        <f aca="false">K14*(SINH(N14)-SINH(M14))</f>
        <v>48.9833440133188</v>
      </c>
      <c r="P14" s="15" t="n">
        <f aca="false">E14*COSH(M14)</f>
        <v>3276.38078795846</v>
      </c>
      <c r="Q14" s="15" t="n">
        <f aca="false">E14*COSH(N14)</f>
        <v>3293.94261891248</v>
      </c>
    </row>
    <row r="15" customFormat="false" ht="21" hidden="false" customHeight="true" outlineLevel="0" collapsed="false">
      <c r="A15" s="1" t="s">
        <v>325</v>
      </c>
      <c r="B15" s="1" t="s">
        <v>321</v>
      </c>
      <c r="C15" s="15" t="n">
        <v>47.1465965692104</v>
      </c>
      <c r="D15" s="15" t="n">
        <v>13.2652472247413</v>
      </c>
      <c r="E15" s="15" t="n">
        <v>3448.39358275573</v>
      </c>
      <c r="F15" s="15" t="n">
        <v>3.85543216183014</v>
      </c>
      <c r="G15" s="15" t="n">
        <v>0</v>
      </c>
      <c r="H15" s="15" t="n">
        <f aca="false">SQRT(F15^2+G15^2)</f>
        <v>3.85543216183014</v>
      </c>
      <c r="I15" s="15" t="n">
        <f aca="false">D15*F15/H15</f>
        <v>13.2652472247413</v>
      </c>
      <c r="J15" s="15" t="n">
        <f aca="false">SQRT(C15^2+D15^2-I15^2)</f>
        <v>47.1465965692104</v>
      </c>
      <c r="K15" s="15" t="n">
        <f aca="false">E15/H15</f>
        <v>894.424655398115</v>
      </c>
      <c r="L15" s="15" t="n">
        <f aca="false">J15/2-K15*ASINH(I15/(2*K15*SINH(J15/(2*K15))))</f>
        <v>-224.848129505299</v>
      </c>
      <c r="M15" s="15" t="n">
        <f aca="false">-L15/K15</f>
        <v>0.251388563752435</v>
      </c>
      <c r="N15" s="15" t="n">
        <f aca="false">(J15-L15)/K15</f>
        <v>0.304100210602359</v>
      </c>
      <c r="O15" s="15" t="n">
        <f aca="false">K15*(SINH(N15)-SINH(M15))</f>
        <v>48.9824772150654</v>
      </c>
      <c r="P15" s="15" t="n">
        <f aca="false">E15*COSH(M15)</f>
        <v>3557.93133123229</v>
      </c>
      <c r="Q15" s="15" t="n">
        <f aca="false">E15*COSH(N15)</f>
        <v>3609.07459201718</v>
      </c>
    </row>
    <row r="16" customFormat="false" ht="21" hidden="false" customHeight="true" outlineLevel="0" collapsed="false">
      <c r="A16" s="1" t="s">
        <v>325</v>
      </c>
      <c r="B16" s="1" t="s">
        <v>322</v>
      </c>
      <c r="C16" s="15" t="n">
        <v>47.1465965692104</v>
      </c>
      <c r="D16" s="15" t="n">
        <v>13.2652472247413</v>
      </c>
      <c r="E16" s="15" t="n">
        <v>3345.31725469032</v>
      </c>
      <c r="F16" s="15" t="n">
        <v>2.33651151473205</v>
      </c>
      <c r="G16" s="15" t="n">
        <v>1.43495625</v>
      </c>
      <c r="H16" s="15" t="n">
        <f aca="false">SQRT(F16^2+G16^2)</f>
        <v>2.74196745018783</v>
      </c>
      <c r="I16" s="15" t="n">
        <f aca="false">D16*F16/H16</f>
        <v>11.3037092706014</v>
      </c>
      <c r="J16" s="15" t="n">
        <f aca="false">SQRT(C16^2+D16^2-I16^2)</f>
        <v>47.6549526148029</v>
      </c>
      <c r="K16" s="15" t="n">
        <f aca="false">E16/H16</f>
        <v>1220.04265749441</v>
      </c>
      <c r="L16" s="15" t="n">
        <f aca="false">J16/2-K16*ASINH(I16/(2*K16*SINH(J16/(2*K16))))</f>
        <v>-262.900364027425</v>
      </c>
      <c r="M16" s="15" t="n">
        <f aca="false">-L16/K16</f>
        <v>0.215484567209594</v>
      </c>
      <c r="N16" s="15" t="n">
        <f aca="false">(J16-L16)/K16</f>
        <v>0.254544638037504</v>
      </c>
      <c r="O16" s="15" t="n">
        <f aca="false">K16*(SINH(N16)-SINH(M16))</f>
        <v>48.9801705044817</v>
      </c>
      <c r="P16" s="15" t="n">
        <f aca="false">E16*COSH(M16)</f>
        <v>3423.2858117332</v>
      </c>
      <c r="Q16" s="15" t="n">
        <f aca="false">E16*COSH(N16)</f>
        <v>3454.28021461957</v>
      </c>
    </row>
    <row r="17" customFormat="false" ht="21" hidden="false" customHeight="true" outlineLevel="0" collapsed="false">
      <c r="A17" s="1" t="s">
        <v>325</v>
      </c>
      <c r="B17" s="1" t="s">
        <v>323</v>
      </c>
      <c r="C17" s="15" t="n">
        <v>47.1465965692104</v>
      </c>
      <c r="D17" s="15" t="n">
        <v>13.2652472247413</v>
      </c>
      <c r="E17" s="15" t="n">
        <v>3507.77081569205</v>
      </c>
      <c r="F17" s="15" t="n">
        <v>1.32389775</v>
      </c>
      <c r="G17" s="15" t="n">
        <v>0</v>
      </c>
      <c r="H17" s="15" t="n">
        <f aca="false">SQRT(F17^2+G17^2)</f>
        <v>1.32389775</v>
      </c>
      <c r="I17" s="15" t="n">
        <f aca="false">D17*F17/H17</f>
        <v>13.2652472247413</v>
      </c>
      <c r="J17" s="15" t="n">
        <f aca="false">SQRT(C17^2+D17^2-I17^2)</f>
        <v>47.1465965692104</v>
      </c>
      <c r="K17" s="15" t="n">
        <f aca="false">E17/H17</f>
        <v>2649.57834975704</v>
      </c>
      <c r="L17" s="15" t="n">
        <f aca="false">J17/2-K17*ASINH(I17/(2*K17*SINH(J17/(2*K17))))</f>
        <v>-712.405823632017</v>
      </c>
      <c r="M17" s="15" t="n">
        <f aca="false">-L17/K17</f>
        <v>0.268875167891278</v>
      </c>
      <c r="N17" s="15" t="n">
        <f aca="false">(J17-L17)/K17</f>
        <v>0.286669167669972</v>
      </c>
      <c r="O17" s="15" t="n">
        <f aca="false">K17*(SINH(N17)-SINH(M17))</f>
        <v>48.9778215361044</v>
      </c>
      <c r="P17" s="15" t="n">
        <f aca="false">E17*COSH(M17)</f>
        <v>3635.33167360164</v>
      </c>
      <c r="Q17" s="15" t="n">
        <f aca="false">E17*COSH(N17)</f>
        <v>3652.89350455567</v>
      </c>
    </row>
    <row r="18" customFormat="false" ht="21" hidden="false" customHeight="true" outlineLevel="0" collapsed="false">
      <c r="A18" s="1" t="s">
        <v>325</v>
      </c>
      <c r="B18" s="1" t="s">
        <v>324</v>
      </c>
      <c r="C18" s="15" t="n">
        <v>47.1465965692104</v>
      </c>
      <c r="D18" s="15" t="n">
        <v>13.2652472247413</v>
      </c>
      <c r="E18" s="15" t="n">
        <v>364.604139868256</v>
      </c>
      <c r="F18" s="15" t="n">
        <v>1.32389775</v>
      </c>
      <c r="G18" s="15" t="n">
        <v>0</v>
      </c>
      <c r="H18" s="15" t="n">
        <f aca="false">SQRT(F18^2+G18^2)</f>
        <v>1.32389775</v>
      </c>
      <c r="I18" s="15" t="n">
        <f aca="false">D18*F18/H18</f>
        <v>13.2652472247413</v>
      </c>
      <c r="J18" s="15" t="n">
        <f aca="false">SQRT(C18^2+D18^2-I18^2)</f>
        <v>47.1465965692104</v>
      </c>
      <c r="K18" s="15" t="n">
        <f aca="false">E18/H18</f>
        <v>275.402039068543</v>
      </c>
      <c r="L18" s="15" t="n">
        <f aca="false">J18/2-K18*ASINH(I18/(2*K18*SINH(J18/(2*K18))))</f>
        <v>-52.8356966079877</v>
      </c>
      <c r="M18" s="15" t="n">
        <f aca="false">-L18/K18</f>
        <v>0.191849329753284</v>
      </c>
      <c r="N18" s="15" t="n">
        <f aca="false">(J18-L18)/K18</f>
        <v>0.363041223352432</v>
      </c>
      <c r="O18" s="15" t="n">
        <f aca="false">K18*(SINH(N18)-SINH(M18))</f>
        <v>49.0326649577128</v>
      </c>
      <c r="P18" s="15" t="n">
        <f aca="false">E18*COSH(M18)</f>
        <v>371.334585550069</v>
      </c>
      <c r="Q18" s="15" t="n">
        <f aca="false">E18*COSH(N18)</f>
        <v>388.896416504097</v>
      </c>
    </row>
    <row r="19" customFormat="false" ht="21" hidden="false" customHeight="true" outlineLevel="0" collapsed="false">
      <c r="A19" s="1" t="s">
        <v>326</v>
      </c>
      <c r="B19" s="1" t="s">
        <v>319</v>
      </c>
      <c r="C19" s="15" t="n">
        <v>75.5646489241939</v>
      </c>
      <c r="D19" s="15" t="n">
        <v>0.0139079407941605</v>
      </c>
      <c r="E19" s="15" t="n">
        <v>2205.00000000023</v>
      </c>
      <c r="F19" s="15" t="n">
        <v>1.32389775</v>
      </c>
      <c r="G19" s="15" t="n">
        <v>0</v>
      </c>
      <c r="H19" s="15" t="n">
        <f aca="false">SQRT(F19^2+G19^2)</f>
        <v>1.32389775</v>
      </c>
      <c r="I19" s="15" t="n">
        <f aca="false">D19*F19/H19</f>
        <v>0.0139079407941605</v>
      </c>
      <c r="J19" s="15" t="n">
        <f aca="false">SQRT(C19^2+D19^2-I19^2)</f>
        <v>75.5646489241939</v>
      </c>
      <c r="K19" s="15" t="n">
        <f aca="false">E19/H19</f>
        <v>1665.53648119746</v>
      </c>
      <c r="L19" s="15" t="n">
        <f aca="false">J19/2-K19*ASINH(I19/(2*K19*SINH(J19/(2*K19))))</f>
        <v>37.4758028759068</v>
      </c>
      <c r="M19" s="15" t="n">
        <f aca="false">-L19/K19</f>
        <v>-0.0225007397309983</v>
      </c>
      <c r="N19" s="15" t="n">
        <f aca="false">(J19-L19)/K19</f>
        <v>0.0228688152305752</v>
      </c>
      <c r="O19" s="15" t="n">
        <f aca="false">K19*(SINH(N19)-SINH(M19))</f>
        <v>75.5711312878337</v>
      </c>
      <c r="P19" s="15" t="n">
        <f aca="false">E19*COSH(M19)</f>
        <v>2205.55820087579</v>
      </c>
      <c r="Q19" s="15" t="n">
        <f aca="false">E19*COSH(N19)</f>
        <v>2205.57661356732</v>
      </c>
    </row>
    <row r="20" customFormat="false" ht="21" hidden="false" customHeight="true" outlineLevel="0" collapsed="false">
      <c r="A20" s="1" t="s">
        <v>326</v>
      </c>
      <c r="B20" s="1" t="s">
        <v>320</v>
      </c>
      <c r="C20" s="15" t="n">
        <v>75.5646489241939</v>
      </c>
      <c r="D20" s="15" t="n">
        <v>0.0139079407941605</v>
      </c>
      <c r="E20" s="15" t="n">
        <v>3470.87133779772</v>
      </c>
      <c r="F20" s="15" t="n">
        <v>1.32389775</v>
      </c>
      <c r="G20" s="15" t="n">
        <v>3.443895</v>
      </c>
      <c r="H20" s="15" t="n">
        <f aca="false">SQRT(F20^2+G20^2)</f>
        <v>3.68959591601574</v>
      </c>
      <c r="I20" s="15" t="n">
        <f aca="false">D20*F20/H20</f>
        <v>0.00499043579395693</v>
      </c>
      <c r="J20" s="15" t="n">
        <f aca="false">SQRT(C20^2+D20^2-I20^2)</f>
        <v>75.5646500393077</v>
      </c>
      <c r="K20" s="15" t="n">
        <f aca="false">E20/H20</f>
        <v>940.718554769484</v>
      </c>
      <c r="L20" s="15" t="n">
        <f aca="false">J20/2-K20*ASINH(I20/(2*K20*SINH(J20/(2*K20))))</f>
        <v>37.7202148444975</v>
      </c>
      <c r="M20" s="15" t="n">
        <f aca="false">-L20/K20</f>
        <v>-0.0400972370038354</v>
      </c>
      <c r="N20" s="15" t="n">
        <f aca="false">(J20-L20)/K20</f>
        <v>0.0402292853722691</v>
      </c>
      <c r="O20" s="15" t="n">
        <f aca="false">K20*(SINH(N20)-SINH(M20))</f>
        <v>75.5849672419983</v>
      </c>
      <c r="P20" s="15" t="n">
        <f aca="false">E20*COSH(M20)</f>
        <v>3473.66192502118</v>
      </c>
      <c r="Q20" s="15" t="n">
        <f aca="false">E20*COSH(N20)</f>
        <v>3473.6803377127</v>
      </c>
    </row>
    <row r="21" customFormat="false" ht="21" hidden="false" customHeight="true" outlineLevel="0" collapsed="false">
      <c r="A21" s="1" t="s">
        <v>326</v>
      </c>
      <c r="B21" s="1" t="s">
        <v>321</v>
      </c>
      <c r="C21" s="15" t="n">
        <v>75.5646489241939</v>
      </c>
      <c r="D21" s="15" t="n">
        <v>0.0139079407941605</v>
      </c>
      <c r="E21" s="15" t="n">
        <v>3764.38333131144</v>
      </c>
      <c r="F21" s="15" t="n">
        <v>3.85543216183014</v>
      </c>
      <c r="G21" s="15" t="n">
        <v>0</v>
      </c>
      <c r="H21" s="15" t="n">
        <f aca="false">SQRT(F21^2+G21^2)</f>
        <v>3.85543216183014</v>
      </c>
      <c r="I21" s="15" t="n">
        <f aca="false">D21*F21/H21</f>
        <v>0.0139079407941605</v>
      </c>
      <c r="J21" s="15" t="n">
        <f aca="false">SQRT(C21^2+D21^2-I21^2)</f>
        <v>75.5646489241939</v>
      </c>
      <c r="K21" s="15" t="n">
        <f aca="false">E21/H21</f>
        <v>976.384273747543</v>
      </c>
      <c r="L21" s="15" t="n">
        <f aca="false">J21/2-K21*ASINH(I21/(2*K21*SINH(J21/(2*K21))))</f>
        <v>37.6026623263377</v>
      </c>
      <c r="M21" s="15" t="n">
        <f aca="false">-L21/K21</f>
        <v>-0.0385121548322483</v>
      </c>
      <c r="N21" s="15" t="n">
        <f aca="false">(J21-L21)/K21</f>
        <v>0.0388801700504157</v>
      </c>
      <c r="O21" s="15" t="n">
        <f aca="false">K21*(SINH(N21)-SINH(M21))</f>
        <v>75.5835099449802</v>
      </c>
      <c r="P21" s="15" t="n">
        <f aca="false">E21*COSH(M21)</f>
        <v>3767.17531683125</v>
      </c>
      <c r="Q21" s="15" t="n">
        <f aca="false">E21*COSH(N21)</f>
        <v>3767.2289379535</v>
      </c>
    </row>
    <row r="22" customFormat="false" ht="21" hidden="false" customHeight="true" outlineLevel="0" collapsed="false">
      <c r="A22" s="1" t="s">
        <v>326</v>
      </c>
      <c r="B22" s="1" t="s">
        <v>322</v>
      </c>
      <c r="C22" s="15" t="n">
        <v>75.5646489241939</v>
      </c>
      <c r="D22" s="15" t="n">
        <v>0.0139079407941605</v>
      </c>
      <c r="E22" s="15" t="n">
        <v>3458.28817475644</v>
      </c>
      <c r="F22" s="15" t="n">
        <v>2.33651151473205</v>
      </c>
      <c r="G22" s="15" t="n">
        <v>1.43495625</v>
      </c>
      <c r="H22" s="15" t="n">
        <f aca="false">SQRT(F22^2+G22^2)</f>
        <v>2.74196745018783</v>
      </c>
      <c r="I22" s="15" t="n">
        <f aca="false">D22*F22/H22</f>
        <v>0.011851367458626</v>
      </c>
      <c r="J22" s="15" t="n">
        <f aca="false">SQRT(C22^2+D22^2-I22^2)</f>
        <v>75.5646492747275</v>
      </c>
      <c r="K22" s="15" t="n">
        <f aca="false">E22/H22</f>
        <v>1261.24333624731</v>
      </c>
      <c r="L22" s="15" t="n">
        <f aca="false">J22/2-K22*ASINH(I22/(2*K22*SINH(J22/(2*K22))))</f>
        <v>37.5845440224769</v>
      </c>
      <c r="M22" s="15" t="n">
        <f aca="false">-L22/K22</f>
        <v>-0.0297995977003973</v>
      </c>
      <c r="N22" s="15" t="n">
        <f aca="false">(J22-L22)/K22</f>
        <v>0.0301132257041342</v>
      </c>
      <c r="O22" s="15" t="n">
        <f aca="false">K22*(SINH(N22)-SINH(M22))</f>
        <v>75.575952495047</v>
      </c>
      <c r="P22" s="15" t="n">
        <f aca="false">E22*COSH(M22)</f>
        <v>3459.82379604527</v>
      </c>
      <c r="Q22" s="15" t="n">
        <f aca="false">E22*COSH(N22)</f>
        <v>3459.85629210908</v>
      </c>
    </row>
    <row r="23" customFormat="false" ht="21" hidden="false" customHeight="true" outlineLevel="0" collapsed="false">
      <c r="A23" s="1" t="s">
        <v>326</v>
      </c>
      <c r="B23" s="1" t="s">
        <v>323</v>
      </c>
      <c r="C23" s="15" t="n">
        <v>75.5646489241939</v>
      </c>
      <c r="D23" s="15" t="n">
        <v>0.0139079407941605</v>
      </c>
      <c r="E23" s="15" t="n">
        <v>3459.68088678141</v>
      </c>
      <c r="F23" s="15" t="n">
        <v>1.32389775</v>
      </c>
      <c r="G23" s="15" t="n">
        <v>0</v>
      </c>
      <c r="H23" s="15" t="n">
        <f aca="false">SQRT(F23^2+G23^2)</f>
        <v>1.32389775</v>
      </c>
      <c r="I23" s="15" t="n">
        <f aca="false">D23*F23/H23</f>
        <v>0.0139079407941605</v>
      </c>
      <c r="J23" s="15" t="n">
        <f aca="false">SQRT(C23^2+D23^2-I23^2)</f>
        <v>75.5646489241939</v>
      </c>
      <c r="K23" s="15" t="n">
        <f aca="false">E23/H23</f>
        <v>2613.25384591175</v>
      </c>
      <c r="L23" s="15" t="n">
        <f aca="false">J23/2-K23*ASINH(I23/(2*K23*SINH(J23/(2*K23))))</f>
        <v>37.3013626115818</v>
      </c>
      <c r="M23" s="15" t="n">
        <f aca="false">-L23/K23</f>
        <v>-0.0142739147480591</v>
      </c>
      <c r="N23" s="15" t="n">
        <f aca="false">(J23-L23)/K23</f>
        <v>0.014642008992916</v>
      </c>
      <c r="O23" s="15" t="n">
        <f aca="false">K23*(SINH(N23)-SINH(M23))</f>
        <v>75.567282811513</v>
      </c>
      <c r="P23" s="15" t="n">
        <f aca="false">E23*COSH(M23)</f>
        <v>3460.03333848779</v>
      </c>
      <c r="Q23" s="15" t="n">
        <f aca="false">E23*COSH(N23)</f>
        <v>3460.05175117932</v>
      </c>
    </row>
    <row r="24" customFormat="false" ht="21" hidden="false" customHeight="true" outlineLevel="0" collapsed="false">
      <c r="A24" s="1" t="s">
        <v>326</v>
      </c>
      <c r="B24" s="1" t="s">
        <v>324</v>
      </c>
      <c r="C24" s="15" t="n">
        <v>75.5646489241939</v>
      </c>
      <c r="D24" s="15" t="n">
        <v>0.0139079407941605</v>
      </c>
      <c r="E24" s="15" t="n">
        <v>571.386867817049</v>
      </c>
      <c r="F24" s="15" t="n">
        <v>1.32389775</v>
      </c>
      <c r="G24" s="15" t="n">
        <v>0</v>
      </c>
      <c r="H24" s="15" t="n">
        <f aca="false">SQRT(F24^2+G24^2)</f>
        <v>1.32389775</v>
      </c>
      <c r="I24" s="15" t="n">
        <f aca="false">D24*F24/H24</f>
        <v>0.0139079407941605</v>
      </c>
      <c r="J24" s="15" t="n">
        <f aca="false">SQRT(C24^2+D24^2-I24^2)</f>
        <v>75.5646489241939</v>
      </c>
      <c r="K24" s="15" t="n">
        <f aca="false">E24/H24</f>
        <v>431.59440962646</v>
      </c>
      <c r="L24" s="15" t="n">
        <f aca="false">J24/2-K24*ASINH(I24/(2*K24*SINH(J24/(2*K24))))</f>
        <v>37.7029893548105</v>
      </c>
      <c r="M24" s="15" t="n">
        <f aca="false">-L24/K24</f>
        <v>-0.0873574553188536</v>
      </c>
      <c r="N24" s="15" t="n">
        <f aca="false">(J24-L24)/K24</f>
        <v>0.0877250926446247</v>
      </c>
      <c r="O24" s="15" t="n">
        <f aca="false">K24*(SINH(N24)-SINH(M24))</f>
        <v>75.6612018196646</v>
      </c>
      <c r="P24" s="15" t="n">
        <f aca="false">E24*COSH(M24)</f>
        <v>573.568474111181</v>
      </c>
      <c r="Q24" s="15" t="n">
        <f aca="false">E24*COSH(N24)</f>
        <v>573.586886802706</v>
      </c>
    </row>
    <row r="25" customFormat="false" ht="21" hidden="false" customHeight="true" outlineLevel="0" collapsed="false">
      <c r="A25" s="1" t="s">
        <v>327</v>
      </c>
      <c r="B25" s="1" t="s">
        <v>319</v>
      </c>
      <c r="C25" s="15" t="n">
        <v>75.5646489241475</v>
      </c>
      <c r="D25" s="15" t="n">
        <v>-0.98642691536852</v>
      </c>
      <c r="E25" s="15" t="n">
        <v>2204.99999999978</v>
      </c>
      <c r="F25" s="15" t="n">
        <v>1.32389775</v>
      </c>
      <c r="G25" s="15" t="n">
        <v>0</v>
      </c>
      <c r="H25" s="15" t="n">
        <f aca="false">SQRT(F25^2+G25^2)</f>
        <v>1.32389775</v>
      </c>
      <c r="I25" s="15" t="n">
        <f aca="false">D25*F25/H25</f>
        <v>-0.98642691536852</v>
      </c>
      <c r="J25" s="15" t="n">
        <f aca="false">SQRT(C25^2+D25^2-I25^2)</f>
        <v>75.5646489241475</v>
      </c>
      <c r="K25" s="15" t="n">
        <f aca="false">E25/H25</f>
        <v>1665.53648119711</v>
      </c>
      <c r="L25" s="15" t="n">
        <f aca="false">J25/2-K25*ASINH(I25/(2*K25*SINH(J25/(2*K25))))</f>
        <v>59.5218877491961</v>
      </c>
      <c r="M25" s="15" t="n">
        <f aca="false">-L25/K25</f>
        <v>-0.0357373665609621</v>
      </c>
      <c r="N25" s="15" t="n">
        <f aca="false">(J25-L25)/K25</f>
        <v>0.00963218840059301</v>
      </c>
      <c r="O25" s="15" t="n">
        <f aca="false">K25*(SINH(N25)-SINH(M25))</f>
        <v>75.5775676291883</v>
      </c>
      <c r="P25" s="15" t="n">
        <f aca="false">E25*COSH(M25)</f>
        <v>2206.40821807079</v>
      </c>
      <c r="Q25" s="15" t="n">
        <f aca="false">E25*COSH(N25)</f>
        <v>2205.10228969699</v>
      </c>
    </row>
    <row r="26" customFormat="false" ht="21" hidden="false" customHeight="true" outlineLevel="0" collapsed="false">
      <c r="A26" s="1" t="s">
        <v>327</v>
      </c>
      <c r="B26" s="1" t="s">
        <v>320</v>
      </c>
      <c r="C26" s="15" t="n">
        <v>75.5646489241475</v>
      </c>
      <c r="D26" s="15" t="n">
        <v>-0.98642691536852</v>
      </c>
      <c r="E26" s="15" t="n">
        <v>3471.07383466239</v>
      </c>
      <c r="F26" s="15" t="n">
        <v>1.32389775</v>
      </c>
      <c r="G26" s="15" t="n">
        <v>3.443895</v>
      </c>
      <c r="H26" s="15" t="n">
        <f aca="false">SQRT(F26^2+G26^2)</f>
        <v>3.68959591601574</v>
      </c>
      <c r="I26" s="15" t="n">
        <f aca="false">D26*F26/H26</f>
        <v>-0.353948888583454</v>
      </c>
      <c r="J26" s="15" t="n">
        <f aca="false">SQRT(C26^2+D26^2-I26^2)</f>
        <v>75.570258205681</v>
      </c>
      <c r="K26" s="15" t="n">
        <f aca="false">E26/H26</f>
        <v>940.773437978724</v>
      </c>
      <c r="L26" s="15" t="n">
        <f aca="false">J26/2-K26*ASINH(I26/(2*K26*SINH(J26/(2*K26))))</f>
        <v>42.1902349699862</v>
      </c>
      <c r="M26" s="15" t="n">
        <f aca="false">-L26/K26</f>
        <v>-0.0448463288468614</v>
      </c>
      <c r="N26" s="15" t="n">
        <f aca="false">(J26-L26)/K26</f>
        <v>0.0354814686386264</v>
      </c>
      <c r="O26" s="15" t="n">
        <f aca="false">K26*(SINH(N26)-SINH(M26))</f>
        <v>75.5914060655774</v>
      </c>
      <c r="P26" s="15" t="n">
        <f aca="false">E26*COSH(M26)</f>
        <v>3474.56491977309</v>
      </c>
      <c r="Q26" s="15" t="n">
        <f aca="false">E26*COSH(N26)</f>
        <v>3473.2589913993</v>
      </c>
    </row>
    <row r="27" customFormat="false" ht="21" hidden="false" customHeight="true" outlineLevel="0" collapsed="false">
      <c r="A27" s="1" t="s">
        <v>327</v>
      </c>
      <c r="B27" s="1" t="s">
        <v>321</v>
      </c>
      <c r="C27" s="15" t="n">
        <v>75.5646489241475</v>
      </c>
      <c r="D27" s="15" t="n">
        <v>-0.98642691536852</v>
      </c>
      <c r="E27" s="15" t="n">
        <v>3764.22786399298</v>
      </c>
      <c r="F27" s="15" t="n">
        <v>3.85543216183014</v>
      </c>
      <c r="G27" s="15" t="n">
        <v>0</v>
      </c>
      <c r="H27" s="15" t="n">
        <f aca="false">SQRT(F27^2+G27^2)</f>
        <v>3.85543216183014</v>
      </c>
      <c r="I27" s="15" t="n">
        <f aca="false">D27*F27/H27</f>
        <v>-0.98642691536852</v>
      </c>
      <c r="J27" s="15" t="n">
        <f aca="false">SQRT(C27^2+D27^2-I27^2)</f>
        <v>75.5646489241475</v>
      </c>
      <c r="K27" s="15" t="n">
        <f aca="false">E27/H27</f>
        <v>976.343949521378</v>
      </c>
      <c r="L27" s="15" t="n">
        <f aca="false">J27/2-K27*ASINH(I27/(2*K27*SINH(J27/(2*K27))))</f>
        <v>50.52405357879</v>
      </c>
      <c r="M27" s="15" t="n">
        <f aca="false">-L27/K27</f>
        <v>-0.0517482118914731</v>
      </c>
      <c r="N27" s="15" t="n">
        <f aca="false">(J27-L27)/K27</f>
        <v>0.0256473093909507</v>
      </c>
      <c r="O27" s="15" t="n">
        <f aca="false">K27*(SINH(N27)-SINH(M27))</f>
        <v>75.5899467901934</v>
      </c>
      <c r="P27" s="15" t="n">
        <f aca="false">E27*COSH(M27)</f>
        <v>3769.26905924426</v>
      </c>
      <c r="Q27" s="15" t="n">
        <f aca="false">E27*COSH(N27)</f>
        <v>3765.46595718945</v>
      </c>
    </row>
    <row r="28" customFormat="false" ht="21" hidden="false" customHeight="true" outlineLevel="0" collapsed="false">
      <c r="A28" s="1" t="s">
        <v>327</v>
      </c>
      <c r="B28" s="1" t="s">
        <v>322</v>
      </c>
      <c r="C28" s="15" t="n">
        <v>75.5646489241475</v>
      </c>
      <c r="D28" s="15" t="n">
        <v>-0.98642691536852</v>
      </c>
      <c r="E28" s="15" t="n">
        <v>3458.27493459771</v>
      </c>
      <c r="F28" s="15" t="n">
        <v>2.33651151473205</v>
      </c>
      <c r="G28" s="15" t="n">
        <v>1.43495625</v>
      </c>
      <c r="H28" s="15" t="n">
        <f aca="false">SQRT(F28^2+G28^2)</f>
        <v>2.74196745018783</v>
      </c>
      <c r="I28" s="15" t="n">
        <f aca="false">D28*F28/H28</f>
        <v>-0.840563532598568</v>
      </c>
      <c r="J28" s="15" t="n">
        <f aca="false">SQRT(C28^2+D28^2-I28^2)</f>
        <v>75.5664122347799</v>
      </c>
      <c r="K28" s="15" t="n">
        <f aca="false">E28/H28</f>
        <v>1261.23850753984</v>
      </c>
      <c r="L28" s="15" t="n">
        <f aca="false">J28/2-K28*ASINH(I28/(2*K28*SINH(J28/(2*K28))))</f>
        <v>51.8102144085673</v>
      </c>
      <c r="M28" s="15" t="n">
        <f aca="false">-L28/K28</f>
        <v>-0.0410788396475683</v>
      </c>
      <c r="N28" s="15" t="n">
        <f aca="false">(J28-L28)/K28</f>
        <v>0.0188356109365478</v>
      </c>
      <c r="O28" s="15" t="n">
        <f aca="false">K28*(SINH(N28)-SINH(M28))</f>
        <v>75.5823895670743</v>
      </c>
      <c r="P28" s="15" t="n">
        <f aca="false">E28*COSH(M28)</f>
        <v>3461.19321438572</v>
      </c>
      <c r="Q28" s="15" t="n">
        <f aca="false">E28*COSH(N28)</f>
        <v>3458.88841653951</v>
      </c>
    </row>
    <row r="29" customFormat="false" ht="21" hidden="false" customHeight="true" outlineLevel="0" collapsed="false">
      <c r="A29" s="1" t="s">
        <v>327</v>
      </c>
      <c r="B29" s="1" t="s">
        <v>323</v>
      </c>
      <c r="C29" s="15" t="n">
        <v>75.5646489241475</v>
      </c>
      <c r="D29" s="15" t="n">
        <v>-0.98642691536852</v>
      </c>
      <c r="E29" s="15" t="n">
        <v>3459.60521462803</v>
      </c>
      <c r="F29" s="15" t="n">
        <v>1.32389775</v>
      </c>
      <c r="G29" s="15" t="n">
        <v>0</v>
      </c>
      <c r="H29" s="15" t="n">
        <f aca="false">SQRT(F29^2+G29^2)</f>
        <v>1.32389775</v>
      </c>
      <c r="I29" s="15" t="n">
        <f aca="false">D29*F29/H29</f>
        <v>-0.98642691536852</v>
      </c>
      <c r="J29" s="15" t="n">
        <f aca="false">SQRT(C29^2+D29^2-I29^2)</f>
        <v>75.5646489241475</v>
      </c>
      <c r="K29" s="15" t="n">
        <f aca="false">E29/H29</f>
        <v>2613.1966873031</v>
      </c>
      <c r="L29" s="15" t="n">
        <f aca="false">J29/2-K29*ASINH(I29/(2*K29*SINH(J29/(2*K29))))</f>
        <v>71.8930439523924</v>
      </c>
      <c r="M29" s="15" t="n">
        <f aca="false">-L29/K29</f>
        <v>-0.0275115318727073</v>
      </c>
      <c r="N29" s="15" t="n">
        <f aca="false">(J29-L29)/K29</f>
        <v>0.00140502434799282</v>
      </c>
      <c r="O29" s="15" t="n">
        <f aca="false">K29*(SINH(N29)-SINH(M29))</f>
        <v>75.5737195957875</v>
      </c>
      <c r="P29" s="15" t="n">
        <f aca="false">E29*COSH(M29)</f>
        <v>3460.91455779433</v>
      </c>
      <c r="Q29" s="15" t="n">
        <f aca="false">E29*COSH(N29)</f>
        <v>3459.60862942054</v>
      </c>
    </row>
    <row r="30" customFormat="false" ht="21" hidden="false" customHeight="true" outlineLevel="0" collapsed="false">
      <c r="A30" s="1" t="s">
        <v>327</v>
      </c>
      <c r="B30" s="1" t="s">
        <v>324</v>
      </c>
      <c r="C30" s="15" t="n">
        <v>75.5646489241475</v>
      </c>
      <c r="D30" s="15" t="n">
        <v>-0.98642691536852</v>
      </c>
      <c r="E30" s="15" t="n">
        <v>571.354054241528</v>
      </c>
      <c r="F30" s="15" t="n">
        <v>1.32389775</v>
      </c>
      <c r="G30" s="15" t="n">
        <v>0</v>
      </c>
      <c r="H30" s="15" t="n">
        <f aca="false">SQRT(F30^2+G30^2)</f>
        <v>1.32389775</v>
      </c>
      <c r="I30" s="15" t="n">
        <f aca="false">D30*F30/H30</f>
        <v>-0.98642691536852</v>
      </c>
      <c r="J30" s="15" t="n">
        <f aca="false">SQRT(C30^2+D30^2-I30^2)</f>
        <v>75.5646489241475</v>
      </c>
      <c r="K30" s="15" t="n">
        <f aca="false">E30/H30</f>
        <v>431.569624045005</v>
      </c>
      <c r="L30" s="15" t="n">
        <f aca="false">J30/2-K30*ASINH(I30/(2*K30*SINH(J30/(2*K30))))</f>
        <v>43.4087190798388</v>
      </c>
      <c r="M30" s="15" t="n">
        <f aca="false">-L30/K30</f>
        <v>-0.100583351240012</v>
      </c>
      <c r="N30" s="15" t="n">
        <f aca="false">(J30-L30)/K30</f>
        <v>0.0745092519323265</v>
      </c>
      <c r="O30" s="15" t="n">
        <f aca="false">K30*(SINH(N30)-SINH(M30))</f>
        <v>75.6676415933423</v>
      </c>
      <c r="P30" s="15" t="n">
        <f aca="false">E30*COSH(M30)</f>
        <v>574.246689239609</v>
      </c>
      <c r="Q30" s="15" t="n">
        <f aca="false">E30*COSH(N30)</f>
        <v>572.940760865813</v>
      </c>
    </row>
    <row r="31" customFormat="false" ht="21" hidden="false" customHeight="true" outlineLevel="0" collapsed="false">
      <c r="A31" s="1" t="s">
        <v>328</v>
      </c>
      <c r="B31" s="1" t="s">
        <v>319</v>
      </c>
      <c r="C31" s="15" t="n">
        <v>71.0245484986718</v>
      </c>
      <c r="D31" s="15" t="n">
        <v>7.3940342777365</v>
      </c>
      <c r="E31" s="15" t="n">
        <v>2205.00000000012</v>
      </c>
      <c r="F31" s="15" t="n">
        <v>1.32389775</v>
      </c>
      <c r="G31" s="15" t="n">
        <v>0</v>
      </c>
      <c r="H31" s="15" t="n">
        <f aca="false">SQRT(F31^2+G31^2)</f>
        <v>1.32389775</v>
      </c>
      <c r="I31" s="15" t="n">
        <f aca="false">D31*F31/H31</f>
        <v>7.3940342777365</v>
      </c>
      <c r="J31" s="15" t="n">
        <f aca="false">SQRT(C31^2+D31^2-I31^2)</f>
        <v>71.0245484986718</v>
      </c>
      <c r="K31" s="15" t="n">
        <f aca="false">E31/H31</f>
        <v>1665.53648119737</v>
      </c>
      <c r="L31" s="15" t="n">
        <f aca="false">J31/2-K31*ASINH(I31/(2*K31*SINH(J31/(2*K31))))</f>
        <v>-137.55420697649</v>
      </c>
      <c r="M31" s="15" t="n">
        <f aca="false">-L31/K31</f>
        <v>0.08258852839873</v>
      </c>
      <c r="N31" s="15" t="n">
        <f aca="false">(J31-L31)/K31</f>
        <v>0.125232174635534</v>
      </c>
      <c r="O31" s="15" t="n">
        <f aca="false">K31*(SINH(N31)-SINH(M31))</f>
        <v>71.41374321795</v>
      </c>
      <c r="P31" s="15" t="n">
        <f aca="false">E31*COSH(M31)</f>
        <v>2212.52427907086</v>
      </c>
      <c r="Q31" s="15" t="n">
        <f aca="false">E31*COSH(N31)</f>
        <v>2222.31322441457</v>
      </c>
    </row>
    <row r="32" customFormat="false" ht="21" hidden="false" customHeight="true" outlineLevel="0" collapsed="false">
      <c r="A32" s="1" t="s">
        <v>328</v>
      </c>
      <c r="B32" s="1" t="s">
        <v>320</v>
      </c>
      <c r="C32" s="15" t="n">
        <v>71.0245484986718</v>
      </c>
      <c r="D32" s="15" t="n">
        <v>7.3940342777365</v>
      </c>
      <c r="E32" s="15" t="n">
        <v>3437.66839696948</v>
      </c>
      <c r="F32" s="15" t="n">
        <v>1.32389775</v>
      </c>
      <c r="G32" s="15" t="n">
        <v>3.443895</v>
      </c>
      <c r="H32" s="15" t="n">
        <f aca="false">SQRT(F32^2+G32^2)</f>
        <v>3.68959591601574</v>
      </c>
      <c r="I32" s="15" t="n">
        <f aca="false">D32*F32/H32</f>
        <v>2.65312125407189</v>
      </c>
      <c r="J32" s="15" t="n">
        <f aca="false">SQRT(C32^2+D32^2-I32^2)</f>
        <v>71.359086176546</v>
      </c>
      <c r="K32" s="15" t="n">
        <f aca="false">E32/H32</f>
        <v>931.719482355046</v>
      </c>
      <c r="L32" s="15" t="n">
        <f aca="false">J32/2-K32*ASINH(I32/(2*K32*SINH(J32/(2*K32))))</f>
        <v>1.05477305427365</v>
      </c>
      <c r="M32" s="15" t="n">
        <f aca="false">-L32/K32</f>
        <v>-0.00113207148100797</v>
      </c>
      <c r="N32" s="15" t="n">
        <f aca="false">(J32-L32)/K32</f>
        <v>0.0754565236143488</v>
      </c>
      <c r="O32" s="15" t="n">
        <f aca="false">K32*(SINH(N32)-SINH(M32))</f>
        <v>71.4258205222652</v>
      </c>
      <c r="P32" s="15" t="n">
        <f aca="false">E32*COSH(M32)</f>
        <v>3437.67059980328</v>
      </c>
      <c r="Q32" s="15" t="n">
        <f aca="false">E32*COSH(N32)</f>
        <v>3447.459545147</v>
      </c>
    </row>
    <row r="33" customFormat="false" ht="21" hidden="false" customHeight="true" outlineLevel="0" collapsed="false">
      <c r="A33" s="1" t="s">
        <v>328</v>
      </c>
      <c r="B33" s="1" t="s">
        <v>321</v>
      </c>
      <c r="C33" s="15" t="n">
        <v>71.0245484986718</v>
      </c>
      <c r="D33" s="15" t="n">
        <v>7.3940342777365</v>
      </c>
      <c r="E33" s="15" t="n">
        <v>3712.0232567902</v>
      </c>
      <c r="F33" s="15" t="n">
        <v>3.85543216183014</v>
      </c>
      <c r="G33" s="15" t="n">
        <v>0</v>
      </c>
      <c r="H33" s="15" t="n">
        <f aca="false">SQRT(F33^2+G33^2)</f>
        <v>3.85543216183014</v>
      </c>
      <c r="I33" s="15" t="n">
        <f aca="false">D33*F33/H33</f>
        <v>7.3940342777365</v>
      </c>
      <c r="J33" s="15" t="n">
        <f aca="false">SQRT(C33^2+D33^2-I33^2)</f>
        <v>71.0245484986718</v>
      </c>
      <c r="K33" s="15" t="n">
        <f aca="false">E33/H33</f>
        <v>962.803416317443</v>
      </c>
      <c r="L33" s="15" t="n">
        <f aca="false">J33/2-K33*ASINH(I33/(2*K33*SINH(J33/(2*K33))))</f>
        <v>-64.517919393761</v>
      </c>
      <c r="M33" s="15" t="n">
        <f aca="false">-L33/K33</f>
        <v>0.0670104803330787</v>
      </c>
      <c r="N33" s="15" t="n">
        <f aca="false">(J33-L33)/K33</f>
        <v>0.14077896442335</v>
      </c>
      <c r="O33" s="15" t="n">
        <f aca="false">K33*(SINH(N33)-SINH(M33))</f>
        <v>71.4244092265378</v>
      </c>
      <c r="P33" s="15" t="n">
        <f aca="false">E33*COSH(M33)</f>
        <v>3720.36061885466</v>
      </c>
      <c r="Q33" s="15" t="n">
        <f aca="false">E33*COSH(N33)</f>
        <v>3748.86781641472</v>
      </c>
    </row>
    <row r="34" customFormat="false" ht="21" hidden="false" customHeight="true" outlineLevel="0" collapsed="false">
      <c r="A34" s="1" t="s">
        <v>328</v>
      </c>
      <c r="B34" s="1" t="s">
        <v>322</v>
      </c>
      <c r="C34" s="15" t="n">
        <v>71.0245484986718</v>
      </c>
      <c r="D34" s="15" t="n">
        <v>7.3940342777365</v>
      </c>
      <c r="E34" s="15" t="n">
        <v>3439.02984160178</v>
      </c>
      <c r="F34" s="15" t="n">
        <v>2.33651151473205</v>
      </c>
      <c r="G34" s="15" t="n">
        <v>1.43495625</v>
      </c>
      <c r="H34" s="15" t="n">
        <f aca="false">SQRT(F34^2+G34^2)</f>
        <v>2.74196745018783</v>
      </c>
      <c r="I34" s="15" t="n">
        <f aca="false">D34*F34/H34</f>
        <v>6.30067516996651</v>
      </c>
      <c r="J34" s="15" t="n">
        <f aca="false">SQRT(C34^2+D34^2-I34^2)</f>
        <v>71.1298792684417</v>
      </c>
      <c r="K34" s="15" t="n">
        <f aca="false">E34/H34</f>
        <v>1254.21979074412</v>
      </c>
      <c r="L34" s="15" t="n">
        <f aca="false">J34/2-K34*ASINH(I34/(2*K34*SINH(J34/(2*K34))))</f>
        <v>-75.3740755030592</v>
      </c>
      <c r="M34" s="15" t="n">
        <f aca="false">-L34/K34</f>
        <v>0.0600963850668789</v>
      </c>
      <c r="N34" s="15" t="n">
        <f aca="false">(J34-L34)/K34</f>
        <v>0.116808836738719</v>
      </c>
      <c r="O34" s="15" t="n">
        <f aca="false">K34*(SINH(N34)-SINH(M34))</f>
        <v>71.4178859974309</v>
      </c>
      <c r="P34" s="15" t="n">
        <f aca="false">E34*COSH(M34)</f>
        <v>3445.24186882125</v>
      </c>
      <c r="Q34" s="15" t="n">
        <f aca="false">E34*COSH(N34)</f>
        <v>3462.51811505151</v>
      </c>
    </row>
    <row r="35" customFormat="false" ht="21" hidden="false" customHeight="true" outlineLevel="0" collapsed="false">
      <c r="A35" s="1" t="s">
        <v>328</v>
      </c>
      <c r="B35" s="1" t="s">
        <v>323</v>
      </c>
      <c r="C35" s="15" t="n">
        <v>71.0245484986718</v>
      </c>
      <c r="D35" s="15" t="n">
        <v>7.3940342777365</v>
      </c>
      <c r="E35" s="15" t="n">
        <v>3471.84434167751</v>
      </c>
      <c r="F35" s="15" t="n">
        <v>1.32389775</v>
      </c>
      <c r="G35" s="15" t="n">
        <v>0</v>
      </c>
      <c r="H35" s="15" t="n">
        <f aca="false">SQRT(F35^2+G35^2)</f>
        <v>1.32389775</v>
      </c>
      <c r="I35" s="15" t="n">
        <f aca="false">D35*F35/H35</f>
        <v>7.3940342777365</v>
      </c>
      <c r="J35" s="15" t="n">
        <f aca="false">SQRT(C35^2+D35^2-I35^2)</f>
        <v>71.0245484986718</v>
      </c>
      <c r="K35" s="15" t="n">
        <f aca="false">E35/H35</f>
        <v>2622.44145492166</v>
      </c>
      <c r="L35" s="15" t="n">
        <f aca="false">J35/2-K35*ASINH(I35/(2*K35*SINH(J35/(2*K35))))</f>
        <v>-236.998813927569</v>
      </c>
      <c r="M35" s="15" t="n">
        <f aca="false">-L35/K35</f>
        <v>0.0903733478902957</v>
      </c>
      <c r="N35" s="15" t="n">
        <f aca="false">(J35-L35)/K35</f>
        <v>0.117456716468602</v>
      </c>
      <c r="O35" s="15" t="n">
        <f aca="false">K35*(SINH(N35)-SINH(M35))</f>
        <v>71.4105495556384</v>
      </c>
      <c r="P35" s="15" t="n">
        <f aca="false">E35*COSH(M35)</f>
        <v>3486.03186400118</v>
      </c>
      <c r="Q35" s="15" t="n">
        <f aca="false">E35*COSH(N35)</f>
        <v>3495.8208093449</v>
      </c>
    </row>
    <row r="36" customFormat="false" ht="21" hidden="false" customHeight="true" outlineLevel="0" collapsed="false">
      <c r="A36" s="1" t="s">
        <v>328</v>
      </c>
      <c r="B36" s="1" t="s">
        <v>324</v>
      </c>
      <c r="C36" s="15" t="n">
        <v>71.0245484986718</v>
      </c>
      <c r="D36" s="15" t="n">
        <v>7.3940342777365</v>
      </c>
      <c r="E36" s="15" t="n">
        <v>539.309632744164</v>
      </c>
      <c r="F36" s="15" t="n">
        <v>1.32389775</v>
      </c>
      <c r="G36" s="15" t="n">
        <v>0</v>
      </c>
      <c r="H36" s="15" t="n">
        <f aca="false">SQRT(F36^2+G36^2)</f>
        <v>1.32389775</v>
      </c>
      <c r="I36" s="15" t="n">
        <f aca="false">D36*F36/H36</f>
        <v>7.3940342777365</v>
      </c>
      <c r="J36" s="15" t="n">
        <f aca="false">SQRT(C36^2+D36^2-I36^2)</f>
        <v>71.0245484986718</v>
      </c>
      <c r="K36" s="15" t="n">
        <f aca="false">E36/H36</f>
        <v>407.365019499553</v>
      </c>
      <c r="L36" s="15" t="n">
        <f aca="false">J36/2-K36*ASINH(I36/(2*K36*SINH(J36/(2*K36))))</f>
        <v>-6.76698478181459</v>
      </c>
      <c r="M36" s="15" t="n">
        <f aca="false">-L36/K36</f>
        <v>0.0166116000586595</v>
      </c>
      <c r="N36" s="15" t="n">
        <f aca="false">(J36-L36)/K36</f>
        <v>0.190962722759193</v>
      </c>
      <c r="O36" s="15" t="n">
        <f aca="false">K36*(SINH(N36)-SINH(M36))</f>
        <v>71.4979009811473</v>
      </c>
      <c r="P36" s="15" t="n">
        <f aca="false">E36*COSH(M36)</f>
        <v>539.384044422743</v>
      </c>
      <c r="Q36" s="15" t="n">
        <f aca="false">E36*COSH(N36)</f>
        <v>549.172989766461</v>
      </c>
    </row>
    <row r="37" customFormat="false" ht="21" hidden="false" customHeight="true" outlineLevel="0" collapsed="false">
      <c r="A37" s="1" t="s">
        <v>329</v>
      </c>
      <c r="B37" s="1" t="s">
        <v>319</v>
      </c>
      <c r="C37" s="15" t="n">
        <v>71.0245485000877</v>
      </c>
      <c r="D37" s="15" t="n">
        <v>2.59166161774719</v>
      </c>
      <c r="E37" s="15" t="n">
        <v>2204.99999999951</v>
      </c>
      <c r="F37" s="15" t="n">
        <v>1.32389775</v>
      </c>
      <c r="G37" s="15" t="n">
        <v>0</v>
      </c>
      <c r="H37" s="15" t="n">
        <f aca="false">SQRT(F37^2+G37^2)</f>
        <v>1.32389775</v>
      </c>
      <c r="I37" s="15" t="n">
        <f aca="false">D37*F37/H37</f>
        <v>2.59166161774719</v>
      </c>
      <c r="J37" s="15" t="n">
        <f aca="false">SQRT(C37^2+D37^2-I37^2)</f>
        <v>71.0245485000877</v>
      </c>
      <c r="K37" s="15" t="n">
        <f aca="false">E37/H37</f>
        <v>1665.53648119692</v>
      </c>
      <c r="L37" s="15" t="n">
        <f aca="false">J37/2-K37*ASINH(I37/(2*K37*SINH(J37/(2*K37))))</f>
        <v>-25.24450502508</v>
      </c>
      <c r="M37" s="15" t="n">
        <f aca="false">-L37/K37</f>
        <v>0.0151569811349544</v>
      </c>
      <c r="N37" s="15" t="n">
        <f aca="false">(J37-L37)/K37</f>
        <v>0.05780062737262</v>
      </c>
      <c r="O37" s="15" t="n">
        <f aca="false">K37*(SINH(N37)-SINH(M37))</f>
        <v>71.0771952713459</v>
      </c>
      <c r="P37" s="15" t="n">
        <f aca="false">E37*COSH(M37)</f>
        <v>2205.25328666854</v>
      </c>
      <c r="Q37" s="15" t="n">
        <f aca="false">E37*COSH(N37)</f>
        <v>2208.68438165303</v>
      </c>
    </row>
    <row r="38" customFormat="false" ht="21" hidden="false" customHeight="true" outlineLevel="0" collapsed="false">
      <c r="A38" s="1" t="s">
        <v>329</v>
      </c>
      <c r="B38" s="1" t="s">
        <v>320</v>
      </c>
      <c r="C38" s="15" t="n">
        <v>71.0245485000877</v>
      </c>
      <c r="D38" s="15" t="n">
        <v>2.59166161774719</v>
      </c>
      <c r="E38" s="15" t="n">
        <v>3426.66559260858</v>
      </c>
      <c r="F38" s="15" t="n">
        <v>1.32389775</v>
      </c>
      <c r="G38" s="15" t="n">
        <v>3.443895</v>
      </c>
      <c r="H38" s="15" t="n">
        <f aca="false">SQRT(F38^2+G38^2)</f>
        <v>3.68959591601574</v>
      </c>
      <c r="I38" s="15" t="n">
        <f aca="false">D38*F38/H38</f>
        <v>0.929937874660806</v>
      </c>
      <c r="J38" s="15" t="n">
        <f aca="false">SQRT(C38^2+D38^2-I38^2)</f>
        <v>71.0657330584261</v>
      </c>
      <c r="K38" s="15" t="n">
        <f aca="false">E38/H38</f>
        <v>928.737365990179</v>
      </c>
      <c r="L38" s="15" t="n">
        <f aca="false">J38/2-K38*ASINH(I38/(2*K38*SINH(J38/(2*K38))))</f>
        <v>23.3830902566835</v>
      </c>
      <c r="M38" s="15" t="n">
        <f aca="false">-L38/K38</f>
        <v>-0.0251772902792098</v>
      </c>
      <c r="N38" s="15" t="n">
        <f aca="false">(J38-L38)/K38</f>
        <v>0.0513413636059593</v>
      </c>
      <c r="O38" s="15" t="n">
        <f aca="false">K38*(SINH(N38)-SINH(M38))</f>
        <v>71.0891543682176</v>
      </c>
      <c r="P38" s="15" t="n">
        <f aca="false">E38*COSH(M38)</f>
        <v>3427.75172469472</v>
      </c>
      <c r="Q38" s="15" t="n">
        <f aca="false">E38*COSH(N38)</f>
        <v>3431.18281967921</v>
      </c>
    </row>
    <row r="39" customFormat="false" ht="21" hidden="false" customHeight="true" outlineLevel="0" collapsed="false">
      <c r="A39" s="1" t="s">
        <v>329</v>
      </c>
      <c r="B39" s="1" t="s">
        <v>321</v>
      </c>
      <c r="C39" s="15" t="n">
        <v>71.0245485000877</v>
      </c>
      <c r="D39" s="15" t="n">
        <v>2.59166161774719</v>
      </c>
      <c r="E39" s="15" t="n">
        <v>3720.39910132487</v>
      </c>
      <c r="F39" s="15" t="n">
        <v>3.85543216183014</v>
      </c>
      <c r="G39" s="15" t="n">
        <v>0</v>
      </c>
      <c r="H39" s="15" t="n">
        <f aca="false">SQRT(F39^2+G39^2)</f>
        <v>3.85543216183014</v>
      </c>
      <c r="I39" s="15" t="n">
        <f aca="false">D39*F39/H39</f>
        <v>2.59166161774719</v>
      </c>
      <c r="J39" s="15" t="n">
        <f aca="false">SQRT(C39^2+D39^2-I39^2)</f>
        <v>71.0245485000877</v>
      </c>
      <c r="K39" s="15" t="n">
        <f aca="false">E39/H39</f>
        <v>964.975895091053</v>
      </c>
      <c r="L39" s="15" t="n">
        <f aca="false">J39/2-K39*ASINH(I39/(2*K39*SINH(J39/(2*K39))))</f>
        <v>0.316382874630776</v>
      </c>
      <c r="M39" s="15" t="n">
        <f aca="false">-L39/K39</f>
        <v>-0.000327866090997975</v>
      </c>
      <c r="N39" s="15" t="n">
        <f aca="false">(J39-L39)/K39</f>
        <v>0.073274540830665</v>
      </c>
      <c r="O39" s="15" t="n">
        <f aca="false">K39*(SINH(N39)-SINH(M39))</f>
        <v>71.0878393837618</v>
      </c>
      <c r="P39" s="15" t="n">
        <f aca="false">E39*COSH(M39)</f>
        <v>3720.3993012892</v>
      </c>
      <c r="Q39" s="15" t="n">
        <f aca="false">E39*COSH(N39)</f>
        <v>3730.39127684285</v>
      </c>
    </row>
    <row r="40" customFormat="false" ht="21" hidden="false" customHeight="true" outlineLevel="0" collapsed="false">
      <c r="A40" s="1" t="s">
        <v>329</v>
      </c>
      <c r="B40" s="1" t="s">
        <v>322</v>
      </c>
      <c r="C40" s="15" t="n">
        <v>71.0245485000877</v>
      </c>
      <c r="D40" s="15" t="n">
        <v>2.59166161774719</v>
      </c>
      <c r="E40" s="15" t="n">
        <v>3439.77065508336</v>
      </c>
      <c r="F40" s="15" t="n">
        <v>2.33651151473205</v>
      </c>
      <c r="G40" s="15" t="n">
        <v>1.43495625</v>
      </c>
      <c r="H40" s="15" t="n">
        <f aca="false">SQRT(F40^2+G40^2)</f>
        <v>2.74196745018783</v>
      </c>
      <c r="I40" s="15" t="n">
        <f aca="false">D40*F40/H40</f>
        <v>2.20843147198579</v>
      </c>
      <c r="J40" s="15" t="n">
        <f aca="false">SQRT(C40^2+D40^2-I40^2)</f>
        <v>71.0374973518617</v>
      </c>
      <c r="K40" s="15" t="n">
        <f aca="false">E40/H40</f>
        <v>1254.48996662879</v>
      </c>
      <c r="L40" s="15" t="n">
        <f aca="false">J40/2-K40*ASINH(I40/(2*K40*SINH(J40/(2*K40))))</f>
        <v>-3.46966190942911</v>
      </c>
      <c r="M40" s="15" t="n">
        <f aca="false">-L40/K40</f>
        <v>0.00276579486622216</v>
      </c>
      <c r="N40" s="15" t="n">
        <f aca="false">(J40-L40)/K40</f>
        <v>0.0593923915242742</v>
      </c>
      <c r="O40" s="15" t="n">
        <f aca="false">K40*(SINH(N40)-SINH(M40))</f>
        <v>71.0813041111006</v>
      </c>
      <c r="P40" s="15" t="n">
        <f aca="false">E40*COSH(M40)</f>
        <v>3439.78381156308</v>
      </c>
      <c r="Q40" s="15" t="n">
        <f aca="false">E40*COSH(N40)</f>
        <v>3445.83925877523</v>
      </c>
    </row>
    <row r="41" customFormat="false" ht="21" hidden="false" customHeight="true" outlineLevel="0" collapsed="false">
      <c r="A41" s="1" t="s">
        <v>329</v>
      </c>
      <c r="B41" s="1" t="s">
        <v>323</v>
      </c>
      <c r="C41" s="15" t="n">
        <v>71.0245485000877</v>
      </c>
      <c r="D41" s="15" t="n">
        <v>2.59166161774719</v>
      </c>
      <c r="E41" s="15" t="n">
        <v>3476.30686877575</v>
      </c>
      <c r="F41" s="15" t="n">
        <v>1.32389775</v>
      </c>
      <c r="G41" s="15" t="n">
        <v>0</v>
      </c>
      <c r="H41" s="15" t="n">
        <f aca="false">SQRT(F41^2+G41^2)</f>
        <v>1.32389775</v>
      </c>
      <c r="I41" s="15" t="n">
        <f aca="false">D41*F41/H41</f>
        <v>2.59166161774719</v>
      </c>
      <c r="J41" s="15" t="n">
        <f aca="false">SQRT(C41^2+D41^2-I41^2)</f>
        <v>71.0245485000877</v>
      </c>
      <c r="K41" s="15" t="n">
        <f aca="false">E41/H41</f>
        <v>2625.81220398309</v>
      </c>
      <c r="L41" s="15" t="n">
        <f aca="false">J41/2-K41*ASINH(I41/(2*K41*SINH(J41/(2*K41))))</f>
        <v>-60.2785509749929</v>
      </c>
      <c r="M41" s="15" t="n">
        <f aca="false">-L41/K41</f>
        <v>0.0229561546265786</v>
      </c>
      <c r="N41" s="15" t="n">
        <f aca="false">(J41-L41)/K41</f>
        <v>0.050004756347734</v>
      </c>
      <c r="O41" s="15" t="n">
        <f aca="false">K41*(SINH(N41)-SINH(M41))</f>
        <v>71.0739809205757</v>
      </c>
      <c r="P41" s="15" t="n">
        <f aca="false">E41*COSH(M41)</f>
        <v>3477.22288985101</v>
      </c>
      <c r="Q41" s="15" t="n">
        <f aca="false">E41*COSH(N41)</f>
        <v>3480.65398483551</v>
      </c>
    </row>
    <row r="42" customFormat="false" ht="21" hidden="false" customHeight="true" outlineLevel="0" collapsed="false">
      <c r="A42" s="1" t="s">
        <v>329</v>
      </c>
      <c r="B42" s="1" t="s">
        <v>324</v>
      </c>
      <c r="C42" s="15" t="n">
        <v>71.0245485000877</v>
      </c>
      <c r="D42" s="15" t="n">
        <v>2.59166161774719</v>
      </c>
      <c r="E42" s="15" t="n">
        <v>541.031340633516</v>
      </c>
      <c r="F42" s="15" t="n">
        <v>1.32389775</v>
      </c>
      <c r="G42" s="15" t="n">
        <v>0</v>
      </c>
      <c r="H42" s="15" t="n">
        <f aca="false">SQRT(F42^2+G42^2)</f>
        <v>1.32389775</v>
      </c>
      <c r="I42" s="15" t="n">
        <f aca="false">D42*F42/H42</f>
        <v>2.59166161774719</v>
      </c>
      <c r="J42" s="15" t="n">
        <f aca="false">SQRT(C42^2+D42^2-I42^2)</f>
        <v>71.0245485000877</v>
      </c>
      <c r="K42" s="15" t="n">
        <f aca="false">E42/H42</f>
        <v>408.665503535689</v>
      </c>
      <c r="L42" s="15" t="n">
        <f aca="false">J42/2-K42*ASINH(I42/(2*K42*SINH(J42/(2*K42))))</f>
        <v>20.622254837923</v>
      </c>
      <c r="M42" s="15" t="n">
        <f aca="false">-L42/K42</f>
        <v>-0.0504624311558073</v>
      </c>
      <c r="N42" s="15" t="n">
        <f aca="false">(J42-L42)/K42</f>
        <v>0.123333859173565</v>
      </c>
      <c r="O42" s="15" t="n">
        <f aca="false">K42*(SINH(N42)-SINH(M42))</f>
        <v>71.1611793530294</v>
      </c>
      <c r="P42" s="15" t="n">
        <f aca="false">E42*COSH(M42)</f>
        <v>541.720343335514</v>
      </c>
      <c r="Q42" s="15" t="n">
        <f aca="false">E42*COSH(N42)</f>
        <v>545.151438320011</v>
      </c>
    </row>
    <row r="43" customFormat="false" ht="21" hidden="false" customHeight="true" outlineLevel="0" collapsed="false">
      <c r="A43" s="1" t="s">
        <v>330</v>
      </c>
      <c r="B43" s="1" t="s">
        <v>319</v>
      </c>
      <c r="C43" s="15" t="n">
        <v>57.5073916921893</v>
      </c>
      <c r="D43" s="15" t="n">
        <v>-1.50501791644083</v>
      </c>
      <c r="E43" s="15" t="n">
        <v>2205.00000000023</v>
      </c>
      <c r="F43" s="15" t="n">
        <v>1.32389775</v>
      </c>
      <c r="G43" s="15" t="n">
        <v>0</v>
      </c>
      <c r="H43" s="15" t="n">
        <f aca="false">SQRT(F43^2+G43^2)</f>
        <v>1.32389775</v>
      </c>
      <c r="I43" s="15" t="n">
        <f aca="false">D43*F43/H43</f>
        <v>-1.50501791644083</v>
      </c>
      <c r="J43" s="15" t="n">
        <f aca="false">SQRT(C43^2+D43^2-I43^2)</f>
        <v>57.5073916921893</v>
      </c>
      <c r="K43" s="15" t="n">
        <f aca="false">E43/H43</f>
        <v>1665.53648119745</v>
      </c>
      <c r="L43" s="15" t="n">
        <f aca="false">J43/2-K43*ASINH(I43/(2*K43*SINH(J43/(2*K43))))</f>
        <v>72.335079893747</v>
      </c>
      <c r="M43" s="15" t="n">
        <f aca="false">-L43/K43</f>
        <v>-0.0434304986473433</v>
      </c>
      <c r="N43" s="15" t="n">
        <f aca="false">(J43-L43)/K43</f>
        <v>-0.00890264990827288</v>
      </c>
      <c r="O43" s="15" t="n">
        <f aca="false">K43*(SINH(N43)-SINH(M43))</f>
        <v>57.5299378062931</v>
      </c>
      <c r="P43" s="15" t="n">
        <f aca="false">E43*COSH(M43)</f>
        <v>2207.07987144651</v>
      </c>
      <c r="Q43" s="15" t="n">
        <f aca="false">E43*COSH(N43)</f>
        <v>2205.08738161323</v>
      </c>
    </row>
    <row r="44" customFormat="false" ht="21" hidden="false" customHeight="true" outlineLevel="0" collapsed="false">
      <c r="A44" s="1" t="s">
        <v>330</v>
      </c>
      <c r="B44" s="1" t="s">
        <v>320</v>
      </c>
      <c r="C44" s="15" t="n">
        <v>57.5073916921893</v>
      </c>
      <c r="D44" s="15" t="n">
        <v>-1.50501791644083</v>
      </c>
      <c r="E44" s="15" t="n">
        <v>3289.92332626539</v>
      </c>
      <c r="F44" s="15" t="n">
        <v>1.32389775</v>
      </c>
      <c r="G44" s="15" t="n">
        <v>3.443895</v>
      </c>
      <c r="H44" s="15" t="n">
        <f aca="false">SQRT(F44^2+G44^2)</f>
        <v>3.68959591601574</v>
      </c>
      <c r="I44" s="15" t="n">
        <f aca="false">D44*F44/H44</f>
        <v>-0.540029281970075</v>
      </c>
      <c r="J44" s="15" t="n">
        <f aca="false">SQRT(C44^2+D44^2-I44^2)</f>
        <v>57.5245473388736</v>
      </c>
      <c r="K44" s="15" t="n">
        <f aca="false">E44/H44</f>
        <v>891.675782701444</v>
      </c>
      <c r="L44" s="15" t="n">
        <f aca="false">J44/2-K44*ASINH(I44/(2*K44*SINH(J44/(2*K44))))</f>
        <v>37.1315784693347</v>
      </c>
      <c r="M44" s="15" t="n">
        <f aca="false">-L44/K44</f>
        <v>-0.041642466005794</v>
      </c>
      <c r="N44" s="15" t="n">
        <f aca="false">(J44-L44)/K44</f>
        <v>0.0228703854754874</v>
      </c>
      <c r="O44" s="15" t="n">
        <f aca="false">K44*(SINH(N44)-SINH(M44))</f>
        <v>57.5370577022919</v>
      </c>
      <c r="P44" s="15" t="n">
        <f aca="false">E44*COSH(M44)</f>
        <v>3292.77625825508</v>
      </c>
      <c r="Q44" s="15" t="n">
        <f aca="false">E44*COSH(N44)</f>
        <v>3290.78376842179</v>
      </c>
    </row>
    <row r="45" customFormat="false" ht="21" hidden="false" customHeight="true" outlineLevel="0" collapsed="false">
      <c r="A45" s="1" t="s">
        <v>330</v>
      </c>
      <c r="B45" s="1" t="s">
        <v>321</v>
      </c>
      <c r="C45" s="15" t="n">
        <v>57.5073916921893</v>
      </c>
      <c r="D45" s="15" t="n">
        <v>-1.50501791644083</v>
      </c>
      <c r="E45" s="15" t="n">
        <v>3595.3378176686</v>
      </c>
      <c r="F45" s="15" t="n">
        <v>3.85543216183014</v>
      </c>
      <c r="G45" s="15" t="n">
        <v>0</v>
      </c>
      <c r="H45" s="15" t="n">
        <f aca="false">SQRT(F45^2+G45^2)</f>
        <v>3.85543216183014</v>
      </c>
      <c r="I45" s="15" t="n">
        <f aca="false">D45*F45/H45</f>
        <v>-1.50501791644083</v>
      </c>
      <c r="J45" s="15" t="n">
        <f aca="false">SQRT(C45^2+D45^2-I45^2)</f>
        <v>57.5073916921893</v>
      </c>
      <c r="K45" s="15" t="n">
        <f aca="false">E45/H45</f>
        <v>932.538212775071</v>
      </c>
      <c r="L45" s="15" t="n">
        <f aca="false">J45/2-K45*ASINH(I45/(2*K45*SINH(J45/(2*K45))))</f>
        <v>53.1523727408496</v>
      </c>
      <c r="M45" s="15" t="n">
        <f aca="false">-L45/K45</f>
        <v>-0.0569975278360737</v>
      </c>
      <c r="N45" s="15" t="n">
        <f aca="false">(J45-L45)/K45</f>
        <v>0.00467007023592096</v>
      </c>
      <c r="O45" s="15" t="n">
        <f aca="false">K45*(SINH(N45)-SINH(M45))</f>
        <v>57.5361917108334</v>
      </c>
      <c r="P45" s="15" t="n">
        <f aca="false">E45*COSH(M45)</f>
        <v>3601.17951857979</v>
      </c>
      <c r="Q45" s="15" t="n">
        <f aca="false">E45*COSH(N45)</f>
        <v>3595.37702410061</v>
      </c>
    </row>
    <row r="46" customFormat="false" ht="21" hidden="false" customHeight="true" outlineLevel="0" collapsed="false">
      <c r="A46" s="1" t="s">
        <v>330</v>
      </c>
      <c r="B46" s="1" t="s">
        <v>322</v>
      </c>
      <c r="C46" s="15" t="n">
        <v>57.5073916921893</v>
      </c>
      <c r="D46" s="15" t="n">
        <v>-1.50501791644083</v>
      </c>
      <c r="E46" s="15" t="n">
        <v>3387.30008283441</v>
      </c>
      <c r="F46" s="15" t="n">
        <v>2.33651151473205</v>
      </c>
      <c r="G46" s="15" t="n">
        <v>1.43495625</v>
      </c>
      <c r="H46" s="15" t="n">
        <f aca="false">SQRT(F46^2+G46^2)</f>
        <v>2.74196745018783</v>
      </c>
      <c r="I46" s="15" t="n">
        <f aca="false">D46*F46/H46</f>
        <v>-1.28247025375927</v>
      </c>
      <c r="J46" s="15" t="n">
        <f aca="false">SQRT(C46^2+D46^2-I46^2)</f>
        <v>57.512785084848</v>
      </c>
      <c r="K46" s="15" t="n">
        <f aca="false">E46/H46</f>
        <v>1235.35386337368</v>
      </c>
      <c r="L46" s="15" t="n">
        <f aca="false">J46/2-K46*ASINH(I46/(2*K46*SINH(J46/(2*K46))))</f>
        <v>56.2986212754889</v>
      </c>
      <c r="M46" s="15" t="n">
        <f aca="false">-L46/K46</f>
        <v>-0.0455728702071977</v>
      </c>
      <c r="N46" s="15" t="n">
        <f aca="false">(J46-L46)/K46</f>
        <v>0.000982846976366215</v>
      </c>
      <c r="O46" s="15" t="n">
        <f aca="false">K46*(SINH(N46)-SINH(M46))</f>
        <v>57.5322749451795</v>
      </c>
      <c r="P46" s="15" t="n">
        <f aca="false">E46*COSH(M46)</f>
        <v>3390.8182105721</v>
      </c>
      <c r="Q46" s="15" t="n">
        <f aca="false">E46*COSH(N46)</f>
        <v>3387.30171888046</v>
      </c>
    </row>
    <row r="47" customFormat="false" ht="21" hidden="false" customHeight="true" outlineLevel="0" collapsed="false">
      <c r="A47" s="1" t="s">
        <v>330</v>
      </c>
      <c r="B47" s="1" t="s">
        <v>323</v>
      </c>
      <c r="C47" s="15" t="n">
        <v>57.5073916921893</v>
      </c>
      <c r="D47" s="15" t="n">
        <v>-1.50501791644083</v>
      </c>
      <c r="E47" s="15" t="n">
        <v>3522.76610328753</v>
      </c>
      <c r="F47" s="15" t="n">
        <v>1.32389775</v>
      </c>
      <c r="G47" s="15" t="n">
        <v>0</v>
      </c>
      <c r="H47" s="15" t="n">
        <f aca="false">SQRT(F47^2+G47^2)</f>
        <v>1.32389775</v>
      </c>
      <c r="I47" s="15" t="n">
        <f aca="false">D47*F47/H47</f>
        <v>-1.50501791644083</v>
      </c>
      <c r="J47" s="15" t="n">
        <f aca="false">SQRT(C47^2+D47^2-I47^2)</f>
        <v>57.5073916921893</v>
      </c>
      <c r="K47" s="15" t="n">
        <f aca="false">E47/H47</f>
        <v>2660.90497040842</v>
      </c>
      <c r="L47" s="15" t="n">
        <f aca="false">J47/2-K47*ASINH(I47/(2*K47*SINH(J47/(2*K47))))</f>
        <v>98.382566507964</v>
      </c>
      <c r="M47" s="15" t="n">
        <f aca="false">-L47/K47</f>
        <v>-0.0369733483916426</v>
      </c>
      <c r="N47" s="15" t="n">
        <f aca="false">(J47-L47)/K47</f>
        <v>-0.015361380910007</v>
      </c>
      <c r="O47" s="15" t="n">
        <f aca="false">K47*(SINH(N47)-SINH(M47))</f>
        <v>57.5282009343481</v>
      </c>
      <c r="P47" s="15" t="n">
        <f aca="false">E47*COSH(M47)</f>
        <v>3525.17423841689</v>
      </c>
      <c r="Q47" s="15" t="n">
        <f aca="false">E47*COSH(N47)</f>
        <v>3523.18174858361</v>
      </c>
    </row>
    <row r="48" customFormat="false" ht="21" hidden="false" customHeight="true" outlineLevel="0" collapsed="false">
      <c r="A48" s="1" t="s">
        <v>330</v>
      </c>
      <c r="B48" s="1" t="s">
        <v>324</v>
      </c>
      <c r="C48" s="15" t="n">
        <v>57.5073916921893</v>
      </c>
      <c r="D48" s="15" t="n">
        <v>-1.50501791644083</v>
      </c>
      <c r="E48" s="15" t="n">
        <v>448.330512296069</v>
      </c>
      <c r="F48" s="15" t="n">
        <v>1.32389775</v>
      </c>
      <c r="G48" s="15" t="n">
        <v>0</v>
      </c>
      <c r="H48" s="15" t="n">
        <f aca="false">SQRT(F48^2+G48^2)</f>
        <v>1.32389775</v>
      </c>
      <c r="I48" s="15" t="n">
        <f aca="false">D48*F48/H48</f>
        <v>-1.50501791644083</v>
      </c>
      <c r="J48" s="15" t="n">
        <f aca="false">SQRT(C48^2+D48^2-I48^2)</f>
        <v>57.5073916921893</v>
      </c>
      <c r="K48" s="15" t="n">
        <f aca="false">E48/H48</f>
        <v>338.644364563705</v>
      </c>
      <c r="L48" s="15" t="n">
        <f aca="false">J48/2-K48*ASINH(I48/(2*K48*SINH(J48/(2*K48))))</f>
        <v>37.6046623922081</v>
      </c>
      <c r="M48" s="15" t="n">
        <f aca="false">-L48/K48</f>
        <v>-0.111044701543037</v>
      </c>
      <c r="N48" s="15" t="n">
        <f aca="false">(J48-L48)/K48</f>
        <v>0.0587717717541914</v>
      </c>
      <c r="O48" s="15" t="n">
        <f aca="false">K48*(SINH(N48)-SINH(M48))</f>
        <v>57.5961824569121</v>
      </c>
      <c r="P48" s="15" t="n">
        <f aca="false">E48*COSH(M48)</f>
        <v>451.09751898395</v>
      </c>
      <c r="Q48" s="15" t="n">
        <f aca="false">E48*COSH(N48)</f>
        <v>449.105029150664</v>
      </c>
    </row>
    <row r="49" customFormat="false" ht="21" hidden="false" customHeight="true" outlineLevel="0" collapsed="false">
      <c r="A49" s="1" t="s">
        <v>331</v>
      </c>
      <c r="B49" s="1" t="s">
        <v>319</v>
      </c>
      <c r="C49" s="15" t="n">
        <v>70.1143197817548</v>
      </c>
      <c r="D49" s="15" t="n">
        <v>1.85401415717515</v>
      </c>
      <c r="E49" s="15" t="n">
        <v>2205.00000000058</v>
      </c>
      <c r="F49" s="15" t="n">
        <v>1.32389775</v>
      </c>
      <c r="G49" s="15" t="n">
        <v>0</v>
      </c>
      <c r="H49" s="15" t="n">
        <f aca="false">SQRT(F49^2+G49^2)</f>
        <v>1.32389775</v>
      </c>
      <c r="I49" s="15" t="n">
        <f aca="false">D49*F49/H49</f>
        <v>1.85401415717515</v>
      </c>
      <c r="J49" s="15" t="n">
        <f aca="false">SQRT(C49^2+D49^2-I49^2)</f>
        <v>70.1143197817548</v>
      </c>
      <c r="K49" s="15" t="n">
        <f aca="false">E49/H49</f>
        <v>1665.53648119772</v>
      </c>
      <c r="L49" s="15" t="n">
        <f aca="false">J49/2-K49*ASINH(I49/(2*K49*SINH(J49/(2*K49))))</f>
        <v>-8.97579314952646</v>
      </c>
      <c r="M49" s="15" t="n">
        <f aca="false">-L49/K49</f>
        <v>0.00538913031978249</v>
      </c>
      <c r="N49" s="15" t="n">
        <f aca="false">(J49-L49)/K49</f>
        <v>0.0474862687333069</v>
      </c>
      <c r="O49" s="15" t="n">
        <f aca="false">K49*(SINH(N49)-SINH(M49))</f>
        <v>70.1440036715053</v>
      </c>
      <c r="P49" s="15" t="n">
        <f aca="false">E49*COSH(M49)</f>
        <v>2205.03201968305</v>
      </c>
      <c r="Q49" s="15" t="n">
        <f aca="false">E49*COSH(N49)</f>
        <v>2207.4865448542</v>
      </c>
    </row>
    <row r="50" customFormat="false" ht="21" hidden="false" customHeight="true" outlineLevel="0" collapsed="false">
      <c r="A50" s="1" t="s">
        <v>331</v>
      </c>
      <c r="B50" s="1" t="s">
        <v>320</v>
      </c>
      <c r="C50" s="15" t="n">
        <v>70.1143197817548</v>
      </c>
      <c r="D50" s="15" t="n">
        <v>1.85401415717515</v>
      </c>
      <c r="E50" s="15" t="n">
        <v>3416.74200760083</v>
      </c>
      <c r="F50" s="15" t="n">
        <v>1.32389775</v>
      </c>
      <c r="G50" s="15" t="n">
        <v>3.443895</v>
      </c>
      <c r="H50" s="15" t="n">
        <f aca="false">SQRT(F50^2+G50^2)</f>
        <v>3.68959591601574</v>
      </c>
      <c r="I50" s="15" t="n">
        <f aca="false">D50*F50/H50</f>
        <v>0.665255823950195</v>
      </c>
      <c r="J50" s="15" t="n">
        <f aca="false">SQRT(C50^2+D50^2-I50^2)</f>
        <v>70.135673103221</v>
      </c>
      <c r="K50" s="15" t="n">
        <f aca="false">E50/H50</f>
        <v>926.047753026148</v>
      </c>
      <c r="L50" s="15" t="n">
        <f aca="false">J50/2-K50*ASINH(I50/(2*K50*SINH(J50/(2*K50))))</f>
        <v>26.2862538165403</v>
      </c>
      <c r="M50" s="15" t="n">
        <f aca="false">-L50/K50</f>
        <v>-0.028385419359468</v>
      </c>
      <c r="N50" s="15" t="n">
        <f aca="false">(J50-L50)/K50</f>
        <v>0.0473511426850172</v>
      </c>
      <c r="O50" s="15" t="n">
        <f aca="false">K50*(SINH(N50)-SINH(M50))</f>
        <v>70.1555910502552</v>
      </c>
      <c r="P50" s="15" t="n">
        <f aca="false">E50*COSH(M50)</f>
        <v>3418.11858926744</v>
      </c>
      <c r="Q50" s="15" t="n">
        <f aca="false">E50*COSH(N50)</f>
        <v>3420.57311443859</v>
      </c>
    </row>
    <row r="51" customFormat="false" ht="21" hidden="false" customHeight="true" outlineLevel="0" collapsed="false">
      <c r="A51" s="1" t="s">
        <v>331</v>
      </c>
      <c r="B51" s="1" t="s">
        <v>321</v>
      </c>
      <c r="C51" s="15" t="n">
        <v>70.1143197817548</v>
      </c>
      <c r="D51" s="15" t="n">
        <v>1.85401415717515</v>
      </c>
      <c r="E51" s="15" t="n">
        <v>3712.39808080808</v>
      </c>
      <c r="F51" s="15" t="n">
        <v>3.85543216183014</v>
      </c>
      <c r="G51" s="15" t="n">
        <v>0</v>
      </c>
      <c r="H51" s="15" t="n">
        <f aca="false">SQRT(F51^2+G51^2)</f>
        <v>3.85543216183014</v>
      </c>
      <c r="I51" s="15" t="n">
        <f aca="false">D51*F51/H51</f>
        <v>1.85401415717515</v>
      </c>
      <c r="J51" s="15" t="n">
        <f aca="false">SQRT(C51^2+D51^2-I51^2)</f>
        <v>70.1143197817548</v>
      </c>
      <c r="K51" s="15" t="n">
        <f aca="false">E51/H51</f>
        <v>962.900636032937</v>
      </c>
      <c r="L51" s="15" t="n">
        <f aca="false">J51/2-K51*ASINH(I51/(2*K51*SINH(J51/(2*K51))))</f>
        <v>9.60402507639371</v>
      </c>
      <c r="M51" s="15" t="n">
        <f aca="false">-L51/K51</f>
        <v>-0.009974056218263</v>
      </c>
      <c r="N51" s="15" t="n">
        <f aca="false">(J51-L51)/K51</f>
        <v>0.0628416811049768</v>
      </c>
      <c r="O51" s="15" t="n">
        <f aca="false">K51*(SINH(N51)-SINH(M51))</f>
        <v>70.1543135191664</v>
      </c>
      <c r="P51" s="15" t="n">
        <f aca="false">E51*COSH(M51)</f>
        <v>3712.58274035588</v>
      </c>
      <c r="Q51" s="15" t="n">
        <f aca="false">E51*COSH(N51)</f>
        <v>3719.73076616594</v>
      </c>
    </row>
    <row r="52" customFormat="false" ht="21" hidden="false" customHeight="true" outlineLevel="0" collapsed="false">
      <c r="A52" s="1" t="s">
        <v>331</v>
      </c>
      <c r="B52" s="1" t="s">
        <v>322</v>
      </c>
      <c r="C52" s="15" t="n">
        <v>70.1143197817548</v>
      </c>
      <c r="D52" s="15" t="n">
        <v>1.85401415717515</v>
      </c>
      <c r="E52" s="15" t="n">
        <v>3436.1665287925</v>
      </c>
      <c r="F52" s="15" t="n">
        <v>2.33651151473205</v>
      </c>
      <c r="G52" s="15" t="n">
        <v>1.43495625</v>
      </c>
      <c r="H52" s="15" t="n">
        <f aca="false">SQRT(F52^2+G52^2)</f>
        <v>2.74196745018783</v>
      </c>
      <c r="I52" s="15" t="n">
        <f aca="false">D52*F52/H52</f>
        <v>1.57986026654665</v>
      </c>
      <c r="J52" s="15" t="n">
        <f aca="false">SQRT(C52^2+D52^2-I52^2)</f>
        <v>70.1210328538547</v>
      </c>
      <c r="K52" s="15" t="n">
        <f aca="false">E52/H52</f>
        <v>1253.1755358938</v>
      </c>
      <c r="L52" s="15" t="n">
        <f aca="false">J52/2-K52*ASINH(I52/(2*K52*SINH(J52/(2*K52))))</f>
        <v>6.83194505372716</v>
      </c>
      <c r="M52" s="15" t="n">
        <f aca="false">-L52/K52</f>
        <v>-0.00545170637156941</v>
      </c>
      <c r="N52" s="15" t="n">
        <f aca="false">(J52-L52)/K52</f>
        <v>0.0505029710422713</v>
      </c>
      <c r="O52" s="15" t="n">
        <f aca="false">K52*(SINH(N52)-SINH(M52))</f>
        <v>70.1479737919288</v>
      </c>
      <c r="P52" s="15" t="n">
        <f aca="false">E52*COSH(M52)</f>
        <v>3436.21759224754</v>
      </c>
      <c r="Q52" s="15" t="n">
        <f aca="false">E52*COSH(N52)</f>
        <v>3440.54951767425</v>
      </c>
    </row>
    <row r="53" customFormat="false" ht="21" hidden="false" customHeight="true" outlineLevel="0" collapsed="false">
      <c r="A53" s="1" t="s">
        <v>331</v>
      </c>
      <c r="B53" s="1" t="s">
        <v>323</v>
      </c>
      <c r="C53" s="15" t="n">
        <v>70.1143197817548</v>
      </c>
      <c r="D53" s="15" t="n">
        <v>1.85401415717515</v>
      </c>
      <c r="E53" s="15" t="n">
        <v>3479.96033587214</v>
      </c>
      <c r="F53" s="15" t="n">
        <v>1.32389775</v>
      </c>
      <c r="G53" s="15" t="n">
        <v>0</v>
      </c>
      <c r="H53" s="15" t="n">
        <f aca="false">SQRT(F53^2+G53^2)</f>
        <v>1.32389775</v>
      </c>
      <c r="I53" s="15" t="n">
        <f aca="false">D53*F53/H53</f>
        <v>1.85401415717515</v>
      </c>
      <c r="J53" s="15" t="n">
        <f aca="false">SQRT(C53^2+D53^2-I53^2)</f>
        <v>70.1143197817548</v>
      </c>
      <c r="K53" s="15" t="n">
        <f aca="false">E53/H53</f>
        <v>2628.57183333996</v>
      </c>
      <c r="L53" s="15" t="n">
        <f aca="false">J53/2-K53*ASINH(I53/(2*K53*SINH(J53/(2*K53))))</f>
        <v>-34.4393029460844</v>
      </c>
      <c r="M53" s="15" t="n">
        <f aca="false">-L53/K53</f>
        <v>0.0131019067119519</v>
      </c>
      <c r="N53" s="15" t="n">
        <f aca="false">(J53-L53)/K53</f>
        <v>0.0397758286084157</v>
      </c>
      <c r="O53" s="15" t="n">
        <f aca="false">K53*(SINH(N53)-SINH(M53))</f>
        <v>70.1409059820488</v>
      </c>
      <c r="P53" s="15" t="n">
        <f aca="false">E53*COSH(M53)</f>
        <v>3480.25902506999</v>
      </c>
      <c r="Q53" s="15" t="n">
        <f aca="false">E53*COSH(N53)</f>
        <v>3482.71355024115</v>
      </c>
    </row>
    <row r="54" customFormat="false" ht="21" hidden="false" customHeight="true" outlineLevel="0" collapsed="false">
      <c r="A54" s="1" t="s">
        <v>331</v>
      </c>
      <c r="B54" s="1" t="s">
        <v>324</v>
      </c>
      <c r="C54" s="15" t="n">
        <v>70.1143197817548</v>
      </c>
      <c r="D54" s="15" t="n">
        <v>1.85401415717515</v>
      </c>
      <c r="E54" s="15" t="n">
        <v>535.046604866504</v>
      </c>
      <c r="F54" s="15" t="n">
        <v>1.32389775</v>
      </c>
      <c r="G54" s="15" t="n">
        <v>0</v>
      </c>
      <c r="H54" s="15" t="n">
        <f aca="false">SQRT(F54^2+G54^2)</f>
        <v>1.32389775</v>
      </c>
      <c r="I54" s="15" t="n">
        <f aca="false">D54*F54/H54</f>
        <v>1.85401415717515</v>
      </c>
      <c r="J54" s="15" t="n">
        <f aca="false">SQRT(C54^2+D54^2-I54^2)</f>
        <v>70.1143197817548</v>
      </c>
      <c r="K54" s="15" t="n">
        <f aca="false">E54/H54</f>
        <v>404.144961245311</v>
      </c>
      <c r="L54" s="15" t="n">
        <f aca="false">J54/2-K54*ASINH(I54/(2*K54*SINH(J54/(2*K54))))</f>
        <v>24.3850936721079</v>
      </c>
      <c r="M54" s="15" t="n">
        <f aca="false">-L54/K54</f>
        <v>-0.0603374927574724</v>
      </c>
      <c r="N54" s="15" t="n">
        <f aca="false">(J54-L54)/K54</f>
        <v>0.113150553624965</v>
      </c>
      <c r="O54" s="15" t="n">
        <f aca="false">K54*(SINH(N54)-SINH(M54))</f>
        <v>70.2267599859025</v>
      </c>
      <c r="P54" s="15" t="n">
        <f aca="false">E54*COSH(M54)</f>
        <v>536.020849204533</v>
      </c>
      <c r="Q54" s="15" t="n">
        <f aca="false">E54*COSH(N54)</f>
        <v>538.475374375685</v>
      </c>
    </row>
    <row r="55" customFormat="false" ht="21" hidden="false" customHeight="true" outlineLevel="0" collapsed="false">
      <c r="A55" s="1" t="s">
        <v>332</v>
      </c>
      <c r="B55" s="1" t="s">
        <v>319</v>
      </c>
      <c r="C55" s="15" t="n">
        <v>70.1143197835317</v>
      </c>
      <c r="D55" s="15" t="n">
        <v>6.29282935238634</v>
      </c>
      <c r="E55" s="15" t="n">
        <v>2205.00000000009</v>
      </c>
      <c r="F55" s="15" t="n">
        <v>1.32389775</v>
      </c>
      <c r="G55" s="15" t="n">
        <v>0</v>
      </c>
      <c r="H55" s="15" t="n">
        <f aca="false">SQRT(F55^2+G55^2)</f>
        <v>1.32389775</v>
      </c>
      <c r="I55" s="15" t="n">
        <f aca="false">D55*F55/H55</f>
        <v>6.29282935238634</v>
      </c>
      <c r="J55" s="15" t="n">
        <f aca="false">SQRT(C55^2+D55^2-I55^2)</f>
        <v>70.1143197835317</v>
      </c>
      <c r="K55" s="15" t="n">
        <f aca="false">E55/H55</f>
        <v>1665.53648119735</v>
      </c>
      <c r="L55" s="15" t="n">
        <f aca="false">J55/2-K55*ASINH(I55/(2*K55*SINH(J55/(2*K55))))</f>
        <v>-114.215425174138</v>
      </c>
      <c r="M55" s="15" t="n">
        <f aca="false">-L55/K55</f>
        <v>0.0685757570990152</v>
      </c>
      <c r="N55" s="15" t="n">
        <f aca="false">(J55-L55)/K55</f>
        <v>0.110672895513616</v>
      </c>
      <c r="O55" s="15" t="n">
        <f aca="false">K55*(SINH(N55)-SINH(M55))</f>
        <v>70.401303852135</v>
      </c>
      <c r="P55" s="15" t="n">
        <f aca="false">E55*COSH(M55)</f>
        <v>2210.18668660722</v>
      </c>
      <c r="Q55" s="15" t="n">
        <f aca="false">E55*COSH(N55)</f>
        <v>2218.51774922797</v>
      </c>
    </row>
    <row r="56" customFormat="false" ht="21" hidden="false" customHeight="true" outlineLevel="0" collapsed="false">
      <c r="A56" s="1" t="s">
        <v>332</v>
      </c>
      <c r="B56" s="1" t="s">
        <v>320</v>
      </c>
      <c r="C56" s="15" t="n">
        <v>70.1143197835317</v>
      </c>
      <c r="D56" s="15" t="n">
        <v>6.29282935238634</v>
      </c>
      <c r="E56" s="15" t="n">
        <v>3425.22538310707</v>
      </c>
      <c r="F56" s="15" t="n">
        <v>1.32389775</v>
      </c>
      <c r="G56" s="15" t="n">
        <v>3.443895</v>
      </c>
      <c r="H56" s="15" t="n">
        <f aca="false">SQRT(F56^2+G56^2)</f>
        <v>3.68959591601574</v>
      </c>
      <c r="I56" s="15" t="n">
        <f aca="false">D56*F56/H56</f>
        <v>2.25798781503277</v>
      </c>
      <c r="J56" s="15" t="n">
        <f aca="false">SQRT(C56^2+D56^2-I56^2)</f>
        <v>70.3599248933138</v>
      </c>
      <c r="K56" s="15" t="n">
        <f aca="false">E56/H56</f>
        <v>928.34702256659</v>
      </c>
      <c r="L56" s="15" t="n">
        <f aca="false">J56/2-K56*ASINH(I56/(2*K56*SINH(J56/(2*K56))))</f>
        <v>5.39972519653719</v>
      </c>
      <c r="M56" s="15" t="n">
        <f aca="false">-L56/K56</f>
        <v>-0.00581649433377687</v>
      </c>
      <c r="N56" s="15" t="n">
        <f aca="false">(J56-L56)/K56</f>
        <v>0.0699740486237376</v>
      </c>
      <c r="O56" s="15" t="n">
        <f aca="false">K56*(SINH(N56)-SINH(M56))</f>
        <v>70.4129798215211</v>
      </c>
      <c r="P56" s="15" t="n">
        <f aca="false">E56*COSH(M56)</f>
        <v>3425.2833237088</v>
      </c>
      <c r="Q56" s="15" t="n">
        <f aca="false">E56*COSH(N56)</f>
        <v>3433.61438632956</v>
      </c>
    </row>
    <row r="57" customFormat="false" ht="21" hidden="false" customHeight="true" outlineLevel="0" collapsed="false">
      <c r="A57" s="1" t="s">
        <v>332</v>
      </c>
      <c r="B57" s="1" t="s">
        <v>321</v>
      </c>
      <c r="C57" s="15" t="n">
        <v>70.1143197835317</v>
      </c>
      <c r="D57" s="15" t="n">
        <v>6.29282935238634</v>
      </c>
      <c r="E57" s="15" t="n">
        <v>3705.93701634826</v>
      </c>
      <c r="F57" s="15" t="n">
        <v>3.85543216183014</v>
      </c>
      <c r="G57" s="15" t="n">
        <v>0</v>
      </c>
      <c r="H57" s="15" t="n">
        <f aca="false">SQRT(F57^2+G57^2)</f>
        <v>3.85543216183014</v>
      </c>
      <c r="I57" s="15" t="n">
        <f aca="false">D57*F57/H57</f>
        <v>6.29282935238634</v>
      </c>
      <c r="J57" s="15" t="n">
        <f aca="false">SQRT(C57^2+D57^2-I57^2)</f>
        <v>70.1143197835317</v>
      </c>
      <c r="K57" s="15" t="n">
        <f aca="false">E57/H57</f>
        <v>961.224801991871</v>
      </c>
      <c r="L57" s="15" t="n">
        <f aca="false">J57/2-K57*ASINH(I57/(2*K57*SINH(J57/(2*K57))))</f>
        <v>-51.079263706215</v>
      </c>
      <c r="M57" s="15" t="n">
        <f aca="false">-L57/K57</f>
        <v>0.0531397687620705</v>
      </c>
      <c r="N57" s="15" t="n">
        <f aca="false">(J57-L57)/K57</f>
        <v>0.126082455673851</v>
      </c>
      <c r="O57" s="15" t="n">
        <f aca="false">K57*(SINH(N57)-SINH(M57))</f>
        <v>70.411629874124</v>
      </c>
      <c r="P57" s="15" t="n">
        <f aca="false">E57*COSH(M57)</f>
        <v>3711.17072514048</v>
      </c>
      <c r="Q57" s="15" t="n">
        <f aca="false">E57*COSH(N57)</f>
        <v>3735.43230181458</v>
      </c>
    </row>
    <row r="58" customFormat="false" ht="21" hidden="false" customHeight="true" outlineLevel="0" collapsed="false">
      <c r="A58" s="1" t="s">
        <v>332</v>
      </c>
      <c r="B58" s="1" t="s">
        <v>322</v>
      </c>
      <c r="C58" s="15" t="n">
        <v>70.1143197835317</v>
      </c>
      <c r="D58" s="15" t="n">
        <v>6.29282935238634</v>
      </c>
      <c r="E58" s="15" t="n">
        <v>3435.58337256695</v>
      </c>
      <c r="F58" s="15" t="n">
        <v>2.33651151473205</v>
      </c>
      <c r="G58" s="15" t="n">
        <v>1.43495625</v>
      </c>
      <c r="H58" s="15" t="n">
        <f aca="false">SQRT(F58^2+G58^2)</f>
        <v>2.74196745018783</v>
      </c>
      <c r="I58" s="15" t="n">
        <f aca="false">D58*F58/H58</f>
        <v>5.36230590231381</v>
      </c>
      <c r="J58" s="15" t="n">
        <f aca="false">SQRT(C58^2+D58^2-I58^2)</f>
        <v>70.1916178426997</v>
      </c>
      <c r="K58" s="15" t="n">
        <f aca="false">E58/H58</f>
        <v>1252.96285786748</v>
      </c>
      <c r="L58" s="15" t="n">
        <f aca="false">J58/2-K58*ASINH(I58/(2*K58*SINH(J58/(2*K58))))</f>
        <v>-60.519253440055</v>
      </c>
      <c r="M58" s="15" t="n">
        <f aca="false">-L58/K58</f>
        <v>0.0483009157534468</v>
      </c>
      <c r="N58" s="15" t="n">
        <f aca="false">(J58-L58)/K58</f>
        <v>0.104321425381453</v>
      </c>
      <c r="O58" s="15" t="n">
        <f aca="false">K58*(SINH(N58)-SINH(M58))</f>
        <v>70.405299315025</v>
      </c>
      <c r="P58" s="15" t="n">
        <f aca="false">E58*COSH(M58)</f>
        <v>3439.59172276631</v>
      </c>
      <c r="Q58" s="15" t="n">
        <f aca="false">E58*COSH(N58)</f>
        <v>3454.29499100841</v>
      </c>
    </row>
    <row r="59" customFormat="false" ht="21" hidden="false" customHeight="true" outlineLevel="0" collapsed="false">
      <c r="A59" s="1" t="s">
        <v>332</v>
      </c>
      <c r="B59" s="1" t="s">
        <v>323</v>
      </c>
      <c r="C59" s="15" t="n">
        <v>70.1143197835317</v>
      </c>
      <c r="D59" s="15" t="n">
        <v>6.29282935238634</v>
      </c>
      <c r="E59" s="15" t="n">
        <v>3476.46183593133</v>
      </c>
      <c r="F59" s="15" t="n">
        <v>1.32389775</v>
      </c>
      <c r="G59" s="15" t="n">
        <v>0</v>
      </c>
      <c r="H59" s="15" t="n">
        <f aca="false">SQRT(F59^2+G59^2)</f>
        <v>1.32389775</v>
      </c>
      <c r="I59" s="15" t="n">
        <f aca="false">D59*F59/H59</f>
        <v>6.29282935238634</v>
      </c>
      <c r="J59" s="15" t="n">
        <f aca="false">SQRT(C59^2+D59^2-I59^2)</f>
        <v>70.1143197835317</v>
      </c>
      <c r="K59" s="15" t="n">
        <f aca="false">E59/H59</f>
        <v>2625.92925770236</v>
      </c>
      <c r="L59" s="15" t="n">
        <f aca="false">J59/2-K59*ASINH(I59/(2*K59*SINH(J59/(2*K59))))</f>
        <v>-200.300340076384</v>
      </c>
      <c r="M59" s="15" t="n">
        <f aca="false">-L59/K59</f>
        <v>0.0762778888611962</v>
      </c>
      <c r="N59" s="15" t="n">
        <f aca="false">(J59-L59)/K59</f>
        <v>0.102978653772464</v>
      </c>
      <c r="O59" s="15" t="n">
        <f aca="false">K59*(SINH(N59)-SINH(M59))</f>
        <v>70.398221653461</v>
      </c>
      <c r="P59" s="15" t="n">
        <f aca="false">E59*COSH(M59)</f>
        <v>3486.58031788226</v>
      </c>
      <c r="Q59" s="15" t="n">
        <f aca="false">E59*COSH(N59)</f>
        <v>3494.91138050301</v>
      </c>
    </row>
    <row r="60" customFormat="false" ht="21" hidden="false" customHeight="true" outlineLevel="0" collapsed="false">
      <c r="A60" s="1" t="s">
        <v>332</v>
      </c>
      <c r="B60" s="1" t="s">
        <v>324</v>
      </c>
      <c r="C60" s="15" t="n">
        <v>70.1143197835317</v>
      </c>
      <c r="D60" s="15" t="n">
        <v>6.29282935238634</v>
      </c>
      <c r="E60" s="15" t="n">
        <v>533.725328966369</v>
      </c>
      <c r="F60" s="15" t="n">
        <v>1.32389775</v>
      </c>
      <c r="G60" s="15" t="n">
        <v>0</v>
      </c>
      <c r="H60" s="15" t="n">
        <f aca="false">SQRT(F60^2+G60^2)</f>
        <v>1.32389775</v>
      </c>
      <c r="I60" s="15" t="n">
        <f aca="false">D60*F60/H60</f>
        <v>6.29282935238634</v>
      </c>
      <c r="J60" s="15" t="n">
        <f aca="false">SQRT(C60^2+D60^2-I60^2)</f>
        <v>70.1143197835317</v>
      </c>
      <c r="K60" s="15" t="n">
        <f aca="false">E60/H60</f>
        <v>403.146941647396</v>
      </c>
      <c r="L60" s="15" t="n">
        <f aca="false">J60/2-K60*ASINH(I60/(2*K60*SINH(J60/(2*K60))))</f>
        <v>-1.0318950601733</v>
      </c>
      <c r="M60" s="15" t="n">
        <f aca="false">-L60/K60</f>
        <v>0.00255960036793687</v>
      </c>
      <c r="N60" s="15" t="n">
        <f aca="false">(J60-L60)/K60</f>
        <v>0.17647712904128</v>
      </c>
      <c r="O60" s="15" t="n">
        <f aca="false">K60*(SINH(N60)-SINH(M60))</f>
        <v>70.48419254366</v>
      </c>
      <c r="P60" s="15" t="n">
        <f aca="false">E60*COSH(M60)</f>
        <v>533.727077332492</v>
      </c>
      <c r="Q60" s="15" t="n">
        <f aca="false">E60*COSH(N60)</f>
        <v>542.05813995325</v>
      </c>
    </row>
    <row r="61" customFormat="false" ht="21" hidden="false" customHeight="true" outlineLevel="0" collapsed="false">
      <c r="A61" s="1" t="s">
        <v>333</v>
      </c>
      <c r="B61" s="1" t="s">
        <v>319</v>
      </c>
      <c r="C61" s="15" t="n">
        <v>50.2141967354048</v>
      </c>
      <c r="D61" s="15" t="n">
        <v>10.4809519003856</v>
      </c>
      <c r="E61" s="15" t="n">
        <v>2204.99999999759</v>
      </c>
      <c r="F61" s="15" t="n">
        <v>1.32389775</v>
      </c>
      <c r="G61" s="15" t="n">
        <v>0</v>
      </c>
      <c r="H61" s="15" t="n">
        <f aca="false">SQRT(F61^2+G61^2)</f>
        <v>1.32389775</v>
      </c>
      <c r="I61" s="15" t="n">
        <f aca="false">D61*F61/H61</f>
        <v>10.4809519003856</v>
      </c>
      <c r="J61" s="15" t="n">
        <f aca="false">SQRT(C61^2+D61^2-I61^2)</f>
        <v>50.2141967354048</v>
      </c>
      <c r="K61" s="15" t="n">
        <f aca="false">E61/H61</f>
        <v>1665.53648119546</v>
      </c>
      <c r="L61" s="15" t="n">
        <f aca="false">J61/2-K61*ASINH(I61/(2*K61*SINH(J61/(2*K61))))</f>
        <v>-320.042935921139</v>
      </c>
      <c r="M61" s="15" t="n">
        <f aca="false">-L61/K61</f>
        <v>0.192156064748233</v>
      </c>
      <c r="N61" s="15" t="n">
        <f aca="false">(J61-L61)/K61</f>
        <v>0.222305027141037</v>
      </c>
      <c r="O61" s="15" t="n">
        <f aca="false">K61*(SINH(N61)-SINH(M61))</f>
        <v>51.2982154163656</v>
      </c>
      <c r="P61" s="15" t="n">
        <f aca="false">E61*COSH(M61)</f>
        <v>2245.83407307733</v>
      </c>
      <c r="Q61" s="15" t="n">
        <f aca="false">E61*COSH(N61)</f>
        <v>2259.70978171611</v>
      </c>
    </row>
    <row r="62" customFormat="false" ht="21" hidden="false" customHeight="true" outlineLevel="0" collapsed="false">
      <c r="A62" s="1" t="s">
        <v>333</v>
      </c>
      <c r="B62" s="1" t="s">
        <v>320</v>
      </c>
      <c r="C62" s="15" t="n">
        <v>50.2141967354048</v>
      </c>
      <c r="D62" s="15" t="n">
        <v>10.4809519003856</v>
      </c>
      <c r="E62" s="15" t="n">
        <v>3262.67177245155</v>
      </c>
      <c r="F62" s="15" t="n">
        <v>1.32389775</v>
      </c>
      <c r="G62" s="15" t="n">
        <v>3.443895</v>
      </c>
      <c r="H62" s="15" t="n">
        <f aca="false">SQRT(F62^2+G62^2)</f>
        <v>3.68959591601574</v>
      </c>
      <c r="I62" s="15" t="n">
        <f aca="false">D62*F62/H62</f>
        <v>3.76076647812494</v>
      </c>
      <c r="J62" s="15" t="n">
        <f aca="false">SQRT(C62^2+D62^2-I62^2)</f>
        <v>51.1583086313176</v>
      </c>
      <c r="K62" s="15" t="n">
        <f aca="false">E62/H62</f>
        <v>884.28972893454</v>
      </c>
      <c r="L62" s="15" t="n">
        <f aca="false">J62/2-K62*ASINH(I62/(2*K62*SINH(J62/(2*K62))))</f>
        <v>-39.3595964681999</v>
      </c>
      <c r="M62" s="15" t="n">
        <f aca="false">-L62/K62</f>
        <v>0.0445098423970426</v>
      </c>
      <c r="N62" s="15" t="n">
        <f aca="false">(J62-L62)/K62</f>
        <v>0.102362271253088</v>
      </c>
      <c r="O62" s="15" t="n">
        <f aca="false">K62*(SINH(N62)-SINH(M62))</f>
        <v>51.3034690831078</v>
      </c>
      <c r="P62" s="15" t="n">
        <f aca="false">E62*COSH(M62)</f>
        <v>3265.90418810407</v>
      </c>
      <c r="Q62" s="15" t="n">
        <f aca="false">E62*COSH(N62)</f>
        <v>3279.77989674285</v>
      </c>
    </row>
    <row r="63" customFormat="false" ht="21" hidden="false" customHeight="true" outlineLevel="0" collapsed="false">
      <c r="A63" s="1" t="s">
        <v>333</v>
      </c>
      <c r="B63" s="1" t="s">
        <v>321</v>
      </c>
      <c r="C63" s="15" t="n">
        <v>50.2141967354048</v>
      </c>
      <c r="D63" s="15" t="n">
        <v>10.4809519003856</v>
      </c>
      <c r="E63" s="15" t="n">
        <v>3498.35031596768</v>
      </c>
      <c r="F63" s="15" t="n">
        <v>3.85543216183014</v>
      </c>
      <c r="G63" s="15" t="n">
        <v>0</v>
      </c>
      <c r="H63" s="15" t="n">
        <f aca="false">SQRT(F63^2+G63^2)</f>
        <v>3.85543216183014</v>
      </c>
      <c r="I63" s="15" t="n">
        <f aca="false">D63*F63/H63</f>
        <v>10.4809519003856</v>
      </c>
      <c r="J63" s="15" t="n">
        <f aca="false">SQRT(C63^2+D63^2-I63^2)</f>
        <v>50.2141967354048</v>
      </c>
      <c r="K63" s="15" t="n">
        <f aca="false">E63/H63</f>
        <v>907.382147869786</v>
      </c>
      <c r="L63" s="15" t="n">
        <f aca="false">J63/2-K63*ASINH(I63/(2*K63*SINH(J63/(2*K63))))</f>
        <v>-162.913565681552</v>
      </c>
      <c r="M63" s="15" t="n">
        <f aca="false">-L63/K63</f>
        <v>0.179542396843508</v>
      </c>
      <c r="N63" s="15" t="n">
        <f aca="false">(J63-L63)/K63</f>
        <v>0.234882031696685</v>
      </c>
      <c r="O63" s="15" t="n">
        <f aca="false">K63*(SINH(N63)-SINH(M63))</f>
        <v>51.3026263072436</v>
      </c>
      <c r="P63" s="15" t="n">
        <f aca="false">E63*COSH(M63)</f>
        <v>3554.88743384079</v>
      </c>
      <c r="Q63" s="15" t="n">
        <f aca="false">E63*COSH(N63)</f>
        <v>3595.29603288413</v>
      </c>
    </row>
    <row r="64" customFormat="false" ht="21" hidden="false" customHeight="true" outlineLevel="0" collapsed="false">
      <c r="A64" s="1" t="s">
        <v>333</v>
      </c>
      <c r="B64" s="1" t="s">
        <v>322</v>
      </c>
      <c r="C64" s="15" t="n">
        <v>50.2141967354048</v>
      </c>
      <c r="D64" s="15" t="n">
        <v>10.4809519003856</v>
      </c>
      <c r="E64" s="15" t="n">
        <v>3357.79301203876</v>
      </c>
      <c r="F64" s="15" t="n">
        <v>2.33651151473205</v>
      </c>
      <c r="G64" s="15" t="n">
        <v>1.43495625</v>
      </c>
      <c r="H64" s="15" t="n">
        <f aca="false">SQRT(F64^2+G64^2)</f>
        <v>2.74196745018783</v>
      </c>
      <c r="I64" s="15" t="n">
        <f aca="false">D64*F64/H64</f>
        <v>8.93112892311182</v>
      </c>
      <c r="J64" s="15" t="n">
        <f aca="false">SQRT(C64^2+D64^2-I64^2)</f>
        <v>50.5128779884782</v>
      </c>
      <c r="K64" s="15" t="n">
        <f aca="false">E64/H64</f>
        <v>1224.59258654173</v>
      </c>
      <c r="L64" s="15" t="n">
        <f aca="false">J64/2-K64*ASINH(I64/(2*K64*SINH(J64/(2*K64))))</f>
        <v>-190.134842211645</v>
      </c>
      <c r="M64" s="15" t="n">
        <f aca="false">-L64/K64</f>
        <v>0.155263754085421</v>
      </c>
      <c r="N64" s="15" t="n">
        <f aca="false">(J64-L64)/K64</f>
        <v>0.19651247512425</v>
      </c>
      <c r="O64" s="15" t="n">
        <f aca="false">K64*(SINH(N64)-SINH(M64))</f>
        <v>51.2998801805617</v>
      </c>
      <c r="P64" s="15" t="n">
        <f aca="false">E64*COSH(M64)</f>
        <v>3398.3472617323</v>
      </c>
      <c r="Q64" s="15" t="n">
        <f aca="false">E64*COSH(N64)</f>
        <v>3422.8361265329</v>
      </c>
    </row>
    <row r="65" customFormat="false" ht="21" hidden="false" customHeight="true" outlineLevel="0" collapsed="false">
      <c r="A65" s="1" t="s">
        <v>333</v>
      </c>
      <c r="B65" s="1" t="s">
        <v>323</v>
      </c>
      <c r="C65" s="15" t="n">
        <v>50.2141967354048</v>
      </c>
      <c r="D65" s="15" t="n">
        <v>10.4809519003856</v>
      </c>
      <c r="E65" s="15" t="n">
        <v>3519.81227403513</v>
      </c>
      <c r="F65" s="15" t="n">
        <v>1.32389775</v>
      </c>
      <c r="G65" s="15" t="n">
        <v>0</v>
      </c>
      <c r="H65" s="15" t="n">
        <f aca="false">SQRT(F65^2+G65^2)</f>
        <v>1.32389775</v>
      </c>
      <c r="I65" s="15" t="n">
        <f aca="false">D65*F65/H65</f>
        <v>10.4809519003856</v>
      </c>
      <c r="J65" s="15" t="n">
        <f aca="false">SQRT(C65^2+D65^2-I65^2)</f>
        <v>50.2141967354048</v>
      </c>
      <c r="K65" s="15" t="n">
        <f aca="false">E65/H65</f>
        <v>2658.67380923876</v>
      </c>
      <c r="L65" s="15" t="n">
        <f aca="false">J65/2-K65*ASINH(I65/(2*K65*SINH(J65/(2*K65))))</f>
        <v>-525.863825838721</v>
      </c>
      <c r="M65" s="15" t="n">
        <f aca="false">-L65/K65</f>
        <v>0.197791780252008</v>
      </c>
      <c r="N65" s="15" t="n">
        <f aca="false">(J65-L65)/K65</f>
        <v>0.216678714241771</v>
      </c>
      <c r="O65" s="15" t="n">
        <f aca="false">K65*(SINH(N65)-SINH(M65))</f>
        <v>51.2970843361962</v>
      </c>
      <c r="P65" s="15" t="n">
        <f aca="false">E65*COSH(M65)</f>
        <v>3588.88735151745</v>
      </c>
      <c r="Q65" s="15" t="n">
        <f aca="false">E65*COSH(N65)</f>
        <v>3602.76306015623</v>
      </c>
    </row>
    <row r="66" customFormat="false" ht="21" hidden="false" customHeight="true" outlineLevel="0" collapsed="false">
      <c r="A66" s="1" t="s">
        <v>333</v>
      </c>
      <c r="B66" s="1" t="s">
        <v>324</v>
      </c>
      <c r="C66" s="15" t="n">
        <v>50.2141967354048</v>
      </c>
      <c r="D66" s="15" t="n">
        <v>10.4809519003856</v>
      </c>
      <c r="E66" s="15" t="n">
        <v>390.695637714696</v>
      </c>
      <c r="F66" s="15" t="n">
        <v>1.32389775</v>
      </c>
      <c r="G66" s="15" t="n">
        <v>0</v>
      </c>
      <c r="H66" s="15" t="n">
        <f aca="false">SQRT(F66^2+G66^2)</f>
        <v>1.32389775</v>
      </c>
      <c r="I66" s="15" t="n">
        <f aca="false">D66*F66/H66</f>
        <v>10.4809519003856</v>
      </c>
      <c r="J66" s="15" t="n">
        <f aca="false">SQRT(C66^2+D66^2-I66^2)</f>
        <v>50.2141967354048</v>
      </c>
      <c r="K66" s="15" t="n">
        <f aca="false">E66/H66</f>
        <v>295.110130457353</v>
      </c>
      <c r="L66" s="15" t="n">
        <f aca="false">J66/2-K66*ASINH(I66/(2*K66*SINH(J66/(2*K66))))</f>
        <v>-35.9783384660597</v>
      </c>
      <c r="M66" s="15" t="n">
        <f aca="false">-L66/K66</f>
        <v>0.121914955648258</v>
      </c>
      <c r="N66" s="15" t="n">
        <f aca="false">(J66-L66)/K66</f>
        <v>0.292069049164411</v>
      </c>
      <c r="O66" s="15" t="n">
        <f aca="false">K66*(SINH(N66)-SINH(M66))</f>
        <v>51.3556746998082</v>
      </c>
      <c r="P66" s="15" t="n">
        <f aca="false">E66*COSH(M66)</f>
        <v>393.602740512471</v>
      </c>
      <c r="Q66" s="15" t="n">
        <f aca="false">E66*COSH(N66)</f>
        <v>407.47844915125</v>
      </c>
    </row>
    <row r="67" customFormat="false" ht="21" hidden="false" customHeight="true" outlineLevel="0" collapsed="false">
      <c r="A67" s="1" t="s">
        <v>334</v>
      </c>
      <c r="B67" s="1" t="s">
        <v>319</v>
      </c>
      <c r="C67" s="15" t="n">
        <v>60.9689454912776</v>
      </c>
      <c r="D67" s="15" t="n">
        <v>3.73923043857203</v>
      </c>
      <c r="E67" s="15" t="n">
        <v>2205.00000000035</v>
      </c>
      <c r="F67" s="15" t="n">
        <v>1.32389775</v>
      </c>
      <c r="G67" s="15" t="n">
        <v>0</v>
      </c>
      <c r="H67" s="15" t="n">
        <f aca="false">SQRT(F67^2+G67^2)</f>
        <v>1.32389775</v>
      </c>
      <c r="I67" s="15" t="n">
        <f aca="false">D67*F67/H67</f>
        <v>3.73923043857203</v>
      </c>
      <c r="J67" s="15" t="n">
        <f aca="false">SQRT(C67^2+D67^2-I67^2)</f>
        <v>60.9689454912776</v>
      </c>
      <c r="K67" s="15" t="n">
        <f aca="false">E67/H67</f>
        <v>1665.53648119755</v>
      </c>
      <c r="L67" s="15" t="n">
        <f aca="false">J67/2-K67*ASINH(I67/(2*K67*SINH(J67/(2*K67))))</f>
        <v>-71.5933964219525</v>
      </c>
      <c r="M67" s="15" t="n">
        <f aca="false">-L67/K67</f>
        <v>0.0429851865931364</v>
      </c>
      <c r="N67" s="15" t="n">
        <f aca="false">(J67-L67)/K67</f>
        <v>0.0795913769585614</v>
      </c>
      <c r="O67" s="15" t="n">
        <f aca="false">K67*(SINH(N67)-SINH(M67))</f>
        <v>61.0868993313753</v>
      </c>
      <c r="P67" s="15" t="n">
        <f aca="false">E67*COSH(M67)</f>
        <v>2207.03743189816</v>
      </c>
      <c r="Q67" s="15" t="n">
        <f aca="false">E67*COSH(N67)</f>
        <v>2211.98779066252</v>
      </c>
    </row>
    <row r="68" customFormat="false" ht="21" hidden="false" customHeight="true" outlineLevel="0" collapsed="false">
      <c r="A68" s="1" t="s">
        <v>334</v>
      </c>
      <c r="B68" s="1" t="s">
        <v>320</v>
      </c>
      <c r="C68" s="15" t="n">
        <v>60.9689454912776</v>
      </c>
      <c r="D68" s="15" t="n">
        <v>3.73923043857203</v>
      </c>
      <c r="E68" s="15" t="n">
        <v>3327.93341461555</v>
      </c>
      <c r="F68" s="15" t="n">
        <v>1.32389775</v>
      </c>
      <c r="G68" s="15" t="n">
        <v>3.443895</v>
      </c>
      <c r="H68" s="15" t="n">
        <f aca="false">SQRT(F68^2+G68^2)</f>
        <v>3.68959591601574</v>
      </c>
      <c r="I68" s="15" t="n">
        <f aca="false">D68*F68/H68</f>
        <v>1.34170756826475</v>
      </c>
      <c r="J68" s="15" t="n">
        <f aca="false">SQRT(C68^2+D68^2-I68^2)</f>
        <v>61.0687643512817</v>
      </c>
      <c r="K68" s="15" t="n">
        <f aca="false">E68/H68</f>
        <v>901.977747798806</v>
      </c>
      <c r="L68" s="15" t="n">
        <f aca="false">J68/2-K68*ASINH(I68/(2*K68*SINH(J68/(2*K68))))</f>
        <v>10.7229125317536</v>
      </c>
      <c r="M68" s="15" t="n">
        <f aca="false">-L68/K68</f>
        <v>-0.0118882229167204</v>
      </c>
      <c r="N68" s="15" t="n">
        <f aca="false">(J68-L68)/K68</f>
        <v>0.0558171772445524</v>
      </c>
      <c r="O68" s="15" t="n">
        <f aca="false">K68*(SINH(N68)-SINH(M68))</f>
        <v>61.0951635678826</v>
      </c>
      <c r="P68" s="15" t="n">
        <f aca="false">E68*COSH(M68)</f>
        <v>3328.16858554062</v>
      </c>
      <c r="Q68" s="15" t="n">
        <f aca="false">E68*COSH(N68)</f>
        <v>3333.11894430497</v>
      </c>
    </row>
    <row r="69" customFormat="false" ht="21" hidden="false" customHeight="true" outlineLevel="0" collapsed="false">
      <c r="A69" s="1" t="s">
        <v>334</v>
      </c>
      <c r="B69" s="1" t="s">
        <v>321</v>
      </c>
      <c r="C69" s="15" t="n">
        <v>60.9689454912776</v>
      </c>
      <c r="D69" s="15" t="n">
        <v>3.73923043857203</v>
      </c>
      <c r="E69" s="15" t="n">
        <v>3624.535427091</v>
      </c>
      <c r="F69" s="15" t="n">
        <v>3.85543216183014</v>
      </c>
      <c r="G69" s="15" t="n">
        <v>0</v>
      </c>
      <c r="H69" s="15" t="n">
        <f aca="false">SQRT(F69^2+G69^2)</f>
        <v>3.85543216183014</v>
      </c>
      <c r="I69" s="15" t="n">
        <f aca="false">D69*F69/H69</f>
        <v>3.73923043857203</v>
      </c>
      <c r="J69" s="15" t="n">
        <f aca="false">SQRT(C69^2+D69^2-I69^2)</f>
        <v>60.9689454912776</v>
      </c>
      <c r="K69" s="15" t="n">
        <f aca="false">E69/H69</f>
        <v>940.111322143059</v>
      </c>
      <c r="L69" s="15" t="n">
        <f aca="false">J69/2-K69*ASINH(I69/(2*K69*SINH(J69/(2*K69))))</f>
        <v>-27.1264639429739</v>
      </c>
      <c r="M69" s="15" t="n">
        <f aca="false">-L69/K69</f>
        <v>0.0288545231868253</v>
      </c>
      <c r="N69" s="15" t="n">
        <f aca="false">(J69-L69)/K69</f>
        <v>0.0937074231096706</v>
      </c>
      <c r="O69" s="15" t="n">
        <f aca="false">K69*(SINH(N69)-SINH(M69))</f>
        <v>61.0941666018511</v>
      </c>
      <c r="P69" s="15" t="n">
        <f aca="false">E69*COSH(M69)</f>
        <v>3626.04439599285</v>
      </c>
      <c r="Q69" s="15" t="n">
        <f aca="false">E69*COSH(N69)</f>
        <v>3640.46074528622</v>
      </c>
    </row>
    <row r="70" customFormat="false" ht="21" hidden="false" customHeight="true" outlineLevel="0" collapsed="false">
      <c r="A70" s="1" t="s">
        <v>334</v>
      </c>
      <c r="B70" s="1" t="s">
        <v>322</v>
      </c>
      <c r="C70" s="15" t="n">
        <v>60.9689454912776</v>
      </c>
      <c r="D70" s="15" t="n">
        <v>3.73923043857203</v>
      </c>
      <c r="E70" s="15" t="n">
        <v>3400.07671759785</v>
      </c>
      <c r="F70" s="15" t="n">
        <v>2.33651151473205</v>
      </c>
      <c r="G70" s="15" t="n">
        <v>1.43495625</v>
      </c>
      <c r="H70" s="15" t="n">
        <f aca="false">SQRT(F70^2+G70^2)</f>
        <v>2.74196745018783</v>
      </c>
      <c r="I70" s="15" t="n">
        <f aca="false">D70*F70/H70</f>
        <v>3.18630878545318</v>
      </c>
      <c r="J70" s="15" t="n">
        <f aca="false">SQRT(C70^2+D70^2-I70^2)</f>
        <v>61.0003409409723</v>
      </c>
      <c r="K70" s="15" t="n">
        <f aca="false">E70/H70</f>
        <v>1240.01352290485</v>
      </c>
      <c r="L70" s="15" t="n">
        <f aca="false">J70/2-K70*ASINH(I70/(2*K70*SINH(J70/(2*K70))))</f>
        <v>-34.235101558468</v>
      </c>
      <c r="M70" s="15" t="n">
        <f aca="false">-L70/K70</f>
        <v>0.027608651781691</v>
      </c>
      <c r="N70" s="15" t="n">
        <f aca="false">(J70-L70)/K70</f>
        <v>0.0768019386404286</v>
      </c>
      <c r="O70" s="15" t="n">
        <f aca="false">K70*(SINH(N70)-SINH(M70))</f>
        <v>61.0896441536148</v>
      </c>
      <c r="P70" s="15" t="n">
        <f aca="false">E70*COSH(M70)</f>
        <v>3401.37263315998</v>
      </c>
      <c r="Q70" s="15" t="n">
        <f aca="false">E70*COSH(N70)</f>
        <v>3410.10938813594</v>
      </c>
    </row>
    <row r="71" customFormat="false" ht="21" hidden="false" customHeight="true" outlineLevel="0" collapsed="false">
      <c r="A71" s="1" t="s">
        <v>334</v>
      </c>
      <c r="B71" s="1" t="s">
        <v>323</v>
      </c>
      <c r="C71" s="15" t="n">
        <v>60.9689454912776</v>
      </c>
      <c r="D71" s="15" t="n">
        <v>3.73923043857203</v>
      </c>
      <c r="E71" s="15" t="n">
        <v>3510.09377064617</v>
      </c>
      <c r="F71" s="15" t="n">
        <v>1.32389775</v>
      </c>
      <c r="G71" s="15" t="n">
        <v>0</v>
      </c>
      <c r="H71" s="15" t="n">
        <f aca="false">SQRT(F71^2+G71^2)</f>
        <v>1.32389775</v>
      </c>
      <c r="I71" s="15" t="n">
        <f aca="false">D71*F71/H71</f>
        <v>3.73923043857203</v>
      </c>
      <c r="J71" s="15" t="n">
        <f aca="false">SQRT(C71^2+D71^2-I71^2)</f>
        <v>60.9689454912776</v>
      </c>
      <c r="K71" s="15" t="n">
        <f aca="false">E71/H71</f>
        <v>2651.3329829635</v>
      </c>
      <c r="L71" s="15" t="n">
        <f aca="false">J71/2-K71*ASINH(I71/(2*K71*SINH(J71/(2*K71))))</f>
        <v>-132.016655799641</v>
      </c>
      <c r="M71" s="15" t="n">
        <f aca="false">-L71/K71</f>
        <v>0.0497925596852343</v>
      </c>
      <c r="N71" s="15" t="n">
        <f aca="false">(J71-L71)/K71</f>
        <v>0.0727881418633469</v>
      </c>
      <c r="O71" s="15" t="n">
        <f aca="false">K71*(SINH(N71)-SINH(M71))</f>
        <v>61.0848423558831</v>
      </c>
      <c r="P71" s="15" t="n">
        <f aca="false">E71*COSH(M71)</f>
        <v>3514.4459557198</v>
      </c>
      <c r="Q71" s="15" t="n">
        <f aca="false">E71*COSH(N71)</f>
        <v>3519.39631448416</v>
      </c>
    </row>
    <row r="72" customFormat="false" ht="21" hidden="false" customHeight="true" outlineLevel="0" collapsed="false">
      <c r="A72" s="1" t="s">
        <v>334</v>
      </c>
      <c r="B72" s="1" t="s">
        <v>324</v>
      </c>
      <c r="C72" s="15" t="n">
        <v>60.9689454912776</v>
      </c>
      <c r="D72" s="15" t="n">
        <v>3.73923043857203</v>
      </c>
      <c r="E72" s="15" t="n">
        <v>472.065883483734</v>
      </c>
      <c r="F72" s="15" t="n">
        <v>1.32389775</v>
      </c>
      <c r="G72" s="15" t="n">
        <v>0</v>
      </c>
      <c r="H72" s="15" t="n">
        <f aca="false">SQRT(F72^2+G72^2)</f>
        <v>1.32389775</v>
      </c>
      <c r="I72" s="15" t="n">
        <f aca="false">D72*F72/H72</f>
        <v>3.73923043857203</v>
      </c>
      <c r="J72" s="15" t="n">
        <f aca="false">SQRT(C72^2+D72^2-I72^2)</f>
        <v>60.9689454912776</v>
      </c>
      <c r="K72" s="15" t="n">
        <f aca="false">E72/H72</f>
        <v>356.572766653417</v>
      </c>
      <c r="L72" s="15" t="n">
        <f aca="false">J72/2-K72*ASINH(I72/(2*K72*SINH(J72/(2*K72))))</f>
        <v>8.65608915296207</v>
      </c>
      <c r="M72" s="15" t="n">
        <f aca="false">-L72/K72</f>
        <v>-0.0242757999557932</v>
      </c>
      <c r="N72" s="15" t="n">
        <f aca="false">(J72-L72)/K72</f>
        <v>0.146710184373566</v>
      </c>
      <c r="O72" s="15" t="n">
        <f aca="false">K72*(SINH(N72)-SINH(M72))</f>
        <v>61.1576603656313</v>
      </c>
      <c r="P72" s="15" t="n">
        <f aca="false">E72*COSH(M72)</f>
        <v>472.204987941318</v>
      </c>
      <c r="Q72" s="15" t="n">
        <f aca="false">E72*COSH(N72)</f>
        <v>477.155346705675</v>
      </c>
    </row>
    <row r="73" customFormat="false" ht="21" hidden="false" customHeight="true" outlineLevel="0" collapsed="false">
      <c r="A73" s="1" t="s">
        <v>335</v>
      </c>
      <c r="B73" s="1" t="s">
        <v>319</v>
      </c>
      <c r="C73" s="15" t="n">
        <v>54.3081891666928</v>
      </c>
      <c r="D73" s="15" t="n">
        <v>3.54968131670912</v>
      </c>
      <c r="E73" s="15" t="n">
        <v>2204.99999999958</v>
      </c>
      <c r="F73" s="15" t="n">
        <v>1.32389775</v>
      </c>
      <c r="G73" s="15" t="n">
        <v>0</v>
      </c>
      <c r="H73" s="15" t="n">
        <f aca="false">SQRT(F73^2+G73^2)</f>
        <v>1.32389775</v>
      </c>
      <c r="I73" s="15" t="n">
        <f aca="false">D73*F73/H73</f>
        <v>3.54968131670912</v>
      </c>
      <c r="J73" s="15" t="n">
        <f aca="false">SQRT(C73^2+D73^2-I73^2)</f>
        <v>54.3081891666928</v>
      </c>
      <c r="K73" s="15" t="n">
        <f aca="false">E73/H73</f>
        <v>1665.53648119697</v>
      </c>
      <c r="L73" s="15" t="n">
        <f aca="false">J73/2-K73*ASINH(I73/(2*K73*SINH(J73/(2*K73))))</f>
        <v>-81.6262008281574</v>
      </c>
      <c r="M73" s="15" t="n">
        <f aca="false">-L73/K73</f>
        <v>0.0490089540215266</v>
      </c>
      <c r="N73" s="15" t="n">
        <f aca="false">(J73-L73)/K73</f>
        <v>0.0816159787128521</v>
      </c>
      <c r="O73" s="15" t="n">
        <f aca="false">K73*(SINH(N73)-SINH(M73))</f>
        <v>54.4264731241276</v>
      </c>
      <c r="P73" s="15" t="n">
        <f aca="false">E73*COSH(M73)</f>
        <v>2207.648600096</v>
      </c>
      <c r="Q73" s="15" t="n">
        <f aca="false">E73*COSH(N73)</f>
        <v>2212.34801520441</v>
      </c>
    </row>
    <row r="74" customFormat="false" ht="21" hidden="false" customHeight="true" outlineLevel="0" collapsed="false">
      <c r="A74" s="1" t="s">
        <v>335</v>
      </c>
      <c r="B74" s="1" t="s">
        <v>320</v>
      </c>
      <c r="C74" s="15" t="n">
        <v>54.3081891666928</v>
      </c>
      <c r="D74" s="15" t="n">
        <v>3.54968131670912</v>
      </c>
      <c r="E74" s="15" t="n">
        <v>3262.03920276728</v>
      </c>
      <c r="F74" s="15" t="n">
        <v>1.32389775</v>
      </c>
      <c r="G74" s="15" t="n">
        <v>3.443895</v>
      </c>
      <c r="H74" s="15" t="n">
        <f aca="false">SQRT(F74^2+G74^2)</f>
        <v>3.68959591601574</v>
      </c>
      <c r="I74" s="15" t="n">
        <f aca="false">D74*F74/H74</f>
        <v>1.27369370938674</v>
      </c>
      <c r="J74" s="15" t="n">
        <f aca="false">SQRT(C74^2+D74^2-I74^2)</f>
        <v>54.4091660692401</v>
      </c>
      <c r="K74" s="15" t="n">
        <f aca="false">E74/H74</f>
        <v>884.118282061044</v>
      </c>
      <c r="L74" s="15" t="n">
        <f aca="false">J74/2-K74*ASINH(I74/(2*K74*SINH(J74/(2*K74))))</f>
        <v>6.51293275218943</v>
      </c>
      <c r="M74" s="15" t="n">
        <f aca="false">-L74/K74</f>
        <v>-0.00736658531368288</v>
      </c>
      <c r="N74" s="15" t="n">
        <f aca="false">(J74-L74)/K74</f>
        <v>0.0541740107504572</v>
      </c>
      <c r="O74" s="15" t="n">
        <f aca="false">K74*(SINH(N74)-SINH(M74))</f>
        <v>54.4326562446085</v>
      </c>
      <c r="P74" s="15" t="n">
        <f aca="false">E74*COSH(M74)</f>
        <v>3262.12771302189</v>
      </c>
      <c r="Q74" s="15" t="n">
        <f aca="false">E74*COSH(N74)</f>
        <v>3266.8271281303</v>
      </c>
    </row>
    <row r="75" customFormat="false" ht="21" hidden="false" customHeight="true" outlineLevel="0" collapsed="false">
      <c r="A75" s="1" t="s">
        <v>335</v>
      </c>
      <c r="B75" s="1" t="s">
        <v>321</v>
      </c>
      <c r="C75" s="15" t="n">
        <v>54.3081891666928</v>
      </c>
      <c r="D75" s="15" t="n">
        <v>3.54968131670912</v>
      </c>
      <c r="E75" s="15" t="n">
        <v>3563.57621287612</v>
      </c>
      <c r="F75" s="15" t="n">
        <v>3.85543216183014</v>
      </c>
      <c r="G75" s="15" t="n">
        <v>0</v>
      </c>
      <c r="H75" s="15" t="n">
        <f aca="false">SQRT(F75^2+G75^2)</f>
        <v>3.85543216183014</v>
      </c>
      <c r="I75" s="15" t="n">
        <f aca="false">D75*F75/H75</f>
        <v>3.54968131670912</v>
      </c>
      <c r="J75" s="15" t="n">
        <f aca="false">SQRT(C75^2+D75^2-I75^2)</f>
        <v>54.3081891666928</v>
      </c>
      <c r="K75" s="15" t="n">
        <f aca="false">E75/H75</f>
        <v>924.30006891485</v>
      </c>
      <c r="L75" s="15" t="n">
        <f aca="false">J75/2-K75*ASINH(I75/(2*K75*SINH(J75/(2*K75))))</f>
        <v>-33.2082223421621</v>
      </c>
      <c r="M75" s="15" t="n">
        <f aca="false">-L75/K75</f>
        <v>0.0359279669654784</v>
      </c>
      <c r="N75" s="15" t="n">
        <f aca="false">(J75-L75)/K75</f>
        <v>0.0946839824556123</v>
      </c>
      <c r="O75" s="15" t="n">
        <f aca="false">K75*(SINH(N75)-SINH(M75))</f>
        <v>54.4318679636321</v>
      </c>
      <c r="P75" s="15" t="n">
        <f aca="false">E75*COSH(M75)</f>
        <v>3565.87642589372</v>
      </c>
      <c r="Q75" s="15" t="n">
        <f aca="false">E75*COSH(N75)</f>
        <v>3579.5619814064</v>
      </c>
    </row>
    <row r="76" customFormat="false" ht="21" hidden="false" customHeight="true" outlineLevel="0" collapsed="false">
      <c r="A76" s="1" t="s">
        <v>335</v>
      </c>
      <c r="B76" s="1" t="s">
        <v>322</v>
      </c>
      <c r="C76" s="15" t="n">
        <v>54.3081891666928</v>
      </c>
      <c r="D76" s="15" t="n">
        <v>3.54968131670912</v>
      </c>
      <c r="E76" s="15" t="n">
        <v>3375.2617564586</v>
      </c>
      <c r="F76" s="15" t="n">
        <v>2.33651151473205</v>
      </c>
      <c r="G76" s="15" t="n">
        <v>1.43495625</v>
      </c>
      <c r="H76" s="15" t="n">
        <f aca="false">SQRT(F76^2+G76^2)</f>
        <v>2.74196745018783</v>
      </c>
      <c r="I76" s="15" t="n">
        <f aca="false">D76*F76/H76</f>
        <v>3.02478837578906</v>
      </c>
      <c r="J76" s="15" t="n">
        <f aca="false">SQRT(C76^2+D76^2-I76^2)</f>
        <v>54.3399512632941</v>
      </c>
      <c r="K76" s="15" t="n">
        <f aca="false">E76/H76</f>
        <v>1230.96346611532</v>
      </c>
      <c r="L76" s="15" t="n">
        <f aca="false">J76/2-K76*ASINH(I76/(2*K76*SINH(J76/(2*K76))))</f>
        <v>-41.3096954457611</v>
      </c>
      <c r="M76" s="15" t="n">
        <f aca="false">-L76/K76</f>
        <v>0.0335588314218019</v>
      </c>
      <c r="N76" s="15" t="n">
        <f aca="false">(J76-L76)/K76</f>
        <v>0.0777030751456065</v>
      </c>
      <c r="O76" s="15" t="n">
        <f aca="false">K76*(SINH(N76)-SINH(M76))</f>
        <v>54.4284778191207</v>
      </c>
      <c r="P76" s="15" t="n">
        <f aca="false">E76*COSH(M76)</f>
        <v>3377.16253657373</v>
      </c>
      <c r="Q76" s="15" t="n">
        <f aca="false">E76*COSH(N76)</f>
        <v>3385.45640784385</v>
      </c>
    </row>
    <row r="77" customFormat="false" ht="21" hidden="false" customHeight="true" outlineLevel="0" collapsed="false">
      <c r="A77" s="1" t="s">
        <v>335</v>
      </c>
      <c r="B77" s="1" t="s">
        <v>323</v>
      </c>
      <c r="C77" s="15" t="n">
        <v>54.3081891666928</v>
      </c>
      <c r="D77" s="15" t="n">
        <v>3.54968131670912</v>
      </c>
      <c r="E77" s="15" t="n">
        <v>3530.45822946227</v>
      </c>
      <c r="F77" s="15" t="n">
        <v>1.32389775</v>
      </c>
      <c r="G77" s="15" t="n">
        <v>0</v>
      </c>
      <c r="H77" s="15" t="n">
        <f aca="false">SQRT(F77^2+G77^2)</f>
        <v>1.32389775</v>
      </c>
      <c r="I77" s="15" t="n">
        <f aca="false">D77*F77/H77</f>
        <v>3.54968131670912</v>
      </c>
      <c r="J77" s="15" t="n">
        <f aca="false">SQRT(C77^2+D77^2-I77^2)</f>
        <v>54.3081891666928</v>
      </c>
      <c r="K77" s="15" t="n">
        <f aca="false">E77/H77</f>
        <v>2666.71518209187</v>
      </c>
      <c r="L77" s="15" t="n">
        <f aca="false">J77/2-K77*ASINH(I77/(2*K77*SINH(J77/(2*K77))))</f>
        <v>-147.020350425456</v>
      </c>
      <c r="M77" s="15" t="n">
        <f aca="false">-L77/K77</f>
        <v>0.0551316283841484</v>
      </c>
      <c r="N77" s="15" t="n">
        <f aca="false">(J77-L77)/K77</f>
        <v>0.0754968288117739</v>
      </c>
      <c r="O77" s="15" t="n">
        <f aca="false">K77*(SINH(N77)-SINH(M77))</f>
        <v>54.4250088216258</v>
      </c>
      <c r="P77" s="15" t="n">
        <f aca="false">E77*COSH(M77)</f>
        <v>3535.82499623606</v>
      </c>
      <c r="Q77" s="15" t="n">
        <f aca="false">E77*COSH(N77)</f>
        <v>3540.52441134447</v>
      </c>
    </row>
    <row r="78" customFormat="false" ht="21" hidden="false" customHeight="true" outlineLevel="0" collapsed="false">
      <c r="A78" s="1" t="s">
        <v>335</v>
      </c>
      <c r="B78" s="1" t="s">
        <v>324</v>
      </c>
      <c r="C78" s="15" t="n">
        <v>54.3081891666928</v>
      </c>
      <c r="D78" s="15" t="n">
        <v>3.54968131670912</v>
      </c>
      <c r="E78" s="15" t="n">
        <v>425.143674227304</v>
      </c>
      <c r="F78" s="15" t="n">
        <v>1.32389775</v>
      </c>
      <c r="G78" s="15" t="n">
        <v>0</v>
      </c>
      <c r="H78" s="15" t="n">
        <f aca="false">SQRT(F78^2+G78^2)</f>
        <v>1.32389775</v>
      </c>
      <c r="I78" s="15" t="n">
        <f aca="false">D78*F78/H78</f>
        <v>3.54968131670912</v>
      </c>
      <c r="J78" s="15" t="n">
        <f aca="false">SQRT(C78^2+D78^2-I78^2)</f>
        <v>54.3081891666928</v>
      </c>
      <c r="K78" s="15" t="n">
        <f aca="false">E78/H78</f>
        <v>321.130294410806</v>
      </c>
      <c r="L78" s="15" t="n">
        <f aca="false">J78/2-K78*ASINH(I78/(2*K78*SINH(J78/(2*K78))))</f>
        <v>6.20429397246997</v>
      </c>
      <c r="M78" s="15" t="n">
        <f aca="false">-L78/K78</f>
        <v>-0.0193201765154337</v>
      </c>
      <c r="N78" s="15" t="n">
        <f aca="false">(J78-L78)/K78</f>
        <v>0.149795569061715</v>
      </c>
      <c r="O78" s="15" t="n">
        <f aca="false">K78*(SINH(N78)-SINH(M78))</f>
        <v>54.4886753404912</v>
      </c>
      <c r="P78" s="15" t="n">
        <f aca="false">E78*COSH(M78)</f>
        <v>425.223023219427</v>
      </c>
      <c r="Q78" s="15" t="n">
        <f aca="false">E78*COSH(N78)</f>
        <v>429.922438327836</v>
      </c>
    </row>
    <row r="79" customFormat="false" ht="21" hidden="false" customHeight="true" outlineLevel="0" collapsed="false">
      <c r="A79" s="1" t="s">
        <v>336</v>
      </c>
      <c r="B79" s="1" t="s">
        <v>319</v>
      </c>
      <c r="C79" s="15" t="n">
        <v>39.6609039110634</v>
      </c>
      <c r="D79" s="15" t="n">
        <v>11.7147598495448</v>
      </c>
      <c r="E79" s="15" t="n">
        <v>2205.00000000507</v>
      </c>
      <c r="F79" s="15" t="n">
        <v>1.32389775</v>
      </c>
      <c r="G79" s="15" t="n">
        <v>0</v>
      </c>
      <c r="H79" s="15" t="n">
        <f aca="false">SQRT(F79^2+G79^2)</f>
        <v>1.32389775</v>
      </c>
      <c r="I79" s="15" t="n">
        <f aca="false">D79*F79/H79</f>
        <v>11.7147598495448</v>
      </c>
      <c r="J79" s="15" t="n">
        <f aca="false">SQRT(C79^2+D79^2-I79^2)</f>
        <v>39.6609039110634</v>
      </c>
      <c r="K79" s="15" t="n">
        <f aca="false">E79/H79</f>
        <v>1665.53648120111</v>
      </c>
      <c r="L79" s="15" t="n">
        <f aca="false">J79/2-K79*ASINH(I79/(2*K79*SINH(J79/(2*K79))))</f>
        <v>-465.226525226734</v>
      </c>
      <c r="M79" s="15" t="n">
        <f aca="false">-L79/K79</f>
        <v>0.279325328792097</v>
      </c>
      <c r="N79" s="15" t="n">
        <f aca="false">(J79-L79)/K79</f>
        <v>0.303138018792416</v>
      </c>
      <c r="O79" s="15" t="n">
        <f aca="false">K79*(SINH(N79)-SINH(M79))</f>
        <v>41.3557399670763</v>
      </c>
      <c r="P79" s="15" t="n">
        <f aca="false">E79*COSH(M79)</f>
        <v>2291.58070847346</v>
      </c>
      <c r="Q79" s="15" t="n">
        <f aca="false">E79*COSH(N79)</f>
        <v>2307.08985268006</v>
      </c>
    </row>
    <row r="80" customFormat="false" ht="21" hidden="false" customHeight="true" outlineLevel="0" collapsed="false">
      <c r="A80" s="1" t="s">
        <v>336</v>
      </c>
      <c r="B80" s="1" t="s">
        <v>320</v>
      </c>
      <c r="C80" s="15" t="n">
        <v>39.6609039110634</v>
      </c>
      <c r="D80" s="15" t="n">
        <v>11.7147598495448</v>
      </c>
      <c r="E80" s="15" t="n">
        <v>3204.61014137005</v>
      </c>
      <c r="F80" s="15" t="n">
        <v>1.32389775</v>
      </c>
      <c r="G80" s="15" t="n">
        <v>3.443895</v>
      </c>
      <c r="H80" s="15" t="n">
        <f aca="false">SQRT(F80^2+G80^2)</f>
        <v>3.68959591601574</v>
      </c>
      <c r="I80" s="15" t="n">
        <f aca="false">D80*F80/H80</f>
        <v>4.20348042431443</v>
      </c>
      <c r="J80" s="15" t="n">
        <f aca="false">SQRT(C80^2+D80^2-I80^2)</f>
        <v>41.1406568943364</v>
      </c>
      <c r="K80" s="15" t="n">
        <f aca="false">E80/H80</f>
        <v>868.553146283453</v>
      </c>
      <c r="L80" s="15" t="n">
        <f aca="false">J80/2-K80*ASINH(I80/(2*K80*SINH(J80/(2*K80))))</f>
        <v>-68.0107560969677</v>
      </c>
      <c r="M80" s="15" t="n">
        <f aca="false">-L80/K80</f>
        <v>0.0783035055344469</v>
      </c>
      <c r="N80" s="15" t="n">
        <f aca="false">(J80-L80)/K80</f>
        <v>0.125670390416941</v>
      </c>
      <c r="O80" s="15" t="n">
        <f aca="false">K80*(SINH(N80)-SINH(M80))</f>
        <v>41.3586674740537</v>
      </c>
      <c r="P80" s="15" t="n">
        <f aca="false">E80*COSH(M80)</f>
        <v>3214.43959799011</v>
      </c>
      <c r="Q80" s="15" t="n">
        <f aca="false">E80*COSH(N80)</f>
        <v>3229.94874219672</v>
      </c>
    </row>
    <row r="81" customFormat="false" ht="21" hidden="false" customHeight="true" outlineLevel="0" collapsed="false">
      <c r="A81" s="1" t="s">
        <v>336</v>
      </c>
      <c r="B81" s="1" t="s">
        <v>321</v>
      </c>
      <c r="C81" s="15" t="n">
        <v>39.6609039110634</v>
      </c>
      <c r="D81" s="15" t="n">
        <v>11.7147598495448</v>
      </c>
      <c r="E81" s="15" t="n">
        <v>3385.38794587843</v>
      </c>
      <c r="F81" s="15" t="n">
        <v>3.85543216183014</v>
      </c>
      <c r="G81" s="15" t="n">
        <v>0</v>
      </c>
      <c r="H81" s="15" t="n">
        <f aca="false">SQRT(F81^2+G81^2)</f>
        <v>3.85543216183014</v>
      </c>
      <c r="I81" s="15" t="n">
        <f aca="false">D81*F81/H81</f>
        <v>11.7147598495448</v>
      </c>
      <c r="J81" s="15" t="n">
        <f aca="false">SQRT(C81^2+D81^2-I81^2)</f>
        <v>39.6609039110634</v>
      </c>
      <c r="K81" s="15" t="n">
        <f aca="false">E81/H81</f>
        <v>878.082612733982</v>
      </c>
      <c r="L81" s="15" t="n">
        <f aca="false">J81/2-K81*ASINH(I81/(2*K81*SINH(J81/(2*K81))))</f>
        <v>-235.879751144357</v>
      </c>
      <c r="M81" s="15" t="n">
        <f aca="false">-L81/K81</f>
        <v>0.268630477045805</v>
      </c>
      <c r="N81" s="15" t="n">
        <f aca="false">(J81-L81)/K81</f>
        <v>0.3137980994721</v>
      </c>
      <c r="O81" s="15" t="n">
        <f aca="false">K81*(SINH(N81)-SINH(M81))</f>
        <v>41.3580746452359</v>
      </c>
      <c r="P81" s="15" t="n">
        <f aca="false">E81*COSH(M81)</f>
        <v>3508.27300639532</v>
      </c>
      <c r="Q81" s="15" t="n">
        <f aca="false">E81*COSH(N81)</f>
        <v>3553.43846828737</v>
      </c>
    </row>
    <row r="82" customFormat="false" ht="21" hidden="false" customHeight="true" outlineLevel="0" collapsed="false">
      <c r="A82" s="1" t="s">
        <v>336</v>
      </c>
      <c r="B82" s="1" t="s">
        <v>322</v>
      </c>
      <c r="C82" s="15" t="n">
        <v>39.6609039110634</v>
      </c>
      <c r="D82" s="15" t="n">
        <v>11.7147598495448</v>
      </c>
      <c r="E82" s="15" t="n">
        <v>3321.30060374102</v>
      </c>
      <c r="F82" s="15" t="n">
        <v>2.33651151473205</v>
      </c>
      <c r="G82" s="15" t="n">
        <v>1.43495625</v>
      </c>
      <c r="H82" s="15" t="n">
        <f aca="false">SQRT(F82^2+G82^2)</f>
        <v>2.74196745018783</v>
      </c>
      <c r="I82" s="15" t="n">
        <f aca="false">D82*F82/H82</f>
        <v>9.98249314699454</v>
      </c>
      <c r="J82" s="15" t="n">
        <f aca="false">SQRT(C82^2+D82^2-I82^2)</f>
        <v>40.1319414923489</v>
      </c>
      <c r="K82" s="15" t="n">
        <f aca="false">E82/H82</f>
        <v>1211.28374573283</v>
      </c>
      <c r="L82" s="15" t="n">
        <f aca="false">J82/2-K82*ASINH(I82/(2*K82*SINH(J82/(2*K82))))</f>
        <v>-278.194059325815</v>
      </c>
      <c r="M82" s="15" t="n">
        <f aca="false">-L82/K82</f>
        <v>0.229668779347407</v>
      </c>
      <c r="N82" s="15" t="n">
        <f aca="false">(J82-L82)/K82</f>
        <v>0.26280052212339</v>
      </c>
      <c r="O82" s="15" t="n">
        <f aca="false">K82*(SINH(N82)-SINH(M82))</f>
        <v>41.3566225841499</v>
      </c>
      <c r="P82" s="15" t="n">
        <f aca="false">E82*COSH(M82)</f>
        <v>3409.28188442277</v>
      </c>
      <c r="Q82" s="15" t="n">
        <f aca="false">E82*COSH(N82)</f>
        <v>3436.65355570355</v>
      </c>
    </row>
    <row r="83" customFormat="false" ht="21" hidden="false" customHeight="true" outlineLevel="0" collapsed="false">
      <c r="A83" s="1" t="s">
        <v>336</v>
      </c>
      <c r="B83" s="1" t="s">
        <v>323</v>
      </c>
      <c r="C83" s="15" t="n">
        <v>39.6609039110634</v>
      </c>
      <c r="D83" s="15" t="n">
        <v>11.7147598495448</v>
      </c>
      <c r="E83" s="15" t="n">
        <v>3519.1176107753</v>
      </c>
      <c r="F83" s="15" t="n">
        <v>1.32389775</v>
      </c>
      <c r="G83" s="15" t="n">
        <v>0</v>
      </c>
      <c r="H83" s="15" t="n">
        <f aca="false">SQRT(F83^2+G83^2)</f>
        <v>1.32389775</v>
      </c>
      <c r="I83" s="15" t="n">
        <f aca="false">D83*F83/H83</f>
        <v>11.7147598495448</v>
      </c>
      <c r="J83" s="15" t="n">
        <f aca="false">SQRT(C83^2+D83^2-I83^2)</f>
        <v>39.6609039110634</v>
      </c>
      <c r="K83" s="15" t="n">
        <f aca="false">E83/H83</f>
        <v>2658.14909858054</v>
      </c>
      <c r="L83" s="15" t="n">
        <f aca="false">J83/2-K83*ASINH(I83/(2*K83*SINH(J83/(2*K83))))</f>
        <v>-754.317565036109</v>
      </c>
      <c r="M83" s="15" t="n">
        <f aca="false">-L83/K83</f>
        <v>0.283775490787525</v>
      </c>
      <c r="N83" s="15" t="n">
        <f aca="false">(J83-L83)/K83</f>
        <v>0.298695987132987</v>
      </c>
      <c r="O83" s="15" t="n">
        <f aca="false">K83*(SINH(N83)-SINH(M83))</f>
        <v>41.3551941028749</v>
      </c>
      <c r="P83" s="15" t="n">
        <f aca="false">E83*COSH(M83)</f>
        <v>3661.76572148053</v>
      </c>
      <c r="Q83" s="15" t="n">
        <f aca="false">E83*COSH(N83)</f>
        <v>3677.27486568713</v>
      </c>
    </row>
    <row r="84" customFormat="false" ht="21" hidden="false" customHeight="true" outlineLevel="0" collapsed="false">
      <c r="A84" s="1" t="s">
        <v>336</v>
      </c>
      <c r="B84" s="1" t="s">
        <v>324</v>
      </c>
      <c r="C84" s="15" t="n">
        <v>39.6609039110634</v>
      </c>
      <c r="D84" s="15" t="n">
        <v>11.7147598495448</v>
      </c>
      <c r="E84" s="15" t="n">
        <v>309.735789718664</v>
      </c>
      <c r="F84" s="15" t="n">
        <v>1.32389775</v>
      </c>
      <c r="G84" s="15" t="n">
        <v>0</v>
      </c>
      <c r="H84" s="15" t="n">
        <f aca="false">SQRT(F84^2+G84^2)</f>
        <v>1.32389775</v>
      </c>
      <c r="I84" s="15" t="n">
        <f aca="false">D84*F84/H84</f>
        <v>11.7147598495448</v>
      </c>
      <c r="J84" s="15" t="n">
        <f aca="false">SQRT(C84^2+D84^2-I84^2)</f>
        <v>39.6609039110634</v>
      </c>
      <c r="K84" s="15" t="n">
        <f aca="false">E84/H84</f>
        <v>233.957486307884</v>
      </c>
      <c r="L84" s="15" t="n">
        <f aca="false">J84/2-K84*ASINH(I84/(2*K84*SINH(J84/(2*K84))))</f>
        <v>-48.2276500780005</v>
      </c>
      <c r="M84" s="15" t="n">
        <f aca="false">-L84/K84</f>
        <v>0.206138520459797</v>
      </c>
      <c r="N84" s="15" t="n">
        <f aca="false">(J84-L84)/K84</f>
        <v>0.375660361957403</v>
      </c>
      <c r="O84" s="15" t="n">
        <f aca="false">K84*(SINH(N84)-SINH(M84))</f>
        <v>41.4004046462844</v>
      </c>
      <c r="P84" s="15" t="n">
        <f aca="false">E84*COSH(M84)</f>
        <v>316.33994135107</v>
      </c>
      <c r="Q84" s="15" t="n">
        <f aca="false">E84*COSH(N84)</f>
        <v>331.849085557673</v>
      </c>
    </row>
    <row r="85" customFormat="false" ht="21" hidden="false" customHeight="true" outlineLevel="0" collapsed="false">
      <c r="A85" s="1" t="s">
        <v>337</v>
      </c>
      <c r="B85" s="1" t="s">
        <v>319</v>
      </c>
      <c r="C85" s="15" t="n">
        <v>71.8252161363714</v>
      </c>
      <c r="D85" s="15" t="n">
        <v>12.5068800375565</v>
      </c>
      <c r="E85" s="15" t="n">
        <v>2204.99999999854</v>
      </c>
      <c r="F85" s="15" t="n">
        <v>1.32389775</v>
      </c>
      <c r="G85" s="15" t="n">
        <v>0</v>
      </c>
      <c r="H85" s="15" t="n">
        <f aca="false">SQRT(F85^2+G85^2)</f>
        <v>1.32389775</v>
      </c>
      <c r="I85" s="15" t="n">
        <f aca="false">D85*F85/H85</f>
        <v>12.5068800375565</v>
      </c>
      <c r="J85" s="15" t="n">
        <f aca="false">SQRT(C85^2+D85^2-I85^2)</f>
        <v>71.8252161363714</v>
      </c>
      <c r="K85" s="15" t="n">
        <f aca="false">E85/H85</f>
        <v>1665.53648119618</v>
      </c>
      <c r="L85" s="15" t="n">
        <f aca="false">J85/2-K85*ASINH(I85/(2*K85*SINH(J85/(2*K85))))</f>
        <v>-252.638112585346</v>
      </c>
      <c r="M85" s="15" t="n">
        <f aca="false">-L85/K85</f>
        <v>0.151685727354289</v>
      </c>
      <c r="N85" s="15" t="n">
        <f aca="false">(J85-L85)/K85</f>
        <v>0.194810100159853</v>
      </c>
      <c r="O85" s="15" t="n">
        <f aca="false">K85*(SINH(N85)-SINH(M85))</f>
        <v>72.9114755742726</v>
      </c>
      <c r="P85" s="15" t="n">
        <f aca="false">E85*COSH(M85)</f>
        <v>2230.41561264586</v>
      </c>
      <c r="Q85" s="15" t="n">
        <f aca="false">E85*COSH(N85)</f>
        <v>2246.9734429871</v>
      </c>
    </row>
    <row r="86" customFormat="false" ht="21" hidden="false" customHeight="true" outlineLevel="0" collapsed="false">
      <c r="A86" s="1" t="s">
        <v>337</v>
      </c>
      <c r="B86" s="1" t="s">
        <v>320</v>
      </c>
      <c r="C86" s="15" t="n">
        <v>71.8252161363714</v>
      </c>
      <c r="D86" s="15" t="n">
        <v>12.5068800375565</v>
      </c>
      <c r="E86" s="15" t="n">
        <v>3468.24870526001</v>
      </c>
      <c r="F86" s="15" t="n">
        <v>1.32389775</v>
      </c>
      <c r="G86" s="15" t="n">
        <v>3.443895</v>
      </c>
      <c r="H86" s="15" t="n">
        <f aca="false">SQRT(F86^2+G86^2)</f>
        <v>3.68959591601574</v>
      </c>
      <c r="I86" s="15" t="n">
        <f aca="false">D86*F86/H86</f>
        <v>4.48770833395792</v>
      </c>
      <c r="J86" s="15" t="n">
        <f aca="false">SQRT(C86^2+D86^2-I86^2)</f>
        <v>72.7677414464652</v>
      </c>
      <c r="K86" s="15" t="n">
        <f aca="false">E86/H86</f>
        <v>940.007736404164</v>
      </c>
      <c r="L86" s="15" t="n">
        <f aca="false">J86/2-K86*ASINH(I86/(2*K86*SINH(J86/(2*K86))))</f>
        <v>-21.5368480719511</v>
      </c>
      <c r="M86" s="15" t="n">
        <f aca="false">-L86/K86</f>
        <v>0.022911351936673</v>
      </c>
      <c r="N86" s="15" t="n">
        <f aca="false">(J86-L86)/K86</f>
        <v>0.100323205720798</v>
      </c>
      <c r="O86" s="15" t="n">
        <f aca="false">K86*(SINH(N86)-SINH(M86))</f>
        <v>72.9241287515616</v>
      </c>
      <c r="P86" s="15" t="n">
        <f aca="false">E86*COSH(M86)</f>
        <v>3469.15903905967</v>
      </c>
      <c r="Q86" s="15" t="n">
        <f aca="false">E86*COSH(N86)</f>
        <v>3485.71686940091</v>
      </c>
    </row>
    <row r="87" customFormat="false" ht="21" hidden="false" customHeight="true" outlineLevel="0" collapsed="false">
      <c r="A87" s="1" t="s">
        <v>337</v>
      </c>
      <c r="B87" s="1" t="s">
        <v>321</v>
      </c>
      <c r="C87" s="15" t="n">
        <v>71.8252161363714</v>
      </c>
      <c r="D87" s="15" t="n">
        <v>12.5068800375565</v>
      </c>
      <c r="E87" s="15" t="n">
        <v>3702.62087391367</v>
      </c>
      <c r="F87" s="15" t="n">
        <v>3.85543216183014</v>
      </c>
      <c r="G87" s="15" t="n">
        <v>0</v>
      </c>
      <c r="H87" s="15" t="n">
        <f aca="false">SQRT(F87^2+G87^2)</f>
        <v>3.85543216183014</v>
      </c>
      <c r="I87" s="15" t="n">
        <f aca="false">D87*F87/H87</f>
        <v>12.5068800375565</v>
      </c>
      <c r="J87" s="15" t="n">
        <f aca="false">SQRT(C87^2+D87^2-I87^2)</f>
        <v>71.8252161363714</v>
      </c>
      <c r="K87" s="15" t="n">
        <f aca="false">E87/H87</f>
        <v>960.364679884828</v>
      </c>
      <c r="L87" s="15" t="n">
        <f aca="false">J87/2-K87*ASINH(I87/(2*K87*SINH(J87/(2*K87))))</f>
        <v>-130.442944112401</v>
      </c>
      <c r="M87" s="15" t="n">
        <f aca="false">-L87/K87</f>
        <v>0.135826469719861</v>
      </c>
      <c r="N87" s="15" t="n">
        <f aca="false">(J87-L87)/K87</f>
        <v>0.210615992534242</v>
      </c>
      <c r="O87" s="15" t="n">
        <f aca="false">K87*(SINH(N87)-SINH(M87))</f>
        <v>72.9224850946056</v>
      </c>
      <c r="P87" s="15" t="n">
        <f aca="false">E87*COSH(M87)</f>
        <v>3736.82792674626</v>
      </c>
      <c r="Q87" s="15" t="n">
        <f aca="false">E87*COSH(N87)</f>
        <v>3785.04735428721</v>
      </c>
    </row>
    <row r="88" customFormat="false" ht="21" hidden="false" customHeight="true" outlineLevel="0" collapsed="false">
      <c r="A88" s="1" t="s">
        <v>337</v>
      </c>
      <c r="B88" s="1" t="s">
        <v>322</v>
      </c>
      <c r="C88" s="15" t="n">
        <v>71.8252161363714</v>
      </c>
      <c r="D88" s="15" t="n">
        <v>12.5068800375565</v>
      </c>
      <c r="E88" s="15" t="n">
        <v>3440.88307094175</v>
      </c>
      <c r="F88" s="15" t="n">
        <v>2.33651151473205</v>
      </c>
      <c r="G88" s="15" t="n">
        <v>1.43495625</v>
      </c>
      <c r="H88" s="15" t="n">
        <f aca="false">SQRT(F88^2+G88^2)</f>
        <v>2.74196745018783</v>
      </c>
      <c r="I88" s="15" t="n">
        <f aca="false">D88*F88/H88</f>
        <v>10.6574821736565</v>
      </c>
      <c r="J88" s="15" t="n">
        <f aca="false">SQRT(C88^2+D88^2-I88^2)</f>
        <v>72.1228243694635</v>
      </c>
      <c r="K88" s="15" t="n">
        <f aca="false">E88/H88</f>
        <v>1254.8956665062</v>
      </c>
      <c r="L88" s="15" t="n">
        <f aca="false">J88/2-K88*ASINH(I88/(2*K88*SINH(J88/(2*K88))))</f>
        <v>-148.679107652049</v>
      </c>
      <c r="M88" s="15" t="n">
        <f aca="false">-L88/K88</f>
        <v>0.118479258172907</v>
      </c>
      <c r="N88" s="15" t="n">
        <f aca="false">(J88-L88)/K88</f>
        <v>0.17595242211351</v>
      </c>
      <c r="O88" s="15" t="n">
        <f aca="false">K88*(SINH(N88)-SINH(M88))</f>
        <v>72.9158125424831</v>
      </c>
      <c r="P88" s="15" t="n">
        <f aca="false">E88*COSH(M88)</f>
        <v>3465.06174830623</v>
      </c>
      <c r="Q88" s="15" t="n">
        <f aca="false">E88*COSH(N88)</f>
        <v>3494.28421752735</v>
      </c>
    </row>
    <row r="89" customFormat="false" ht="21" hidden="false" customHeight="true" outlineLevel="0" collapsed="false">
      <c r="A89" s="1" t="s">
        <v>337</v>
      </c>
      <c r="B89" s="1" t="s">
        <v>323</v>
      </c>
      <c r="C89" s="15" t="n">
        <v>71.8252161363714</v>
      </c>
      <c r="D89" s="15" t="n">
        <v>12.5068800375565</v>
      </c>
      <c r="E89" s="15" t="n">
        <v>3459.98203253356</v>
      </c>
      <c r="F89" s="15" t="n">
        <v>1.32389775</v>
      </c>
      <c r="G89" s="15" t="n">
        <v>0</v>
      </c>
      <c r="H89" s="15" t="n">
        <f aca="false">SQRT(F89^2+G89^2)</f>
        <v>1.32389775</v>
      </c>
      <c r="I89" s="15" t="n">
        <f aca="false">D89*F89/H89</f>
        <v>12.5068800375565</v>
      </c>
      <c r="J89" s="15" t="n">
        <f aca="false">SQRT(C89^2+D89^2-I89^2)</f>
        <v>71.8252161363714</v>
      </c>
      <c r="K89" s="15" t="n">
        <f aca="false">E89/H89</f>
        <v>2613.48131495318</v>
      </c>
      <c r="L89" s="15" t="n">
        <f aca="false">J89/2-K89*ASINH(I89/(2*K89*SINH(J89/(2*K89))))</f>
        <v>-416.88820721015</v>
      </c>
      <c r="M89" s="15" t="n">
        <f aca="false">-L89/K89</f>
        <v>0.159514516069007</v>
      </c>
      <c r="N89" s="15" t="n">
        <f aca="false">(J89-L89)/K89</f>
        <v>0.186997098678425</v>
      </c>
      <c r="O89" s="15" t="n">
        <f aca="false">K89*(SINH(N89)-SINH(M89))</f>
        <v>72.9082192454799</v>
      </c>
      <c r="P89" s="15" t="n">
        <f aca="false">E89*COSH(M89)</f>
        <v>3504.09486605842</v>
      </c>
      <c r="Q89" s="15" t="n">
        <f aca="false">E89*COSH(N89)</f>
        <v>3520.65269639966</v>
      </c>
    </row>
    <row r="90" customFormat="false" ht="21" hidden="false" customHeight="true" outlineLevel="0" collapsed="false">
      <c r="A90" s="1" t="s">
        <v>337</v>
      </c>
      <c r="B90" s="1" t="s">
        <v>324</v>
      </c>
      <c r="C90" s="15" t="n">
        <v>71.8252161363714</v>
      </c>
      <c r="D90" s="15" t="n">
        <v>12.5068800375565</v>
      </c>
      <c r="E90" s="15" t="n">
        <v>541.158086726439</v>
      </c>
      <c r="F90" s="15" t="n">
        <v>1.32389775</v>
      </c>
      <c r="G90" s="15" t="n">
        <v>0</v>
      </c>
      <c r="H90" s="15" t="n">
        <f aca="false">SQRT(F90^2+G90^2)</f>
        <v>1.32389775</v>
      </c>
      <c r="I90" s="15" t="n">
        <f aca="false">D90*F90/H90</f>
        <v>12.5068800375565</v>
      </c>
      <c r="J90" s="15" t="n">
        <f aca="false">SQRT(C90^2+D90^2-I90^2)</f>
        <v>71.8252161363714</v>
      </c>
      <c r="K90" s="15" t="n">
        <f aca="false">E90/H90</f>
        <v>408.761240606715</v>
      </c>
      <c r="L90" s="15" t="n">
        <f aca="false">J90/2-K90*ASINH(I90/(2*K90*SINH(J90/(2*K90))))</f>
        <v>-34.8197260654999</v>
      </c>
      <c r="M90" s="15" t="n">
        <f aca="false">-L90/K90</f>
        <v>0.0851835316230515</v>
      </c>
      <c r="N90" s="15" t="n">
        <f aca="false">(J90-L90)/K90</f>
        <v>0.260897882694505</v>
      </c>
      <c r="O90" s="15" t="n">
        <f aca="false">K90*(SINH(N90)-SINH(M90))</f>
        <v>72.9970611748822</v>
      </c>
      <c r="P90" s="15" t="n">
        <f aca="false">E90*COSH(M90)</f>
        <v>543.122659115631</v>
      </c>
      <c r="Q90" s="15" t="n">
        <f aca="false">E90*COSH(N90)</f>
        <v>559.680489456872</v>
      </c>
    </row>
    <row r="91" customFormat="false" ht="21" hidden="false" customHeight="true" outlineLevel="0" collapsed="false">
      <c r="A91" s="1" t="s">
        <v>338</v>
      </c>
      <c r="B91" s="1" t="s">
        <v>319</v>
      </c>
      <c r="C91" s="15" t="n">
        <v>71.8252161346554</v>
      </c>
      <c r="D91" s="15" t="n">
        <v>11.3305582491272</v>
      </c>
      <c r="E91" s="15" t="n">
        <v>2205.00000000214</v>
      </c>
      <c r="F91" s="15" t="n">
        <v>1.32389775</v>
      </c>
      <c r="G91" s="15" t="n">
        <v>0</v>
      </c>
      <c r="H91" s="15" t="n">
        <f aca="false">SQRT(F91^2+G91^2)</f>
        <v>1.32389775</v>
      </c>
      <c r="I91" s="15" t="n">
        <f aca="false">D91*F91/H91</f>
        <v>11.3305582491272</v>
      </c>
      <c r="J91" s="15" t="n">
        <f aca="false">SQRT(C91^2+D91^2-I91^2)</f>
        <v>71.8252161346554</v>
      </c>
      <c r="K91" s="15" t="n">
        <f aca="false">E91/H91</f>
        <v>1665.5364811989</v>
      </c>
      <c r="L91" s="15" t="n">
        <f aca="false">J91/2-K91*ASINH(I91/(2*K91*SINH(J91/(2*K91))))</f>
        <v>-225.730964233139</v>
      </c>
      <c r="M91" s="15" t="n">
        <f aca="false">-L91/K91</f>
        <v>0.135530483289475</v>
      </c>
      <c r="N91" s="15" t="n">
        <f aca="false">(J91-L91)/K91</f>
        <v>0.178654856093938</v>
      </c>
      <c r="O91" s="15" t="n">
        <f aca="false">K91*(SINH(N91)-SINH(M91))</f>
        <v>72.718929943545</v>
      </c>
      <c r="P91" s="15" t="n">
        <f aca="false">E91*COSH(M91)</f>
        <v>2225.2823021888</v>
      </c>
      <c r="Q91" s="15" t="n">
        <f aca="false">E91*COSH(N91)</f>
        <v>2240.28280276106</v>
      </c>
    </row>
    <row r="92" customFormat="false" ht="21" hidden="false" customHeight="true" outlineLevel="0" collapsed="false">
      <c r="A92" s="1" t="s">
        <v>338</v>
      </c>
      <c r="B92" s="1" t="s">
        <v>320</v>
      </c>
      <c r="C92" s="15" t="n">
        <v>71.8252161346554</v>
      </c>
      <c r="D92" s="15" t="n">
        <v>11.3305582491272</v>
      </c>
      <c r="E92" s="15" t="n">
        <v>3462.01038424207</v>
      </c>
      <c r="F92" s="15" t="n">
        <v>1.32389775</v>
      </c>
      <c r="G92" s="15" t="n">
        <v>3.443895</v>
      </c>
      <c r="H92" s="15" t="n">
        <f aca="false">SQRT(F92^2+G92^2)</f>
        <v>3.68959591601574</v>
      </c>
      <c r="I92" s="15" t="n">
        <f aca="false">D92*F92/H92</f>
        <v>4.06562152433806</v>
      </c>
      <c r="J92" s="15" t="n">
        <f aca="false">SQRT(C92^2+D92^2-I92^2)</f>
        <v>72.5996828136849</v>
      </c>
      <c r="K92" s="15" t="n">
        <f aca="false">E92/H92</f>
        <v>938.31694934782</v>
      </c>
      <c r="L92" s="15" t="n">
        <f aca="false">J92/2-K92*ASINH(I92/(2*K92*SINH(J92/(2*K92))))</f>
        <v>-16.2059053555361</v>
      </c>
      <c r="M92" s="15" t="n">
        <f aca="false">-L92/K92</f>
        <v>0.017271248661553</v>
      </c>
      <c r="N92" s="15" t="n">
        <f aca="false">(J92-L92)/K92</f>
        <v>0.0946434871830309</v>
      </c>
      <c r="O92" s="15" t="n">
        <f aca="false">K92*(SINH(N92)-SINH(M92))</f>
        <v>72.7315142085984</v>
      </c>
      <c r="P92" s="15" t="n">
        <f aca="false">E92*COSH(M92)</f>
        <v>3462.52674905496</v>
      </c>
      <c r="Q92" s="15" t="n">
        <f aca="false">E92*COSH(N92)</f>
        <v>3477.52724962723</v>
      </c>
    </row>
    <row r="93" customFormat="false" ht="21" hidden="false" customHeight="true" outlineLevel="0" collapsed="false">
      <c r="A93" s="1" t="s">
        <v>338</v>
      </c>
      <c r="B93" s="1" t="s">
        <v>321</v>
      </c>
      <c r="C93" s="15" t="n">
        <v>71.8252161346554</v>
      </c>
      <c r="D93" s="15" t="n">
        <v>11.3305582491272</v>
      </c>
      <c r="E93" s="15" t="n">
        <v>3707.28782412936</v>
      </c>
      <c r="F93" s="15" t="n">
        <v>3.85543216183014</v>
      </c>
      <c r="G93" s="15" t="n">
        <v>0</v>
      </c>
      <c r="H93" s="15" t="n">
        <f aca="false">SQRT(F93^2+G93^2)</f>
        <v>3.85543216183014</v>
      </c>
      <c r="I93" s="15" t="n">
        <f aca="false">D93*F93/H93</f>
        <v>11.3305582491272</v>
      </c>
      <c r="J93" s="15" t="n">
        <f aca="false">SQRT(C93^2+D93^2-I93^2)</f>
        <v>71.8252161346554</v>
      </c>
      <c r="K93" s="15" t="n">
        <f aca="false">E93/H93</f>
        <v>961.575166808161</v>
      </c>
      <c r="L93" s="15" t="n">
        <f aca="false">J93/2-K93*ASINH(I93/(2*K93*SINH(J93/(2*K93))))</f>
        <v>-115.120584119261</v>
      </c>
      <c r="M93" s="15" t="n">
        <f aca="false">-L93/K93</f>
        <v>0.119720837322984</v>
      </c>
      <c r="N93" s="15" t="n">
        <f aca="false">(J93-L93)/K93</f>
        <v>0.194416210720646</v>
      </c>
      <c r="O93" s="15" t="n">
        <f aca="false">K93*(SINH(N93)-SINH(M93))</f>
        <v>72.7299269997363</v>
      </c>
      <c r="P93" s="15" t="n">
        <f aca="false">E93*COSH(M93)</f>
        <v>3733.88799766267</v>
      </c>
      <c r="Q93" s="15" t="n">
        <f aca="false">E93*COSH(N93)</f>
        <v>3777.57219634785</v>
      </c>
    </row>
    <row r="94" customFormat="false" ht="21" hidden="false" customHeight="true" outlineLevel="0" collapsed="false">
      <c r="A94" s="1" t="s">
        <v>338</v>
      </c>
      <c r="B94" s="1" t="s">
        <v>322</v>
      </c>
      <c r="C94" s="15" t="n">
        <v>71.8252161346554</v>
      </c>
      <c r="D94" s="15" t="n">
        <v>11.3305582491272</v>
      </c>
      <c r="E94" s="15" t="n">
        <v>3441.249938775</v>
      </c>
      <c r="F94" s="15" t="n">
        <v>2.33651151473205</v>
      </c>
      <c r="G94" s="15" t="n">
        <v>1.43495625</v>
      </c>
      <c r="H94" s="15" t="n">
        <f aca="false">SQRT(F94^2+G94^2)</f>
        <v>2.74196745018783</v>
      </c>
      <c r="I94" s="15" t="n">
        <f aca="false">D94*F94/H94</f>
        <v>9.65510360657797</v>
      </c>
      <c r="J94" s="15" t="n">
        <f aca="false">SQRT(C94^2+D94^2-I94^2)</f>
        <v>72.0695649867062</v>
      </c>
      <c r="K94" s="15" t="n">
        <f aca="false">E94/H94</f>
        <v>1255.02946380318</v>
      </c>
      <c r="L94" s="15" t="n">
        <f aca="false">J94/2-K94*ASINH(I94/(2*K94*SINH(J94/(2*K94))))</f>
        <v>-131.578721646232</v>
      </c>
      <c r="M94" s="15" t="n">
        <f aca="false">-L94/K94</f>
        <v>0.104841141535835</v>
      </c>
      <c r="N94" s="15" t="n">
        <f aca="false">(J94-L94)/K94</f>
        <v>0.162265741567383</v>
      </c>
      <c r="O94" s="15" t="n">
        <f aca="false">K94*(SINH(N94)-SINH(M94))</f>
        <v>72.7232472500914</v>
      </c>
      <c r="P94" s="15" t="n">
        <f aca="false">E94*COSH(M94)</f>
        <v>3460.17980165848</v>
      </c>
      <c r="Q94" s="15" t="n">
        <f aca="false">E94*COSH(N94)</f>
        <v>3486.65378147591</v>
      </c>
    </row>
    <row r="95" customFormat="false" ht="21" hidden="false" customHeight="true" outlineLevel="0" collapsed="false">
      <c r="A95" s="1" t="s">
        <v>338</v>
      </c>
      <c r="B95" s="1" t="s">
        <v>323</v>
      </c>
      <c r="C95" s="15" t="n">
        <v>71.8252161346554</v>
      </c>
      <c r="D95" s="15" t="n">
        <v>11.3305582491272</v>
      </c>
      <c r="E95" s="15" t="n">
        <v>3462.45744326284</v>
      </c>
      <c r="F95" s="15" t="n">
        <v>1.32389775</v>
      </c>
      <c r="G95" s="15" t="n">
        <v>0</v>
      </c>
      <c r="H95" s="15" t="n">
        <f aca="false">SQRT(F95^2+G95^2)</f>
        <v>1.32389775</v>
      </c>
      <c r="I95" s="15" t="n">
        <f aca="false">D95*F95/H95</f>
        <v>11.3305582491272</v>
      </c>
      <c r="J95" s="15" t="n">
        <f aca="false">SQRT(C95^2+D95^2-I95^2)</f>
        <v>71.8252161346554</v>
      </c>
      <c r="K95" s="15" t="n">
        <f aca="false">E95/H95</f>
        <v>2615.35110491942</v>
      </c>
      <c r="L95" s="15" t="n">
        <f aca="false">J95/2-K95*ASINH(I95/(2*K95*SINH(J95/(2*K95))))</f>
        <v>-374.958649914842</v>
      </c>
      <c r="M95" s="15" t="n">
        <f aca="false">-L95/K95</f>
        <v>0.143368379568446</v>
      </c>
      <c r="N95" s="15" t="n">
        <f aca="false">(J95-L95)/K95</f>
        <v>0.170831314085939</v>
      </c>
      <c r="O95" s="15" t="n">
        <f aca="false">K95*(SINH(N95)-SINH(M95))</f>
        <v>72.7156618007806</v>
      </c>
      <c r="P95" s="15" t="n">
        <f aca="false">E95*COSH(M95)</f>
        <v>3498.10296422285</v>
      </c>
      <c r="Q95" s="15" t="n">
        <f aca="false">E95*COSH(N95)</f>
        <v>3513.10346479511</v>
      </c>
    </row>
    <row r="96" customFormat="false" ht="21" hidden="false" customHeight="true" outlineLevel="0" collapsed="false">
      <c r="A96" s="1" t="s">
        <v>338</v>
      </c>
      <c r="B96" s="1" t="s">
        <v>324</v>
      </c>
      <c r="C96" s="15" t="n">
        <v>71.8252161346554</v>
      </c>
      <c r="D96" s="15" t="n">
        <v>11.3305582491272</v>
      </c>
      <c r="E96" s="15" t="n">
        <v>542.118885173612</v>
      </c>
      <c r="F96" s="15" t="n">
        <v>1.32389775</v>
      </c>
      <c r="G96" s="15" t="n">
        <v>0</v>
      </c>
      <c r="H96" s="15" t="n">
        <f aca="false">SQRT(F96^2+G96^2)</f>
        <v>1.32389775</v>
      </c>
      <c r="I96" s="15" t="n">
        <f aca="false">D96*F96/H96</f>
        <v>11.3305582491272</v>
      </c>
      <c r="J96" s="15" t="n">
        <f aca="false">SQRT(C96^2+D96^2-I96^2)</f>
        <v>71.8252161346554</v>
      </c>
      <c r="K96" s="15" t="n">
        <f aca="false">E96/H96</f>
        <v>409.486975239297</v>
      </c>
      <c r="L96" s="15" t="n">
        <f aca="false">J96/2-K96*ASINH(I96/(2*K96*SINH(J96/(2*K96))))</f>
        <v>-28.3380129100098</v>
      </c>
      <c r="M96" s="15" t="n">
        <f aca="false">-L96/K96</f>
        <v>0.0692036978549794</v>
      </c>
      <c r="N96" s="15" t="n">
        <f aca="false">(J96-L96)/K96</f>
        <v>0.244606630006074</v>
      </c>
      <c r="O96" s="15" t="n">
        <f aca="false">K96*(SINH(N96)-SINH(M96))</f>
        <v>72.8044183922034</v>
      </c>
      <c r="P96" s="15" t="n">
        <f aca="false">E96*COSH(M96)</f>
        <v>543.417548157212</v>
      </c>
      <c r="Q96" s="15" t="n">
        <f aca="false">E96*COSH(N96)</f>
        <v>558.418048729475</v>
      </c>
    </row>
    <row r="97" customFormat="false" ht="21" hidden="false" customHeight="true" outlineLevel="0" collapsed="false">
      <c r="A97" s="1" t="s">
        <v>339</v>
      </c>
      <c r="B97" s="1" t="s">
        <v>319</v>
      </c>
      <c r="C97" s="15" t="n">
        <v>71.8252161363714</v>
      </c>
      <c r="D97" s="15" t="n">
        <v>5.48674506713687</v>
      </c>
      <c r="E97" s="15" t="n">
        <v>2204.99999999806</v>
      </c>
      <c r="F97" s="15" t="n">
        <v>1.32389775</v>
      </c>
      <c r="G97" s="15" t="n">
        <v>0</v>
      </c>
      <c r="H97" s="15" t="n">
        <f aca="false">SQRT(F97^2+G97^2)</f>
        <v>1.32389775</v>
      </c>
      <c r="I97" s="15" t="n">
        <f aca="false">D97*F97/H97</f>
        <v>5.48674506713687</v>
      </c>
      <c r="J97" s="15" t="n">
        <f aca="false">SQRT(C97^2+D97^2-I97^2)</f>
        <v>71.8252161363714</v>
      </c>
      <c r="K97" s="15" t="n">
        <f aca="false">E97/H97</f>
        <v>1665.53648119582</v>
      </c>
      <c r="L97" s="15" t="n">
        <f aca="false">J97/2-K97*ASINH(I97/(2*K97*SINH(J97/(2*K97))))</f>
        <v>-91.184865790412</v>
      </c>
      <c r="M97" s="15" t="n">
        <f aca="false">-L97/K97</f>
        <v>0.0547480447410814</v>
      </c>
      <c r="N97" s="15" t="n">
        <f aca="false">(J97-L97)/K97</f>
        <v>0.0978724175466549</v>
      </c>
      <c r="O97" s="15" t="n">
        <f aca="false">K97*(SINH(N97)-SINH(M97))</f>
        <v>72.0400277177603</v>
      </c>
      <c r="P97" s="15" t="n">
        <f aca="false">E97*COSH(M97)</f>
        <v>2208.30540210876</v>
      </c>
      <c r="Q97" s="15" t="n">
        <f aca="false">E97*COSH(N97)</f>
        <v>2215.56929155797</v>
      </c>
    </row>
    <row r="98" customFormat="false" ht="21" hidden="false" customHeight="true" outlineLevel="0" collapsed="false">
      <c r="A98" s="1" t="s">
        <v>339</v>
      </c>
      <c r="B98" s="1" t="s">
        <v>320</v>
      </c>
      <c r="C98" s="15" t="n">
        <v>71.8252161363714</v>
      </c>
      <c r="D98" s="15" t="n">
        <v>5.48674506713687</v>
      </c>
      <c r="E98" s="15" t="n">
        <v>3439.99140112307</v>
      </c>
      <c r="F98" s="15" t="n">
        <v>1.32389775</v>
      </c>
      <c r="G98" s="15" t="n">
        <v>3.443895</v>
      </c>
      <c r="H98" s="15" t="n">
        <f aca="false">SQRT(F98^2+G98^2)</f>
        <v>3.68959591601574</v>
      </c>
      <c r="I98" s="15" t="n">
        <f aca="false">D98*F98/H98</f>
        <v>1.96874931958676</v>
      </c>
      <c r="J98" s="15" t="n">
        <f aca="false">SQRT(C98^2+D98^2-I98^2)</f>
        <v>72.007569536715</v>
      </c>
      <c r="K98" s="15" t="n">
        <f aca="false">E98/H98</f>
        <v>932.349091723244</v>
      </c>
      <c r="L98" s="15" t="n">
        <f aca="false">J98/2-K98*ASINH(I98/(2*K98*SINH(J98/(2*K98))))</f>
        <v>10.5220598719718</v>
      </c>
      <c r="M98" s="15" t="n">
        <f aca="false">-L98/K98</f>
        <v>-0.0112855366786748</v>
      </c>
      <c r="N98" s="15" t="n">
        <f aca="false">(J98-L98)/K98</f>
        <v>0.0659468757041428</v>
      </c>
      <c r="O98" s="15" t="n">
        <f aca="false">K98*(SINH(N98)-SINH(M98))</f>
        <v>72.0523692329491</v>
      </c>
      <c r="P98" s="15" t="n">
        <f aca="false">E98*COSH(M98)</f>
        <v>3440.21046784213</v>
      </c>
      <c r="Q98" s="15" t="n">
        <f aca="false">E98*COSH(N98)</f>
        <v>3447.47435729133</v>
      </c>
    </row>
    <row r="99" customFormat="false" ht="21" hidden="false" customHeight="true" outlineLevel="0" collapsed="false">
      <c r="A99" s="1" t="s">
        <v>339</v>
      </c>
      <c r="B99" s="1" t="s">
        <v>321</v>
      </c>
      <c r="C99" s="15" t="n">
        <v>71.8252161363714</v>
      </c>
      <c r="D99" s="15" t="n">
        <v>5.48674506713687</v>
      </c>
      <c r="E99" s="15" t="n">
        <v>3723.93187882632</v>
      </c>
      <c r="F99" s="15" t="n">
        <v>3.85543216183014</v>
      </c>
      <c r="G99" s="15" t="n">
        <v>0</v>
      </c>
      <c r="H99" s="15" t="n">
        <f aca="false">SQRT(F99^2+G99^2)</f>
        <v>3.85543216183014</v>
      </c>
      <c r="I99" s="15" t="n">
        <f aca="false">D99*F99/H99</f>
        <v>5.48674506713687</v>
      </c>
      <c r="J99" s="15" t="n">
        <f aca="false">SQRT(C99^2+D99^2-I99^2)</f>
        <v>71.8252161363714</v>
      </c>
      <c r="K99" s="15" t="n">
        <f aca="false">E99/H99</f>
        <v>965.892206765897</v>
      </c>
      <c r="L99" s="15" t="n">
        <f aca="false">J99/2-K99*ASINH(I99/(2*K99*SINH(J99/(2*K99))))</f>
        <v>-37.7836019972444</v>
      </c>
      <c r="M99" s="15" t="n">
        <f aca="false">-L99/K99</f>
        <v>0.0391178246729575</v>
      </c>
      <c r="N99" s="15" t="n">
        <f aca="false">(J99-L99)/K99</f>
        <v>0.113479348281129</v>
      </c>
      <c r="O99" s="15" t="n">
        <f aca="false">K99*(SINH(N99)-SINH(M99))</f>
        <v>72.0509798802348</v>
      </c>
      <c r="P99" s="15" t="n">
        <f aca="false">E99*COSH(M99)</f>
        <v>3726.78143027887</v>
      </c>
      <c r="Q99" s="15" t="n">
        <f aca="false">E99*COSH(N99)</f>
        <v>3747.93520367448</v>
      </c>
    </row>
    <row r="100" customFormat="false" ht="21" hidden="false" customHeight="true" outlineLevel="0" collapsed="false">
      <c r="A100" s="1" t="s">
        <v>339</v>
      </c>
      <c r="B100" s="1" t="s">
        <v>322</v>
      </c>
      <c r="C100" s="15" t="n">
        <v>71.8252161363714</v>
      </c>
      <c r="D100" s="15" t="n">
        <v>5.48674506713687</v>
      </c>
      <c r="E100" s="15" t="n">
        <v>3442.64270605465</v>
      </c>
      <c r="F100" s="15" t="n">
        <v>2.33651151473205</v>
      </c>
      <c r="G100" s="15" t="n">
        <v>1.43495625</v>
      </c>
      <c r="H100" s="15" t="n">
        <f aca="false">SQRT(F100^2+G100^2)</f>
        <v>2.74196745018783</v>
      </c>
      <c r="I100" s="15" t="n">
        <f aca="false">D100*F100/H100</f>
        <v>4.67541765562769</v>
      </c>
      <c r="J100" s="15" t="n">
        <f aca="false">SQRT(C100^2+D100^2-I100^2)</f>
        <v>71.8825883939474</v>
      </c>
      <c r="K100" s="15" t="n">
        <f aca="false">E100/H100</f>
        <v>1255.53740830105</v>
      </c>
      <c r="L100" s="15" t="n">
        <f aca="false">J100/2-K100*ASINH(I100/(2*K100*SINH(J100/(2*K100))))</f>
        <v>-45.6533009096221</v>
      </c>
      <c r="M100" s="15" t="n">
        <f aca="false">-L100/K100</f>
        <v>0.0363615616769227</v>
      </c>
      <c r="N100" s="15" t="n">
        <f aca="false">(J100-L100)/K100</f>
        <v>0.0936140082537369</v>
      </c>
      <c r="O100" s="15" t="n">
        <f aca="false">K100*(SINH(N100)-SINH(M100))</f>
        <v>72.0442753603274</v>
      </c>
      <c r="P100" s="15" t="n">
        <f aca="false">E100*COSH(M100)</f>
        <v>3444.91882451396</v>
      </c>
      <c r="Q100" s="15" t="n">
        <f aca="false">E100*COSH(N100)</f>
        <v>3457.73866754172</v>
      </c>
    </row>
    <row r="101" customFormat="false" ht="21" hidden="false" customHeight="true" outlineLevel="0" collapsed="false">
      <c r="A101" s="1" t="s">
        <v>339</v>
      </c>
      <c r="B101" s="1" t="s">
        <v>323</v>
      </c>
      <c r="C101" s="15" t="n">
        <v>71.8252161363714</v>
      </c>
      <c r="D101" s="15" t="n">
        <v>5.48674506713687</v>
      </c>
      <c r="E101" s="15" t="n">
        <v>3471.23288735013</v>
      </c>
      <c r="F101" s="15" t="n">
        <v>1.32389775</v>
      </c>
      <c r="G101" s="15" t="n">
        <v>0</v>
      </c>
      <c r="H101" s="15" t="n">
        <f aca="false">SQRT(F101^2+G101^2)</f>
        <v>1.32389775</v>
      </c>
      <c r="I101" s="15" t="n">
        <f aca="false">D101*F101/H101</f>
        <v>5.48674506713687</v>
      </c>
      <c r="J101" s="15" t="n">
        <f aca="false">SQRT(C101^2+D101^2-I101^2)</f>
        <v>71.8252161363714</v>
      </c>
      <c r="K101" s="15" t="n">
        <f aca="false">E101/H101</f>
        <v>2621.97959574305</v>
      </c>
      <c r="L101" s="15" t="n">
        <f aca="false">J101/2-K101*ASINH(I101/(2*K101*SINH(J101/(2*K101))))</f>
        <v>-164.180491143258</v>
      </c>
      <c r="M101" s="15" t="n">
        <f aca="false">-L101/K101</f>
        <v>0.062616998015475</v>
      </c>
      <c r="N101" s="15" t="n">
        <f aca="false">(J101-L101)/K101</f>
        <v>0.0900105049111749</v>
      </c>
      <c r="O101" s="15" t="n">
        <f aca="false">K101*(SINH(N101)-SINH(M101))</f>
        <v>72.036717409725</v>
      </c>
      <c r="P101" s="15" t="n">
        <f aca="false">E101*COSH(M101)</f>
        <v>3478.04026961411</v>
      </c>
      <c r="Q101" s="15" t="n">
        <f aca="false">E101*COSH(N101)</f>
        <v>3485.30415906332</v>
      </c>
    </row>
    <row r="102" customFormat="false" ht="21" hidden="false" customHeight="true" outlineLevel="0" collapsed="false">
      <c r="A102" s="1" t="s">
        <v>339</v>
      </c>
      <c r="B102" s="1" t="s">
        <v>324</v>
      </c>
      <c r="C102" s="15" t="n">
        <v>71.8252161363714</v>
      </c>
      <c r="D102" s="15" t="n">
        <v>5.48674506713687</v>
      </c>
      <c r="E102" s="15" t="n">
        <v>545.551573476655</v>
      </c>
      <c r="F102" s="15" t="n">
        <v>1.32389775</v>
      </c>
      <c r="G102" s="15" t="n">
        <v>0</v>
      </c>
      <c r="H102" s="15" t="n">
        <f aca="false">SQRT(F102^2+G102^2)</f>
        <v>1.32389775</v>
      </c>
      <c r="I102" s="15" t="n">
        <f aca="false">D102*F102/H102</f>
        <v>5.48674506713687</v>
      </c>
      <c r="J102" s="15" t="n">
        <f aca="false">SQRT(C102^2+D102^2-I102^2)</f>
        <v>71.8252161363714</v>
      </c>
      <c r="K102" s="15" t="n">
        <f aca="false">E102/H102</f>
        <v>412.079840362788</v>
      </c>
      <c r="L102" s="15" t="n">
        <f aca="false">J102/2-K102*ASINH(I102/(2*K102*SINH(J102/(2*K102))))</f>
        <v>4.50396471339488</v>
      </c>
      <c r="M102" s="15" t="n">
        <f aca="false">-L102/K102</f>
        <v>-0.010929835124741</v>
      </c>
      <c r="N102" s="15" t="n">
        <f aca="false">(J102-L102)/K102</f>
        <v>0.163369436766691</v>
      </c>
      <c r="O102" s="15" t="n">
        <f aca="false">K102*(SINH(N102)-SINH(M102))</f>
        <v>72.1251682665231</v>
      </c>
      <c r="P102" s="15" t="n">
        <f aca="false">E102*COSH(M102)</f>
        <v>545.584159950016</v>
      </c>
      <c r="Q102" s="15" t="n">
        <f aca="false">E102*COSH(N102)</f>
        <v>552.848049399222</v>
      </c>
    </row>
    <row r="103" customFormat="false" ht="21" hidden="false" customHeight="true" outlineLevel="0" collapsed="false">
      <c r="A103" s="1" t="s">
        <v>340</v>
      </c>
      <c r="B103" s="1" t="s">
        <v>319</v>
      </c>
      <c r="C103" s="15" t="n">
        <v>48.1663783151692</v>
      </c>
      <c r="D103" s="15" t="n">
        <v>2.335781692192</v>
      </c>
      <c r="E103" s="15" t="n">
        <v>2204.99999999846</v>
      </c>
      <c r="F103" s="15" t="n">
        <v>1.32389775</v>
      </c>
      <c r="G103" s="15" t="n">
        <v>0</v>
      </c>
      <c r="H103" s="15" t="n">
        <f aca="false">SQRT(F103^2+G103^2)</f>
        <v>1.32389775</v>
      </c>
      <c r="I103" s="15" t="n">
        <f aca="false">D103*F103/H103</f>
        <v>2.335781692192</v>
      </c>
      <c r="J103" s="15" t="n">
        <f aca="false">SQRT(C103^2+D103^2-I103^2)</f>
        <v>48.1663783151692</v>
      </c>
      <c r="K103" s="15" t="n">
        <f aca="false">E103/H103</f>
        <v>1665.53648119612</v>
      </c>
      <c r="L103" s="15" t="n">
        <f aca="false">J103/2-K103*ASINH(I103/(2*K103*SINH(J103/(2*K103))))</f>
        <v>-56.6509487882945</v>
      </c>
      <c r="M103" s="15" t="n">
        <f aca="false">-L103/K103</f>
        <v>0.0340136343021499</v>
      </c>
      <c r="N103" s="15" t="n">
        <f aca="false">(J103-L103)/K103</f>
        <v>0.0629330718881571</v>
      </c>
      <c r="O103" s="15" t="n">
        <f aca="false">K103*(SINH(N103)-SINH(M103))</f>
        <v>48.2246573013864</v>
      </c>
      <c r="P103" s="15" t="n">
        <f aca="false">E103*COSH(M103)</f>
        <v>2206.27563534471</v>
      </c>
      <c r="Q103" s="15" t="n">
        <f aca="false">E103*COSH(N103)</f>
        <v>2209.36797147149</v>
      </c>
    </row>
    <row r="104" customFormat="false" ht="21" hidden="false" customHeight="true" outlineLevel="0" collapsed="false">
      <c r="A104" s="1" t="s">
        <v>340</v>
      </c>
      <c r="B104" s="1" t="s">
        <v>320</v>
      </c>
      <c r="C104" s="15" t="n">
        <v>48.1663783151692</v>
      </c>
      <c r="D104" s="15" t="n">
        <v>2.335781692192</v>
      </c>
      <c r="E104" s="15" t="n">
        <v>3200.18162716522</v>
      </c>
      <c r="F104" s="15" t="n">
        <v>1.32389775</v>
      </c>
      <c r="G104" s="15" t="n">
        <v>3.443895</v>
      </c>
      <c r="H104" s="15" t="n">
        <f aca="false">SQRT(F104^2+G104^2)</f>
        <v>3.68959591601574</v>
      </c>
      <c r="I104" s="15" t="n">
        <f aca="false">D104*F104/H104</f>
        <v>0.838123251752586</v>
      </c>
      <c r="J104" s="15" t="n">
        <f aca="false">SQRT(C104^2+D104^2-I104^2)</f>
        <v>48.2156968790087</v>
      </c>
      <c r="K104" s="15" t="n">
        <f aca="false">E104/H104</f>
        <v>867.352875493471</v>
      </c>
      <c r="L104" s="15" t="n">
        <f aca="false">J104/2-K104*ASINH(I104/(2*K104*SINH(J104/(2*K104))))</f>
        <v>9.0335370155689</v>
      </c>
      <c r="M104" s="15" t="n">
        <f aca="false">-L104/K104</f>
        <v>-0.0104150655065614</v>
      </c>
      <c r="N104" s="15" t="n">
        <f aca="false">(J104-L104)/K104</f>
        <v>0.0451744162848916</v>
      </c>
      <c r="O104" s="15" t="n">
        <f aca="false">K104*(SINH(N104)-SINH(M104))</f>
        <v>48.229188244181</v>
      </c>
      <c r="P104" s="15" t="n">
        <f aca="false">E104*COSH(M104)</f>
        <v>3200.35519632827</v>
      </c>
      <c r="Q104" s="15" t="n">
        <f aca="false">E104*COSH(N104)</f>
        <v>3203.44753245506</v>
      </c>
    </row>
    <row r="105" customFormat="false" ht="21" hidden="false" customHeight="true" outlineLevel="0" collapsed="false">
      <c r="A105" s="1" t="s">
        <v>340</v>
      </c>
      <c r="B105" s="1" t="s">
        <v>321</v>
      </c>
      <c r="C105" s="15" t="n">
        <v>48.1663783151692</v>
      </c>
      <c r="D105" s="15" t="n">
        <v>2.335781692192</v>
      </c>
      <c r="E105" s="15" t="n">
        <v>3511.07371530956</v>
      </c>
      <c r="F105" s="15" t="n">
        <v>3.85543216183014</v>
      </c>
      <c r="G105" s="15" t="n">
        <v>0</v>
      </c>
      <c r="H105" s="15" t="n">
        <f aca="false">SQRT(F105^2+G105^2)</f>
        <v>3.85543216183014</v>
      </c>
      <c r="I105" s="15" t="n">
        <f aca="false">D105*F105/H105</f>
        <v>2.335781692192</v>
      </c>
      <c r="J105" s="15" t="n">
        <f aca="false">SQRT(C105^2+D105^2-I105^2)</f>
        <v>48.1663783151692</v>
      </c>
      <c r="K105" s="15" t="n">
        <f aca="false">E105/H105</f>
        <v>910.682270607736</v>
      </c>
      <c r="L105" s="15" t="n">
        <f aca="false">J105/2-K105*ASINH(I105/(2*K105*SINH(J105/(2*K105))))</f>
        <v>-20.0570301458411</v>
      </c>
      <c r="M105" s="15" t="n">
        <f aca="false">-L105/K105</f>
        <v>0.0220241798848859</v>
      </c>
      <c r="N105" s="15" t="n">
        <f aca="false">(J105-L105)/K105</f>
        <v>0.074914611454423</v>
      </c>
      <c r="O105" s="15" t="n">
        <f aca="false">K105*(SINH(N105)-SINH(M105))</f>
        <v>48.2285885837296</v>
      </c>
      <c r="P105" s="15" t="n">
        <f aca="false">E105*COSH(M105)</f>
        <v>3511.92529833884</v>
      </c>
      <c r="Q105" s="15" t="n">
        <f aca="false">E105*COSH(N105)</f>
        <v>3520.93074619793</v>
      </c>
    </row>
    <row r="106" customFormat="false" ht="21" hidden="false" customHeight="true" outlineLevel="0" collapsed="false">
      <c r="A106" s="1" t="s">
        <v>340</v>
      </c>
      <c r="B106" s="1" t="s">
        <v>322</v>
      </c>
      <c r="C106" s="15" t="n">
        <v>48.1663783151692</v>
      </c>
      <c r="D106" s="15" t="n">
        <v>2.335781692192</v>
      </c>
      <c r="E106" s="15" t="n">
        <v>3353.91472087656</v>
      </c>
      <c r="F106" s="15" t="n">
        <v>2.33651151473205</v>
      </c>
      <c r="G106" s="15" t="n">
        <v>1.43495625</v>
      </c>
      <c r="H106" s="15" t="n">
        <f aca="false">SQRT(F106^2+G106^2)</f>
        <v>2.74196745018783</v>
      </c>
      <c r="I106" s="15" t="n">
        <f aca="false">D106*F106/H106</f>
        <v>1.99038862380845</v>
      </c>
      <c r="J106" s="15" t="n">
        <f aca="false">SQRT(C106^2+D106^2-I106^2)</f>
        <v>48.1818869414617</v>
      </c>
      <c r="K106" s="15" t="n">
        <f aca="false">E106/H106</f>
        <v>1223.17816743113</v>
      </c>
      <c r="L106" s="15" t="n">
        <f aca="false">J106/2-K106*ASINH(I106/(2*K106*SINH(J106/(2*K106))))</f>
        <v>-26.4207922166784</v>
      </c>
      <c r="M106" s="15" t="n">
        <f aca="false">-L106/K106</f>
        <v>0.0216001175627311</v>
      </c>
      <c r="N106" s="15" t="n">
        <f aca="false">(J106-L106)/K106</f>
        <v>0.0609908524731254</v>
      </c>
      <c r="O106" s="15" t="n">
        <f aca="false">K106*(SINH(N106)-SINH(M106))</f>
        <v>48.2260932135946</v>
      </c>
      <c r="P106" s="15" t="n">
        <f aca="false">E106*COSH(M106)</f>
        <v>3354.69716104035</v>
      </c>
      <c r="Q106" s="15" t="n">
        <f aca="false">E106*COSH(N106)</f>
        <v>3360.15474186006</v>
      </c>
    </row>
    <row r="107" customFormat="false" ht="21" hidden="false" customHeight="true" outlineLevel="0" collapsed="false">
      <c r="A107" s="1" t="s">
        <v>340</v>
      </c>
      <c r="B107" s="1" t="s">
        <v>323</v>
      </c>
      <c r="C107" s="15" t="n">
        <v>48.1663783151692</v>
      </c>
      <c r="D107" s="15" t="n">
        <v>2.335781692192</v>
      </c>
      <c r="E107" s="15" t="n">
        <v>3548.74836343847</v>
      </c>
      <c r="F107" s="15" t="n">
        <v>1.32389775</v>
      </c>
      <c r="G107" s="15" t="n">
        <v>0</v>
      </c>
      <c r="H107" s="15" t="n">
        <f aca="false">SQRT(F107^2+G107^2)</f>
        <v>1.32389775</v>
      </c>
      <c r="I107" s="15" t="n">
        <f aca="false">D107*F107/H107</f>
        <v>2.335781692192</v>
      </c>
      <c r="J107" s="15" t="n">
        <f aca="false">SQRT(C107^2+D107^2-I107^2)</f>
        <v>48.1663783151692</v>
      </c>
      <c r="K107" s="15" t="n">
        <f aca="false">E107/H107</f>
        <v>2680.53054961266</v>
      </c>
      <c r="L107" s="15" t="n">
        <f aca="false">J107/2-K107*ASINH(I107/(2*K107*SINH(J107/(2*K107))))</f>
        <v>-105.853892265365</v>
      </c>
      <c r="M107" s="15" t="n">
        <f aca="false">-L107/K107</f>
        <v>0.0394899033255415</v>
      </c>
      <c r="N107" s="15" t="n">
        <f aca="false">(J107-L107)/K107</f>
        <v>0.0574588752972018</v>
      </c>
      <c r="O107" s="15" t="n">
        <f aca="false">K107*(SINH(N107)-SINH(M107))</f>
        <v>48.2236280366429</v>
      </c>
      <c r="P107" s="15" t="n">
        <f aca="false">E107*COSH(M107)</f>
        <v>3551.5157752386</v>
      </c>
      <c r="Q107" s="15" t="n">
        <f aca="false">E107*COSH(N107)</f>
        <v>3554.60811136539</v>
      </c>
    </row>
    <row r="108" customFormat="false" ht="21" hidden="false" customHeight="true" outlineLevel="0" collapsed="false">
      <c r="A108" s="1" t="s">
        <v>340</v>
      </c>
      <c r="B108" s="1" t="s">
        <v>324</v>
      </c>
      <c r="C108" s="15" t="n">
        <v>48.1663783151692</v>
      </c>
      <c r="D108" s="15" t="n">
        <v>2.335781692192</v>
      </c>
      <c r="E108" s="15" t="n">
        <v>381.162887812083</v>
      </c>
      <c r="F108" s="15" t="n">
        <v>1.32389775</v>
      </c>
      <c r="G108" s="15" t="n">
        <v>0</v>
      </c>
      <c r="H108" s="15" t="n">
        <f aca="false">SQRT(F108^2+G108^2)</f>
        <v>1.32389775</v>
      </c>
      <c r="I108" s="15" t="n">
        <f aca="false">D108*F108/H108</f>
        <v>2.335781692192</v>
      </c>
      <c r="J108" s="15" t="n">
        <f aca="false">SQRT(C108^2+D108^2-I108^2)</f>
        <v>48.1663783151692</v>
      </c>
      <c r="K108" s="15" t="n">
        <f aca="false">E108/H108</f>
        <v>287.909612212939</v>
      </c>
      <c r="L108" s="15" t="n">
        <f aca="false">J108/2-K108*ASINH(I108/(2*K108*SINH(J108/(2*K108))))</f>
        <v>10.1430086001639</v>
      </c>
      <c r="M108" s="15" t="n">
        <f aca="false">-L108/K108</f>
        <v>-0.0352298366219954</v>
      </c>
      <c r="N108" s="15" t="n">
        <f aca="false">(J108-L108)/K108</f>
        <v>0.13206703806361</v>
      </c>
      <c r="O108" s="15" t="n">
        <f aca="false">K108*(SINH(N108)-SINH(M108))</f>
        <v>48.2791050807795</v>
      </c>
      <c r="P108" s="15" t="n">
        <f aca="false">E108*COSH(M108)</f>
        <v>381.399450795802</v>
      </c>
      <c r="Q108" s="15" t="n">
        <f aca="false">E108*COSH(N108)</f>
        <v>384.491786922586</v>
      </c>
    </row>
    <row r="109" customFormat="false" ht="21" hidden="false" customHeight="true" outlineLevel="0" collapsed="false">
      <c r="A109" s="1" t="s">
        <v>341</v>
      </c>
      <c r="B109" s="1" t="s">
        <v>319</v>
      </c>
      <c r="C109" s="15" t="n">
        <v>48.0464084334921</v>
      </c>
      <c r="D109" s="15" t="n">
        <v>4.08132371244974</v>
      </c>
      <c r="E109" s="15" t="n">
        <v>2205.0000000005</v>
      </c>
      <c r="F109" s="15" t="n">
        <v>1.32389775</v>
      </c>
      <c r="G109" s="15" t="n">
        <v>0</v>
      </c>
      <c r="H109" s="15" t="n">
        <f aca="false">SQRT(F109^2+G109^2)</f>
        <v>1.32389775</v>
      </c>
      <c r="I109" s="15" t="n">
        <f aca="false">D109*F109/H109</f>
        <v>4.08132371244974</v>
      </c>
      <c r="J109" s="15" t="n">
        <f aca="false">SQRT(C109^2+D109^2-I109^2)</f>
        <v>48.0464084334921</v>
      </c>
      <c r="K109" s="15" t="n">
        <f aca="false">E109/H109</f>
        <v>1665.53648119766</v>
      </c>
      <c r="L109" s="15" t="n">
        <f aca="false">J109/2-K109*ASINH(I109/(2*K109*SINH(J109/(2*K109))))</f>
        <v>-117.282054748891</v>
      </c>
      <c r="M109" s="15" t="n">
        <f aca="false">-L109/K109</f>
        <v>0.0704169834001808</v>
      </c>
      <c r="N109" s="15" t="n">
        <f aca="false">(J109-L109)/K109</f>
        <v>0.0992643902122746</v>
      </c>
      <c r="O109" s="15" t="n">
        <f aca="false">K109*(SINH(N109)-SINH(M109))</f>
        <v>48.2211017848561</v>
      </c>
      <c r="P109" s="15" t="n">
        <f aca="false">E109*COSH(M109)</f>
        <v>2210.46906241116</v>
      </c>
      <c r="Q109" s="15" t="n">
        <f aca="false">E109*COSH(N109)</f>
        <v>2215.8723176911</v>
      </c>
    </row>
    <row r="110" customFormat="false" ht="21" hidden="false" customHeight="true" outlineLevel="0" collapsed="false">
      <c r="A110" s="1" t="s">
        <v>341</v>
      </c>
      <c r="B110" s="1" t="s">
        <v>320</v>
      </c>
      <c r="C110" s="15" t="n">
        <v>48.0464084334921</v>
      </c>
      <c r="D110" s="15" t="n">
        <v>4.08132371244974</v>
      </c>
      <c r="E110" s="15" t="n">
        <v>3204.07343145017</v>
      </c>
      <c r="F110" s="15" t="n">
        <v>1.32389775</v>
      </c>
      <c r="G110" s="15" t="n">
        <v>3.443895</v>
      </c>
      <c r="H110" s="15" t="n">
        <f aca="false">SQRT(F110^2+G110^2)</f>
        <v>3.68959591601574</v>
      </c>
      <c r="I110" s="15" t="n">
        <f aca="false">D110*F110/H110</f>
        <v>1.46445719339603</v>
      </c>
      <c r="J110" s="15" t="n">
        <f aca="false">SQRT(C110^2+D110^2-I110^2)</f>
        <v>48.197198380533</v>
      </c>
      <c r="K110" s="15" t="n">
        <f aca="false">E110/H110</f>
        <v>868.407680511021</v>
      </c>
      <c r="L110" s="15" t="n">
        <f aca="false">J110/2-K110*ASINH(I110/(2*K110*SINH(J110/(2*K110))))</f>
        <v>-2.28026054293164</v>
      </c>
      <c r="M110" s="15" t="n">
        <f aca="false">-L110/K110</f>
        <v>0.00262579499710298</v>
      </c>
      <c r="N110" s="15" t="n">
        <f aca="false">(J110-L110)/K110</f>
        <v>0.0581264538030811</v>
      </c>
      <c r="O110" s="15" t="n">
        <f aca="false">K110*(SINH(N110)-SINH(M110))</f>
        <v>48.2256251315968</v>
      </c>
      <c r="P110" s="15" t="n">
        <f aca="false">E110*COSH(M110)</f>
        <v>3204.08447717825</v>
      </c>
      <c r="Q110" s="15" t="n">
        <f aca="false">E110*COSH(N110)</f>
        <v>3209.48773245818</v>
      </c>
    </row>
    <row r="111" customFormat="false" ht="21" hidden="false" customHeight="true" outlineLevel="0" collapsed="false">
      <c r="A111" s="1" t="s">
        <v>341</v>
      </c>
      <c r="B111" s="1" t="s">
        <v>321</v>
      </c>
      <c r="C111" s="15" t="n">
        <v>48.0464084334921</v>
      </c>
      <c r="D111" s="15" t="n">
        <v>4.08132371244974</v>
      </c>
      <c r="E111" s="15" t="n">
        <v>3506.41319001352</v>
      </c>
      <c r="F111" s="15" t="n">
        <v>3.85543216183014</v>
      </c>
      <c r="G111" s="15" t="n">
        <v>0</v>
      </c>
      <c r="H111" s="15" t="n">
        <f aca="false">SQRT(F111^2+G111^2)</f>
        <v>3.85543216183014</v>
      </c>
      <c r="I111" s="15" t="n">
        <f aca="false">D111*F111/H111</f>
        <v>4.08132371244974</v>
      </c>
      <c r="J111" s="15" t="n">
        <f aca="false">SQRT(C111^2+D111^2-I111^2)</f>
        <v>48.0464084334921</v>
      </c>
      <c r="K111" s="15" t="n">
        <f aca="false">E111/H111</f>
        <v>909.473450143409</v>
      </c>
      <c r="L111" s="15" t="n">
        <f aca="false">J111/2-K111*ASINH(I111/(2*K111*SINH(J111/(2*K111))))</f>
        <v>-53.1308661499784</v>
      </c>
      <c r="M111" s="15" t="n">
        <f aca="false">-L111/K111</f>
        <v>0.058419370176887</v>
      </c>
      <c r="N111" s="15" t="n">
        <f aca="false">(J111-L111)/K111</f>
        <v>0.111248189342434</v>
      </c>
      <c r="O111" s="15" t="n">
        <f aca="false">K111*(SINH(N111)-SINH(M111))</f>
        <v>48.2250091028679</v>
      </c>
      <c r="P111" s="15" t="n">
        <f aca="false">E111*COSH(M111)</f>
        <v>3512.39827535409</v>
      </c>
      <c r="Q111" s="15" t="n">
        <f aca="false">E111*COSH(N111)</f>
        <v>3528.13354205791</v>
      </c>
    </row>
    <row r="112" customFormat="false" ht="21" hidden="false" customHeight="true" outlineLevel="0" collapsed="false">
      <c r="A112" s="1" t="s">
        <v>341</v>
      </c>
      <c r="B112" s="1" t="s">
        <v>322</v>
      </c>
      <c r="C112" s="15" t="n">
        <v>48.0464084334921</v>
      </c>
      <c r="D112" s="15" t="n">
        <v>4.08132371244974</v>
      </c>
      <c r="E112" s="15" t="n">
        <v>3353.09290186389</v>
      </c>
      <c r="F112" s="15" t="n">
        <v>2.33651151473205</v>
      </c>
      <c r="G112" s="15" t="n">
        <v>1.43495625</v>
      </c>
      <c r="H112" s="15" t="n">
        <f aca="false">SQRT(F112^2+G112^2)</f>
        <v>2.74196745018783</v>
      </c>
      <c r="I112" s="15" t="n">
        <f aca="false">D112*F112/H112</f>
        <v>3.47781657613571</v>
      </c>
      <c r="J112" s="15" t="n">
        <f aca="false">SQRT(C112^2+D112^2-I112^2)</f>
        <v>48.0938598832169</v>
      </c>
      <c r="K112" s="15" t="n">
        <f aca="false">E112/H112</f>
        <v>1222.87844869719</v>
      </c>
      <c r="L112" s="15" t="n">
        <f aca="false">J112/2-K112*ASINH(I112/(2*K112*SINH(J112/(2*K112))))</f>
        <v>-64.3006409759685</v>
      </c>
      <c r="M112" s="15" t="n">
        <f aca="false">-L112/K112</f>
        <v>0.0525813837380745</v>
      </c>
      <c r="N112" s="15" t="n">
        <f aca="false">(J112-L112)/K112</f>
        <v>0.0919097895452536</v>
      </c>
      <c r="O112" s="15" t="n">
        <f aca="false">K112*(SINH(N112)-SINH(M112))</f>
        <v>48.2225332746593</v>
      </c>
      <c r="P112" s="15" t="n">
        <f aca="false">E112*COSH(M112)</f>
        <v>3357.72928878001</v>
      </c>
      <c r="Q112" s="15" t="n">
        <f aca="false">E112*COSH(N112)</f>
        <v>3367.26534862949</v>
      </c>
    </row>
    <row r="113" customFormat="false" ht="21" hidden="false" customHeight="true" outlineLevel="0" collapsed="false">
      <c r="A113" s="1" t="s">
        <v>341</v>
      </c>
      <c r="B113" s="1" t="s">
        <v>323</v>
      </c>
      <c r="C113" s="15" t="n">
        <v>48.0464084334921</v>
      </c>
      <c r="D113" s="15" t="n">
        <v>4.08132371244974</v>
      </c>
      <c r="E113" s="15" t="n">
        <v>3546.19360801939</v>
      </c>
      <c r="F113" s="15" t="n">
        <v>1.32389775</v>
      </c>
      <c r="G113" s="15" t="n">
        <v>0</v>
      </c>
      <c r="H113" s="15" t="n">
        <f aca="false">SQRT(F113^2+G113^2)</f>
        <v>1.32389775</v>
      </c>
      <c r="I113" s="15" t="n">
        <f aca="false">D113*F113/H113</f>
        <v>4.08132371244974</v>
      </c>
      <c r="J113" s="15" t="n">
        <f aca="false">SQRT(C113^2+D113^2-I113^2)</f>
        <v>48.0464084334921</v>
      </c>
      <c r="K113" s="15" t="n">
        <f aca="false">E113/H113</f>
        <v>2678.60082700449</v>
      </c>
      <c r="L113" s="15" t="n">
        <f aca="false">J113/2-K113*ASINH(I113/(2*K113*SINH(J113/(2*K113))))</f>
        <v>-203.235951315268</v>
      </c>
      <c r="M113" s="15" t="n">
        <f aca="false">-L113/K113</f>
        <v>0.075873922409913</v>
      </c>
      <c r="N113" s="15" t="n">
        <f aca="false">(J113-L113)/K113</f>
        <v>0.0938110513576491</v>
      </c>
      <c r="O113" s="15" t="n">
        <f aca="false">K113*(SINH(N113)-SINH(M113))</f>
        <v>48.2200835852793</v>
      </c>
      <c r="P113" s="15" t="n">
        <f aca="false">E113*COSH(M113)</f>
        <v>3556.40596192339</v>
      </c>
      <c r="Q113" s="15" t="n">
        <f aca="false">E113*COSH(N113)</f>
        <v>3561.80921720332</v>
      </c>
    </row>
    <row r="114" customFormat="false" ht="21" hidden="false" customHeight="true" outlineLevel="0" collapsed="false">
      <c r="A114" s="1" t="s">
        <v>341</v>
      </c>
      <c r="B114" s="1" t="s">
        <v>324</v>
      </c>
      <c r="C114" s="15" t="n">
        <v>48.0464084334921</v>
      </c>
      <c r="D114" s="15" t="n">
        <v>4.08132371244974</v>
      </c>
      <c r="E114" s="15" t="n">
        <v>379.666210851207</v>
      </c>
      <c r="F114" s="15" t="n">
        <v>1.32389775</v>
      </c>
      <c r="G114" s="15" t="n">
        <v>0</v>
      </c>
      <c r="H114" s="15" t="n">
        <f aca="false">SQRT(F114^2+G114^2)</f>
        <v>1.32389775</v>
      </c>
      <c r="I114" s="15" t="n">
        <f aca="false">D114*F114/H114</f>
        <v>4.08132371244974</v>
      </c>
      <c r="J114" s="15" t="n">
        <f aca="false">SQRT(C114^2+D114^2-I114^2)</f>
        <v>48.0464084334921</v>
      </c>
      <c r="K114" s="15" t="n">
        <f aca="false">E114/H114</f>
        <v>286.779104240647</v>
      </c>
      <c r="L114" s="15" t="n">
        <f aca="false">J114/2-K114*ASINH(I114/(2*K114*SINH(J114/(2*K114))))</f>
        <v>-0.279808208748062</v>
      </c>
      <c r="M114" s="15" t="n">
        <f aca="false">-L114/K114</f>
        <v>0.000975692456704463</v>
      </c>
      <c r="N114" s="15" t="n">
        <f aca="false">(J114-L114)/K114</f>
        <v>0.168513730350758</v>
      </c>
      <c r="O114" s="15" t="n">
        <f aca="false">K114*(SINH(N114)-SINH(M114))</f>
        <v>48.2754522947961</v>
      </c>
      <c r="P114" s="15" t="n">
        <f aca="false">E114*COSH(M114)</f>
        <v>379.666391567738</v>
      </c>
      <c r="Q114" s="15" t="n">
        <f aca="false">E114*COSH(N114)</f>
        <v>385.069646847672</v>
      </c>
    </row>
    <row r="115" customFormat="false" ht="21" hidden="false" customHeight="true" outlineLevel="0" collapsed="false">
      <c r="A115" s="1" t="s">
        <v>342</v>
      </c>
      <c r="B115" s="1" t="s">
        <v>319</v>
      </c>
      <c r="C115" s="15" t="n">
        <v>26</v>
      </c>
      <c r="D115" s="15" t="n">
        <v>4.79572382813458</v>
      </c>
      <c r="E115" s="15" t="n">
        <v>2204.99999999836</v>
      </c>
      <c r="F115" s="15" t="n">
        <v>1.32389775</v>
      </c>
      <c r="G115" s="15" t="n">
        <v>0</v>
      </c>
      <c r="H115" s="15" t="n">
        <f aca="false">SQRT(F115^2+G115^2)</f>
        <v>1.32389775</v>
      </c>
      <c r="I115" s="15" t="n">
        <f aca="false">D115*F115/H115</f>
        <v>4.79572382813458</v>
      </c>
      <c r="J115" s="15" t="n">
        <f aca="false">SQRT(C115^2+D115^2-I115^2)</f>
        <v>26</v>
      </c>
      <c r="K115" s="15" t="n">
        <f aca="false">E115/H115</f>
        <v>1665.53648119604</v>
      </c>
      <c r="L115" s="15" t="n">
        <f aca="false">J115/2-K115*ASINH(I115/(2*K115*SINH(J115/(2*K115))))</f>
        <v>-292.490815911955</v>
      </c>
      <c r="M115" s="15" t="n">
        <f aca="false">-L115/K115</f>
        <v>0.175613575093782</v>
      </c>
      <c r="N115" s="15" t="n">
        <f aca="false">(J115-L115)/K115</f>
        <v>0.19122416080808</v>
      </c>
      <c r="O115" s="15" t="n">
        <f aca="false">K115*(SINH(N115)-SINH(M115))</f>
        <v>26.4388482169517</v>
      </c>
      <c r="P115" s="15" t="n">
        <f aca="false">E115*COSH(M115)</f>
        <v>2239.0887142818</v>
      </c>
      <c r="Q115" s="15" t="n">
        <f aca="false">E115*COSH(N115)</f>
        <v>2245.43776226749</v>
      </c>
    </row>
    <row r="116" customFormat="false" ht="21" hidden="false" customHeight="true" outlineLevel="0" collapsed="false">
      <c r="A116" s="1" t="s">
        <v>342</v>
      </c>
      <c r="B116" s="1" t="s">
        <v>320</v>
      </c>
      <c r="C116" s="15" t="n">
        <v>26</v>
      </c>
      <c r="D116" s="15" t="n">
        <v>4.79572382813458</v>
      </c>
      <c r="E116" s="15" t="n">
        <v>3041.19496989579</v>
      </c>
      <c r="F116" s="15" t="n">
        <v>1.32389775</v>
      </c>
      <c r="G116" s="15" t="n">
        <v>3.443895</v>
      </c>
      <c r="H116" s="15" t="n">
        <f aca="false">SQRT(F116^2+G116^2)</f>
        <v>3.68959591601574</v>
      </c>
      <c r="I116" s="15" t="n">
        <f aca="false">D116*F116/H116</f>
        <v>1.72079765107309</v>
      </c>
      <c r="J116" s="15" t="n">
        <f aca="false">SQRT(C116^2+D116^2-I116^2)</f>
        <v>26.382528735506</v>
      </c>
      <c r="K116" s="15" t="n">
        <f aca="false">E116/H116</f>
        <v>824.262341763394</v>
      </c>
      <c r="L116" s="15" t="n">
        <f aca="false">J116/2-K116*ASINH(I116/(2*K116*SINH(J116/(2*K116))))</f>
        <v>-40.530822509736</v>
      </c>
      <c r="M116" s="15" t="n">
        <f aca="false">-L116/K116</f>
        <v>0.0491722361390744</v>
      </c>
      <c r="N116" s="15" t="n">
        <f aca="false">(J116-L116)/K116</f>
        <v>0.0811796777007794</v>
      </c>
      <c r="O116" s="15" t="n">
        <f aca="false">K116*(SINH(N116)-SINH(M116))</f>
        <v>26.4397124023755</v>
      </c>
      <c r="P116" s="15" t="n">
        <f aca="false">E116*COSH(M116)</f>
        <v>3044.8723768264</v>
      </c>
      <c r="Q116" s="15" t="n">
        <f aca="false">E116*COSH(N116)</f>
        <v>3051.22142481209</v>
      </c>
    </row>
    <row r="117" customFormat="false" ht="21" hidden="false" customHeight="true" outlineLevel="0" collapsed="false">
      <c r="A117" s="1" t="s">
        <v>342</v>
      </c>
      <c r="B117" s="1" t="s">
        <v>321</v>
      </c>
      <c r="C117" s="15" t="n">
        <v>26</v>
      </c>
      <c r="D117" s="15" t="n">
        <v>4.79572382813458</v>
      </c>
      <c r="E117" s="15" t="n">
        <v>3326.10904696845</v>
      </c>
      <c r="F117" s="15" t="n">
        <v>3.85543216183014</v>
      </c>
      <c r="G117" s="15" t="n">
        <v>0</v>
      </c>
      <c r="H117" s="15" t="n">
        <f aca="false">SQRT(F117^2+G117^2)</f>
        <v>3.85543216183014</v>
      </c>
      <c r="I117" s="15" t="n">
        <f aca="false">D117*F117/H117</f>
        <v>4.79572382813458</v>
      </c>
      <c r="J117" s="15" t="n">
        <f aca="false">SQRT(C117^2+D117^2-I117^2)</f>
        <v>26</v>
      </c>
      <c r="K117" s="15" t="n">
        <f aca="false">E117/H117</f>
        <v>862.707190103839</v>
      </c>
      <c r="L117" s="15" t="n">
        <f aca="false">J117/2-K117*ASINH(I117/(2*K117*SINH(J117/(2*K117))))</f>
        <v>-145.232442994045</v>
      </c>
      <c r="M117" s="15" t="n">
        <f aca="false">-L117/K117</f>
        <v>0.168345001247253</v>
      </c>
      <c r="N117" s="15" t="n">
        <f aca="false">(J117-L117)/K117</f>
        <v>0.198482689095746</v>
      </c>
      <c r="O117" s="15" t="n">
        <f aca="false">K117*(SINH(N117)-SINH(M117))</f>
        <v>26.439556256446</v>
      </c>
      <c r="P117" s="15" t="n">
        <f aca="false">E117*COSH(M117)</f>
        <v>3373.35149090466</v>
      </c>
      <c r="Q117" s="15" t="n">
        <f aca="false">E117*COSH(N117)</f>
        <v>3391.84107879091</v>
      </c>
    </row>
    <row r="118" customFormat="false" ht="21" hidden="false" customHeight="true" outlineLevel="0" collapsed="false">
      <c r="A118" s="1" t="s">
        <v>342</v>
      </c>
      <c r="B118" s="1" t="s">
        <v>322</v>
      </c>
      <c r="C118" s="15" t="n">
        <v>26</v>
      </c>
      <c r="D118" s="15" t="n">
        <v>4.79572382813458</v>
      </c>
      <c r="E118" s="15" t="n">
        <v>3289.18912878987</v>
      </c>
      <c r="F118" s="15" t="n">
        <v>2.33651151473205</v>
      </c>
      <c r="G118" s="15" t="n">
        <v>1.43495625</v>
      </c>
      <c r="H118" s="15" t="n">
        <f aca="false">SQRT(F118^2+G118^2)</f>
        <v>2.74196745018783</v>
      </c>
      <c r="I118" s="15" t="n">
        <f aca="false">D118*F118/H118</f>
        <v>4.08657803182301</v>
      </c>
      <c r="J118" s="15" t="n">
        <f aca="false">SQRT(C118^2+D118^2-I118^2)</f>
        <v>26.1208508097565</v>
      </c>
      <c r="K118" s="15" t="n">
        <f aca="false">E118/H118</f>
        <v>1199.57263845877</v>
      </c>
      <c r="L118" s="15" t="n">
        <f aca="false">J118/2-K118*ASINH(I118/(2*K118*SINH(J118/(2*K118))))</f>
        <v>-173.850443145154</v>
      </c>
      <c r="M118" s="15" t="n">
        <f aca="false">-L118/K118</f>
        <v>0.144926982803243</v>
      </c>
      <c r="N118" s="15" t="n">
        <f aca="false">(J118-L118)/K118</f>
        <v>0.166702113355834</v>
      </c>
      <c r="O118" s="15" t="n">
        <f aca="false">K118*(SINH(N118)-SINH(M118))</f>
        <v>26.439098455769</v>
      </c>
      <c r="P118" s="15" t="n">
        <f aca="false">E118*COSH(M118)</f>
        <v>3323.79241725209</v>
      </c>
      <c r="Q118" s="15" t="n">
        <f aca="false">E118*COSH(N118)</f>
        <v>3334.997681198</v>
      </c>
    </row>
    <row r="119" customFormat="false" ht="21" hidden="false" customHeight="true" outlineLevel="0" collapsed="false">
      <c r="A119" s="1" t="s">
        <v>342</v>
      </c>
      <c r="B119" s="1" t="s">
        <v>323</v>
      </c>
      <c r="C119" s="15" t="n">
        <v>26</v>
      </c>
      <c r="D119" s="15" t="n">
        <v>4.79572382813458</v>
      </c>
      <c r="E119" s="15" t="n">
        <v>3573.98128032729</v>
      </c>
      <c r="F119" s="15" t="n">
        <v>1.32389775</v>
      </c>
      <c r="G119" s="15" t="n">
        <v>0</v>
      </c>
      <c r="H119" s="15" t="n">
        <f aca="false">SQRT(F119^2+G119^2)</f>
        <v>1.32389775</v>
      </c>
      <c r="I119" s="15" t="n">
        <f aca="false">D119*F119/H119</f>
        <v>4.79572382813458</v>
      </c>
      <c r="J119" s="15" t="n">
        <f aca="false">SQRT(C119^2+D119^2-I119^2)</f>
        <v>26</v>
      </c>
      <c r="K119" s="15" t="n">
        <f aca="false">E119/H119</f>
        <v>2699.59011587359</v>
      </c>
      <c r="L119" s="15" t="n">
        <f aca="false">J119/2-K119*ASINH(I119/(2*K119*SINH(J119/(2*K119))))</f>
        <v>-482.158842490466</v>
      </c>
      <c r="M119" s="15" t="n">
        <f aca="false">-L119/K119</f>
        <v>0.178604462823957</v>
      </c>
      <c r="N119" s="15" t="n">
        <f aca="false">(J119-L119)/K119</f>
        <v>0.188235554539369</v>
      </c>
      <c r="O119" s="15" t="n">
        <f aca="false">K119*(SINH(N119)-SINH(M119))</f>
        <v>26.4386874185378</v>
      </c>
      <c r="P119" s="15" t="n">
        <f aca="false">E119*COSH(M119)</f>
        <v>3631.13718028221</v>
      </c>
      <c r="Q119" s="15" t="n">
        <f aca="false">E119*COSH(N119)</f>
        <v>3637.4862282679</v>
      </c>
    </row>
    <row r="120" customFormat="false" ht="21" hidden="false" customHeight="true" outlineLevel="0" collapsed="false">
      <c r="A120" s="1" t="s">
        <v>342</v>
      </c>
      <c r="B120" s="1" t="s">
        <v>324</v>
      </c>
      <c r="C120" s="15" t="n">
        <v>26</v>
      </c>
      <c r="D120" s="15" t="n">
        <v>4.79572382813458</v>
      </c>
      <c r="E120" s="15" t="n">
        <v>210.97380787798</v>
      </c>
      <c r="F120" s="15" t="n">
        <v>1.32389775</v>
      </c>
      <c r="G120" s="15" t="n">
        <v>0</v>
      </c>
      <c r="H120" s="15" t="n">
        <f aca="false">SQRT(F120^2+G120^2)</f>
        <v>1.32389775</v>
      </c>
      <c r="I120" s="15" t="n">
        <f aca="false">D120*F120/H120</f>
        <v>4.79572382813458</v>
      </c>
      <c r="J120" s="15" t="n">
        <f aca="false">SQRT(C120^2+D120^2-I120^2)</f>
        <v>26</v>
      </c>
      <c r="K120" s="15" t="n">
        <f aca="false">E120/H120</f>
        <v>159.358083264346</v>
      </c>
      <c r="L120" s="15" t="n">
        <f aca="false">J120/2-K120*ASINH(I120/(2*K120*SINH(J120/(2*K120))))</f>
        <v>-16.1975360119398</v>
      </c>
      <c r="M120" s="15" t="n">
        <f aca="false">-L120/K120</f>
        <v>0.101642387258581</v>
      </c>
      <c r="N120" s="15" t="n">
        <f aca="false">(J120-L120)/K120</f>
        <v>0.264796960076019</v>
      </c>
      <c r="O120" s="15" t="n">
        <f aca="false">K120*(SINH(N120)-SINH(M120))</f>
        <v>26.4669578646017</v>
      </c>
      <c r="P120" s="15" t="n">
        <f aca="false">E120*COSH(M120)</f>
        <v>212.064550100104</v>
      </c>
      <c r="Q120" s="15" t="n">
        <f aca="false">E120*COSH(N120)</f>
        <v>218.413598085793</v>
      </c>
    </row>
    <row r="121" customFormat="false" ht="21" hidden="false" customHeight="true" outlineLevel="0" collapsed="false">
      <c r="A121" s="1" t="s">
        <v>343</v>
      </c>
      <c r="B121" s="1" t="s">
        <v>319</v>
      </c>
      <c r="C121" s="15" t="n">
        <v>26.3058928759318</v>
      </c>
      <c r="D121" s="15" t="n">
        <v>2.90293645517195</v>
      </c>
      <c r="E121" s="15" t="n">
        <v>2204.99999999951</v>
      </c>
      <c r="F121" s="15" t="n">
        <v>1.32389775</v>
      </c>
      <c r="G121" s="15" t="n">
        <v>0</v>
      </c>
      <c r="H121" s="15" t="n">
        <f aca="false">SQRT(F121^2+G121^2)</f>
        <v>1.32389775</v>
      </c>
      <c r="I121" s="15" t="n">
        <f aca="false">D121*F121/H121</f>
        <v>2.90293645517195</v>
      </c>
      <c r="J121" s="15" t="n">
        <f aca="false">SQRT(C121^2+D121^2-I121^2)</f>
        <v>26.3058928759318</v>
      </c>
      <c r="K121" s="15" t="n">
        <f aca="false">E121/H121</f>
        <v>1665.53648119691</v>
      </c>
      <c r="L121" s="15" t="n">
        <f aca="false">J121/2-K121*ASINH(I121/(2*K121*SINH(J121/(2*K121))))</f>
        <v>-170.271233773429</v>
      </c>
      <c r="M121" s="15" t="n">
        <f aca="false">-L121/K121</f>
        <v>0.102232064980688</v>
      </c>
      <c r="N121" s="15" t="n">
        <f aca="false">(J121-L121)/K121</f>
        <v>0.118026310962635</v>
      </c>
      <c r="O121" s="15" t="n">
        <f aca="false">K121*(SINH(N121)-SINH(M121))</f>
        <v>26.465853955722</v>
      </c>
      <c r="P121" s="15" t="n">
        <f aca="false">E121*COSH(M121)</f>
        <v>2216.53270226414</v>
      </c>
      <c r="Q121" s="15" t="n">
        <f aca="false">E121*COSH(N121)</f>
        <v>2220.37589330553</v>
      </c>
    </row>
    <row r="122" customFormat="false" ht="21" hidden="false" customHeight="true" outlineLevel="0" collapsed="false">
      <c r="A122" s="1" t="s">
        <v>343</v>
      </c>
      <c r="B122" s="1" t="s">
        <v>320</v>
      </c>
      <c r="C122" s="15" t="n">
        <v>26.3058928759318</v>
      </c>
      <c r="D122" s="15" t="n">
        <v>2.90293645517195</v>
      </c>
      <c r="E122" s="15" t="n">
        <v>3022.71290316009</v>
      </c>
      <c r="F122" s="15" t="n">
        <v>1.32389775</v>
      </c>
      <c r="G122" s="15" t="n">
        <v>3.443895</v>
      </c>
      <c r="H122" s="15" t="n">
        <f aca="false">SQRT(F122^2+G122^2)</f>
        <v>3.68959591601574</v>
      </c>
      <c r="I122" s="15" t="n">
        <f aca="false">D122*F122/H122</f>
        <v>1.04162925395506</v>
      </c>
      <c r="J122" s="15" t="n">
        <f aca="false">SQRT(C122^2+D122^2-I122^2)</f>
        <v>26.445076074008</v>
      </c>
      <c r="K122" s="15" t="n">
        <f aca="false">E122/H122</f>
        <v>819.25310304013</v>
      </c>
      <c r="L122" s="15" t="n">
        <f aca="false">J122/2-K122*ASINH(I122/(2*K122*SINH(J122/(2*K122))))</f>
        <v>-19.0367935163538</v>
      </c>
      <c r="M122" s="15" t="n">
        <f aca="false">-L122/K122</f>
        <v>0.0232367670573489</v>
      </c>
      <c r="N122" s="15" t="n">
        <f aca="false">(J122-L122)/K122</f>
        <v>0.0555162616065599</v>
      </c>
      <c r="O122" s="15" t="n">
        <f aca="false">K122*(SINH(N122)-SINH(M122))</f>
        <v>26.466729423526</v>
      </c>
      <c r="P122" s="15" t="n">
        <f aca="false">E122*COSH(M122)</f>
        <v>3023.52899278033</v>
      </c>
      <c r="Q122" s="15" t="n">
        <f aca="false">E122*COSH(N122)</f>
        <v>3027.37218382172</v>
      </c>
    </row>
    <row r="123" customFormat="false" ht="21" hidden="false" customHeight="true" outlineLevel="0" collapsed="false">
      <c r="A123" s="1" t="s">
        <v>343</v>
      </c>
      <c r="B123" s="1" t="s">
        <v>321</v>
      </c>
      <c r="C123" s="15" t="n">
        <v>26.3058928759318</v>
      </c>
      <c r="D123" s="15" t="n">
        <v>2.90293645517195</v>
      </c>
      <c r="E123" s="15" t="n">
        <v>3340.85885089482</v>
      </c>
      <c r="F123" s="15" t="n">
        <v>3.85543216183014</v>
      </c>
      <c r="G123" s="15" t="n">
        <v>0</v>
      </c>
      <c r="H123" s="15" t="n">
        <f aca="false">SQRT(F123^2+G123^2)</f>
        <v>3.85543216183014</v>
      </c>
      <c r="I123" s="15" t="n">
        <f aca="false">D123*F123/H123</f>
        <v>2.90293645517195</v>
      </c>
      <c r="J123" s="15" t="n">
        <f aca="false">SQRT(C123^2+D123^2-I123^2)</f>
        <v>26.3058928759318</v>
      </c>
      <c r="K123" s="15" t="n">
        <f aca="false">E123/H123</f>
        <v>866.532910102859</v>
      </c>
      <c r="L123" s="15" t="n">
        <f aca="false">J123/2-K123*ASINH(I123/(2*K123*SINH(J123/(2*K123))))</f>
        <v>-82.2749575528467</v>
      </c>
      <c r="M123" s="15" t="n">
        <f aca="false">-L123/K123</f>
        <v>0.0949472969734993</v>
      </c>
      <c r="N123" s="15" t="n">
        <f aca="false">(J123-L123)/K123</f>
        <v>0.125304935522749</v>
      </c>
      <c r="O123" s="15" t="n">
        <f aca="false">K123*(SINH(N123)-SINH(M123))</f>
        <v>26.4665862267999</v>
      </c>
      <c r="P123" s="15" t="n">
        <f aca="false">E123*COSH(M123)</f>
        <v>3355.92907051649</v>
      </c>
      <c r="Q123" s="15" t="n">
        <f aca="false">E123*COSH(N123)</f>
        <v>3367.12114508951</v>
      </c>
    </row>
    <row r="124" customFormat="false" ht="21" hidden="false" customHeight="true" outlineLevel="0" collapsed="false">
      <c r="A124" s="1" t="s">
        <v>343</v>
      </c>
      <c r="B124" s="1" t="s">
        <v>322</v>
      </c>
      <c r="C124" s="15" t="n">
        <v>26.3058928759318</v>
      </c>
      <c r="D124" s="15" t="n">
        <v>2.90293645517195</v>
      </c>
      <c r="E124" s="15" t="n">
        <v>3291.43894958467</v>
      </c>
      <c r="F124" s="15" t="n">
        <v>2.33651151473205</v>
      </c>
      <c r="G124" s="15" t="n">
        <v>1.43495625</v>
      </c>
      <c r="H124" s="15" t="n">
        <f aca="false">SQRT(F124^2+G124^2)</f>
        <v>2.74196745018783</v>
      </c>
      <c r="I124" s="15" t="n">
        <f aca="false">D124*F124/H124</f>
        <v>2.47367796199772</v>
      </c>
      <c r="J124" s="15" t="n">
        <f aca="false">SQRT(C124^2+D124^2-I124^2)</f>
        <v>26.3497240479496</v>
      </c>
      <c r="K124" s="15" t="n">
        <f aca="false">E124/H124</f>
        <v>1200.39315177108</v>
      </c>
      <c r="L124" s="15" t="n">
        <f aca="false">J124/2-K124*ASINH(I124/(2*K124*SINH(J124/(2*K124))))</f>
        <v>-99.3493638854645</v>
      </c>
      <c r="M124" s="15" t="n">
        <f aca="false">-L124/K124</f>
        <v>0.0827640208867263</v>
      </c>
      <c r="N124" s="15" t="n">
        <f aca="false">(J124-L124)/K124</f>
        <v>0.104714932560183</v>
      </c>
      <c r="O124" s="15" t="n">
        <f aca="false">K124*(SINH(N124)-SINH(M124))</f>
        <v>26.4661088835399</v>
      </c>
      <c r="P124" s="15" t="n">
        <f aca="false">E124*COSH(M124)</f>
        <v>3302.71837204609</v>
      </c>
      <c r="Q124" s="15" t="n">
        <f aca="false">E124*COSH(N124)</f>
        <v>3309.50111650013</v>
      </c>
    </row>
    <row r="125" customFormat="false" ht="21" hidden="false" customHeight="true" outlineLevel="0" collapsed="false">
      <c r="A125" s="1" t="s">
        <v>343</v>
      </c>
      <c r="B125" s="1" t="s">
        <v>323</v>
      </c>
      <c r="C125" s="15" t="n">
        <v>26.3058928759318</v>
      </c>
      <c r="D125" s="15" t="n">
        <v>2.90293645517195</v>
      </c>
      <c r="E125" s="15" t="n">
        <v>3587.74630575309</v>
      </c>
      <c r="F125" s="15" t="n">
        <v>1.32389775</v>
      </c>
      <c r="G125" s="15" t="n">
        <v>0</v>
      </c>
      <c r="H125" s="15" t="n">
        <f aca="false">SQRT(F125^2+G125^2)</f>
        <v>1.32389775</v>
      </c>
      <c r="I125" s="15" t="n">
        <f aca="false">D125*F125/H125</f>
        <v>2.90293645517195</v>
      </c>
      <c r="J125" s="15" t="n">
        <f aca="false">SQRT(C125^2+D125^2-I125^2)</f>
        <v>26.3058928759318</v>
      </c>
      <c r="K125" s="15" t="n">
        <f aca="false">E125/H125</f>
        <v>2709.98746372451</v>
      </c>
      <c r="L125" s="15" t="n">
        <f aca="false">J125/2-K125*ASINH(I125/(2*K125*SINH(J125/(2*K125))))</f>
        <v>-285.297694956382</v>
      </c>
      <c r="M125" s="15" t="n">
        <f aca="false">-L125/K125</f>
        <v>0.105276389199336</v>
      </c>
      <c r="N125" s="15" t="n">
        <f aca="false">(J125-L125)/K125</f>
        <v>0.114983405644267</v>
      </c>
      <c r="O125" s="15" t="n">
        <f aca="false">K125*(SINH(N125)-SINH(M125))</f>
        <v>26.4656848350627</v>
      </c>
      <c r="P125" s="15" t="n">
        <f aca="false">E125*COSH(M125)</f>
        <v>3607.6463831989</v>
      </c>
      <c r="Q125" s="15" t="n">
        <f aca="false">E125*COSH(N125)</f>
        <v>3611.4895742403</v>
      </c>
    </row>
    <row r="126" customFormat="false" ht="21" hidden="false" customHeight="true" outlineLevel="0" collapsed="false">
      <c r="A126" s="1" t="s">
        <v>343</v>
      </c>
      <c r="B126" s="1" t="s">
        <v>324</v>
      </c>
      <c r="C126" s="15" t="n">
        <v>26.3058928759318</v>
      </c>
      <c r="D126" s="15" t="n">
        <v>2.90293645517195</v>
      </c>
      <c r="E126" s="15" t="n">
        <v>214.870381610541</v>
      </c>
      <c r="F126" s="15" t="n">
        <v>1.32389775</v>
      </c>
      <c r="G126" s="15" t="n">
        <v>0</v>
      </c>
      <c r="H126" s="15" t="n">
        <f aca="false">SQRT(F126^2+G126^2)</f>
        <v>1.32389775</v>
      </c>
      <c r="I126" s="15" t="n">
        <f aca="false">D126*F126/H126</f>
        <v>2.90293645517195</v>
      </c>
      <c r="J126" s="15" t="n">
        <f aca="false">SQRT(C126^2+D126^2-I126^2)</f>
        <v>26.3058928759318</v>
      </c>
      <c r="K126" s="15" t="n">
        <f aca="false">E126/H126</f>
        <v>162.301342086684</v>
      </c>
      <c r="L126" s="15" t="n">
        <f aca="false">J126/2-K126*ASINH(I126/(2*K126*SINH(J126/(2*K126))))</f>
        <v>-4.70188212861364</v>
      </c>
      <c r="M126" s="15" t="n">
        <f aca="false">-L126/K126</f>
        <v>0.0289700754667968</v>
      </c>
      <c r="N126" s="15" t="n">
        <f aca="false">(J126-L126)/K126</f>
        <v>0.19105063831194</v>
      </c>
      <c r="O126" s="15" t="n">
        <f aca="false">K126*(SINH(N126)-SINH(M126))</f>
        <v>26.4942121388252</v>
      </c>
      <c r="P126" s="15" t="n">
        <f aca="false">E126*COSH(M126)</f>
        <v>214.960554541553</v>
      </c>
      <c r="Q126" s="15" t="n">
        <f aca="false">E126*COSH(N126)</f>
        <v>218.803745582948</v>
      </c>
    </row>
    <row r="127" customFormat="false" ht="21" hidden="false" customHeight="true" outlineLevel="0" collapsed="false">
      <c r="A127" s="1" t="s">
        <v>344</v>
      </c>
      <c r="B127" s="1" t="s">
        <v>319</v>
      </c>
      <c r="C127" s="15" t="n">
        <v>61.3478243756995</v>
      </c>
      <c r="D127" s="15" t="n">
        <v>10.972472814823</v>
      </c>
      <c r="E127" s="15" t="n">
        <v>2204.99999999958</v>
      </c>
      <c r="F127" s="15" t="n">
        <v>1.32389775</v>
      </c>
      <c r="G127" s="15" t="n">
        <v>0</v>
      </c>
      <c r="H127" s="15" t="n">
        <f aca="false">SQRT(F127^2+G127^2)</f>
        <v>1.32389775</v>
      </c>
      <c r="I127" s="15" t="n">
        <f aca="false">D127*F127/H127</f>
        <v>10.972472814823</v>
      </c>
      <c r="J127" s="15" t="n">
        <f aca="false">SQRT(C127^2+D127^2-I127^2)</f>
        <v>61.3478243756995</v>
      </c>
      <c r="K127" s="15" t="n">
        <f aca="false">E127/H127</f>
        <v>1665.53648119696</v>
      </c>
      <c r="L127" s="15" t="n">
        <f aca="false">J127/2-K127*ASINH(I127/(2*K127*SINH(J127/(2*K127))))</f>
        <v>-265.636149666246</v>
      </c>
      <c r="M127" s="15" t="n">
        <f aca="false">-L127/K127</f>
        <v>0.159489841660714</v>
      </c>
      <c r="N127" s="15" t="n">
        <f aca="false">(J127-L127)/K127</f>
        <v>0.196323513614636</v>
      </c>
      <c r="O127" s="15" t="n">
        <f aca="false">K127*(SINH(N127)-SINH(M127))</f>
        <v>62.3247642751016</v>
      </c>
      <c r="P127" s="15" t="n">
        <f aca="false">E127*COSH(M127)</f>
        <v>2233.10380043765</v>
      </c>
      <c r="Q127" s="15" t="n">
        <f aca="false">E127*COSH(N127)</f>
        <v>2247.63023250913</v>
      </c>
    </row>
    <row r="128" customFormat="false" ht="21" hidden="false" customHeight="true" outlineLevel="0" collapsed="false">
      <c r="A128" s="1" t="s">
        <v>344</v>
      </c>
      <c r="B128" s="1" t="s">
        <v>320</v>
      </c>
      <c r="C128" s="15" t="n">
        <v>61.3478243756995</v>
      </c>
      <c r="D128" s="15" t="n">
        <v>10.972472814823</v>
      </c>
      <c r="E128" s="15" t="n">
        <v>3362.67938125387</v>
      </c>
      <c r="F128" s="15" t="n">
        <v>1.32389775</v>
      </c>
      <c r="G128" s="15" t="n">
        <v>3.443895</v>
      </c>
      <c r="H128" s="15" t="n">
        <f aca="false">SQRT(F128^2+G128^2)</f>
        <v>3.68959591601574</v>
      </c>
      <c r="I128" s="15" t="n">
        <f aca="false">D128*F128/H128</f>
        <v>3.93713360545098</v>
      </c>
      <c r="J128" s="15" t="n">
        <f aca="false">SQRT(C128^2+D128^2-I128^2)</f>
        <v>62.1968624150489</v>
      </c>
      <c r="K128" s="15" t="n">
        <f aca="false">E128/H128</f>
        <v>911.395030186695</v>
      </c>
      <c r="L128" s="15" t="n">
        <f aca="false">J128/2-K128*ASINH(I128/(2*K128*SINH(J128/(2*K128))))</f>
        <v>-26.5443011667323</v>
      </c>
      <c r="M128" s="15" t="n">
        <f aca="false">-L128/K128</f>
        <v>0.0291249132237366</v>
      </c>
      <c r="N128" s="15" t="n">
        <f aca="false">(J128-L128)/K128</f>
        <v>0.0973684962530496</v>
      </c>
      <c r="O128" s="15" t="n">
        <f aca="false">K128*(SINH(N128)-SINH(M128))</f>
        <v>62.3333962607937</v>
      </c>
      <c r="P128" s="15" t="n">
        <f aca="false">E128*COSH(M128)</f>
        <v>3364.10569623832</v>
      </c>
      <c r="Q128" s="15" t="n">
        <f aca="false">E128*COSH(N128)</f>
        <v>3378.6321283098</v>
      </c>
    </row>
    <row r="129" customFormat="false" ht="21" hidden="false" customHeight="true" outlineLevel="0" collapsed="false">
      <c r="A129" s="1" t="s">
        <v>344</v>
      </c>
      <c r="B129" s="1" t="s">
        <v>321</v>
      </c>
      <c r="C129" s="15" t="n">
        <v>61.3478243756995</v>
      </c>
      <c r="D129" s="15" t="n">
        <v>10.972472814823</v>
      </c>
      <c r="E129" s="15" t="n">
        <v>3605.08892217105</v>
      </c>
      <c r="F129" s="15" t="n">
        <v>3.85543216183014</v>
      </c>
      <c r="G129" s="15" t="n">
        <v>0</v>
      </c>
      <c r="H129" s="15" t="n">
        <f aca="false">SQRT(F129^2+G129^2)</f>
        <v>3.85543216183014</v>
      </c>
      <c r="I129" s="15" t="n">
        <f aca="false">D129*F129/H129</f>
        <v>10.972472814823</v>
      </c>
      <c r="J129" s="15" t="n">
        <f aca="false">SQRT(C129^2+D129^2-I129^2)</f>
        <v>61.3478243756995</v>
      </c>
      <c r="K129" s="15" t="n">
        <f aca="false">E129/H129</f>
        <v>935.067398633658</v>
      </c>
      <c r="L129" s="15" t="n">
        <f aca="false">J129/2-K129*ASINH(I129/(2*K129*SINH(J129/(2*K129))))</f>
        <v>-135.660605407942</v>
      </c>
      <c r="M129" s="15" t="n">
        <f aca="false">-L129/K129</f>
        <v>0.145081098545594</v>
      </c>
      <c r="N129" s="15" t="n">
        <f aca="false">(J129-L129)/K129</f>
        <v>0.210689015649048</v>
      </c>
      <c r="O129" s="15" t="n">
        <f aca="false">K129*(SINH(N129)-SINH(M129))</f>
        <v>62.3321818646831</v>
      </c>
      <c r="P129" s="15" t="n">
        <f aca="false">E129*COSH(M129)</f>
        <v>3643.09642131704</v>
      </c>
      <c r="Q129" s="15" t="n">
        <f aca="false">E129*COSH(N129)</f>
        <v>3685.40004590211</v>
      </c>
    </row>
    <row r="130" customFormat="false" ht="21" hidden="false" customHeight="true" outlineLevel="0" collapsed="false">
      <c r="A130" s="1" t="s">
        <v>344</v>
      </c>
      <c r="B130" s="1" t="s">
        <v>322</v>
      </c>
      <c r="C130" s="15" t="n">
        <v>61.3478243756995</v>
      </c>
      <c r="D130" s="15" t="n">
        <v>10.972472814823</v>
      </c>
      <c r="E130" s="15" t="n">
        <v>3399.36133037784</v>
      </c>
      <c r="F130" s="15" t="n">
        <v>2.33651151473205</v>
      </c>
      <c r="G130" s="15" t="n">
        <v>1.43495625</v>
      </c>
      <c r="H130" s="15" t="n">
        <f aca="false">SQRT(F130^2+G130^2)</f>
        <v>2.74196745018783</v>
      </c>
      <c r="I130" s="15" t="n">
        <f aca="false">D130*F130/H130</f>
        <v>9.34996842328019</v>
      </c>
      <c r="J130" s="15" t="n">
        <f aca="false">SQRT(C130^2+D130^2-I130^2)</f>
        <v>61.6159784941159</v>
      </c>
      <c r="K130" s="15" t="n">
        <f aca="false">E130/H130</f>
        <v>1239.75262001924</v>
      </c>
      <c r="L130" s="15" t="n">
        <f aca="false">J130/2-K130*ASINH(I130/(2*K130*SINH(J130/(2*K130))))</f>
        <v>-156.585557279189</v>
      </c>
      <c r="M130" s="15" t="n">
        <f aca="false">-L130/K130</f>
        <v>0.126303872845825</v>
      </c>
      <c r="N130" s="15" t="n">
        <f aca="false">(J130-L130)/K130</f>
        <v>0.17600409327622</v>
      </c>
      <c r="O130" s="15" t="n">
        <f aca="false">K130*(SINH(N130)-SINH(M130))</f>
        <v>62.327620420141</v>
      </c>
      <c r="P130" s="15" t="n">
        <f aca="false">E130*COSH(M130)</f>
        <v>3426.51183705283</v>
      </c>
      <c r="Q130" s="15" t="n">
        <f aca="false">E130*COSH(N130)</f>
        <v>3452.14914612974</v>
      </c>
    </row>
    <row r="131" customFormat="false" ht="21" hidden="false" customHeight="true" outlineLevel="0" collapsed="false">
      <c r="A131" s="1" t="s">
        <v>344</v>
      </c>
      <c r="B131" s="1" t="s">
        <v>323</v>
      </c>
      <c r="C131" s="15" t="n">
        <v>61.3478243756995</v>
      </c>
      <c r="D131" s="15" t="n">
        <v>10.972472814823</v>
      </c>
      <c r="E131" s="15" t="n">
        <v>3494.24977030274</v>
      </c>
      <c r="F131" s="15" t="n">
        <v>1.32389775</v>
      </c>
      <c r="G131" s="15" t="n">
        <v>0</v>
      </c>
      <c r="H131" s="15" t="n">
        <f aca="false">SQRT(F131^2+G131^2)</f>
        <v>1.32389775</v>
      </c>
      <c r="I131" s="15" t="n">
        <f aca="false">D131*F131/H131</f>
        <v>10.972472814823</v>
      </c>
      <c r="J131" s="15" t="n">
        <f aca="false">SQRT(C131^2+D131^2-I131^2)</f>
        <v>61.3478243756995</v>
      </c>
      <c r="K131" s="15" t="n">
        <f aca="false">E131/H131</f>
        <v>2639.36529109045</v>
      </c>
      <c r="L131" s="15" t="n">
        <f aca="false">J131/2-K131*ASINH(I131/(2*K131*SINH(J131/(2*K131))))</f>
        <v>-438.902605545192</v>
      </c>
      <c r="M131" s="15" t="n">
        <f aca="false">-L131/K131</f>
        <v>0.166290966630034</v>
      </c>
      <c r="N131" s="15" t="n">
        <f aca="false">(J131-L131)/K131</f>
        <v>0.189534367072856</v>
      </c>
      <c r="O131" s="15" t="n">
        <f aca="false">K131*(SINH(N131)-SINH(M131))</f>
        <v>62.3227098138307</v>
      </c>
      <c r="P131" s="15" t="n">
        <f aca="false">E131*COSH(M131)</f>
        <v>3542.67389941064</v>
      </c>
      <c r="Q131" s="15" t="n">
        <f aca="false">E131*COSH(N131)</f>
        <v>3557.20033148212</v>
      </c>
    </row>
    <row r="132" customFormat="false" ht="21" hidden="false" customHeight="true" outlineLevel="0" collapsed="false">
      <c r="A132" s="1" t="s">
        <v>344</v>
      </c>
      <c r="B132" s="1" t="s">
        <v>324</v>
      </c>
      <c r="C132" s="15" t="n">
        <v>61.3478243756995</v>
      </c>
      <c r="D132" s="15" t="n">
        <v>10.972472814823</v>
      </c>
      <c r="E132" s="15" t="n">
        <v>470.277696914831</v>
      </c>
      <c r="F132" s="15" t="n">
        <v>1.32389775</v>
      </c>
      <c r="G132" s="15" t="n">
        <v>0</v>
      </c>
      <c r="H132" s="15" t="n">
        <f aca="false">SQRT(F132^2+G132^2)</f>
        <v>1.32389775</v>
      </c>
      <c r="I132" s="15" t="n">
        <f aca="false">D132*F132/H132</f>
        <v>10.972472814823</v>
      </c>
      <c r="J132" s="15" t="n">
        <f aca="false">SQRT(C132^2+D132^2-I132^2)</f>
        <v>61.3478243756995</v>
      </c>
      <c r="K132" s="15" t="n">
        <f aca="false">E132/H132</f>
        <v>355.222068256277</v>
      </c>
      <c r="L132" s="15" t="n">
        <f aca="false">J132/2-K132*ASINH(I132/(2*K132*SINH(J132/(2*K132))))</f>
        <v>-32.4483432533772</v>
      </c>
      <c r="M132" s="15" t="n">
        <f aca="false">-L132/K132</f>
        <v>0.0913466424331699</v>
      </c>
      <c r="N132" s="15" t="n">
        <f aca="false">(J132-L132)/K132</f>
        <v>0.264049382093589</v>
      </c>
      <c r="O132" s="15" t="n">
        <f aca="false">K132*(SINH(N132)-SINH(M132))</f>
        <v>62.3964294804459</v>
      </c>
      <c r="P132" s="15" t="n">
        <f aca="false">E132*COSH(M132)</f>
        <v>472.241109320977</v>
      </c>
      <c r="Q132" s="15" t="n">
        <f aca="false">E132*COSH(N132)</f>
        <v>486.767541392458</v>
      </c>
    </row>
    <row r="133" customFormat="false" ht="21" hidden="false" customHeight="true" outlineLevel="0" collapsed="false">
      <c r="A133" s="1" t="s">
        <v>345</v>
      </c>
      <c r="B133" s="1" t="s">
        <v>319</v>
      </c>
      <c r="C133" s="15" t="n">
        <v>61.3478243738385</v>
      </c>
      <c r="D133" s="15" t="n">
        <v>9.01608854701035</v>
      </c>
      <c r="E133" s="15" t="n">
        <v>2204.9999999975</v>
      </c>
      <c r="F133" s="15" t="n">
        <v>1.32389775</v>
      </c>
      <c r="G133" s="15" t="n">
        <v>0</v>
      </c>
      <c r="H133" s="15" t="n">
        <f aca="false">SQRT(F133^2+G133^2)</f>
        <v>1.32389775</v>
      </c>
      <c r="I133" s="15" t="n">
        <f aca="false">D133*F133/H133</f>
        <v>9.01608854701035</v>
      </c>
      <c r="J133" s="15" t="n">
        <f aca="false">SQRT(C133^2+D133^2-I133^2)</f>
        <v>61.3478243738385</v>
      </c>
      <c r="K133" s="15" t="n">
        <f aca="false">E133/H133</f>
        <v>1665.53648119539</v>
      </c>
      <c r="L133" s="15" t="n">
        <f aca="false">J133/2-K133*ASINH(I133/(2*K133*SINH(J133/(2*K133))))</f>
        <v>-213.218118033971</v>
      </c>
      <c r="M133" s="15" t="n">
        <f aca="false">-L133/K133</f>
        <v>0.128017681054299</v>
      </c>
      <c r="N133" s="15" t="n">
        <f aca="false">(J133-L133)/K133</f>
        <v>0.164851353007139</v>
      </c>
      <c r="O133" s="15" t="n">
        <f aca="false">K133*(SINH(N133)-SINH(M133))</f>
        <v>62.0102486266109</v>
      </c>
      <c r="P133" s="15" t="n">
        <f aca="false">E133*COSH(M133)</f>
        <v>2223.09304026423</v>
      </c>
      <c r="Q133" s="15" t="n">
        <f aca="false">E133*COSH(N133)</f>
        <v>2235.02941960541</v>
      </c>
    </row>
    <row r="134" customFormat="false" ht="21" hidden="false" customHeight="true" outlineLevel="0" collapsed="false">
      <c r="A134" s="1" t="s">
        <v>345</v>
      </c>
      <c r="B134" s="1" t="s">
        <v>320</v>
      </c>
      <c r="C134" s="15" t="n">
        <v>61.3478243738385</v>
      </c>
      <c r="D134" s="15" t="n">
        <v>9.01608854701035</v>
      </c>
      <c r="E134" s="15" t="n">
        <v>3351.34662991092</v>
      </c>
      <c r="F134" s="15" t="n">
        <v>1.32389775</v>
      </c>
      <c r="G134" s="15" t="n">
        <v>3.443895</v>
      </c>
      <c r="H134" s="15" t="n">
        <f aca="false">SQRT(F134^2+G134^2)</f>
        <v>3.68959591601574</v>
      </c>
      <c r="I134" s="15" t="n">
        <f aca="false">D134*F134/H134</f>
        <v>3.23514542320868</v>
      </c>
      <c r="J134" s="15" t="n">
        <f aca="false">SQRT(C134^2+D134^2-I134^2)</f>
        <v>61.9223646365476</v>
      </c>
      <c r="K134" s="15" t="n">
        <f aca="false">E134/H134</f>
        <v>908.32348750264</v>
      </c>
      <c r="L134" s="15" t="n">
        <f aca="false">J134/2-K134*ASINH(I134/(2*K134*SINH(J134/(2*K134))))</f>
        <v>-16.4636087243963</v>
      </c>
      <c r="M134" s="15" t="n">
        <f aca="false">-L134/K134</f>
        <v>0.0181252702929235</v>
      </c>
      <c r="N134" s="15" t="n">
        <f aca="false">(J134-L134)/K134</f>
        <v>0.0862974198503439</v>
      </c>
      <c r="O134" s="15" t="n">
        <f aca="false">K134*(SINH(N134)-SINH(M134))</f>
        <v>62.0187926579166</v>
      </c>
      <c r="P134" s="15" t="n">
        <f aca="false">E134*COSH(M134)</f>
        <v>3351.89714626715</v>
      </c>
      <c r="Q134" s="15" t="n">
        <f aca="false">E134*COSH(N134)</f>
        <v>3363.83352560834</v>
      </c>
    </row>
    <row r="135" customFormat="false" ht="21" hidden="false" customHeight="true" outlineLevel="0" collapsed="false">
      <c r="A135" s="1" t="s">
        <v>345</v>
      </c>
      <c r="B135" s="1" t="s">
        <v>321</v>
      </c>
      <c r="C135" s="15" t="n">
        <v>61.3478243738385</v>
      </c>
      <c r="D135" s="15" t="n">
        <v>9.01608854701035</v>
      </c>
      <c r="E135" s="15" t="n">
        <v>3613.42266971934</v>
      </c>
      <c r="F135" s="15" t="n">
        <v>3.85543216183014</v>
      </c>
      <c r="G135" s="15" t="n">
        <v>0</v>
      </c>
      <c r="H135" s="15" t="n">
        <f aca="false">SQRT(F135^2+G135^2)</f>
        <v>3.85543216183014</v>
      </c>
      <c r="I135" s="15" t="n">
        <f aca="false">D135*F135/H135</f>
        <v>9.01608854701035</v>
      </c>
      <c r="J135" s="15" t="n">
        <f aca="false">SQRT(C135^2+D135^2-I135^2)</f>
        <v>61.3478243738385</v>
      </c>
      <c r="K135" s="15" t="n">
        <f aca="false">E135/H135</f>
        <v>937.228958531094</v>
      </c>
      <c r="L135" s="15" t="n">
        <f aca="false">J135/2-K135*ASINH(I135/(2*K135*SINH(J135/(2*K135))))</f>
        <v>-106.552135396926</v>
      </c>
      <c r="M135" s="15" t="n">
        <f aca="false">-L135/K135</f>
        <v>0.11368847966875</v>
      </c>
      <c r="N135" s="15" t="n">
        <f aca="false">(J135-L135)/K135</f>
        <v>0.179145083218419</v>
      </c>
      <c r="O135" s="15" t="n">
        <f aca="false">K135*(SINH(N135)-SINH(M135))</f>
        <v>62.017653673498</v>
      </c>
      <c r="P135" s="15" t="n">
        <f aca="false">E135*COSH(M135)</f>
        <v>3636.79970381905</v>
      </c>
      <c r="Q135" s="15" t="n">
        <f aca="false">E135*COSH(N135)</f>
        <v>3671.5606215771</v>
      </c>
    </row>
    <row r="136" customFormat="false" ht="21" hidden="false" customHeight="true" outlineLevel="0" collapsed="false">
      <c r="A136" s="1" t="s">
        <v>345</v>
      </c>
      <c r="B136" s="1" t="s">
        <v>322</v>
      </c>
      <c r="C136" s="15" t="n">
        <v>61.3478243738385</v>
      </c>
      <c r="D136" s="15" t="n">
        <v>9.01608854701035</v>
      </c>
      <c r="E136" s="15" t="n">
        <v>3400.11192232918</v>
      </c>
      <c r="F136" s="15" t="n">
        <v>2.33651151473205</v>
      </c>
      <c r="G136" s="15" t="n">
        <v>1.43495625</v>
      </c>
      <c r="H136" s="15" t="n">
        <f aca="false">SQRT(F136^2+G136^2)</f>
        <v>2.74196745018783</v>
      </c>
      <c r="I136" s="15" t="n">
        <f aca="false">D136*F136/H136</f>
        <v>7.68287555947844</v>
      </c>
      <c r="J136" s="15" t="n">
        <f aca="false">SQRT(C136^2+D136^2-I136^2)</f>
        <v>61.5290080468427</v>
      </c>
      <c r="K136" s="15" t="n">
        <f aca="false">E136/H136</f>
        <v>1240.02636212778</v>
      </c>
      <c r="L136" s="15" t="n">
        <f aca="false">J136/2-K136*ASINH(I136/(2*K136*SINH(J136/(2*K136))))</f>
        <v>-123.657195427802</v>
      </c>
      <c r="M136" s="15" t="n">
        <f aca="false">-L136/K136</f>
        <v>0.0997214246442452</v>
      </c>
      <c r="N136" s="15" t="n">
        <f aca="false">(J136-L136)/K136</f>
        <v>0.14934053753251</v>
      </c>
      <c r="O136" s="15" t="n">
        <f aca="false">K136*(SINH(N136)-SINH(M136))</f>
        <v>62.0130809866101</v>
      </c>
      <c r="P136" s="15" t="n">
        <f aca="false">E136*COSH(M136)</f>
        <v>3417.03190970522</v>
      </c>
      <c r="Q136" s="15" t="n">
        <f aca="false">E136*COSH(N136)</f>
        <v>3438.09810441315</v>
      </c>
    </row>
    <row r="137" customFormat="false" ht="21" hidden="false" customHeight="true" outlineLevel="0" collapsed="false">
      <c r="A137" s="1" t="s">
        <v>345</v>
      </c>
      <c r="B137" s="1" t="s">
        <v>323</v>
      </c>
      <c r="C137" s="15" t="n">
        <v>61.3478243738385</v>
      </c>
      <c r="D137" s="15" t="n">
        <v>9.01608854701035</v>
      </c>
      <c r="E137" s="15" t="n">
        <v>3499.57381232282</v>
      </c>
      <c r="F137" s="15" t="n">
        <v>1.32389775</v>
      </c>
      <c r="G137" s="15" t="n">
        <v>0</v>
      </c>
      <c r="H137" s="15" t="n">
        <f aca="false">SQRT(F137^2+G137^2)</f>
        <v>1.32389775</v>
      </c>
      <c r="I137" s="15" t="n">
        <f aca="false">D137*F137/H137</f>
        <v>9.01608854701035</v>
      </c>
      <c r="J137" s="15" t="n">
        <f aca="false">SQRT(C137^2+D137^2-I137^2)</f>
        <v>61.3478243738385</v>
      </c>
      <c r="K137" s="15" t="n">
        <f aca="false">E137/H137</f>
        <v>2643.38678143597</v>
      </c>
      <c r="L137" s="15" t="n">
        <f aca="false">J137/2-K137*ASINH(I137/(2*K137*SINH(J137/(2*K137))))</f>
        <v>-356.422255775019</v>
      </c>
      <c r="M137" s="15" t="n">
        <f aca="false">-L137/K137</f>
        <v>0.134835453622644</v>
      </c>
      <c r="N137" s="15" t="n">
        <f aca="false">(J137-L137)/K137</f>
        <v>0.158043492947299</v>
      </c>
      <c r="O137" s="15" t="n">
        <f aca="false">K137*(SINH(N137)-SINH(M137))</f>
        <v>62.0081795906592</v>
      </c>
      <c r="P137" s="15" t="n">
        <f aca="false">E137*COSH(M137)</f>
        <v>3531.43421362038</v>
      </c>
      <c r="Q137" s="15" t="n">
        <f aca="false">E137*COSH(N137)</f>
        <v>3543.37059296157</v>
      </c>
    </row>
    <row r="138" customFormat="false" ht="21" hidden="false" customHeight="true" outlineLevel="0" collapsed="false">
      <c r="A138" s="1" t="s">
        <v>345</v>
      </c>
      <c r="B138" s="1" t="s">
        <v>324</v>
      </c>
      <c r="C138" s="15" t="n">
        <v>61.3478243738385</v>
      </c>
      <c r="D138" s="15" t="n">
        <v>9.01608854701035</v>
      </c>
      <c r="E138" s="15" t="n">
        <v>471.880824211666</v>
      </c>
      <c r="F138" s="15" t="n">
        <v>1.32389775</v>
      </c>
      <c r="G138" s="15" t="n">
        <v>0</v>
      </c>
      <c r="H138" s="15" t="n">
        <f aca="false">SQRT(F138^2+G138^2)</f>
        <v>1.32389775</v>
      </c>
      <c r="I138" s="15" t="n">
        <f aca="false">D138*F138/H138</f>
        <v>9.01608854701035</v>
      </c>
      <c r="J138" s="15" t="n">
        <f aca="false">SQRT(C138^2+D138^2-I138^2)</f>
        <v>61.3478243738385</v>
      </c>
      <c r="K138" s="15" t="n">
        <f aca="false">E138/H138</f>
        <v>356.432982994092</v>
      </c>
      <c r="L138" s="15" t="n">
        <f aca="false">J138/2-K138*ASINH(I138/(2*K138*SINH(J138/(2*K138))))</f>
        <v>-21.4591918917526</v>
      </c>
      <c r="M138" s="15" t="n">
        <f aca="false">-L138/K138</f>
        <v>0.0602054044255167</v>
      </c>
      <c r="N138" s="15" t="n">
        <f aca="false">(J138-L138)/K138</f>
        <v>0.232321418657722</v>
      </c>
      <c r="O138" s="15" t="n">
        <f aca="false">K138*(SINH(N138)-SINH(M138))</f>
        <v>62.0817648525805</v>
      </c>
      <c r="P138" s="15" t="n">
        <f aca="false">E138*COSH(M138)</f>
        <v>472.736293588549</v>
      </c>
      <c r="Q138" s="15" t="n">
        <f aca="false">E138*COSH(N138)</f>
        <v>484.672672929736</v>
      </c>
    </row>
    <row r="139" customFormat="false" ht="21" hidden="false" customHeight="true" outlineLevel="0" collapsed="false">
      <c r="A139" s="1" t="s">
        <v>346</v>
      </c>
      <c r="B139" s="1" t="s">
        <v>319</v>
      </c>
      <c r="C139" s="15" t="n">
        <v>61.3478243756995</v>
      </c>
      <c r="D139" s="15" t="n">
        <v>10.6595641759978</v>
      </c>
      <c r="E139" s="15" t="n">
        <v>2204.99999999818</v>
      </c>
      <c r="F139" s="15" t="n">
        <v>1.32389775</v>
      </c>
      <c r="G139" s="15" t="n">
        <v>0</v>
      </c>
      <c r="H139" s="15" t="n">
        <f aca="false">SQRT(F139^2+G139^2)</f>
        <v>1.32389775</v>
      </c>
      <c r="I139" s="15" t="n">
        <f aca="false">D139*F139/H139</f>
        <v>10.6595641759978</v>
      </c>
      <c r="J139" s="15" t="n">
        <f aca="false">SQRT(C139^2+D139^2-I139^2)</f>
        <v>61.3478243756995</v>
      </c>
      <c r="K139" s="15" t="n">
        <f aca="false">E139/H139</f>
        <v>1665.53648119591</v>
      </c>
      <c r="L139" s="15" t="n">
        <f aca="false">J139/2-K139*ASINH(I139/(2*K139*SINH(J139/(2*K139))))</f>
        <v>-257.270468783347</v>
      </c>
      <c r="M139" s="15" t="n">
        <f aca="false">-L139/K139</f>
        <v>0.154467027103855</v>
      </c>
      <c r="N139" s="15" t="n">
        <f aca="false">(J139-L139)/K139</f>
        <v>0.1913006990578</v>
      </c>
      <c r="O139" s="15" t="n">
        <f aca="false">K139*(SINH(N139)-SINH(M139))</f>
        <v>62.2704375341716</v>
      </c>
      <c r="P139" s="15" t="n">
        <f aca="false">E139*COSH(M139)</f>
        <v>2231.35806515494</v>
      </c>
      <c r="Q139" s="15" t="n">
        <f aca="false">E139*COSH(N139)</f>
        <v>2245.47023818352</v>
      </c>
    </row>
    <row r="140" customFormat="false" ht="21" hidden="false" customHeight="true" outlineLevel="0" collapsed="false">
      <c r="A140" s="1" t="s">
        <v>346</v>
      </c>
      <c r="B140" s="1" t="s">
        <v>320</v>
      </c>
      <c r="C140" s="15" t="n">
        <v>61.3478243756995</v>
      </c>
      <c r="D140" s="15" t="n">
        <v>10.6595641759978</v>
      </c>
      <c r="E140" s="15" t="n">
        <v>3360.7222513528</v>
      </c>
      <c r="F140" s="15" t="n">
        <v>1.32389775</v>
      </c>
      <c r="G140" s="15" t="n">
        <v>3.443895</v>
      </c>
      <c r="H140" s="15" t="n">
        <f aca="false">SQRT(F140^2+G140^2)</f>
        <v>3.68959591601574</v>
      </c>
      <c r="I140" s="15" t="n">
        <f aca="false">D140*F140/H140</f>
        <v>3.82485598689174</v>
      </c>
      <c r="J140" s="15" t="n">
        <f aca="false">SQRT(C140^2+D140^2-I140^2)</f>
        <v>62.1494355624685</v>
      </c>
      <c r="K140" s="15" t="n">
        <f aca="false">E140/H140</f>
        <v>910.86458459167</v>
      </c>
      <c r="L140" s="15" t="n">
        <f aca="false">J140/2-K140*ASINH(I140/(2*K140*SINH(J140/(2*K140))))</f>
        <v>-24.9363446158062</v>
      </c>
      <c r="M140" s="15" t="n">
        <f aca="false">-L140/K140</f>
        <v>0.0273765662181112</v>
      </c>
      <c r="N140" s="15" t="n">
        <f aca="false">(J140-L140)/K140</f>
        <v>0.0956078232170089</v>
      </c>
      <c r="O140" s="15" t="n">
        <f aca="false">K140*(SINH(N140)-SINH(M140))</f>
        <v>62.2790543233623</v>
      </c>
      <c r="P140" s="15" t="n">
        <f aca="false">E140*COSH(M140)</f>
        <v>3361.98172098178</v>
      </c>
      <c r="Q140" s="15" t="n">
        <f aca="false">E140*COSH(N140)</f>
        <v>3376.09389401036</v>
      </c>
    </row>
    <row r="141" customFormat="false" ht="21" hidden="false" customHeight="true" outlineLevel="0" collapsed="false">
      <c r="A141" s="1" t="s">
        <v>346</v>
      </c>
      <c r="B141" s="1" t="s">
        <v>321</v>
      </c>
      <c r="C141" s="15" t="n">
        <v>61.3478243756995</v>
      </c>
      <c r="D141" s="15" t="n">
        <v>10.6595641759978</v>
      </c>
      <c r="E141" s="15" t="n">
        <v>3606.52249698219</v>
      </c>
      <c r="F141" s="15" t="n">
        <v>3.85543216183014</v>
      </c>
      <c r="G141" s="15" t="n">
        <v>0</v>
      </c>
      <c r="H141" s="15" t="n">
        <f aca="false">SQRT(F141^2+G141^2)</f>
        <v>3.85543216183014</v>
      </c>
      <c r="I141" s="15" t="n">
        <f aca="false">D141*F141/H141</f>
        <v>10.6595641759978</v>
      </c>
      <c r="J141" s="15" t="n">
        <f aca="false">SQRT(C141^2+D141^2-I141^2)</f>
        <v>61.3478243756995</v>
      </c>
      <c r="K141" s="15" t="n">
        <f aca="false">E141/H141</f>
        <v>935.43923109004</v>
      </c>
      <c r="L141" s="15" t="n">
        <f aca="false">J141/2-K141*ASINH(I141/(2*K141*SINH(J141/(2*K141))))</f>
        <v>-131.028793501987</v>
      </c>
      <c r="M141" s="15" t="n">
        <f aca="false">-L141/K141</f>
        <v>0.140071946041115</v>
      </c>
      <c r="N141" s="15" t="n">
        <f aca="false">(J141-L141)/K141</f>
        <v>0.20565378432281</v>
      </c>
      <c r="O141" s="15" t="n">
        <f aca="false">K141*(SINH(N141)-SINH(M141))</f>
        <v>62.2778529771324</v>
      </c>
      <c r="P141" s="15" t="n">
        <f aca="false">E141*COSH(M141)</f>
        <v>3641.96063829604</v>
      </c>
      <c r="Q141" s="15" t="n">
        <f aca="false">E141*COSH(N141)</f>
        <v>3683.05786485128</v>
      </c>
    </row>
    <row r="142" customFormat="false" ht="21" hidden="false" customHeight="true" outlineLevel="0" collapsed="false">
      <c r="A142" s="1" t="s">
        <v>346</v>
      </c>
      <c r="B142" s="1" t="s">
        <v>322</v>
      </c>
      <c r="C142" s="15" t="n">
        <v>61.3478243756995</v>
      </c>
      <c r="D142" s="15" t="n">
        <v>10.6595641759978</v>
      </c>
      <c r="E142" s="15" t="n">
        <v>3399.48754165293</v>
      </c>
      <c r="F142" s="15" t="n">
        <v>2.33651151473205</v>
      </c>
      <c r="G142" s="15" t="n">
        <v>1.43495625</v>
      </c>
      <c r="H142" s="15" t="n">
        <f aca="false">SQRT(F142^2+G142^2)</f>
        <v>2.74196745018783</v>
      </c>
      <c r="I142" s="15" t="n">
        <f aca="false">D142*F142/H142</f>
        <v>9.08332972280109</v>
      </c>
      <c r="J142" s="15" t="n">
        <f aca="false">SQRT(C142^2+D142^2-I142^2)</f>
        <v>61.6009333143643</v>
      </c>
      <c r="K142" s="15" t="n">
        <f aca="false">E142/H142</f>
        <v>1239.79864947706</v>
      </c>
      <c r="L142" s="15" t="n">
        <f aca="false">J142/2-K142*ASINH(I142/(2*K142*SINH(J142/(2*K142))))</f>
        <v>-151.338636769707</v>
      </c>
      <c r="M142" s="15" t="n">
        <f aca="false">-L142/K142</f>
        <v>0.122067108908</v>
      </c>
      <c r="N142" s="15" t="n">
        <f aca="false">(J142-L142)/K142</f>
        <v>0.171753348960243</v>
      </c>
      <c r="O142" s="15" t="n">
        <f aca="false">K142*(SINH(N142)-SINH(M142))</f>
        <v>62.2732895783502</v>
      </c>
      <c r="P142" s="15" t="n">
        <f aca="false">E142*COSH(M142)</f>
        <v>3424.84583207247</v>
      </c>
      <c r="Q142" s="15" t="n">
        <f aca="false">E142*COSH(N142)</f>
        <v>3449.75202651172</v>
      </c>
    </row>
    <row r="143" customFormat="false" ht="21" hidden="false" customHeight="true" outlineLevel="0" collapsed="false">
      <c r="A143" s="1" t="s">
        <v>346</v>
      </c>
      <c r="B143" s="1" t="s">
        <v>323</v>
      </c>
      <c r="C143" s="15" t="n">
        <v>61.3478243756995</v>
      </c>
      <c r="D143" s="15" t="n">
        <v>10.6595641759978</v>
      </c>
      <c r="E143" s="15" t="n">
        <v>3495.16697080863</v>
      </c>
      <c r="F143" s="15" t="n">
        <v>1.32389775</v>
      </c>
      <c r="G143" s="15" t="n">
        <v>0</v>
      </c>
      <c r="H143" s="15" t="n">
        <f aca="false">SQRT(F143^2+G143^2)</f>
        <v>1.32389775</v>
      </c>
      <c r="I143" s="15" t="n">
        <f aca="false">D143*F143/H143</f>
        <v>10.6595641759978</v>
      </c>
      <c r="J143" s="15" t="n">
        <f aca="false">SQRT(C143^2+D143^2-I143^2)</f>
        <v>61.3478243756995</v>
      </c>
      <c r="K143" s="15" t="n">
        <f aca="false">E143/H143</f>
        <v>2640.05809422112</v>
      </c>
      <c r="L143" s="15" t="n">
        <f aca="false">J143/2-K143*ASINH(I143/(2*K143*SINH(J143/(2*K143))))</f>
        <v>-425.764909595055</v>
      </c>
      <c r="M143" s="15" t="n">
        <f aca="false">-L143/K143</f>
        <v>0.161271038136252</v>
      </c>
      <c r="N143" s="15" t="n">
        <f aca="false">(J143-L143)/K143</f>
        <v>0.18450833905398</v>
      </c>
      <c r="O143" s="15" t="n">
        <f aca="false">K143*(SINH(N143)-SINH(M143))</f>
        <v>62.2683805664539</v>
      </c>
      <c r="P143" s="15" t="n">
        <f aca="false">E143*COSH(M143)</f>
        <v>3540.71732567665</v>
      </c>
      <c r="Q143" s="15" t="n">
        <f aca="false">E143*COSH(N143)</f>
        <v>3554.82949870524</v>
      </c>
    </row>
    <row r="144" customFormat="false" ht="21" hidden="false" customHeight="true" outlineLevel="0" collapsed="false">
      <c r="A144" s="1" t="s">
        <v>346</v>
      </c>
      <c r="B144" s="1" t="s">
        <v>324</v>
      </c>
      <c r="C144" s="15" t="n">
        <v>61.3478243756995</v>
      </c>
      <c r="D144" s="15" t="n">
        <v>10.6595641759978</v>
      </c>
      <c r="E144" s="15" t="n">
        <v>470.553302002026</v>
      </c>
      <c r="F144" s="15" t="n">
        <v>1.32389775</v>
      </c>
      <c r="G144" s="15" t="n">
        <v>0</v>
      </c>
      <c r="H144" s="15" t="n">
        <f aca="false">SQRT(F144^2+G144^2)</f>
        <v>1.32389775</v>
      </c>
      <c r="I144" s="15" t="n">
        <f aca="false">D144*F144/H144</f>
        <v>10.6595641759978</v>
      </c>
      <c r="J144" s="15" t="n">
        <f aca="false">SQRT(C144^2+D144^2-I144^2)</f>
        <v>61.3478243756995</v>
      </c>
      <c r="K144" s="15" t="n">
        <f aca="false">E144/H144</f>
        <v>355.430245275382</v>
      </c>
      <c r="L144" s="15" t="n">
        <f aca="false">J144/2-K144*ASINH(I144/(2*K144*SINH(J144/(2*K144))))</f>
        <v>-30.7022163374619</v>
      </c>
      <c r="M144" s="15" t="n">
        <f aca="false">-L144/K144</f>
        <v>0.0863804269489625</v>
      </c>
      <c r="N144" s="15" t="n">
        <f aca="false">(J144-L144)/K144</f>
        <v>0.258982013874037</v>
      </c>
      <c r="O144" s="15" t="n">
        <f aca="false">K144*(SINH(N144)-SINH(M144))</f>
        <v>62.3420771571348</v>
      </c>
      <c r="P144" s="15" t="n">
        <f aca="false">E144*COSH(M144)</f>
        <v>472.309928982744</v>
      </c>
      <c r="Q144" s="15" t="n">
        <f aca="false">E144*COSH(N144)</f>
        <v>486.422102011328</v>
      </c>
    </row>
    <row r="145" customFormat="false" ht="21" hidden="false" customHeight="true" outlineLevel="0" collapsed="false">
      <c r="A145" s="1" t="s">
        <v>347</v>
      </c>
      <c r="B145" s="1" t="s">
        <v>319</v>
      </c>
      <c r="C145" s="15" t="n">
        <v>73.109506905737</v>
      </c>
      <c r="D145" s="15" t="n">
        <v>-2.11726832516724</v>
      </c>
      <c r="E145" s="15" t="n">
        <v>2204.99999999956</v>
      </c>
      <c r="F145" s="15" t="n">
        <v>1.32389775</v>
      </c>
      <c r="G145" s="15" t="n">
        <v>0</v>
      </c>
      <c r="H145" s="15" t="n">
        <f aca="false">SQRT(F145^2+G145^2)</f>
        <v>1.32389775</v>
      </c>
      <c r="I145" s="15" t="n">
        <f aca="false">D145*F145/H145</f>
        <v>-2.11726832516724</v>
      </c>
      <c r="J145" s="15" t="n">
        <f aca="false">SQRT(C145^2+D145^2-I145^2)</f>
        <v>73.109506905737</v>
      </c>
      <c r="K145" s="15" t="n">
        <f aca="false">E145/H145</f>
        <v>1665.53648119695</v>
      </c>
      <c r="L145" s="15" t="n">
        <f aca="false">J145/2-K145*ASINH(I145/(2*K145*SINH(J145/(2*K145))))</f>
        <v>84.7784669816229</v>
      </c>
      <c r="M145" s="15" t="n">
        <f aca="false">-L145/K145</f>
        <v>-0.050901597136255</v>
      </c>
      <c r="N145" s="15" t="n">
        <f aca="false">(J145-L145)/K145</f>
        <v>-0.00700612697927814</v>
      </c>
      <c r="O145" s="15" t="n">
        <f aca="false">K145*(SINH(N145)-SINH(M145))</f>
        <v>73.1460259658488</v>
      </c>
      <c r="P145" s="15" t="n">
        <f aca="false">E145*COSH(M145)</f>
        <v>2207.85716410408</v>
      </c>
      <c r="Q145" s="15" t="n">
        <f aca="false">E145*COSH(N145)</f>
        <v>2205.05411733224</v>
      </c>
    </row>
    <row r="146" customFormat="false" ht="21" hidden="false" customHeight="true" outlineLevel="0" collapsed="false">
      <c r="A146" s="1" t="s">
        <v>347</v>
      </c>
      <c r="B146" s="1" t="s">
        <v>320</v>
      </c>
      <c r="C146" s="15" t="n">
        <v>73.109506905737</v>
      </c>
      <c r="D146" s="15" t="n">
        <v>-2.11726832516724</v>
      </c>
      <c r="E146" s="15" t="n">
        <v>3447.13211303605</v>
      </c>
      <c r="F146" s="15" t="n">
        <v>1.32389775</v>
      </c>
      <c r="G146" s="15" t="n">
        <v>3.443895</v>
      </c>
      <c r="H146" s="15" t="n">
        <f aca="false">SQRT(F146^2+G146^2)</f>
        <v>3.68959591601574</v>
      </c>
      <c r="I146" s="15" t="n">
        <f aca="false">D146*F146/H146</f>
        <v>-0.759716466420553</v>
      </c>
      <c r="J146" s="15" t="n">
        <f aca="false">SQRT(C146^2+D146^2-I146^2)</f>
        <v>73.1362130278251</v>
      </c>
      <c r="K146" s="15" t="n">
        <f aca="false">E146/H146</f>
        <v>934.284455940767</v>
      </c>
      <c r="L146" s="15" t="n">
        <f aca="false">J146/2-K146*ASINH(I146/(2*K146*SINH(J146/(2*K146))))</f>
        <v>46.2705139213457</v>
      </c>
      <c r="M146" s="15" t="n">
        <f aca="false">-L146/K146</f>
        <v>-0.0495250816034974</v>
      </c>
      <c r="N146" s="15" t="n">
        <f aca="false">(J146-L146)/K146</f>
        <v>0.028755374164314</v>
      </c>
      <c r="O146" s="15" t="n">
        <f aca="false">K146*(SINH(N146)-SINH(M146))</f>
        <v>73.1588327892349</v>
      </c>
      <c r="P146" s="15" t="n">
        <f aca="false">E146*COSH(M146)</f>
        <v>3451.36042573833</v>
      </c>
      <c r="Q146" s="15" t="n">
        <f aca="false">E146*COSH(N146)</f>
        <v>3448.55737896649</v>
      </c>
    </row>
    <row r="147" customFormat="false" ht="21" hidden="false" customHeight="true" outlineLevel="0" collapsed="false">
      <c r="A147" s="1" t="s">
        <v>347</v>
      </c>
      <c r="B147" s="1" t="s">
        <v>321</v>
      </c>
      <c r="C147" s="15" t="n">
        <v>73.109506905737</v>
      </c>
      <c r="D147" s="15" t="n">
        <v>-2.11726832516724</v>
      </c>
      <c r="E147" s="15" t="n">
        <v>3740.4712626155</v>
      </c>
      <c r="F147" s="15" t="n">
        <v>3.85543216183014</v>
      </c>
      <c r="G147" s="15" t="n">
        <v>0</v>
      </c>
      <c r="H147" s="15" t="n">
        <f aca="false">SQRT(F147^2+G147^2)</f>
        <v>3.85543216183014</v>
      </c>
      <c r="I147" s="15" t="n">
        <f aca="false">D147*F147/H147</f>
        <v>-2.11726832516724</v>
      </c>
      <c r="J147" s="15" t="n">
        <f aca="false">SQRT(C147^2+D147^2-I147^2)</f>
        <v>73.109506905737</v>
      </c>
      <c r="K147" s="15" t="n">
        <f aca="false">E147/H147</f>
        <v>970.182097780689</v>
      </c>
      <c r="L147" s="15" t="n">
        <f aca="false">J147/2-K147*ASINH(I147/(2*K147*SINH(J147/(2*K147))))</f>
        <v>64.6408826959203</v>
      </c>
      <c r="M147" s="15" t="n">
        <f aca="false">-L147/K147</f>
        <v>-0.0666275772803761</v>
      </c>
      <c r="N147" s="15" t="n">
        <f aca="false">(J147-L147)/K147</f>
        <v>0.00872890174863959</v>
      </c>
      <c r="O147" s="15" t="n">
        <f aca="false">K147*(SINH(N147)-SINH(M147))</f>
        <v>73.1574510667746</v>
      </c>
      <c r="P147" s="15" t="n">
        <f aca="false">E147*COSH(M147)</f>
        <v>3748.77674813713</v>
      </c>
      <c r="Q147" s="15" t="n">
        <f aca="false">E147*COSH(N147)</f>
        <v>3740.61376374106</v>
      </c>
    </row>
    <row r="148" customFormat="false" ht="21" hidden="false" customHeight="true" outlineLevel="0" collapsed="false">
      <c r="A148" s="1" t="s">
        <v>347</v>
      </c>
      <c r="B148" s="1" t="s">
        <v>322</v>
      </c>
      <c r="C148" s="15" t="n">
        <v>73.109506905737</v>
      </c>
      <c r="D148" s="15" t="n">
        <v>-2.11726832516724</v>
      </c>
      <c r="E148" s="15" t="n">
        <v>3448.23062833581</v>
      </c>
      <c r="F148" s="15" t="n">
        <v>2.33651151473205</v>
      </c>
      <c r="G148" s="15" t="n">
        <v>1.43495625</v>
      </c>
      <c r="H148" s="15" t="n">
        <f aca="false">SQRT(F148^2+G148^2)</f>
        <v>2.74196745018783</v>
      </c>
      <c r="I148" s="15" t="n">
        <f aca="false">D148*F148/H148</f>
        <v>-1.80418692468134</v>
      </c>
      <c r="J148" s="15" t="n">
        <f aca="false">SQRT(C148^2+D148^2-I148^2)</f>
        <v>73.1179029698033</v>
      </c>
      <c r="K148" s="15" t="n">
        <f aca="false">E148/H148</f>
        <v>1257.57533266837</v>
      </c>
      <c r="L148" s="15" t="n">
        <f aca="false">J148/2-K148*ASINH(I148/(2*K148*SINH(J148/(2*K148))))</f>
        <v>67.5821516735933</v>
      </c>
      <c r="M148" s="15" t="n">
        <f aca="false">-L148/K148</f>
        <v>-0.0537400423799621</v>
      </c>
      <c r="N148" s="15" t="n">
        <f aca="false">(J148-L148)/K148</f>
        <v>0.00440192420478224</v>
      </c>
      <c r="O148" s="15" t="n">
        <f aca="false">K148*(SINH(N148)-SINH(M148))</f>
        <v>73.1504549990096</v>
      </c>
      <c r="P148" s="15" t="n">
        <f aca="false">E148*COSH(M148)</f>
        <v>3453.2110582846</v>
      </c>
      <c r="Q148" s="15" t="n">
        <f aca="false">E148*COSH(N148)</f>
        <v>3448.26403646307</v>
      </c>
    </row>
    <row r="149" customFormat="false" ht="21" hidden="false" customHeight="true" outlineLevel="0" collapsed="false">
      <c r="A149" s="1" t="s">
        <v>347</v>
      </c>
      <c r="B149" s="1" t="s">
        <v>323</v>
      </c>
      <c r="C149" s="15" t="n">
        <v>73.109506905737</v>
      </c>
      <c r="D149" s="15" t="n">
        <v>-2.11726832516724</v>
      </c>
      <c r="E149" s="15" t="n">
        <v>3468.72838965815</v>
      </c>
      <c r="F149" s="15" t="n">
        <v>1.32389775</v>
      </c>
      <c r="G149" s="15" t="n">
        <v>0</v>
      </c>
      <c r="H149" s="15" t="n">
        <f aca="false">SQRT(F149^2+G149^2)</f>
        <v>1.32389775</v>
      </c>
      <c r="I149" s="15" t="n">
        <f aca="false">D149*F149/H149</f>
        <v>-2.11726832516724</v>
      </c>
      <c r="J149" s="15" t="n">
        <f aca="false">SQRT(C149^2+D149^2-I149^2)</f>
        <v>73.109506905737</v>
      </c>
      <c r="K149" s="15" t="n">
        <f aca="false">E149/H149</f>
        <v>2620.08783507499</v>
      </c>
      <c r="L149" s="15" t="n">
        <f aca="false">J149/2-K149*ASINH(I149/(2*K149*SINH(J149/(2*K149))))</f>
        <v>112.420043578019</v>
      </c>
      <c r="M149" s="15" t="n">
        <f aca="false">-L149/K149</f>
        <v>-0.0429069751300157</v>
      </c>
      <c r="N149" s="15" t="n">
        <f aca="false">(J149-L149)/K149</f>
        <v>-0.0150035186401135</v>
      </c>
      <c r="O149" s="15" t="n">
        <f aca="false">K149*(SINH(N149)-SINH(M149))</f>
        <v>73.1425296039376</v>
      </c>
      <c r="P149" s="15" t="n">
        <f aca="false">E149*COSH(M149)</f>
        <v>3471.92185879716</v>
      </c>
      <c r="Q149" s="15" t="n">
        <f aca="false">E149*COSH(N149)</f>
        <v>3469.11881202533</v>
      </c>
    </row>
    <row r="150" customFormat="false" ht="21" hidden="false" customHeight="true" outlineLevel="0" collapsed="false">
      <c r="A150" s="1" t="s">
        <v>347</v>
      </c>
      <c r="B150" s="1" t="s">
        <v>324</v>
      </c>
      <c r="C150" s="15" t="n">
        <v>73.109506905737</v>
      </c>
      <c r="D150" s="15" t="n">
        <v>-2.11726832516724</v>
      </c>
      <c r="E150" s="15" t="n">
        <v>555.012454217654</v>
      </c>
      <c r="F150" s="15" t="n">
        <v>1.32389775</v>
      </c>
      <c r="G150" s="15" t="n">
        <v>0</v>
      </c>
      <c r="H150" s="15" t="n">
        <f aca="false">SQRT(F150^2+G150^2)</f>
        <v>1.32389775</v>
      </c>
      <c r="I150" s="15" t="n">
        <f aca="false">D150*F150/H150</f>
        <v>-2.11726832516724</v>
      </c>
      <c r="J150" s="15" t="n">
        <f aca="false">SQRT(C150^2+D150^2-I150^2)</f>
        <v>73.109506905737</v>
      </c>
      <c r="K150" s="15" t="n">
        <f aca="false">E150/H150</f>
        <v>419.226072570676</v>
      </c>
      <c r="L150" s="15" t="n">
        <f aca="false">J150/2-K150*ASINH(I150/(2*K150*SINH(J150/(2*K150))))</f>
        <v>48.6785769098157</v>
      </c>
      <c r="M150" s="15" t="n">
        <f aca="false">-L150/K150</f>
        <v>-0.116115337510668</v>
      </c>
      <c r="N150" s="15" t="n">
        <f aca="false">(J150-L150)/K150</f>
        <v>0.0582762657057848</v>
      </c>
      <c r="O150" s="15" t="n">
        <f aca="false">K150*(SINH(N150)-SINH(M150))</f>
        <v>73.2327984499889</v>
      </c>
      <c r="P150" s="15" t="n">
        <f aca="false">E150*COSH(M150)</f>
        <v>558.75821306204</v>
      </c>
      <c r="Q150" s="15" t="n">
        <f aca="false">E150*COSH(N150)</f>
        <v>555.955166290205</v>
      </c>
    </row>
    <row r="151" customFormat="false" ht="21" hidden="false" customHeight="true" outlineLevel="0" collapsed="false">
      <c r="A151" s="1" t="s">
        <v>348</v>
      </c>
      <c r="B151" s="1" t="s">
        <v>319</v>
      </c>
      <c r="C151" s="15" t="n">
        <v>73.109506905737</v>
      </c>
      <c r="D151" s="15" t="n">
        <v>1.49158687482104</v>
      </c>
      <c r="E151" s="15" t="n">
        <v>2204.99999999981</v>
      </c>
      <c r="F151" s="15" t="n">
        <v>1.32389775</v>
      </c>
      <c r="G151" s="15" t="n">
        <v>0</v>
      </c>
      <c r="H151" s="15" t="n">
        <f aca="false">SQRT(F151^2+G151^2)</f>
        <v>1.32389775</v>
      </c>
      <c r="I151" s="15" t="n">
        <f aca="false">D151*F151/H151</f>
        <v>1.49158687482104</v>
      </c>
      <c r="J151" s="15" t="n">
        <f aca="false">SQRT(C151^2+D151^2-I151^2)</f>
        <v>73.109506905737</v>
      </c>
      <c r="K151" s="15" t="n">
        <f aca="false">E151/H151</f>
        <v>1665.53648119714</v>
      </c>
      <c r="L151" s="15" t="n">
        <f aca="false">J151/2-K151*ASINH(I151/(2*K151*SINH(J151/(2*K151))))</f>
        <v>2.57940947108754</v>
      </c>
      <c r="M151" s="15" t="n">
        <f aca="false">-L151/K151</f>
        <v>-0.00154869587079446</v>
      </c>
      <c r="N151" s="15" t="n">
        <f aca="false">(J151-L151)/K151</f>
        <v>0.0423467742861774</v>
      </c>
      <c r="O151" s="15" t="n">
        <f aca="false">K151*(SINH(N151)-SINH(M151))</f>
        <v>73.1305895015281</v>
      </c>
      <c r="P151" s="15" t="n">
        <f aca="false">E151*COSH(M151)</f>
        <v>2205.00264430128</v>
      </c>
      <c r="Q151" s="15" t="n">
        <f aca="false">E151*COSH(N151)</f>
        <v>2206.97735280878</v>
      </c>
    </row>
    <row r="152" customFormat="false" ht="21" hidden="false" customHeight="true" outlineLevel="0" collapsed="false">
      <c r="A152" s="1" t="s">
        <v>348</v>
      </c>
      <c r="B152" s="1" t="s">
        <v>320</v>
      </c>
      <c r="C152" s="15" t="n">
        <v>73.109506905737</v>
      </c>
      <c r="D152" s="15" t="n">
        <v>1.49158687482104</v>
      </c>
      <c r="E152" s="15" t="n">
        <v>3446.63639951366</v>
      </c>
      <c r="F152" s="15" t="n">
        <v>1.32389775</v>
      </c>
      <c r="G152" s="15" t="n">
        <v>3.443895</v>
      </c>
      <c r="H152" s="15" t="n">
        <f aca="false">SQRT(F152^2+G152^2)</f>
        <v>3.68959591601574</v>
      </c>
      <c r="I152" s="15" t="n">
        <f aca="false">D152*F152/H152</f>
        <v>0.535209966742786</v>
      </c>
      <c r="J152" s="15" t="n">
        <f aca="false">SQRT(C152^2+D152^2-I152^2)</f>
        <v>73.1227624047166</v>
      </c>
      <c r="K152" s="15" t="n">
        <f aca="false">E152/H152</f>
        <v>934.150101519938</v>
      </c>
      <c r="L152" s="15" t="n">
        <f aca="false">J152/2-K152*ASINH(I152/(2*K152*SINH(J152/(2*K152))))</f>
        <v>29.7258303251356</v>
      </c>
      <c r="M152" s="15" t="n">
        <f aca="false">-L152/K152</f>
        <v>-0.0318212568587952</v>
      </c>
      <c r="N152" s="15" t="n">
        <f aca="false">(J152-L152)/K152</f>
        <v>0.0464560588378363</v>
      </c>
      <c r="O152" s="15" t="n">
        <f aca="false">K152*(SINH(N152)-SINH(M152))</f>
        <v>73.1433906610296</v>
      </c>
      <c r="P152" s="15" t="n">
        <f aca="false">E152*COSH(M152)</f>
        <v>3448.38156565933</v>
      </c>
      <c r="Q152" s="15" t="n">
        <f aca="false">E152*COSH(N152)</f>
        <v>3450.35627416684</v>
      </c>
    </row>
    <row r="153" customFormat="false" ht="21" hidden="false" customHeight="true" outlineLevel="0" collapsed="false">
      <c r="A153" s="1" t="s">
        <v>348</v>
      </c>
      <c r="B153" s="1" t="s">
        <v>321</v>
      </c>
      <c r="C153" s="15" t="n">
        <v>73.109506905737</v>
      </c>
      <c r="D153" s="15" t="n">
        <v>1.49158687482104</v>
      </c>
      <c r="E153" s="15" t="n">
        <v>3740.85108477105</v>
      </c>
      <c r="F153" s="15" t="n">
        <v>3.85543216183014</v>
      </c>
      <c r="G153" s="15" t="n">
        <v>0</v>
      </c>
      <c r="H153" s="15" t="n">
        <f aca="false">SQRT(F153^2+G153^2)</f>
        <v>3.85543216183014</v>
      </c>
      <c r="I153" s="15" t="n">
        <f aca="false">D153*F153/H153</f>
        <v>1.49158687482104</v>
      </c>
      <c r="J153" s="15" t="n">
        <f aca="false">SQRT(C153^2+D153^2-I153^2)</f>
        <v>73.109506905737</v>
      </c>
      <c r="K153" s="15" t="n">
        <f aca="false">E153/H153</f>
        <v>970.280613884621</v>
      </c>
      <c r="L153" s="15" t="n">
        <f aca="false">J153/2-K153*ASINH(I153/(2*K153*SINH(J153/(2*K153))))</f>
        <v>16.7650534476105</v>
      </c>
      <c r="M153" s="15" t="n">
        <f aca="false">-L153/K153</f>
        <v>-0.0172785616941163</v>
      </c>
      <c r="N153" s="15" t="n">
        <f aca="false">(J153-L153)/K153</f>
        <v>0.0580702661187319</v>
      </c>
      <c r="O153" s="15" t="n">
        <f aca="false">K153*(SINH(N153)-SINH(M153))</f>
        <v>73.1420135013858</v>
      </c>
      <c r="P153" s="15" t="n">
        <f aca="false">E153*COSH(M153)</f>
        <v>3741.40951176729</v>
      </c>
      <c r="Q153" s="15" t="n">
        <f aca="false">E153*COSH(N153)</f>
        <v>3747.16022377664</v>
      </c>
    </row>
    <row r="154" customFormat="false" ht="21" hidden="false" customHeight="true" outlineLevel="0" collapsed="false">
      <c r="A154" s="1" t="s">
        <v>348</v>
      </c>
      <c r="B154" s="1" t="s">
        <v>322</v>
      </c>
      <c r="C154" s="15" t="n">
        <v>73.109506905737</v>
      </c>
      <c r="D154" s="15" t="n">
        <v>1.49158687482104</v>
      </c>
      <c r="E154" s="15" t="n">
        <v>3448.26408322849</v>
      </c>
      <c r="F154" s="15" t="n">
        <v>2.33651151473205</v>
      </c>
      <c r="G154" s="15" t="n">
        <v>1.43495625</v>
      </c>
      <c r="H154" s="15" t="n">
        <f aca="false">SQRT(F154^2+G154^2)</f>
        <v>2.74196745018783</v>
      </c>
      <c r="I154" s="15" t="n">
        <f aca="false">D154*F154/H154</f>
        <v>1.27102526618389</v>
      </c>
      <c r="J154" s="15" t="n">
        <f aca="false">SQRT(C154^2+D154^2-I154^2)</f>
        <v>73.1136740027326</v>
      </c>
      <c r="K154" s="15" t="n">
        <f aca="false">E154/H154</f>
        <v>1257.58753372228</v>
      </c>
      <c r="L154" s="15" t="n">
        <f aca="false">J154/2-K154*ASINH(I154/(2*K154*SINH(J154/(2*K154))))</f>
        <v>14.6988194065637</v>
      </c>
      <c r="M154" s="15" t="n">
        <f aca="false">-L154/K154</f>
        <v>-0.0116881083919918</v>
      </c>
      <c r="N154" s="15" t="n">
        <f aca="false">(J154-L154)/K154</f>
        <v>0.0464499313405796</v>
      </c>
      <c r="O154" s="15" t="n">
        <f aca="false">K154*(SINH(N154)-SINH(M154))</f>
        <v>73.1350168874252</v>
      </c>
      <c r="P154" s="15" t="n">
        <f aca="false">E154*COSH(M154)</f>
        <v>3448.49962282568</v>
      </c>
      <c r="Q154" s="15" t="n">
        <f aca="false">E154*COSH(N154)</f>
        <v>3451.98473273393</v>
      </c>
    </row>
    <row r="155" customFormat="false" ht="21" hidden="false" customHeight="true" outlineLevel="0" collapsed="false">
      <c r="A155" s="1" t="s">
        <v>348</v>
      </c>
      <c r="B155" s="1" t="s">
        <v>323</v>
      </c>
      <c r="C155" s="15" t="n">
        <v>73.109506905737</v>
      </c>
      <c r="D155" s="15" t="n">
        <v>1.49158687482104</v>
      </c>
      <c r="E155" s="15" t="n">
        <v>3468.92236570339</v>
      </c>
      <c r="F155" s="15" t="n">
        <v>1.32389775</v>
      </c>
      <c r="G155" s="15" t="n">
        <v>0</v>
      </c>
      <c r="H155" s="15" t="n">
        <f aca="false">SQRT(F155^2+G155^2)</f>
        <v>1.32389775</v>
      </c>
      <c r="I155" s="15" t="n">
        <f aca="false">D155*F155/H155</f>
        <v>1.49158687482104</v>
      </c>
      <c r="J155" s="15" t="n">
        <f aca="false">SQRT(C155^2+D155^2-I155^2)</f>
        <v>73.109506905737</v>
      </c>
      <c r="K155" s="15" t="n">
        <f aca="false">E155/H155</f>
        <v>2620.23435397741</v>
      </c>
      <c r="L155" s="15" t="n">
        <f aca="false">J155/2-K155*ASINH(I155/(2*K155*SINH(J155/(2*K155))))</f>
        <v>-16.8980668806643</v>
      </c>
      <c r="M155" s="15" t="n">
        <f aca="false">-L155/K155</f>
        <v>0.00644906699090245</v>
      </c>
      <c r="N155" s="15" t="n">
        <f aca="false">(J155-L155)/K155</f>
        <v>0.0343509631685324</v>
      </c>
      <c r="O155" s="15" t="n">
        <f aca="false">K155*(SINH(N155)-SINH(M155))</f>
        <v>73.12709213637</v>
      </c>
      <c r="P155" s="15" t="n">
        <f aca="false">E155*COSH(M155)</f>
        <v>3468.99450300062</v>
      </c>
      <c r="Q155" s="15" t="n">
        <f aca="false">E155*COSH(N155)</f>
        <v>3470.96921150813</v>
      </c>
    </row>
    <row r="156" customFormat="false" ht="21" hidden="false" customHeight="true" outlineLevel="0" collapsed="false">
      <c r="A156" s="1" t="s">
        <v>348</v>
      </c>
      <c r="B156" s="1" t="s">
        <v>324</v>
      </c>
      <c r="C156" s="15" t="n">
        <v>73.109506905737</v>
      </c>
      <c r="D156" s="15" t="n">
        <v>1.49158687482104</v>
      </c>
      <c r="E156" s="15" t="n">
        <v>555.091536277162</v>
      </c>
      <c r="F156" s="15" t="n">
        <v>1.32389775</v>
      </c>
      <c r="G156" s="15" t="n">
        <v>0</v>
      </c>
      <c r="H156" s="15" t="n">
        <f aca="false">SQRT(F156^2+G156^2)</f>
        <v>1.32389775</v>
      </c>
      <c r="I156" s="15" t="n">
        <f aca="false">D156*F156/H156</f>
        <v>1.49158687482104</v>
      </c>
      <c r="J156" s="15" t="n">
        <f aca="false">SQRT(C156^2+D156^2-I156^2)</f>
        <v>73.109506905737</v>
      </c>
      <c r="K156" s="15" t="n">
        <f aca="false">E156/H156</f>
        <v>419.285806836036</v>
      </c>
      <c r="L156" s="15" t="n">
        <f aca="false">J156/2-K156*ASINH(I156/(2*K156*SINH(J156/(2*K156))))</f>
        <v>28.0118641954561</v>
      </c>
      <c r="M156" s="15" t="n">
        <f aca="false">-L156/K156</f>
        <v>-0.0668085199612071</v>
      </c>
      <c r="N156" s="15" t="n">
        <f aca="false">(J156-L156)/K156</f>
        <v>0.107558238258984</v>
      </c>
      <c r="O156" s="15" t="n">
        <f aca="false">K156*(SINH(N156)-SINH(M156))</f>
        <v>73.2173538701021</v>
      </c>
      <c r="P156" s="15" t="n">
        <f aca="false">E156*COSH(M156)</f>
        <v>556.330788881787</v>
      </c>
      <c r="Q156" s="15" t="n">
        <f aca="false">E156*COSH(N156)</f>
        <v>558.305497389292</v>
      </c>
    </row>
    <row r="157" customFormat="false" ht="21" hidden="false" customHeight="true" outlineLevel="0" collapsed="false">
      <c r="A157" s="1" t="s">
        <v>349</v>
      </c>
      <c r="B157" s="1" t="s">
        <v>319</v>
      </c>
      <c r="C157" s="15" t="n">
        <v>73.109506905737</v>
      </c>
      <c r="D157" s="15" t="n">
        <v>6.83452766387709</v>
      </c>
      <c r="E157" s="15" t="n">
        <v>2205.0000000001</v>
      </c>
      <c r="F157" s="15" t="n">
        <v>1.32389775</v>
      </c>
      <c r="G157" s="15" t="n">
        <v>0</v>
      </c>
      <c r="H157" s="15" t="n">
        <f aca="false">SQRT(F157^2+G157^2)</f>
        <v>1.32389775</v>
      </c>
      <c r="I157" s="15" t="n">
        <f aca="false">D157*F157/H157</f>
        <v>6.83452766387709</v>
      </c>
      <c r="J157" s="15" t="n">
        <f aca="false">SQRT(C157^2+D157^2-I157^2)</f>
        <v>73.109506905737</v>
      </c>
      <c r="K157" s="15" t="n">
        <f aca="false">E157/H157</f>
        <v>1665.53648119736</v>
      </c>
      <c r="L157" s="15" t="n">
        <f aca="false">J157/2-K157*ASINH(I157/(2*K157*SINH(J157/(2*K157))))</f>
        <v>-118.906974884507</v>
      </c>
      <c r="M157" s="15" t="n">
        <f aca="false">-L157/K157</f>
        <v>0.0713925970561895</v>
      </c>
      <c r="N157" s="15" t="n">
        <f aca="false">(J157-L157)/K157</f>
        <v>0.115288067213156</v>
      </c>
      <c r="O157" s="15" t="n">
        <f aca="false">K157*(SINH(N157)-SINH(M157))</f>
        <v>73.4341137198793</v>
      </c>
      <c r="P157" s="15" t="n">
        <f aca="false">E157*COSH(M157)</f>
        <v>2210.62172263608</v>
      </c>
      <c r="Q157" s="15" t="n">
        <f aca="false">E157*COSH(N157)</f>
        <v>2219.6699384326</v>
      </c>
    </row>
    <row r="158" customFormat="false" ht="21" hidden="false" customHeight="true" outlineLevel="0" collapsed="false">
      <c r="A158" s="1" t="s">
        <v>349</v>
      </c>
      <c r="B158" s="1" t="s">
        <v>320</v>
      </c>
      <c r="C158" s="15" t="n">
        <v>73.109506905737</v>
      </c>
      <c r="D158" s="15" t="n">
        <v>6.83452766387709</v>
      </c>
      <c r="E158" s="15" t="n">
        <v>3456.3799129931</v>
      </c>
      <c r="F158" s="15" t="n">
        <v>1.32389775</v>
      </c>
      <c r="G158" s="15" t="n">
        <v>3.443895</v>
      </c>
      <c r="H158" s="15" t="n">
        <f aca="false">SQRT(F158^2+G158^2)</f>
        <v>3.68959591601574</v>
      </c>
      <c r="I158" s="15" t="n">
        <f aca="false">D158*F158/H158</f>
        <v>2.45235955440087</v>
      </c>
      <c r="J158" s="15" t="n">
        <f aca="false">SQRT(C158^2+D158^2-I158^2)</f>
        <v>73.387306129904</v>
      </c>
      <c r="K158" s="15" t="n">
        <f aca="false">E158/H158</f>
        <v>936.790909267244</v>
      </c>
      <c r="L158" s="15" t="n">
        <f aca="false">J158/2-K158*ASINH(I158/(2*K158*SINH(J158/(2*K158))))</f>
        <v>5.40304043896061</v>
      </c>
      <c r="M158" s="15" t="n">
        <f aca="false">-L158/K158</f>
        <v>-0.00576760554090652</v>
      </c>
      <c r="N158" s="15" t="n">
        <f aca="false">(J158-L158)/K158</f>
        <v>0.0725714404552885</v>
      </c>
      <c r="O158" s="15" t="n">
        <f aca="false">K158*(SINH(N158)-SINH(M158))</f>
        <v>73.4470262822188</v>
      </c>
      <c r="P158" s="15" t="n">
        <f aca="false">E158*COSH(M158)</f>
        <v>3456.43740186433</v>
      </c>
      <c r="Q158" s="15" t="n">
        <f aca="false">E158*COSH(N158)</f>
        <v>3465.48561766085</v>
      </c>
    </row>
    <row r="159" customFormat="false" ht="21" hidden="false" customHeight="true" outlineLevel="0" collapsed="false">
      <c r="A159" s="1" t="s">
        <v>349</v>
      </c>
      <c r="B159" s="1" t="s">
        <v>321</v>
      </c>
      <c r="C159" s="15" t="n">
        <v>73.109506905737</v>
      </c>
      <c r="D159" s="15" t="n">
        <v>6.83452766387709</v>
      </c>
      <c r="E159" s="15" t="n">
        <v>3733.41025245571</v>
      </c>
      <c r="F159" s="15" t="n">
        <v>3.85543216183014</v>
      </c>
      <c r="G159" s="15" t="n">
        <v>0</v>
      </c>
      <c r="H159" s="15" t="n">
        <f aca="false">SQRT(F159^2+G159^2)</f>
        <v>3.85543216183014</v>
      </c>
      <c r="I159" s="15" t="n">
        <f aca="false">D159*F159/H159</f>
        <v>6.83452766387709</v>
      </c>
      <c r="J159" s="15" t="n">
        <f aca="false">SQRT(C159^2+D159^2-I159^2)</f>
        <v>73.109506905737</v>
      </c>
      <c r="K159" s="15" t="n">
        <f aca="false">E159/H159</f>
        <v>968.350653246481</v>
      </c>
      <c r="L159" s="15" t="n">
        <f aca="false">J159/2-K159*ASINH(I159/(2*K159*SINH(J159/(2*K159))))</f>
        <v>-53.8172507348698</v>
      </c>
      <c r="M159" s="15" t="n">
        <f aca="false">-L159/K159</f>
        <v>0.055576201197823</v>
      </c>
      <c r="N159" s="15" t="n">
        <f aca="false">(J159-L159)/K159</f>
        <v>0.131075202164705</v>
      </c>
      <c r="O159" s="15" t="n">
        <f aca="false">K159*(SINH(N159)-SINH(M159))</f>
        <v>73.4455592258794</v>
      </c>
      <c r="P159" s="15" t="n">
        <f aca="false">E159*COSH(M159)</f>
        <v>3739.17745518101</v>
      </c>
      <c r="Q159" s="15" t="n">
        <f aca="false">E159*COSH(N159)</f>
        <v>3765.52751294724</v>
      </c>
    </row>
    <row r="160" customFormat="false" ht="21" hidden="false" customHeight="true" outlineLevel="0" collapsed="false">
      <c r="A160" s="1" t="s">
        <v>349</v>
      </c>
      <c r="B160" s="1" t="s">
        <v>322</v>
      </c>
      <c r="C160" s="15" t="n">
        <v>73.109506905737</v>
      </c>
      <c r="D160" s="15" t="n">
        <v>6.83452766387709</v>
      </c>
      <c r="E160" s="15" t="n">
        <v>3447.62046351597</v>
      </c>
      <c r="F160" s="15" t="n">
        <v>2.33651151473205</v>
      </c>
      <c r="G160" s="15" t="n">
        <v>1.43495625</v>
      </c>
      <c r="H160" s="15" t="n">
        <f aca="false">SQRT(F160^2+G160^2)</f>
        <v>2.74196745018783</v>
      </c>
      <c r="I160" s="15" t="n">
        <f aca="false">D160*F160/H160</f>
        <v>5.8239030457162</v>
      </c>
      <c r="J160" s="15" t="n">
        <f aca="false">SQRT(C160^2+D160^2-I160^2)</f>
        <v>73.1969461227885</v>
      </c>
      <c r="K160" s="15" t="n">
        <f aca="false">E160/H160</f>
        <v>1257.35280456367</v>
      </c>
      <c r="L160" s="15" t="n">
        <f aca="false">J160/2-K160*ASINH(I160/(2*K160*SINH(J160/(2*K160))))</f>
        <v>-63.3232632741309</v>
      </c>
      <c r="M160" s="15" t="n">
        <f aca="false">-L160/K160</f>
        <v>0.0503623669063237</v>
      </c>
      <c r="N160" s="15" t="n">
        <f aca="false">(J160-L160)/K160</f>
        <v>0.108577488276486</v>
      </c>
      <c r="O160" s="15" t="n">
        <f aca="false">K160*(SINH(N160)-SINH(M160))</f>
        <v>73.4385734441281</v>
      </c>
      <c r="P160" s="15" t="n">
        <f aca="false">E160*COSH(M160)</f>
        <v>3451.99360483401</v>
      </c>
      <c r="Q160" s="15" t="n">
        <f aca="false">E160*COSH(N160)</f>
        <v>3467.96255741841</v>
      </c>
    </row>
    <row r="161" customFormat="false" ht="21" hidden="false" customHeight="true" outlineLevel="0" collapsed="false">
      <c r="A161" s="1" t="s">
        <v>349</v>
      </c>
      <c r="B161" s="1" t="s">
        <v>323</v>
      </c>
      <c r="C161" s="15" t="n">
        <v>73.109506905737</v>
      </c>
      <c r="D161" s="15" t="n">
        <v>6.83452766387709</v>
      </c>
      <c r="E161" s="15" t="n">
        <v>3465.11437989479</v>
      </c>
      <c r="F161" s="15" t="n">
        <v>1.32389775</v>
      </c>
      <c r="G161" s="15" t="n">
        <v>0</v>
      </c>
      <c r="H161" s="15" t="n">
        <f aca="false">SQRT(F161^2+G161^2)</f>
        <v>1.32389775</v>
      </c>
      <c r="I161" s="15" t="n">
        <f aca="false">D161*F161/H161</f>
        <v>6.83452766387709</v>
      </c>
      <c r="J161" s="15" t="n">
        <f aca="false">SQRT(C161^2+D161^2-I161^2)</f>
        <v>73.109506905737</v>
      </c>
      <c r="K161" s="15" t="n">
        <f aca="false">E161/H161</f>
        <v>2617.35800963087</v>
      </c>
      <c r="L161" s="15" t="n">
        <f aca="false">J161/2-K161*ASINH(I161/(2*K161*SINH(J161/(2*K161))))</f>
        <v>-207.761950232721</v>
      </c>
      <c r="M161" s="15" t="n">
        <f aca="false">-L161/K161</f>
        <v>0.0793784990315565</v>
      </c>
      <c r="N161" s="15" t="n">
        <f aca="false">(J161-L161)/K161</f>
        <v>0.107311057984792</v>
      </c>
      <c r="O161" s="15" t="n">
        <f aca="false">K161*(SINH(N161)-SINH(M161))</f>
        <v>73.4306360037471</v>
      </c>
      <c r="P161" s="15" t="n">
        <f aca="false">E161*COSH(M161)</f>
        <v>3476.0368627368</v>
      </c>
      <c r="Q161" s="15" t="n">
        <f aca="false">E161*COSH(N161)</f>
        <v>3485.08507853332</v>
      </c>
    </row>
    <row r="162" customFormat="false" ht="21" hidden="false" customHeight="true" outlineLevel="0" collapsed="false">
      <c r="A162" s="1" t="s">
        <v>349</v>
      </c>
      <c r="B162" s="1" t="s">
        <v>324</v>
      </c>
      <c r="C162" s="15" t="n">
        <v>73.109506905737</v>
      </c>
      <c r="D162" s="15" t="n">
        <v>6.83452766387709</v>
      </c>
      <c r="E162" s="15" t="n">
        <v>553.543194462791</v>
      </c>
      <c r="F162" s="15" t="n">
        <v>1.32389775</v>
      </c>
      <c r="G162" s="15" t="n">
        <v>0</v>
      </c>
      <c r="H162" s="15" t="n">
        <f aca="false">SQRT(F162^2+G162^2)</f>
        <v>1.32389775</v>
      </c>
      <c r="I162" s="15" t="n">
        <f aca="false">D162*F162/H162</f>
        <v>6.83452766387709</v>
      </c>
      <c r="J162" s="15" t="n">
        <f aca="false">SQRT(C162^2+D162^2-I162^2)</f>
        <v>73.109506905737</v>
      </c>
      <c r="K162" s="15" t="n">
        <f aca="false">E162/H162</f>
        <v>418.116274057261</v>
      </c>
      <c r="L162" s="15" t="n">
        <f aca="false">J162/2-K162*ASINH(I162/(2*K162*SINH(J162/(2*K162))))</f>
        <v>-2.42594909511234</v>
      </c>
      <c r="M162" s="15" t="n">
        <f aca="false">-L162/K162</f>
        <v>0.00580209201515105</v>
      </c>
      <c r="N162" s="15" t="n">
        <f aca="false">(J162-L162)/K162</f>
        <v>0.18065657973051</v>
      </c>
      <c r="O162" s="15" t="n">
        <f aca="false">K162*(SINH(N162)-SINH(M162))</f>
        <v>73.5210368865317</v>
      </c>
      <c r="P162" s="15" t="n">
        <f aca="false">E162*COSH(M162)</f>
        <v>553.552511803192</v>
      </c>
      <c r="Q162" s="15" t="n">
        <f aca="false">E162*COSH(N162)</f>
        <v>562.600727599712</v>
      </c>
    </row>
    <row r="163" customFormat="false" ht="21" hidden="false" customHeight="true" outlineLevel="0" collapsed="false">
      <c r="A163" s="1" t="s">
        <v>350</v>
      </c>
      <c r="B163" s="1" t="s">
        <v>319</v>
      </c>
      <c r="C163" s="15" t="n">
        <v>73.109506905737</v>
      </c>
      <c r="D163" s="15" t="n">
        <v>8.18310188827272</v>
      </c>
      <c r="E163" s="15" t="n">
        <v>2205.0000000001</v>
      </c>
      <c r="F163" s="15" t="n">
        <v>1.32389775</v>
      </c>
      <c r="G163" s="15" t="n">
        <v>0</v>
      </c>
      <c r="H163" s="15" t="n">
        <f aca="false">SQRT(F163^2+G163^2)</f>
        <v>1.32389775</v>
      </c>
      <c r="I163" s="15" t="n">
        <f aca="false">D163*F163/H163</f>
        <v>8.18310188827272</v>
      </c>
      <c r="J163" s="15" t="n">
        <f aca="false">SQRT(C163^2+D163^2-I163^2)</f>
        <v>73.109506905737</v>
      </c>
      <c r="K163" s="15" t="n">
        <f aca="false">E163/H163</f>
        <v>1665.53648119736</v>
      </c>
      <c r="L163" s="15" t="n">
        <f aca="false">J163/2-K163*ASINH(I163/(2*K163*SINH(J163/(2*K163))))</f>
        <v>-149.465764085676</v>
      </c>
      <c r="M163" s="15" t="n">
        <f aca="false">-L163/K163</f>
        <v>0.0897403123696361</v>
      </c>
      <c r="N163" s="15" t="n">
        <f aca="false">(J163-L163)/K163</f>
        <v>0.133635782526602</v>
      </c>
      <c r="O163" s="15" t="n">
        <f aca="false">K163*(SINH(N163)-SINH(M163))</f>
        <v>73.5718794509813</v>
      </c>
      <c r="P163" s="15" t="n">
        <f aca="false">E163*COSH(M163)</f>
        <v>2213.8847495867</v>
      </c>
      <c r="Q163" s="15" t="n">
        <f aca="false">E163*COSH(N163)</f>
        <v>2224.71833976461</v>
      </c>
    </row>
    <row r="164" customFormat="false" ht="21" hidden="false" customHeight="true" outlineLevel="0" collapsed="false">
      <c r="A164" s="1" t="s">
        <v>350</v>
      </c>
      <c r="B164" s="1" t="s">
        <v>320</v>
      </c>
      <c r="C164" s="15" t="n">
        <v>73.109506905737</v>
      </c>
      <c r="D164" s="15" t="n">
        <v>8.18310188827272</v>
      </c>
      <c r="E164" s="15" t="n">
        <v>3460.79987995681</v>
      </c>
      <c r="F164" s="15" t="n">
        <v>1.32389775</v>
      </c>
      <c r="G164" s="15" t="n">
        <v>3.443895</v>
      </c>
      <c r="H164" s="15" t="n">
        <f aca="false">SQRT(F164^2+G164^2)</f>
        <v>3.68959591601574</v>
      </c>
      <c r="I164" s="15" t="n">
        <f aca="false">D164*F164/H164</f>
        <v>2.93625384039448</v>
      </c>
      <c r="J164" s="15" t="n">
        <f aca="false">SQRT(C164^2+D164^2-I164^2)</f>
        <v>73.5074252705033</v>
      </c>
      <c r="K164" s="15" t="n">
        <f aca="false">E164/H164</f>
        <v>937.988863478037</v>
      </c>
      <c r="L164" s="15" t="n">
        <f aca="false">J164/2-K164*ASINH(I164/(2*K164*SINH(J164/(2*K164))))</f>
        <v>-0.694713944945598</v>
      </c>
      <c r="M164" s="15" t="n">
        <f aca="false">-L164/K164</f>
        <v>0.000740641996931197</v>
      </c>
      <c r="N164" s="15" t="n">
        <f aca="false">(J164-L164)/K164</f>
        <v>0.0791076974414274</v>
      </c>
      <c r="O164" s="15" t="n">
        <f aca="false">K164*(SINH(N164)-SINH(M164))</f>
        <v>73.5848426019663</v>
      </c>
      <c r="P164" s="15" t="n">
        <f aca="false">E164*COSH(M164)</f>
        <v>3460.80082916873</v>
      </c>
      <c r="Q164" s="15" t="n">
        <f aca="false">E164*COSH(N164)</f>
        <v>3471.63441934663</v>
      </c>
    </row>
    <row r="165" customFormat="false" ht="21" hidden="false" customHeight="true" outlineLevel="0" collapsed="false">
      <c r="A165" s="1" t="s">
        <v>350</v>
      </c>
      <c r="B165" s="1" t="s">
        <v>321</v>
      </c>
      <c r="C165" s="15" t="n">
        <v>73.109506905737</v>
      </c>
      <c r="D165" s="15" t="n">
        <v>8.18310188827272</v>
      </c>
      <c r="E165" s="15" t="n">
        <v>3730.05201335907</v>
      </c>
      <c r="F165" s="15" t="n">
        <v>3.85543216183014</v>
      </c>
      <c r="G165" s="15" t="n">
        <v>0</v>
      </c>
      <c r="H165" s="15" t="n">
        <f aca="false">SQRT(F165^2+G165^2)</f>
        <v>3.85543216183014</v>
      </c>
      <c r="I165" s="15" t="n">
        <f aca="false">D165*F165/H165</f>
        <v>8.18310188827272</v>
      </c>
      <c r="J165" s="15" t="n">
        <f aca="false">SQRT(C165^2+D165^2-I165^2)</f>
        <v>73.109506905737</v>
      </c>
      <c r="K165" s="15" t="n">
        <f aca="false">E165/H165</f>
        <v>967.479612347387</v>
      </c>
      <c r="L165" s="15" t="n">
        <f aca="false">J165/2-K165*ASINH(I165/(2*K165*SINH(J165/(2*K165))))</f>
        <v>-71.4841934636695</v>
      </c>
      <c r="M165" s="15" t="n">
        <f aca="false">-L165/K165</f>
        <v>0.0738870282653586</v>
      </c>
      <c r="N165" s="15" t="n">
        <f aca="false">(J165-L165)/K165</f>
        <v>0.14945400246583</v>
      </c>
      <c r="O165" s="15" t="n">
        <f aca="false">K165*(SINH(N165)-SINH(M165))</f>
        <v>73.5833346186701</v>
      </c>
      <c r="P165" s="15" t="n">
        <f aca="false">E165*COSH(M165)</f>
        <v>3740.23836960843</v>
      </c>
      <c r="Q165" s="15" t="n">
        <f aca="false">E165*COSH(N165)</f>
        <v>3771.78776381201</v>
      </c>
    </row>
    <row r="166" customFormat="false" ht="21" hidden="false" customHeight="true" outlineLevel="0" collapsed="false">
      <c r="A166" s="1" t="s">
        <v>350</v>
      </c>
      <c r="B166" s="1" t="s">
        <v>322</v>
      </c>
      <c r="C166" s="15" t="n">
        <v>73.109506905737</v>
      </c>
      <c r="D166" s="15" t="n">
        <v>8.18310188827272</v>
      </c>
      <c r="E166" s="15" t="n">
        <v>3447.33817709559</v>
      </c>
      <c r="F166" s="15" t="n">
        <v>2.33651151473205</v>
      </c>
      <c r="G166" s="15" t="n">
        <v>1.43495625</v>
      </c>
      <c r="H166" s="15" t="n">
        <f aca="false">SQRT(F166^2+G166^2)</f>
        <v>2.74196745018783</v>
      </c>
      <c r="I166" s="15" t="n">
        <f aca="false">D166*F166/H166</f>
        <v>6.9730630051298</v>
      </c>
      <c r="J166" s="15" t="n">
        <f aca="false">SQRT(C166^2+D166^2-I166^2)</f>
        <v>73.2348247000042</v>
      </c>
      <c r="K166" s="15" t="n">
        <f aca="false">E166/H166</f>
        <v>1257.24985424588</v>
      </c>
      <c r="L166" s="15" t="n">
        <f aca="false">J166/2-K166*ASINH(I166/(2*K166*SINH(J166/(2*K166))))</f>
        <v>-82.8947985731115</v>
      </c>
      <c r="M166" s="15" t="n">
        <f aca="false">-L166/K166</f>
        <v>0.0659334326372489</v>
      </c>
      <c r="N166" s="15" t="n">
        <f aca="false">(J166-L166)/K166</f>
        <v>0.124183449093948</v>
      </c>
      <c r="O166" s="15" t="n">
        <f aca="false">K166*(SINH(N166)-SINH(M166))</f>
        <v>73.5763538176058</v>
      </c>
      <c r="P166" s="15" t="n">
        <f aca="false">E166*COSH(M166)</f>
        <v>3454.83405651738</v>
      </c>
      <c r="Q166" s="15" t="n">
        <f aca="false">E166*COSH(N166)</f>
        <v>3473.95396830556</v>
      </c>
    </row>
    <row r="167" customFormat="false" ht="21" hidden="false" customHeight="true" outlineLevel="0" collapsed="false">
      <c r="A167" s="1" t="s">
        <v>350</v>
      </c>
      <c r="B167" s="1" t="s">
        <v>323</v>
      </c>
      <c r="C167" s="15" t="n">
        <v>73.109506905737</v>
      </c>
      <c r="D167" s="15" t="n">
        <v>8.18310188827272</v>
      </c>
      <c r="E167" s="15" t="n">
        <v>3463.3902664788</v>
      </c>
      <c r="F167" s="15" t="n">
        <v>1.32389775</v>
      </c>
      <c r="G167" s="15" t="n">
        <v>0</v>
      </c>
      <c r="H167" s="15" t="n">
        <f aca="false">SQRT(F167^2+G167^2)</f>
        <v>1.32389775</v>
      </c>
      <c r="I167" s="15" t="n">
        <f aca="false">D167*F167/H167</f>
        <v>8.18310188827272</v>
      </c>
      <c r="J167" s="15" t="n">
        <f aca="false">SQRT(C167^2+D167^2-I167^2)</f>
        <v>73.109506905737</v>
      </c>
      <c r="K167" s="15" t="n">
        <f aca="false">E167/H167</f>
        <v>2616.05570859139</v>
      </c>
      <c r="L167" s="15" t="n">
        <f aca="false">J167/2-K167*ASINH(I167/(2*K167*SINH(J167/(2*K167))))</f>
        <v>-255.641292308423</v>
      </c>
      <c r="M167" s="15" t="n">
        <f aca="false">-L167/K167</f>
        <v>0.0977201255572928</v>
      </c>
      <c r="N167" s="15" t="n">
        <f aca="false">(J167-L167)/K167</f>
        <v>0.125666589642762</v>
      </c>
      <c r="O167" s="15" t="n">
        <f aca="false">K167*(SINH(N167)-SINH(M167))</f>
        <v>73.5684105995871</v>
      </c>
      <c r="P167" s="15" t="n">
        <f aca="false">E167*COSH(M167)</f>
        <v>3479.93977265979</v>
      </c>
      <c r="Q167" s="15" t="n">
        <f aca="false">E167*COSH(N167)</f>
        <v>3490.7733628377</v>
      </c>
    </row>
    <row r="168" customFormat="false" ht="21" hidden="false" customHeight="true" outlineLevel="0" collapsed="false">
      <c r="A168" s="1" t="s">
        <v>350</v>
      </c>
      <c r="B168" s="1" t="s">
        <v>324</v>
      </c>
      <c r="C168" s="15" t="n">
        <v>73.109506905737</v>
      </c>
      <c r="D168" s="15" t="n">
        <v>8.18310188827272</v>
      </c>
      <c r="E168" s="15" t="n">
        <v>552.845011249365</v>
      </c>
      <c r="F168" s="15" t="n">
        <v>1.32389775</v>
      </c>
      <c r="G168" s="15" t="n">
        <v>0</v>
      </c>
      <c r="H168" s="15" t="n">
        <f aca="false">SQRT(F168^2+G168^2)</f>
        <v>1.32389775</v>
      </c>
      <c r="I168" s="15" t="n">
        <f aca="false">D168*F168/H168</f>
        <v>8.18310188827272</v>
      </c>
      <c r="J168" s="15" t="n">
        <f aca="false">SQRT(C168^2+D168^2-I168^2)</f>
        <v>73.109506905737</v>
      </c>
      <c r="K168" s="15" t="n">
        <f aca="false">E168/H168</f>
        <v>417.588904618476</v>
      </c>
      <c r="L168" s="15" t="n">
        <f aca="false">J168/2-K168*ASINH(I168/(2*K168*SINH(J168/(2*K168))))</f>
        <v>-10.0293937972911</v>
      </c>
      <c r="M168" s="15" t="n">
        <f aca="false">-L168/K168</f>
        <v>0.0240173857264104</v>
      </c>
      <c r="N168" s="15" t="n">
        <f aca="false">(J168-L168)/K168</f>
        <v>0.199092695671564</v>
      </c>
      <c r="O168" s="15" t="n">
        <f aca="false">K168*(SINH(N168)-SINH(M168))</f>
        <v>73.6588741541518</v>
      </c>
      <c r="P168" s="15" t="n">
        <f aca="false">E168*COSH(M168)</f>
        <v>553.004469039694</v>
      </c>
      <c r="Q168" s="15" t="n">
        <f aca="false">E168*COSH(N168)</f>
        <v>563.838059217599</v>
      </c>
    </row>
    <row r="169" customFormat="false" ht="21" hidden="false" customHeight="true" outlineLevel="0" collapsed="false">
      <c r="A169" s="1" t="s">
        <v>351</v>
      </c>
      <c r="B169" s="1" t="s">
        <v>319</v>
      </c>
      <c r="C169" s="15" t="n">
        <v>59.012595568569</v>
      </c>
      <c r="D169" s="15" t="n">
        <v>5.31581794660506</v>
      </c>
      <c r="E169" s="15" t="n">
        <v>2204.9999999999</v>
      </c>
      <c r="F169" s="15" t="n">
        <v>1.32389775</v>
      </c>
      <c r="G169" s="15" t="n">
        <v>0</v>
      </c>
      <c r="H169" s="15" t="n">
        <f aca="false">SQRT(F169^2+G169^2)</f>
        <v>1.32389775</v>
      </c>
      <c r="I169" s="15" t="n">
        <f aca="false">D169*F169/H169</f>
        <v>5.31581794660506</v>
      </c>
      <c r="J169" s="15" t="n">
        <f aca="false">SQRT(C169^2+D169^2-I169^2)</f>
        <v>59.012595568569</v>
      </c>
      <c r="K169" s="15" t="n">
        <f aca="false">E169/H169</f>
        <v>1665.53648119721</v>
      </c>
      <c r="L169" s="15" t="n">
        <f aca="false">J169/2-K169*ASINH(I169/(2*K169*SINH(J169/(2*K169))))</f>
        <v>-120.314216528063</v>
      </c>
      <c r="M169" s="15" t="n">
        <f aca="false">-L169/K169</f>
        <v>0.0722375149907132</v>
      </c>
      <c r="N169" s="15" t="n">
        <f aca="false">(J169-L169)/K169</f>
        <v>0.107669098888623</v>
      </c>
      <c r="O169" s="15" t="n">
        <f aca="false">K169*(SINH(N169)-SINH(M169))</f>
        <v>59.2546090757415</v>
      </c>
      <c r="P169" s="15" t="n">
        <f aca="false">E169*COSH(M169)</f>
        <v>2210.75563228746</v>
      </c>
      <c r="Q169" s="15" t="n">
        <f aca="false">E169*COSH(N169)</f>
        <v>2217.79323170638</v>
      </c>
    </row>
    <row r="170" customFormat="false" ht="21" hidden="false" customHeight="true" outlineLevel="0" collapsed="false">
      <c r="A170" s="1" t="s">
        <v>351</v>
      </c>
      <c r="B170" s="1" t="s">
        <v>320</v>
      </c>
      <c r="C170" s="15" t="n">
        <v>59.012595568569</v>
      </c>
      <c r="D170" s="15" t="n">
        <v>5.31581794660506</v>
      </c>
      <c r="E170" s="15" t="n">
        <v>3313.05251818363</v>
      </c>
      <c r="F170" s="15" t="n">
        <v>1.32389775</v>
      </c>
      <c r="G170" s="15" t="n">
        <v>3.443895</v>
      </c>
      <c r="H170" s="15" t="n">
        <f aca="false">SQRT(F170^2+G170^2)</f>
        <v>3.68959591601574</v>
      </c>
      <c r="I170" s="15" t="n">
        <f aca="false">D170*F170/H170</f>
        <v>1.90741739179929</v>
      </c>
      <c r="J170" s="15" t="n">
        <f aca="false">SQRT(C170^2+D170^2-I170^2)</f>
        <v>59.2208250117676</v>
      </c>
      <c r="K170" s="15" t="n">
        <f aca="false">E170/H170</f>
        <v>897.944542870503</v>
      </c>
      <c r="L170" s="15" t="n">
        <f aca="false">J170/2-K170*ASINH(I170/(2*K170*SINH(J170/(2*K170))))</f>
        <v>0.699149712355759</v>
      </c>
      <c r="M170" s="15" t="n">
        <f aca="false">-L170/K170</f>
        <v>-0.000778611238196017</v>
      </c>
      <c r="N170" s="15" t="n">
        <f aca="false">(J170-L170)/K170</f>
        <v>0.065172928288347</v>
      </c>
      <c r="O170" s="15" t="n">
        <f aca="false">K170*(SINH(N170)-SINH(M170))</f>
        <v>59.2622624542293</v>
      </c>
      <c r="P170" s="15" t="n">
        <f aca="false">E170*COSH(M170)</f>
        <v>3313.05352242864</v>
      </c>
      <c r="Q170" s="15" t="n">
        <f aca="false">E170*COSH(N170)</f>
        <v>3320.09112184756</v>
      </c>
    </row>
    <row r="171" customFormat="false" ht="21" hidden="false" customHeight="true" outlineLevel="0" collapsed="false">
      <c r="A171" s="1" t="s">
        <v>351</v>
      </c>
      <c r="B171" s="1" t="s">
        <v>321</v>
      </c>
      <c r="C171" s="15" t="n">
        <v>59.012595568569</v>
      </c>
      <c r="D171" s="15" t="n">
        <v>5.31581794660506</v>
      </c>
      <c r="E171" s="15" t="n">
        <v>3603.03963175686</v>
      </c>
      <c r="F171" s="15" t="n">
        <v>3.85543216183014</v>
      </c>
      <c r="G171" s="15" t="n">
        <v>0</v>
      </c>
      <c r="H171" s="15" t="n">
        <f aca="false">SQRT(F171^2+G171^2)</f>
        <v>3.85543216183014</v>
      </c>
      <c r="I171" s="15" t="n">
        <f aca="false">D171*F171/H171</f>
        <v>5.31581794660506</v>
      </c>
      <c r="J171" s="15" t="n">
        <f aca="false">SQRT(C171^2+D171^2-I171^2)</f>
        <v>59.012595568569</v>
      </c>
      <c r="K171" s="15" t="n">
        <f aca="false">E171/H171</f>
        <v>934.53586537664</v>
      </c>
      <c r="L171" s="15" t="n">
        <f aca="false">J171/2-K171*ASINH(I171/(2*K171*SINH(J171/(2*K171))))</f>
        <v>-54.5487508339126</v>
      </c>
      <c r="M171" s="15" t="n">
        <f aca="false">-L171/K171</f>
        <v>0.05836988483254</v>
      </c>
      <c r="N171" s="15" t="n">
        <f aca="false">(J171-L171)/K171</f>
        <v>0.121516306232628</v>
      </c>
      <c r="O171" s="15" t="n">
        <f aca="false">K171*(SINH(N171)-SINH(M171))</f>
        <v>59.2613002107788</v>
      </c>
      <c r="P171" s="15" t="n">
        <f aca="false">E171*COSH(M171)</f>
        <v>3609.1792309151</v>
      </c>
      <c r="Q171" s="15" t="n">
        <f aca="false">E171*COSH(N171)</f>
        <v>3629.67400639288</v>
      </c>
    </row>
    <row r="172" customFormat="false" ht="21" hidden="false" customHeight="true" outlineLevel="0" collapsed="false">
      <c r="A172" s="1" t="s">
        <v>351</v>
      </c>
      <c r="B172" s="1" t="s">
        <v>322</v>
      </c>
      <c r="C172" s="15" t="n">
        <v>59.012595568569</v>
      </c>
      <c r="D172" s="15" t="n">
        <v>5.31581794660506</v>
      </c>
      <c r="E172" s="15" t="n">
        <v>3392.30312184085</v>
      </c>
      <c r="F172" s="15" t="n">
        <v>2.33651151473205</v>
      </c>
      <c r="G172" s="15" t="n">
        <v>1.43495625</v>
      </c>
      <c r="H172" s="15" t="n">
        <f aca="false">SQRT(F172^2+G172^2)</f>
        <v>2.74196745018783</v>
      </c>
      <c r="I172" s="15" t="n">
        <f aca="false">D172*F172/H172</f>
        <v>4.52976560374967</v>
      </c>
      <c r="J172" s="15" t="n">
        <f aca="false">SQRT(C172^2+D172^2-I172^2)</f>
        <v>59.0781311464405</v>
      </c>
      <c r="K172" s="15" t="n">
        <f aca="false">E172/H172</f>
        <v>1237.17847985704</v>
      </c>
      <c r="L172" s="15" t="n">
        <f aca="false">J172/2-K172*ASINH(I172/(2*K172*SINH(J172/(2*K172))))</f>
        <v>-65.2188589551374</v>
      </c>
      <c r="M172" s="15" t="n">
        <f aca="false">-L172/K172</f>
        <v>0.0527158045641676</v>
      </c>
      <c r="N172" s="15" t="n">
        <f aca="false">(J172-L172)/K172</f>
        <v>0.100468115252006</v>
      </c>
      <c r="O172" s="15" t="n">
        <f aca="false">K172*(SINH(N172)-SINH(M172))</f>
        <v>59.2571314848844</v>
      </c>
      <c r="P172" s="15" t="n">
        <f aca="false">E172*COSH(M172)</f>
        <v>3397.01774414322</v>
      </c>
      <c r="Q172" s="15" t="n">
        <f aca="false">E172*COSH(N172)</f>
        <v>3409.43821398568</v>
      </c>
    </row>
    <row r="173" customFormat="false" ht="21" hidden="false" customHeight="true" outlineLevel="0" collapsed="false">
      <c r="A173" s="1" t="s">
        <v>351</v>
      </c>
      <c r="B173" s="1" t="s">
        <v>323</v>
      </c>
      <c r="C173" s="15" t="n">
        <v>59.012595568569</v>
      </c>
      <c r="D173" s="15" t="n">
        <v>5.31581794660506</v>
      </c>
      <c r="E173" s="15" t="n">
        <v>3514.0360600875</v>
      </c>
      <c r="F173" s="15" t="n">
        <v>1.32389775</v>
      </c>
      <c r="G173" s="15" t="n">
        <v>0</v>
      </c>
      <c r="H173" s="15" t="n">
        <f aca="false">SQRT(F173^2+G173^2)</f>
        <v>1.32389775</v>
      </c>
      <c r="I173" s="15" t="n">
        <f aca="false">D173*F173/H173</f>
        <v>5.31581794660506</v>
      </c>
      <c r="J173" s="15" t="n">
        <f aca="false">SQRT(C173^2+D173^2-I173^2)</f>
        <v>59.012595568569</v>
      </c>
      <c r="K173" s="15" t="n">
        <f aca="false">E173/H173</f>
        <v>2654.31077293356</v>
      </c>
      <c r="L173" s="15" t="n">
        <f aca="false">J173/2-K173*ASINH(I173/(2*K173*SINH(J173/(2*K173))))</f>
        <v>-209.265285367779</v>
      </c>
      <c r="M173" s="15" t="n">
        <f aca="false">-L173/K173</f>
        <v>0.078839783005702</v>
      </c>
      <c r="N173" s="15" t="n">
        <f aca="false">(J173-L173)/K173</f>
        <v>0.101072520848735</v>
      </c>
      <c r="O173" s="15" t="n">
        <f aca="false">K173*(SINH(N173)-SINH(M173))</f>
        <v>59.2527451381543</v>
      </c>
      <c r="P173" s="15" t="n">
        <f aca="false">E173*COSH(M173)</f>
        <v>3524.96283510751</v>
      </c>
      <c r="Q173" s="15" t="n">
        <f aca="false">E173*COSH(N173)</f>
        <v>3532.00043452643</v>
      </c>
    </row>
    <row r="174" customFormat="false" ht="21" hidden="false" customHeight="true" outlineLevel="0" collapsed="false">
      <c r="A174" s="1" t="s">
        <v>351</v>
      </c>
      <c r="B174" s="1" t="s">
        <v>324</v>
      </c>
      <c r="C174" s="15" t="n">
        <v>59.012595568569</v>
      </c>
      <c r="D174" s="15" t="n">
        <v>5.31581794660506</v>
      </c>
      <c r="E174" s="15" t="n">
        <v>457.756057471862</v>
      </c>
      <c r="F174" s="15" t="n">
        <v>1.32389775</v>
      </c>
      <c r="G174" s="15" t="n">
        <v>0</v>
      </c>
      <c r="H174" s="15" t="n">
        <f aca="false">SQRT(F174^2+G174^2)</f>
        <v>1.32389775</v>
      </c>
      <c r="I174" s="15" t="n">
        <f aca="false">D174*F174/H174</f>
        <v>5.31581794660506</v>
      </c>
      <c r="J174" s="15" t="n">
        <f aca="false">SQRT(C174^2+D174^2-I174^2)</f>
        <v>59.012595568569</v>
      </c>
      <c r="K174" s="15" t="n">
        <f aca="false">E174/H174</f>
        <v>345.763906216974</v>
      </c>
      <c r="L174" s="15" t="n">
        <f aca="false">J174/2-K174*ASINH(I174/(2*K174*SINH(J174/(2*K174))))</f>
        <v>-1.56031300190909</v>
      </c>
      <c r="M174" s="15" t="n">
        <f aca="false">-L174/K174</f>
        <v>0.00451265436864299</v>
      </c>
      <c r="N174" s="15" t="n">
        <f aca="false">(J174-L174)/K174</f>
        <v>0.175185748082298</v>
      </c>
      <c r="O174" s="15" t="n">
        <f aca="false">K174*(SINH(N174)-SINH(M174))</f>
        <v>59.3228969517048</v>
      </c>
      <c r="P174" s="15" t="n">
        <f aca="false">E174*COSH(M174)</f>
        <v>457.760718363267</v>
      </c>
      <c r="Q174" s="15" t="n">
        <f aca="false">E174*COSH(N174)</f>
        <v>464.798317782187</v>
      </c>
    </row>
    <row r="175" customFormat="false" ht="21" hidden="false" customHeight="true" outlineLevel="0" collapsed="false">
      <c r="A175" s="1" t="s">
        <v>352</v>
      </c>
      <c r="B175" s="1" t="s">
        <v>319</v>
      </c>
      <c r="C175" s="15" t="n">
        <v>14.142135623731</v>
      </c>
      <c r="D175" s="15" t="n">
        <v>3.34932084785523</v>
      </c>
      <c r="E175" s="15" t="n">
        <v>2205.00000000844</v>
      </c>
      <c r="F175" s="15" t="n">
        <v>1.32389775</v>
      </c>
      <c r="G175" s="15" t="n">
        <v>0</v>
      </c>
      <c r="H175" s="15" t="n">
        <f aca="false">SQRT(F175^2+G175^2)</f>
        <v>1.32389775</v>
      </c>
      <c r="I175" s="15" t="n">
        <f aca="false">D175*F175/H175</f>
        <v>3.34932084785523</v>
      </c>
      <c r="J175" s="15" t="n">
        <f aca="false">SQRT(C175^2+D175^2-I175^2)</f>
        <v>14.142135623731</v>
      </c>
      <c r="K175" s="15" t="n">
        <f aca="false">E175/H175</f>
        <v>1665.53648120366</v>
      </c>
      <c r="L175" s="15" t="n">
        <f aca="false">J175/2-K175*ASINH(I175/(2*K175*SINH(J175/(2*K175))))</f>
        <v>-383.78397393548</v>
      </c>
      <c r="M175" s="15" t="n">
        <f aca="false">-L175/K175</f>
        <v>0.23042663926408</v>
      </c>
      <c r="N175" s="15" t="n">
        <f aca="false">(J175-L175)/K175</f>
        <v>0.23891767850779</v>
      </c>
      <c r="O175" s="15" t="n">
        <f aca="false">K175*(SINH(N175)-SINH(M175))</f>
        <v>14.5333806037649</v>
      </c>
      <c r="P175" s="15" t="n">
        <f aca="false">E175*COSH(M175)</f>
        <v>2263.79829655004</v>
      </c>
      <c r="Q175" s="15" t="n">
        <f aca="false">E175*COSH(N175)</f>
        <v>2268.23245488455</v>
      </c>
    </row>
    <row r="176" customFormat="false" ht="21" hidden="false" customHeight="true" outlineLevel="0" collapsed="false">
      <c r="A176" s="1" t="s">
        <v>352</v>
      </c>
      <c r="B176" s="1" t="s">
        <v>320</v>
      </c>
      <c r="C176" s="15" t="n">
        <v>14.142135623731</v>
      </c>
      <c r="D176" s="15" t="n">
        <v>3.34932084785523</v>
      </c>
      <c r="E176" s="15" t="n">
        <v>2992.7573286489</v>
      </c>
      <c r="F176" s="15" t="n">
        <v>1.32389775</v>
      </c>
      <c r="G176" s="15" t="n">
        <v>3.443895</v>
      </c>
      <c r="H176" s="15" t="n">
        <f aca="false">SQRT(F176^2+G176^2)</f>
        <v>3.68959591601574</v>
      </c>
      <c r="I176" s="15" t="n">
        <f aca="false">D176*F176/H176</f>
        <v>1.2018005319379</v>
      </c>
      <c r="J176" s="15" t="n">
        <f aca="false">SQRT(C176^2+D176^2-I176^2)</f>
        <v>14.4835639820906</v>
      </c>
      <c r="K176" s="15" t="n">
        <f aca="false">E176/H176</f>
        <v>811.134172080465</v>
      </c>
      <c r="L176" s="15" t="n">
        <f aca="false">J176/2-K176*ASINH(I176/(2*K176*SINH(J176/(2*K176))))</f>
        <v>-59.9856900130411</v>
      </c>
      <c r="M176" s="15" t="n">
        <f aca="false">-L176/K176</f>
        <v>0.0739528577117948</v>
      </c>
      <c r="N176" s="15" t="n">
        <f aca="false">(J176-L176)/K176</f>
        <v>0.0918087987886476</v>
      </c>
      <c r="O176" s="15" t="n">
        <f aca="false">K176*(SINH(N176)-SINH(M176))</f>
        <v>14.5335310159817</v>
      </c>
      <c r="P176" s="15" t="n">
        <f aca="false">E176*COSH(M176)</f>
        <v>3000.94479165185</v>
      </c>
      <c r="Q176" s="15" t="n">
        <f aca="false">E176*COSH(N176)</f>
        <v>3005.37894998636</v>
      </c>
    </row>
    <row r="177" customFormat="false" ht="21" hidden="false" customHeight="true" outlineLevel="0" collapsed="false">
      <c r="A177" s="1" t="s">
        <v>352</v>
      </c>
      <c r="B177" s="1" t="s">
        <v>321</v>
      </c>
      <c r="C177" s="15" t="n">
        <v>14.142135623731</v>
      </c>
      <c r="D177" s="15" t="n">
        <v>3.34932084785523</v>
      </c>
      <c r="E177" s="15" t="n">
        <v>3258.96908046275</v>
      </c>
      <c r="F177" s="15" t="n">
        <v>3.85543216183014</v>
      </c>
      <c r="G177" s="15" t="n">
        <v>0</v>
      </c>
      <c r="H177" s="15" t="n">
        <f aca="false">SQRT(F177^2+G177^2)</f>
        <v>3.85543216183014</v>
      </c>
      <c r="I177" s="15" t="n">
        <f aca="false">D177*F177/H177</f>
        <v>3.34932084785523</v>
      </c>
      <c r="J177" s="15" t="n">
        <f aca="false">SQRT(C177^2+D177^2-I177^2)</f>
        <v>14.142135623731</v>
      </c>
      <c r="K177" s="15" t="n">
        <f aca="false">E177/H177</f>
        <v>845.292808605859</v>
      </c>
      <c r="L177" s="15" t="n">
        <f aca="false">J177/2-K177*ASINH(I177/(2*K177*SINH(J177/(2*K177))))</f>
        <v>-191.293933725639</v>
      </c>
      <c r="M177" s="15" t="n">
        <f aca="false">-L177/K177</f>
        <v>0.226304934548231</v>
      </c>
      <c r="N177" s="15" t="n">
        <f aca="false">(J177-L177)/K177</f>
        <v>0.243035392301746</v>
      </c>
      <c r="O177" s="15" t="n">
        <f aca="false">K177*(SINH(N177)-SINH(M177))</f>
        <v>14.5334997616661</v>
      </c>
      <c r="P177" s="15" t="n">
        <f aca="false">E177*COSH(M177)</f>
        <v>3342.77814541681</v>
      </c>
      <c r="Q177" s="15" t="n">
        <f aca="false">E177*COSH(N177)</f>
        <v>3355.69122473392</v>
      </c>
    </row>
    <row r="178" customFormat="false" ht="21" hidden="false" customHeight="true" outlineLevel="0" collapsed="false">
      <c r="A178" s="1" t="s">
        <v>352</v>
      </c>
      <c r="B178" s="1" t="s">
        <v>322</v>
      </c>
      <c r="C178" s="15" t="n">
        <v>14.142135623731</v>
      </c>
      <c r="D178" s="15" t="n">
        <v>3.34932084785523</v>
      </c>
      <c r="E178" s="15" t="n">
        <v>3267.9446424478</v>
      </c>
      <c r="F178" s="15" t="n">
        <v>2.33651151473205</v>
      </c>
      <c r="G178" s="15" t="n">
        <v>1.43495625</v>
      </c>
      <c r="H178" s="15" t="n">
        <f aca="false">SQRT(F178^2+G178^2)</f>
        <v>2.74196745018783</v>
      </c>
      <c r="I178" s="15" t="n">
        <f aca="false">D178*F178/H178</f>
        <v>2.8540552977789</v>
      </c>
      <c r="J178" s="15" t="n">
        <f aca="false">SQRT(C178^2+D178^2-I178^2)</f>
        <v>14.2503445045759</v>
      </c>
      <c r="K178" s="15" t="n">
        <f aca="false">E178/H178</f>
        <v>1191.82473964961</v>
      </c>
      <c r="L178" s="15" t="n">
        <f aca="false">J178/2-K178*ASINH(I178/(2*K178*SINH(J178/(2*K178))))</f>
        <v>-230.004140877125</v>
      </c>
      <c r="M178" s="15" t="n">
        <f aca="false">-L178/K178</f>
        <v>0.192984868685261</v>
      </c>
      <c r="N178" s="15" t="n">
        <f aca="false">(J178-L178)/K178</f>
        <v>0.204941613691885</v>
      </c>
      <c r="O178" s="15" t="n">
        <f aca="false">K178*(SINH(N178)-SINH(M178))</f>
        <v>14.5334224973028</v>
      </c>
      <c r="P178" s="15" t="n">
        <f aca="false">E178*COSH(M178)</f>
        <v>3328.9880360915</v>
      </c>
      <c r="Q178" s="15" t="n">
        <f aca="false">E178*COSH(N178)</f>
        <v>3336.81376281904</v>
      </c>
    </row>
    <row r="179" customFormat="false" ht="21" hidden="false" customHeight="true" outlineLevel="0" collapsed="false">
      <c r="A179" s="1" t="s">
        <v>352</v>
      </c>
      <c r="B179" s="1" t="s">
        <v>323</v>
      </c>
      <c r="C179" s="15" t="n">
        <v>14.142135623731</v>
      </c>
      <c r="D179" s="15" t="n">
        <v>3.34932084785523</v>
      </c>
      <c r="E179" s="15" t="n">
        <v>3572.47525172862</v>
      </c>
      <c r="F179" s="15" t="n">
        <v>1.32389775</v>
      </c>
      <c r="G179" s="15" t="n">
        <v>0</v>
      </c>
      <c r="H179" s="15" t="n">
        <f aca="false">SQRT(F179^2+G179^2)</f>
        <v>1.32389775</v>
      </c>
      <c r="I179" s="15" t="n">
        <f aca="false">D179*F179/H179</f>
        <v>3.34932084785523</v>
      </c>
      <c r="J179" s="15" t="n">
        <f aca="false">SQRT(C179^2+D179^2-I179^2)</f>
        <v>14.142135623731</v>
      </c>
      <c r="K179" s="15" t="n">
        <f aca="false">E179/H179</f>
        <v>2698.45254418524</v>
      </c>
      <c r="L179" s="15" t="n">
        <f aca="false">J179/2-K179*ASINH(I179/(2*K179*SINH(J179/(2*K179))))</f>
        <v>-626.181772853615</v>
      </c>
      <c r="M179" s="15" t="n">
        <f aca="false">-L179/K179</f>
        <v>0.232052171605886</v>
      </c>
      <c r="N179" s="15" t="n">
        <f aca="false">(J179-L179)/K179</f>
        <v>0.237293003301891</v>
      </c>
      <c r="O179" s="15" t="n">
        <f aca="false">K179*(SINH(N179)-SINH(M179))</f>
        <v>14.5333550123239</v>
      </c>
      <c r="P179" s="15" t="n">
        <f aca="false">E179*COSH(M179)</f>
        <v>3669.0933455928</v>
      </c>
      <c r="Q179" s="15" t="n">
        <f aca="false">E179*COSH(N179)</f>
        <v>3673.52750392731</v>
      </c>
    </row>
    <row r="180" customFormat="false" ht="21" hidden="false" customHeight="true" outlineLevel="0" collapsed="false">
      <c r="A180" s="1" t="s">
        <v>352</v>
      </c>
      <c r="B180" s="1" t="s">
        <v>324</v>
      </c>
      <c r="C180" s="15" t="n">
        <v>14.142135623731</v>
      </c>
      <c r="D180" s="15" t="n">
        <v>3.34932084785523</v>
      </c>
      <c r="E180" s="15" t="n">
        <v>116.056534032536</v>
      </c>
      <c r="F180" s="15" t="n">
        <v>1.32389775</v>
      </c>
      <c r="G180" s="15" t="n">
        <v>0</v>
      </c>
      <c r="H180" s="15" t="n">
        <f aca="false">SQRT(F180^2+G180^2)</f>
        <v>1.32389775</v>
      </c>
      <c r="I180" s="15" t="n">
        <f aca="false">D180*F180/H180</f>
        <v>3.34932084785523</v>
      </c>
      <c r="J180" s="15" t="n">
        <f aca="false">SQRT(C180^2+D180^2-I180^2)</f>
        <v>14.142135623731</v>
      </c>
      <c r="K180" s="15" t="n">
        <f aca="false">E180/H180</f>
        <v>87.6627625000015</v>
      </c>
      <c r="L180" s="15" t="n">
        <f aca="false">J180/2-K180*ASINH(I180/(2*K180*SINH(J180/(2*K180))))</f>
        <v>-13.479110989182</v>
      </c>
      <c r="M180" s="15" t="n">
        <f aca="false">-L180/K180</f>
        <v>0.153760965372061</v>
      </c>
      <c r="N180" s="15" t="n">
        <f aca="false">(J180-L180)/K180</f>
        <v>0.315085286217309</v>
      </c>
      <c r="O180" s="15" t="n">
        <f aca="false">K180*(SINH(N180)-SINH(M180))</f>
        <v>14.5482674415907</v>
      </c>
      <c r="P180" s="15" t="n">
        <f aca="false">E180*COSH(M180)</f>
        <v>117.43116864351</v>
      </c>
      <c r="Q180" s="15" t="n">
        <f aca="false">E180*COSH(N180)</f>
        <v>121.865326978014</v>
      </c>
    </row>
    <row r="181" customFormat="false" ht="21" hidden="false" customHeight="true" outlineLevel="0" collapsed="false">
      <c r="A181" s="1" t="s">
        <v>353</v>
      </c>
      <c r="B181" s="1" t="s">
        <v>319</v>
      </c>
      <c r="C181" s="15" t="n">
        <v>81.9021902153393</v>
      </c>
      <c r="D181" s="15" t="n">
        <v>8.12235958309939</v>
      </c>
      <c r="E181" s="15" t="n">
        <v>2204.99999999934</v>
      </c>
      <c r="F181" s="15" t="n">
        <v>1.32389775</v>
      </c>
      <c r="G181" s="15" t="n">
        <v>0</v>
      </c>
      <c r="H181" s="15" t="n">
        <f aca="false">SQRT(F181^2+G181^2)</f>
        <v>1.32389775</v>
      </c>
      <c r="I181" s="15" t="n">
        <f aca="false">D181*F181/H181</f>
        <v>8.12235958309939</v>
      </c>
      <c r="J181" s="15" t="n">
        <f aca="false">SQRT(C181^2+D181^2-I181^2)</f>
        <v>81.9021902153393</v>
      </c>
      <c r="K181" s="15" t="n">
        <f aca="false">E181/H181</f>
        <v>1665.53648119678</v>
      </c>
      <c r="L181" s="15" t="n">
        <f aca="false">J181/2-K181*ASINH(I181/(2*K181*SINH(J181/(2*K181))))</f>
        <v>-123.936470232585</v>
      </c>
      <c r="M181" s="15" t="n">
        <f aca="false">-L181/K181</f>
        <v>0.0744123419881677</v>
      </c>
      <c r="N181" s="15" t="n">
        <f aca="false">(J181-L181)/K181</f>
        <v>0.123587002009117</v>
      </c>
      <c r="O181" s="15" t="n">
        <f aca="false">K181*(SINH(N181)-SINH(M181))</f>
        <v>82.3121700249214</v>
      </c>
      <c r="P181" s="15" t="n">
        <f aca="false">E181*COSH(M181)</f>
        <v>2211.10757675282</v>
      </c>
      <c r="Q181" s="15" t="n">
        <f aca="false">E181*COSH(N181)</f>
        <v>2221.86075032958</v>
      </c>
    </row>
    <row r="182" customFormat="false" ht="21" hidden="false" customHeight="true" outlineLevel="0" collapsed="false">
      <c r="A182" s="1" t="s">
        <v>353</v>
      </c>
      <c r="B182" s="1" t="s">
        <v>320</v>
      </c>
      <c r="C182" s="15" t="n">
        <v>81.9021902153393</v>
      </c>
      <c r="D182" s="15" t="n">
        <v>8.12235958309939</v>
      </c>
      <c r="E182" s="15" t="n">
        <v>3546.40094882779</v>
      </c>
      <c r="F182" s="15" t="n">
        <v>1.32389775</v>
      </c>
      <c r="G182" s="15" t="n">
        <v>3.443895</v>
      </c>
      <c r="H182" s="15" t="n">
        <f aca="false">SQRT(F182^2+G182^2)</f>
        <v>3.68959591601574</v>
      </c>
      <c r="I182" s="15" t="n">
        <f aca="false">D182*F182/H182</f>
        <v>2.91445833677314</v>
      </c>
      <c r="J182" s="15" t="n">
        <f aca="false">SQRT(C182^2+D182^2-I182^2)</f>
        <v>82.2523399051358</v>
      </c>
      <c r="K182" s="15" t="n">
        <f aca="false">E182/H182</f>
        <v>961.189525778047</v>
      </c>
      <c r="L182" s="15" t="n">
        <f aca="false">J182/2-K182*ASINH(I182/(2*K182*SINH(J182/(2*K182))))</f>
        <v>7.08571646761671</v>
      </c>
      <c r="M182" s="15" t="n">
        <f aca="false">-L182/K182</f>
        <v>-0.0073718203097158</v>
      </c>
      <c r="N182" s="15" t="n">
        <f aca="false">(J182-L182)/K182</f>
        <v>0.0782016672275684</v>
      </c>
      <c r="O182" s="15" t="n">
        <f aca="false">K182*(SINH(N182)-SINH(M182))</f>
        <v>82.3290411030521</v>
      </c>
      <c r="P182" s="15" t="n">
        <f aca="false">E182*COSH(M182)</f>
        <v>3546.4973116003</v>
      </c>
      <c r="Q182" s="15" t="n">
        <f aca="false">E182*COSH(N182)</f>
        <v>3557.25048517706</v>
      </c>
    </row>
    <row r="183" customFormat="false" ht="21" hidden="false" customHeight="true" outlineLevel="0" collapsed="false">
      <c r="A183" s="1" t="s">
        <v>353</v>
      </c>
      <c r="B183" s="1" t="s">
        <v>321</v>
      </c>
      <c r="C183" s="15" t="n">
        <v>81.9021902153393</v>
      </c>
      <c r="D183" s="15" t="n">
        <v>8.12235958309939</v>
      </c>
      <c r="E183" s="15" t="n">
        <v>3814.92467683589</v>
      </c>
      <c r="F183" s="15" t="n">
        <v>3.85543216183014</v>
      </c>
      <c r="G183" s="15" t="n">
        <v>0</v>
      </c>
      <c r="H183" s="15" t="n">
        <f aca="false">SQRT(F183^2+G183^2)</f>
        <v>3.85543216183014</v>
      </c>
      <c r="I183" s="15" t="n">
        <f aca="false">D183*F183/H183</f>
        <v>8.12235958309939</v>
      </c>
      <c r="J183" s="15" t="n">
        <f aca="false">SQRT(C183^2+D183^2-I183^2)</f>
        <v>81.9021902153393</v>
      </c>
      <c r="K183" s="15" t="n">
        <f aca="false">E183/H183</f>
        <v>989.493399625784</v>
      </c>
      <c r="L183" s="15" t="n">
        <f aca="false">J183/2-K183*ASINH(I183/(2*K183*SINH(J183/(2*K183))))</f>
        <v>-56.9903947598647</v>
      </c>
      <c r="M183" s="15" t="n">
        <f aca="false">-L183/K183</f>
        <v>0.0575955279554344</v>
      </c>
      <c r="N183" s="15" t="n">
        <f aca="false">(J183-L183)/K183</f>
        <v>0.140367368825029</v>
      </c>
      <c r="O183" s="15" t="n">
        <f aca="false">K183*(SINH(N183)-SINH(M183))</f>
        <v>82.3272260704776</v>
      </c>
      <c r="P183" s="15" t="n">
        <f aca="false">E183*COSH(M183)</f>
        <v>3821.25394579079</v>
      </c>
      <c r="Q183" s="15" t="n">
        <f aca="false">E183*COSH(N183)</f>
        <v>3852.56915215742</v>
      </c>
    </row>
    <row r="184" customFormat="false" ht="21" hidden="false" customHeight="true" outlineLevel="0" collapsed="false">
      <c r="A184" s="1" t="s">
        <v>353</v>
      </c>
      <c r="B184" s="1" t="s">
        <v>322</v>
      </c>
      <c r="C184" s="15" t="n">
        <v>81.9021902153393</v>
      </c>
      <c r="D184" s="15" t="n">
        <v>8.12235958309939</v>
      </c>
      <c r="E184" s="15" t="n">
        <v>3483.68592841866</v>
      </c>
      <c r="F184" s="15" t="n">
        <v>2.33651151473205</v>
      </c>
      <c r="G184" s="15" t="n">
        <v>1.43495625</v>
      </c>
      <c r="H184" s="15" t="n">
        <f aca="false">SQRT(F184^2+G184^2)</f>
        <v>2.74196745018783</v>
      </c>
      <c r="I184" s="15" t="n">
        <f aca="false">D184*F184/H184</f>
        <v>6.92130269139626</v>
      </c>
      <c r="J184" s="15" t="n">
        <f aca="false">SQRT(C184^2+D184^2-I184^2)</f>
        <v>82.012420134519</v>
      </c>
      <c r="K184" s="15" t="n">
        <f aca="false">E184/H184</f>
        <v>1270.50593842025</v>
      </c>
      <c r="L184" s="15" t="n">
        <f aca="false">J184/2-K184*ASINH(I184/(2*K184*SINH(J184/(2*K184))))</f>
        <v>-66.0706210308676</v>
      </c>
      <c r="M184" s="15" t="n">
        <f aca="false">-L184/K184</f>
        <v>0.0520033941069335</v>
      </c>
      <c r="N184" s="15" t="n">
        <f aca="false">(J184-L184)/K184</f>
        <v>0.116554387262065</v>
      </c>
      <c r="O184" s="15" t="n">
        <f aca="false">K184*(SINH(N184)-SINH(M184))</f>
        <v>82.3181470464807</v>
      </c>
      <c r="P184" s="15" t="n">
        <f aca="false">E184*COSH(M184)</f>
        <v>3488.39754834215</v>
      </c>
      <c r="Q184" s="15" t="n">
        <f aca="false">E184*COSH(N184)</f>
        <v>3507.37553503485</v>
      </c>
    </row>
    <row r="185" customFormat="false" ht="21" hidden="false" customHeight="true" outlineLevel="0" collapsed="false">
      <c r="A185" s="1" t="s">
        <v>353</v>
      </c>
      <c r="B185" s="1" t="s">
        <v>323</v>
      </c>
      <c r="C185" s="15" t="n">
        <v>81.9021902153393</v>
      </c>
      <c r="D185" s="15" t="n">
        <v>8.12235958309939</v>
      </c>
      <c r="E185" s="15" t="n">
        <v>3430.31564201355</v>
      </c>
      <c r="F185" s="15" t="n">
        <v>1.32389775</v>
      </c>
      <c r="G185" s="15" t="n">
        <v>0</v>
      </c>
      <c r="H185" s="15" t="n">
        <f aca="false">SQRT(F185^2+G185^2)</f>
        <v>1.32389775</v>
      </c>
      <c r="I185" s="15" t="n">
        <f aca="false">D185*F185/H185</f>
        <v>8.12235958309939</v>
      </c>
      <c r="J185" s="15" t="n">
        <f aca="false">SQRT(C185^2+D185^2-I185^2)</f>
        <v>81.9021902153393</v>
      </c>
      <c r="K185" s="15" t="n">
        <f aca="false">E185/H185</f>
        <v>2591.07294503186</v>
      </c>
      <c r="L185" s="15" t="n">
        <f aca="false">J185/2-K185*ASINH(I185/(2*K185*SINH(J185/(2*K185))))</f>
        <v>-215.579393647464</v>
      </c>
      <c r="M185" s="15" t="n">
        <f aca="false">-L185/K185</f>
        <v>0.083200819977229</v>
      </c>
      <c r="N185" s="15" t="n">
        <f aca="false">(J185-L185)/K185</f>
        <v>0.114810192601176</v>
      </c>
      <c r="O185" s="15" t="n">
        <f aca="false">K185*(SINH(N185)-SINH(M185))</f>
        <v>82.3073510051228</v>
      </c>
      <c r="P185" s="15" t="n">
        <f aca="false">E185*COSH(M185)</f>
        <v>3442.19546078977</v>
      </c>
      <c r="Q185" s="15" t="n">
        <f aca="false">E185*COSH(N185)</f>
        <v>3452.94863436653</v>
      </c>
    </row>
    <row r="186" customFormat="false" ht="21" hidden="false" customHeight="true" outlineLevel="0" collapsed="false">
      <c r="A186" s="1" t="s">
        <v>353</v>
      </c>
      <c r="B186" s="1" t="s">
        <v>324</v>
      </c>
      <c r="C186" s="15" t="n">
        <v>81.9021902153393</v>
      </c>
      <c r="D186" s="15" t="n">
        <v>8.12235958309939</v>
      </c>
      <c r="E186" s="15" t="n">
        <v>610.522574458111</v>
      </c>
      <c r="F186" s="15" t="n">
        <v>1.32389775</v>
      </c>
      <c r="G186" s="15" t="n">
        <v>0</v>
      </c>
      <c r="H186" s="15" t="n">
        <f aca="false">SQRT(F186^2+G186^2)</f>
        <v>1.32389775</v>
      </c>
      <c r="I186" s="15" t="n">
        <f aca="false">D186*F186/H186</f>
        <v>8.12235958309939</v>
      </c>
      <c r="J186" s="15" t="n">
        <f aca="false">SQRT(C186^2+D186^2-I186^2)</f>
        <v>81.9021902153393</v>
      </c>
      <c r="K186" s="15" t="n">
        <f aca="false">E186/H186</f>
        <v>461.155383380711</v>
      </c>
      <c r="L186" s="15" t="n">
        <f aca="false">J186/2-K186*ASINH(I186/(2*K186*SINH(J186/(2*K186))))</f>
        <v>-4.64796351645835</v>
      </c>
      <c r="M186" s="15" t="n">
        <f aca="false">-L186/K186</f>
        <v>0.0100789531770925</v>
      </c>
      <c r="N186" s="15" t="n">
        <f aca="false">(J186-L186)/K186</f>
        <v>0.187681108908026</v>
      </c>
      <c r="O186" s="15" t="n">
        <f aca="false">K186*(SINH(N186)-SINH(M186))</f>
        <v>82.4111171279292</v>
      </c>
      <c r="P186" s="15" t="n">
        <f aca="false">E186*COSH(M186)</f>
        <v>610.553584779196</v>
      </c>
      <c r="Q186" s="15" t="n">
        <f aca="false">E186*COSH(N186)</f>
        <v>621.306758355952</v>
      </c>
    </row>
    <row r="187" customFormat="false" ht="21" hidden="false" customHeight="true" outlineLevel="0" collapsed="false">
      <c r="A187" s="1" t="s">
        <v>354</v>
      </c>
      <c r="B187" s="1" t="s">
        <v>319</v>
      </c>
      <c r="C187" s="15" t="n">
        <v>81.9021902153393</v>
      </c>
      <c r="D187" s="15" t="n">
        <v>4.34657977362012</v>
      </c>
      <c r="E187" s="15" t="n">
        <v>2205.00000000028</v>
      </c>
      <c r="F187" s="15" t="n">
        <v>1.32389775</v>
      </c>
      <c r="G187" s="15" t="n">
        <v>0</v>
      </c>
      <c r="H187" s="15" t="n">
        <f aca="false">SQRT(F187^2+G187^2)</f>
        <v>1.32389775</v>
      </c>
      <c r="I187" s="15" t="n">
        <f aca="false">D187*F187/H187</f>
        <v>4.34657977362012</v>
      </c>
      <c r="J187" s="15" t="n">
        <f aca="false">SQRT(C187^2+D187^2-I187^2)</f>
        <v>81.9021902153393</v>
      </c>
      <c r="K187" s="15" t="n">
        <f aca="false">E187/H187</f>
        <v>1665.5364811975</v>
      </c>
      <c r="L187" s="15" t="n">
        <f aca="false">J187/2-K187*ASINH(I187/(2*K187*SINH(J187/(2*K187))))</f>
        <v>-47.3892152018212</v>
      </c>
      <c r="M187" s="15" t="n">
        <f aca="false">-L187/K187</f>
        <v>0.0284528233015641</v>
      </c>
      <c r="N187" s="15" t="n">
        <f aca="false">(J187-L187)/K187</f>
        <v>0.0776274833224919</v>
      </c>
      <c r="O187" s="15" t="n">
        <f aca="false">K187*(SINH(N187)-SINH(M187))</f>
        <v>82.0256872250568</v>
      </c>
      <c r="P187" s="15" t="n">
        <f aca="false">E187*COSH(M187)</f>
        <v>2205.89260359319</v>
      </c>
      <c r="Q187" s="15" t="n">
        <f aca="false">E187*COSH(N187)</f>
        <v>2211.64703077568</v>
      </c>
    </row>
    <row r="188" customFormat="false" ht="21" hidden="false" customHeight="true" outlineLevel="0" collapsed="false">
      <c r="A188" s="1" t="s">
        <v>354</v>
      </c>
      <c r="B188" s="1" t="s">
        <v>320</v>
      </c>
      <c r="C188" s="15" t="n">
        <v>81.9021902153393</v>
      </c>
      <c r="D188" s="15" t="n">
        <v>4.34657977362012</v>
      </c>
      <c r="E188" s="15" t="n">
        <v>3537.81899965082</v>
      </c>
      <c r="F188" s="15" t="n">
        <v>1.32389775</v>
      </c>
      <c r="G188" s="15" t="n">
        <v>3.443895</v>
      </c>
      <c r="H188" s="15" t="n">
        <f aca="false">SQRT(F188^2+G188^2)</f>
        <v>3.68959591601574</v>
      </c>
      <c r="I188" s="15" t="n">
        <f aca="false">D188*F188/H188</f>
        <v>1.55963615351818</v>
      </c>
      <c r="J188" s="15" t="n">
        <f aca="false">SQRT(C188^2+D188^2-I188^2)</f>
        <v>82.0026161342838</v>
      </c>
      <c r="K188" s="15" t="n">
        <f aca="false">E188/H188</f>
        <v>958.863539580014</v>
      </c>
      <c r="L188" s="15" t="n">
        <f aca="false">J188/2-K188*ASINH(I188/(2*K188*SINH(J188/(2*K188))))</f>
        <v>22.7710050248589</v>
      </c>
      <c r="M188" s="15" t="n">
        <f aca="false">-L188/K188</f>
        <v>-0.023747909983972</v>
      </c>
      <c r="N188" s="15" t="n">
        <f aca="false">(J188-L188)/K188</f>
        <v>0.0617727222534382</v>
      </c>
      <c r="O188" s="15" t="n">
        <f aca="false">K188*(SINH(N188)-SINH(M188))</f>
        <v>82.0424337309627</v>
      </c>
      <c r="P188" s="15" t="n">
        <f aca="false">E188*COSH(M188)</f>
        <v>3538.81664644848</v>
      </c>
      <c r="Q188" s="15" t="n">
        <f aca="false">E188*COSH(N188)</f>
        <v>3544.57107363097</v>
      </c>
    </row>
    <row r="189" customFormat="false" ht="21" hidden="false" customHeight="true" outlineLevel="0" collapsed="false">
      <c r="A189" s="1" t="s">
        <v>354</v>
      </c>
      <c r="B189" s="1" t="s">
        <v>321</v>
      </c>
      <c r="C189" s="15" t="n">
        <v>81.9021902153393</v>
      </c>
      <c r="D189" s="15" t="n">
        <v>4.34657977362012</v>
      </c>
      <c r="E189" s="15" t="n">
        <v>3821.4895011917</v>
      </c>
      <c r="F189" s="15" t="n">
        <v>3.85543216183014</v>
      </c>
      <c r="G189" s="15" t="n">
        <v>0</v>
      </c>
      <c r="H189" s="15" t="n">
        <f aca="false">SQRT(F189^2+G189^2)</f>
        <v>3.85543216183014</v>
      </c>
      <c r="I189" s="15" t="n">
        <f aca="false">D189*F189/H189</f>
        <v>4.34657977362012</v>
      </c>
      <c r="J189" s="15" t="n">
        <f aca="false">SQRT(C189^2+D189^2-I189^2)</f>
        <v>81.9021902153393</v>
      </c>
      <c r="K189" s="15" t="n">
        <f aca="false">E189/H189</f>
        <v>991.196146316754</v>
      </c>
      <c r="L189" s="15" t="n">
        <f aca="false">J189/2-K189*ASINH(I189/(2*K189*SINH(J189/(2*K189))))</f>
        <v>-11.6124518750988</v>
      </c>
      <c r="M189" s="15" t="n">
        <f aca="false">-L189/K189</f>
        <v>0.0117155942527119</v>
      </c>
      <c r="N189" s="15" t="n">
        <f aca="false">(J189-L189)/K189</f>
        <v>0.094345243812675</v>
      </c>
      <c r="O189" s="15" t="n">
        <f aca="false">K189*(SINH(N189)-SINH(M189))</f>
        <v>82.0407156851315</v>
      </c>
      <c r="P189" s="15" t="n">
        <f aca="false">E189*COSH(M189)</f>
        <v>3821.75176374628</v>
      </c>
      <c r="Q189" s="15" t="n">
        <f aca="false">E189*COSH(N189)</f>
        <v>3838.50970719946</v>
      </c>
    </row>
    <row r="190" customFormat="false" ht="21" hidden="false" customHeight="true" outlineLevel="0" collapsed="false">
      <c r="A190" s="1" t="s">
        <v>354</v>
      </c>
      <c r="B190" s="1" t="s">
        <v>322</v>
      </c>
      <c r="C190" s="15" t="n">
        <v>81.9021902153393</v>
      </c>
      <c r="D190" s="15" t="n">
        <v>4.34657977362012</v>
      </c>
      <c r="E190" s="15" t="n">
        <v>3484.17518859655</v>
      </c>
      <c r="F190" s="15" t="n">
        <v>2.33651151473205</v>
      </c>
      <c r="G190" s="15" t="n">
        <v>1.43495625</v>
      </c>
      <c r="H190" s="15" t="n">
        <f aca="false">SQRT(F190^2+G190^2)</f>
        <v>2.74196745018783</v>
      </c>
      <c r="I190" s="15" t="n">
        <f aca="false">D190*F190/H190</f>
        <v>3.70384910662203</v>
      </c>
      <c r="J190" s="15" t="n">
        <f aca="false">SQRT(C190^2+D190^2-I190^2)</f>
        <v>81.9337721552806</v>
      </c>
      <c r="K190" s="15" t="n">
        <f aca="false">E190/H190</f>
        <v>1270.68437240489</v>
      </c>
      <c r="L190" s="15" t="n">
        <f aca="false">J190/2-K190*ASINH(I190/(2*K190*SINH(J190/(2*K190))))</f>
        <v>-16.445426096754</v>
      </c>
      <c r="M190" s="15" t="n">
        <f aca="false">-L190/K190</f>
        <v>0.0129421801777805</v>
      </c>
      <c r="N190" s="15" t="n">
        <f aca="false">(J190-L190)/K190</f>
        <v>0.077422214665191</v>
      </c>
      <c r="O190" s="15" t="n">
        <f aca="false">K190*(SINH(N190)-SINH(M190))</f>
        <v>82.0316265980767</v>
      </c>
      <c r="P190" s="15" t="n">
        <f aca="false">E190*COSH(M190)</f>
        <v>3484.46699239</v>
      </c>
      <c r="Q190" s="15" t="n">
        <f aca="false">E190*COSH(N190)</f>
        <v>3494.62282608077</v>
      </c>
    </row>
    <row r="191" customFormat="false" ht="21" hidden="false" customHeight="true" outlineLevel="0" collapsed="false">
      <c r="A191" s="1" t="s">
        <v>354</v>
      </c>
      <c r="B191" s="1" t="s">
        <v>323</v>
      </c>
      <c r="C191" s="15" t="n">
        <v>81.9021902153393</v>
      </c>
      <c r="D191" s="15" t="n">
        <v>4.34657977362012</v>
      </c>
      <c r="E191" s="15" t="n">
        <v>3433.13553087617</v>
      </c>
      <c r="F191" s="15" t="n">
        <v>1.32389775</v>
      </c>
      <c r="G191" s="15" t="n">
        <v>0</v>
      </c>
      <c r="H191" s="15" t="n">
        <f aca="false">SQRT(F191^2+G191^2)</f>
        <v>1.32389775</v>
      </c>
      <c r="I191" s="15" t="n">
        <f aca="false">D191*F191/H191</f>
        <v>4.34657977362012</v>
      </c>
      <c r="J191" s="15" t="n">
        <f aca="false">SQRT(C191^2+D191^2-I191^2)</f>
        <v>81.9021902153393</v>
      </c>
      <c r="K191" s="15" t="n">
        <f aca="false">E191/H191</f>
        <v>2593.20293495187</v>
      </c>
      <c r="L191" s="15" t="n">
        <f aca="false">J191/2-K191*ASINH(I191/(2*K191*SINH(J191/(2*K191))))</f>
        <v>-96.6009201682742</v>
      </c>
      <c r="M191" s="15" t="n">
        <f aca="false">-L191/K191</f>
        <v>0.0372515852370294</v>
      </c>
      <c r="N191" s="15" t="n">
        <f aca="false">(J191-L191)/K191</f>
        <v>0.0688349947386307</v>
      </c>
      <c r="O191" s="15" t="n">
        <f aca="false">K191*(SINH(N191)-SINH(M191))</f>
        <v>82.0208457821169</v>
      </c>
      <c r="P191" s="15" t="n">
        <f aca="false">E191*COSH(M191)</f>
        <v>3435.51785414031</v>
      </c>
      <c r="Q191" s="15" t="n">
        <f aca="false">E191*COSH(N191)</f>
        <v>3441.2722813228</v>
      </c>
    </row>
    <row r="192" customFormat="false" ht="21" hidden="false" customHeight="true" outlineLevel="0" collapsed="false">
      <c r="A192" s="1" t="s">
        <v>354</v>
      </c>
      <c r="B192" s="1" t="s">
        <v>324</v>
      </c>
      <c r="C192" s="15" t="n">
        <v>81.9021902153393</v>
      </c>
      <c r="D192" s="15" t="n">
        <v>4.34657977362012</v>
      </c>
      <c r="E192" s="15" t="n">
        <v>611.952204541628</v>
      </c>
      <c r="F192" s="15" t="n">
        <v>1.32389775</v>
      </c>
      <c r="G192" s="15" t="n">
        <v>0</v>
      </c>
      <c r="H192" s="15" t="n">
        <f aca="false">SQRT(F192^2+G192^2)</f>
        <v>1.32389775</v>
      </c>
      <c r="I192" s="15" t="n">
        <f aca="false">D192*F192/H192</f>
        <v>4.34657977362012</v>
      </c>
      <c r="J192" s="15" t="n">
        <f aca="false">SQRT(C192^2+D192^2-I192^2)</f>
        <v>81.9021902153393</v>
      </c>
      <c r="K192" s="15" t="n">
        <f aca="false">E192/H192</f>
        <v>462.235247806432</v>
      </c>
      <c r="L192" s="15" t="n">
        <f aca="false">J192/2-K192*ASINH(I192/(2*K192*SINH(J192/(2*K192))))</f>
        <v>16.4636142785777</v>
      </c>
      <c r="M192" s="15" t="n">
        <f aca="false">-L192/K192</f>
        <v>-0.0356173925651643</v>
      </c>
      <c r="N192" s="15" t="n">
        <f aca="false">(J192-L192)/K192</f>
        <v>0.141569852682816</v>
      </c>
      <c r="O192" s="15" t="n">
        <f aca="false">K192*(SINH(N192)-SINH(M192))</f>
        <v>82.1244774494365</v>
      </c>
      <c r="P192" s="15" t="n">
        <f aca="false">E192*COSH(M192)</f>
        <v>612.340406449627</v>
      </c>
      <c r="Q192" s="15" t="n">
        <f aca="false">E192*COSH(N192)</f>
        <v>618.094833632118</v>
      </c>
    </row>
    <row r="193" customFormat="false" ht="21" hidden="false" customHeight="true" outlineLevel="0" collapsed="false">
      <c r="A193" s="1" t="s">
        <v>355</v>
      </c>
      <c r="B193" s="1" t="s">
        <v>319</v>
      </c>
      <c r="C193" s="15" t="n">
        <v>73.4598199243559</v>
      </c>
      <c r="D193" s="15" t="n">
        <v>4.67190123358396</v>
      </c>
      <c r="E193" s="15" t="n">
        <v>2204.99999999848</v>
      </c>
      <c r="F193" s="15" t="n">
        <v>1.32389775</v>
      </c>
      <c r="G193" s="15" t="n">
        <v>0</v>
      </c>
      <c r="H193" s="15" t="n">
        <f aca="false">SQRT(F193^2+G193^2)</f>
        <v>1.32389775</v>
      </c>
      <c r="I193" s="15" t="n">
        <f aca="false">D193*F193/H193</f>
        <v>4.67190123358396</v>
      </c>
      <c r="J193" s="15" t="n">
        <f aca="false">SQRT(C193^2+D193^2-I193^2)</f>
        <v>73.4598199243559</v>
      </c>
      <c r="K193" s="15" t="n">
        <f aca="false">E193/H193</f>
        <v>1665.53648119614</v>
      </c>
      <c r="L193" s="15" t="n">
        <f aca="false">J193/2-K193*ASINH(I193/(2*K193*SINH(J193/(2*K193))))</f>
        <v>-69.115116700973</v>
      </c>
      <c r="M193" s="15" t="n">
        <f aca="false">-L193/K193</f>
        <v>0.0414972097466977</v>
      </c>
      <c r="N193" s="15" t="n">
        <f aca="false">(J193-L193)/K193</f>
        <v>0.0856030103423108</v>
      </c>
      <c r="O193" s="15" t="n">
        <f aca="false">K193*(SINH(N193)-SINH(M193))</f>
        <v>73.6141743377884</v>
      </c>
      <c r="P193" s="15" t="n">
        <f aca="false">E193*COSH(M193)</f>
        <v>2206.8987977599</v>
      </c>
      <c r="Q193" s="15" t="n">
        <f aca="false">E193*COSH(N193)</f>
        <v>2213.08391729126</v>
      </c>
    </row>
    <row r="194" customFormat="false" ht="21" hidden="false" customHeight="true" outlineLevel="0" collapsed="false">
      <c r="A194" s="1" t="s">
        <v>355</v>
      </c>
      <c r="B194" s="1" t="s">
        <v>320</v>
      </c>
      <c r="C194" s="15" t="n">
        <v>73.4598199243559</v>
      </c>
      <c r="D194" s="15" t="n">
        <v>4.67190123358396</v>
      </c>
      <c r="E194" s="15" t="n">
        <v>3454.42916620807</v>
      </c>
      <c r="F194" s="15" t="n">
        <v>1.32389775</v>
      </c>
      <c r="G194" s="15" t="n">
        <v>3.443895</v>
      </c>
      <c r="H194" s="15" t="n">
        <f aca="false">SQRT(F194^2+G194^2)</f>
        <v>3.68959591601574</v>
      </c>
      <c r="I194" s="15" t="n">
        <f aca="false">D194*F194/H194</f>
        <v>1.67636773027522</v>
      </c>
      <c r="J194" s="15" t="n">
        <f aca="false">SQRT(C194^2+D194^2-I194^2)</f>
        <v>73.5891404739045</v>
      </c>
      <c r="K194" s="15" t="n">
        <f aca="false">E194/H194</f>
        <v>936.262193703418</v>
      </c>
      <c r="L194" s="15" t="n">
        <f aca="false">J194/2-K194*ASINH(I194/(2*K194*SINH(J194/(2*K194))))</f>
        <v>15.473758828679</v>
      </c>
      <c r="M194" s="15" t="n">
        <f aca="false">-L194/K194</f>
        <v>-0.0165271640067746</v>
      </c>
      <c r="N194" s="15" t="n">
        <f aca="false">(J194-L194)/K194</f>
        <v>0.0620716953392597</v>
      </c>
      <c r="O194" s="15" t="n">
        <f aca="false">K194*(SINH(N194)-SINH(M194))</f>
        <v>73.6271708563703</v>
      </c>
      <c r="P194" s="15" t="n">
        <f aca="false">E194*COSH(M194)</f>
        <v>3454.90096068803</v>
      </c>
      <c r="Q194" s="15" t="n">
        <f aca="false">E194*COSH(N194)</f>
        <v>3461.0860802194</v>
      </c>
    </row>
    <row r="195" customFormat="false" ht="21" hidden="false" customHeight="true" outlineLevel="0" collapsed="false">
      <c r="A195" s="1" t="s">
        <v>355</v>
      </c>
      <c r="B195" s="1" t="s">
        <v>321</v>
      </c>
      <c r="C195" s="15" t="n">
        <v>73.4598199243559</v>
      </c>
      <c r="D195" s="15" t="n">
        <v>4.67190123358396</v>
      </c>
      <c r="E195" s="15" t="n">
        <v>3740.89188627965</v>
      </c>
      <c r="F195" s="15" t="n">
        <v>3.85543216183014</v>
      </c>
      <c r="G195" s="15" t="n">
        <v>0</v>
      </c>
      <c r="H195" s="15" t="n">
        <f aca="false">SQRT(F195^2+G195^2)</f>
        <v>3.85543216183014</v>
      </c>
      <c r="I195" s="15" t="n">
        <f aca="false">D195*F195/H195</f>
        <v>4.67190123358396</v>
      </c>
      <c r="J195" s="15" t="n">
        <f aca="false">SQRT(C195^2+D195^2-I195^2)</f>
        <v>73.4598199243559</v>
      </c>
      <c r="K195" s="15" t="n">
        <f aca="false">E195/H195</f>
        <v>970.291196747158</v>
      </c>
      <c r="L195" s="15" t="n">
        <f aca="false">J195/2-K195*ASINH(I195/(2*K195*SINH(J195/(2*K195))))</f>
        <v>-24.9224882464523</v>
      </c>
      <c r="M195" s="15" t="n">
        <f aca="false">-L195/K195</f>
        <v>0.025685575969362</v>
      </c>
      <c r="N195" s="15" t="n">
        <f aca="false">(J195-L195)/K195</f>
        <v>0.101394621017514</v>
      </c>
      <c r="O195" s="15" t="n">
        <f aca="false">K195*(SINH(N195)-SINH(M195))</f>
        <v>73.625742020035</v>
      </c>
      <c r="P195" s="15" t="n">
        <f aca="false">E195*COSH(M195)</f>
        <v>3742.12597861719</v>
      </c>
      <c r="Q195" s="15" t="n">
        <f aca="false">E195*COSH(N195)</f>
        <v>3760.13817689005</v>
      </c>
    </row>
    <row r="196" customFormat="false" ht="21" hidden="false" customHeight="true" outlineLevel="0" collapsed="false">
      <c r="A196" s="1" t="s">
        <v>355</v>
      </c>
      <c r="B196" s="1" t="s">
        <v>322</v>
      </c>
      <c r="C196" s="15" t="n">
        <v>73.4598199243559</v>
      </c>
      <c r="D196" s="15" t="n">
        <v>4.67190123358396</v>
      </c>
      <c r="E196" s="15" t="n">
        <v>3449.40119001241</v>
      </c>
      <c r="F196" s="15" t="n">
        <v>2.33651151473205</v>
      </c>
      <c r="G196" s="15" t="n">
        <v>1.43495625</v>
      </c>
      <c r="H196" s="15" t="n">
        <f aca="false">SQRT(F196^2+G196^2)</f>
        <v>2.74196745018783</v>
      </c>
      <c r="I196" s="15" t="n">
        <f aca="false">D196*F196/H196</f>
        <v>3.98106513890675</v>
      </c>
      <c r="J196" s="15" t="n">
        <f aca="false">SQRT(C196^2+D196^2-I196^2)</f>
        <v>73.5004960855023</v>
      </c>
      <c r="K196" s="15" t="n">
        <f aca="false">E196/H196</f>
        <v>1258.00223842049</v>
      </c>
      <c r="L196" s="15" t="n">
        <f aca="false">J196/2-K196*ASINH(I196/(2*K196*SINH(J196/(2*K196))))</f>
        <v>-31.3449670407763</v>
      </c>
      <c r="M196" s="15" t="n">
        <f aca="false">-L196/K196</f>
        <v>0.0249164636464655</v>
      </c>
      <c r="N196" s="15" t="n">
        <f aca="false">(J196-L196)/K196</f>
        <v>0.0833428271621515</v>
      </c>
      <c r="O196" s="15" t="n">
        <f aca="false">K196*(SINH(N196)-SINH(M196))</f>
        <v>73.6186713960299</v>
      </c>
      <c r="P196" s="15" t="n">
        <f aca="false">E196*COSH(M196)</f>
        <v>3450.47199155698</v>
      </c>
      <c r="Q196" s="15" t="n">
        <f aca="false">E196*COSH(N196)</f>
        <v>3461.38794258494</v>
      </c>
    </row>
    <row r="197" customFormat="false" ht="21" hidden="false" customHeight="true" outlineLevel="0" collapsed="false">
      <c r="A197" s="1" t="s">
        <v>355</v>
      </c>
      <c r="B197" s="1" t="s">
        <v>323</v>
      </c>
      <c r="C197" s="15" t="n">
        <v>73.4598199243559</v>
      </c>
      <c r="D197" s="15" t="n">
        <v>4.67190123358396</v>
      </c>
      <c r="E197" s="15" t="n">
        <v>3465.93604343065</v>
      </c>
      <c r="F197" s="15" t="n">
        <v>1.32389775</v>
      </c>
      <c r="G197" s="15" t="n">
        <v>0</v>
      </c>
      <c r="H197" s="15" t="n">
        <f aca="false">SQRT(F197^2+G197^2)</f>
        <v>1.32389775</v>
      </c>
      <c r="I197" s="15" t="n">
        <f aca="false">D197*F197/H197</f>
        <v>4.67190123358396</v>
      </c>
      <c r="J197" s="15" t="n">
        <f aca="false">SQRT(C197^2+D197^2-I197^2)</f>
        <v>73.4598199243559</v>
      </c>
      <c r="K197" s="15" t="n">
        <f aca="false">E197/H197</f>
        <v>2617.97864935615</v>
      </c>
      <c r="L197" s="15" t="n">
        <f aca="false">J197/2-K197*ASINH(I197/(2*K197*SINH(J197/(2*K197))))</f>
        <v>-129.650937816165</v>
      </c>
      <c r="M197" s="15" t="n">
        <f aca="false">-L197/K197</f>
        <v>0.0495232983844427</v>
      </c>
      <c r="N197" s="15" t="n">
        <f aca="false">(J197-L197)/K197</f>
        <v>0.077583045908519</v>
      </c>
      <c r="O197" s="15" t="n">
        <f aca="false">K197*(SINH(N197)-SINH(M197))</f>
        <v>73.6106370111526</v>
      </c>
      <c r="P197" s="15" t="n">
        <f aca="false">E197*COSH(M197)</f>
        <v>3470.18711515317</v>
      </c>
      <c r="Q197" s="15" t="n">
        <f aca="false">E197*COSH(N197)</f>
        <v>3476.37223468454</v>
      </c>
    </row>
    <row r="198" customFormat="false" ht="21" hidden="false" customHeight="true" outlineLevel="0" collapsed="false">
      <c r="A198" s="1" t="s">
        <v>355</v>
      </c>
      <c r="B198" s="1" t="s">
        <v>324</v>
      </c>
      <c r="C198" s="15" t="n">
        <v>73.4598199243559</v>
      </c>
      <c r="D198" s="15" t="n">
        <v>4.67190123358396</v>
      </c>
      <c r="E198" s="15" t="n">
        <v>556.734514121923</v>
      </c>
      <c r="F198" s="15" t="n">
        <v>1.32389775</v>
      </c>
      <c r="G198" s="15" t="n">
        <v>0</v>
      </c>
      <c r="H198" s="15" t="n">
        <f aca="false">SQRT(F198^2+G198^2)</f>
        <v>1.32389775</v>
      </c>
      <c r="I198" s="15" t="n">
        <f aca="false">D198*F198/H198</f>
        <v>4.67190123358396</v>
      </c>
      <c r="J198" s="15" t="n">
        <f aca="false">SQRT(C198^2+D198^2-I198^2)</f>
        <v>73.4598199243559</v>
      </c>
      <c r="K198" s="15" t="n">
        <f aca="false">E198/H198</f>
        <v>420.52682249964</v>
      </c>
      <c r="L198" s="15" t="n">
        <f aca="false">J198/2-K198*ASINH(I198/(2*K198*SINH(J198/(2*K198))))</f>
        <v>10.0371268324669</v>
      </c>
      <c r="M198" s="15" t="n">
        <f aca="false">-L198/K198</f>
        <v>-0.0238679824816061</v>
      </c>
      <c r="N198" s="15" t="n">
        <f aca="false">(J198-L198)/K198</f>
        <v>0.150817236139422</v>
      </c>
      <c r="O198" s="15" t="n">
        <f aca="false">K198*(SINH(N198)-SINH(M198))</f>
        <v>73.701480260366</v>
      </c>
      <c r="P198" s="15" t="n">
        <f aca="false">E198*COSH(M198)</f>
        <v>556.893102073026</v>
      </c>
      <c r="Q198" s="15" t="n">
        <f aca="false">E198*COSH(N198)</f>
        <v>563.07822160439</v>
      </c>
    </row>
    <row r="199" customFormat="false" ht="21" hidden="false" customHeight="true" outlineLevel="0" collapsed="false">
      <c r="A199" s="1" t="s">
        <v>356</v>
      </c>
      <c r="B199" s="1" t="s">
        <v>319</v>
      </c>
      <c r="C199" s="15" t="n">
        <v>73.4598199224964</v>
      </c>
      <c r="D199" s="15" t="n">
        <v>7.67824067838828</v>
      </c>
      <c r="E199" s="15" t="n">
        <v>2204.99999999955</v>
      </c>
      <c r="F199" s="15" t="n">
        <v>1.32389775</v>
      </c>
      <c r="G199" s="15" t="n">
        <v>0</v>
      </c>
      <c r="H199" s="15" t="n">
        <f aca="false">SQRT(F199^2+G199^2)</f>
        <v>1.32389775</v>
      </c>
      <c r="I199" s="15" t="n">
        <f aca="false">D199*F199/H199</f>
        <v>7.67824067838828</v>
      </c>
      <c r="J199" s="15" t="n">
        <f aca="false">SQRT(C199^2+D199^2-I199^2)</f>
        <v>73.4598199224964</v>
      </c>
      <c r="K199" s="15" t="n">
        <f aca="false">E199/H199</f>
        <v>1665.53648119694</v>
      </c>
      <c r="L199" s="15" t="n">
        <f aca="false">J199/2-K199*ASINH(I199/(2*K199*SINH(J199/(2*K199))))</f>
        <v>-137.027487975198</v>
      </c>
      <c r="M199" s="15" t="n">
        <f aca="false">-L199/K199</f>
        <v>0.0822722825480971</v>
      </c>
      <c r="N199" s="15" t="n">
        <f aca="false">(J199-L199)/K199</f>
        <v>0.126378083142572</v>
      </c>
      <c r="O199" s="15" t="n">
        <f aca="false">K199*(SINH(N199)-SINH(M199))</f>
        <v>73.8659284240029</v>
      </c>
      <c r="P199" s="15" t="n">
        <f aca="false">E199*COSH(M199)</f>
        <v>2212.46673340989</v>
      </c>
      <c r="Q199" s="15" t="n">
        <f aca="false">E199*COSH(N199)</f>
        <v>2222.63193896797</v>
      </c>
    </row>
    <row r="200" customFormat="false" ht="21" hidden="false" customHeight="true" outlineLevel="0" collapsed="false">
      <c r="A200" s="1" t="s">
        <v>356</v>
      </c>
      <c r="B200" s="1" t="s">
        <v>320</v>
      </c>
      <c r="C200" s="15" t="n">
        <v>73.4598199224964</v>
      </c>
      <c r="D200" s="15" t="n">
        <v>7.67824067838828</v>
      </c>
      <c r="E200" s="15" t="n">
        <v>3462.48431179027</v>
      </c>
      <c r="F200" s="15" t="n">
        <v>1.32389775</v>
      </c>
      <c r="G200" s="15" t="n">
        <v>3.443895</v>
      </c>
      <c r="H200" s="15" t="n">
        <f aca="false">SQRT(F200^2+G200^2)</f>
        <v>3.68959591601574</v>
      </c>
      <c r="I200" s="15" t="n">
        <f aca="false">D200*F200/H200</f>
        <v>2.75509995930767</v>
      </c>
      <c r="J200" s="15" t="n">
        <f aca="false">SQRT(C200^2+D200^2-I200^2)</f>
        <v>73.8086034766617</v>
      </c>
      <c r="K200" s="15" t="n">
        <f aca="false">E200/H200</f>
        <v>938.445399063993</v>
      </c>
      <c r="L200" s="15" t="n">
        <f aca="false">J200/2-K200*ASINH(I200/(2*K200*SINH(J200/(2*K200))))</f>
        <v>1.89151320164534</v>
      </c>
      <c r="M200" s="15" t="n">
        <f aca="false">-L200/K200</f>
        <v>-0.0020155815176162</v>
      </c>
      <c r="N200" s="15" t="n">
        <f aca="false">(J200-L200)/K200</f>
        <v>0.0766342829819898</v>
      </c>
      <c r="O200" s="15" t="n">
        <f aca="false">K200*(SINH(N200)-SINH(M200))</f>
        <v>73.8790180381335</v>
      </c>
      <c r="P200" s="15" t="n">
        <f aca="false">E200*COSH(M200)</f>
        <v>3462.49134508312</v>
      </c>
      <c r="Q200" s="15" t="n">
        <f aca="false">E200*COSH(N200)</f>
        <v>3472.65655064119</v>
      </c>
    </row>
    <row r="201" customFormat="false" ht="21" hidden="false" customHeight="true" outlineLevel="0" collapsed="false">
      <c r="A201" s="1" t="s">
        <v>356</v>
      </c>
      <c r="B201" s="1" t="s">
        <v>321</v>
      </c>
      <c r="C201" s="15" t="n">
        <v>73.4598199224964</v>
      </c>
      <c r="D201" s="15" t="n">
        <v>7.67824067838828</v>
      </c>
      <c r="E201" s="15" t="n">
        <v>3734.75374392346</v>
      </c>
      <c r="F201" s="15" t="n">
        <v>3.85543216183014</v>
      </c>
      <c r="G201" s="15" t="n">
        <v>0</v>
      </c>
      <c r="H201" s="15" t="n">
        <f aca="false">SQRT(F201^2+G201^2)</f>
        <v>3.85543216183014</v>
      </c>
      <c r="I201" s="15" t="n">
        <f aca="false">D201*F201/H201</f>
        <v>7.67824067838828</v>
      </c>
      <c r="J201" s="15" t="n">
        <f aca="false">SQRT(C201^2+D201^2-I201^2)</f>
        <v>73.4598199224964</v>
      </c>
      <c r="K201" s="15" t="n">
        <f aca="false">E201/H201</f>
        <v>968.699120399153</v>
      </c>
      <c r="L201" s="15" t="n">
        <f aca="false">J201/2-K201*ASINH(I201/(2*K201*SINH(J201/(2*K201))))</f>
        <v>-64.313839218188</v>
      </c>
      <c r="M201" s="15" t="n">
        <f aca="false">-L201/K201</f>
        <v>0.0663919661573426</v>
      </c>
      <c r="N201" s="15" t="n">
        <f aca="false">(J201-L201)/K201</f>
        <v>0.14222544053092</v>
      </c>
      <c r="O201" s="15" t="n">
        <f aca="false">K201*(SINH(N201)-SINH(M201))</f>
        <v>73.8775140984005</v>
      </c>
      <c r="P201" s="15" t="n">
        <f aca="false">E201*COSH(M201)</f>
        <v>3742.98796564795</v>
      </c>
      <c r="Q201" s="15" t="n">
        <f aca="false">E201*COSH(N201)</f>
        <v>3772.59090170568</v>
      </c>
    </row>
    <row r="202" customFormat="false" ht="21" hidden="false" customHeight="true" outlineLevel="0" collapsed="false">
      <c r="A202" s="1" t="s">
        <v>356</v>
      </c>
      <c r="B202" s="1" t="s">
        <v>322</v>
      </c>
      <c r="C202" s="15" t="n">
        <v>73.4598199224964</v>
      </c>
      <c r="D202" s="15" t="n">
        <v>7.67824067838828</v>
      </c>
      <c r="E202" s="15" t="n">
        <v>3448.88007822939</v>
      </c>
      <c r="F202" s="15" t="n">
        <v>2.33651151473205</v>
      </c>
      <c r="G202" s="15" t="n">
        <v>1.43495625</v>
      </c>
      <c r="H202" s="15" t="n">
        <f aca="false">SQRT(F202^2+G202^2)</f>
        <v>2.74196745018783</v>
      </c>
      <c r="I202" s="15" t="n">
        <f aca="false">D202*F202/H202</f>
        <v>6.54285584488224</v>
      </c>
      <c r="J202" s="15" t="n">
        <f aca="false">SQRT(C202^2+D202^2-I202^2)</f>
        <v>73.569637489619</v>
      </c>
      <c r="K202" s="15" t="n">
        <f aca="false">E202/H202</f>
        <v>1257.81218810352</v>
      </c>
      <c r="L202" s="15" t="n">
        <f aca="false">J202/2-K202*ASINH(I202/(2*K202*SINH(J202/(2*K202))))</f>
        <v>-74.9148669829914</v>
      </c>
      <c r="M202" s="15" t="n">
        <f aca="false">-L202/K202</f>
        <v>0.0595596605689955</v>
      </c>
      <c r="N202" s="15" t="n">
        <f aca="false">(J202-L202)/K202</f>
        <v>0.118049821648246</v>
      </c>
      <c r="O202" s="15" t="n">
        <f aca="false">K202*(SINH(N202)-SINH(M202))</f>
        <v>73.8704525145172</v>
      </c>
      <c r="P202" s="15" t="n">
        <f aca="false">E202*COSH(M202)</f>
        <v>3454.99908459921</v>
      </c>
      <c r="Q202" s="15" t="n">
        <f aca="false">E202*COSH(N202)</f>
        <v>3472.93938235715</v>
      </c>
    </row>
    <row r="203" customFormat="false" ht="21" hidden="false" customHeight="true" outlineLevel="0" collapsed="false">
      <c r="A203" s="1" t="s">
        <v>356</v>
      </c>
      <c r="B203" s="1" t="s">
        <v>323</v>
      </c>
      <c r="C203" s="15" t="n">
        <v>73.4598199224964</v>
      </c>
      <c r="D203" s="15" t="n">
        <v>7.67824067838828</v>
      </c>
      <c r="E203" s="15" t="n">
        <v>3462.81092250363</v>
      </c>
      <c r="F203" s="15" t="n">
        <v>1.32389775</v>
      </c>
      <c r="G203" s="15" t="n">
        <v>0</v>
      </c>
      <c r="H203" s="15" t="n">
        <f aca="false">SQRT(F203^2+G203^2)</f>
        <v>1.32389775</v>
      </c>
      <c r="I203" s="15" t="n">
        <f aca="false">D203*F203/H203</f>
        <v>7.67824067838828</v>
      </c>
      <c r="J203" s="15" t="n">
        <f aca="false">SQRT(C203^2+D203^2-I203^2)</f>
        <v>73.4598199224964</v>
      </c>
      <c r="K203" s="15" t="n">
        <f aca="false">E203/H203</f>
        <v>2615.61810381778</v>
      </c>
      <c r="L203" s="15" t="n">
        <f aca="false">J203/2-K203*ASINH(I203/(2*K203*SINH(J203/(2*K203))))</f>
        <v>-236.158029217227</v>
      </c>
      <c r="M203" s="15" t="n">
        <f aca="false">-L203/K203</f>
        <v>0.0902876566240801</v>
      </c>
      <c r="N203" s="15" t="n">
        <f aca="false">(J203-L203)/K203</f>
        <v>0.11837272753534</v>
      </c>
      <c r="O203" s="15" t="n">
        <f aca="false">K203*(SINH(N203)-SINH(M203))</f>
        <v>73.8624074823828</v>
      </c>
      <c r="P203" s="15" t="n">
        <f aca="false">E203*COSH(M203)</f>
        <v>3476.93468972497</v>
      </c>
      <c r="Q203" s="15" t="n">
        <f aca="false">E203*COSH(N203)</f>
        <v>3487.09989528305</v>
      </c>
    </row>
    <row r="204" customFormat="false" ht="21" hidden="false" customHeight="true" outlineLevel="0" collapsed="false">
      <c r="A204" s="1" t="s">
        <v>356</v>
      </c>
      <c r="B204" s="1" t="s">
        <v>324</v>
      </c>
      <c r="C204" s="15" t="n">
        <v>73.4598199224964</v>
      </c>
      <c r="D204" s="15" t="n">
        <v>7.67824067838828</v>
      </c>
      <c r="E204" s="15" t="n">
        <v>555.455275201586</v>
      </c>
      <c r="F204" s="15" t="n">
        <v>1.32389775</v>
      </c>
      <c r="G204" s="15" t="n">
        <v>0</v>
      </c>
      <c r="H204" s="15" t="n">
        <f aca="false">SQRT(F204^2+G204^2)</f>
        <v>1.32389775</v>
      </c>
      <c r="I204" s="15" t="n">
        <f aca="false">D204*F204/H204</f>
        <v>7.67824067838828</v>
      </c>
      <c r="J204" s="15" t="n">
        <f aca="false">SQRT(C204^2+D204^2-I204^2)</f>
        <v>73.4598199224964</v>
      </c>
      <c r="K204" s="15" t="n">
        <f aca="false">E204/H204</f>
        <v>419.560555338648</v>
      </c>
      <c r="L204" s="15" t="n">
        <f aca="false">J204/2-K204*ASINH(I204/(2*K204*SINH(J204/(2*K204))))</f>
        <v>-6.98869451312506</v>
      </c>
      <c r="M204" s="15" t="n">
        <f aca="false">-L204/K204</f>
        <v>0.0166571771921794</v>
      </c>
      <c r="N204" s="15" t="n">
        <f aca="false">(J204-L204)/K204</f>
        <v>0.191744703862086</v>
      </c>
      <c r="O204" s="15" t="n">
        <f aca="false">K204*(SINH(N204)-SINH(M204))</f>
        <v>73.9533658444675</v>
      </c>
      <c r="P204" s="15" t="n">
        <f aca="false">E204*COSH(M204)</f>
        <v>555.532335724704</v>
      </c>
      <c r="Q204" s="15" t="n">
        <f aca="false">E204*COSH(N204)</f>
        <v>565.697541282781</v>
      </c>
    </row>
    <row r="205" customFormat="false" ht="21" hidden="false" customHeight="true" outlineLevel="0" collapsed="false">
      <c r="A205" s="1" t="s">
        <v>357</v>
      </c>
      <c r="B205" s="1" t="s">
        <v>319</v>
      </c>
      <c r="C205" s="15" t="n">
        <v>73.4598199243559</v>
      </c>
      <c r="D205" s="15" t="n">
        <v>0.165979511225578</v>
      </c>
      <c r="E205" s="15" t="n">
        <v>2205.00000000017</v>
      </c>
      <c r="F205" s="15" t="n">
        <v>1.32389775</v>
      </c>
      <c r="G205" s="15" t="n">
        <v>0</v>
      </c>
      <c r="H205" s="15" t="n">
        <f aca="false">SQRT(F205^2+G205^2)</f>
        <v>1.32389775</v>
      </c>
      <c r="I205" s="15" t="n">
        <f aca="false">D205*F205/H205</f>
        <v>0.165979511225578</v>
      </c>
      <c r="J205" s="15" t="n">
        <f aca="false">SQRT(C205^2+D205^2-I205^2)</f>
        <v>73.4598199243559</v>
      </c>
      <c r="K205" s="15" t="n">
        <f aca="false">E205/H205</f>
        <v>1665.53648119741</v>
      </c>
      <c r="L205" s="15" t="n">
        <f aca="false">J205/2-K205*ASINH(I205/(2*K205*SINH(J205/(2*K205))))</f>
        <v>32.9670054218122</v>
      </c>
      <c r="M205" s="15" t="n">
        <f aca="false">-L205/K205</f>
        <v>-0.0197936255338647</v>
      </c>
      <c r="N205" s="15" t="n">
        <f aca="false">(J205-L205)/K205</f>
        <v>0.0243121750617147</v>
      </c>
      <c r="O205" s="15" t="n">
        <f aca="false">K205*(SINH(N205)-SINH(M205))</f>
        <v>73.4659618564686</v>
      </c>
      <c r="P205" s="15" t="n">
        <f aca="false">E205*COSH(M205)</f>
        <v>2205.43195994492</v>
      </c>
      <c r="Q205" s="15" t="n">
        <f aca="false">E205*COSH(N205)</f>
        <v>2205.65169984637</v>
      </c>
    </row>
    <row r="206" customFormat="false" ht="21" hidden="false" customHeight="true" outlineLevel="0" collapsed="false">
      <c r="A206" s="1" t="s">
        <v>357</v>
      </c>
      <c r="B206" s="1" t="s">
        <v>320</v>
      </c>
      <c r="C206" s="15" t="n">
        <v>73.4598199243559</v>
      </c>
      <c r="D206" s="15" t="n">
        <v>0.165979511225578</v>
      </c>
      <c r="E206" s="15" t="n">
        <v>3449.68449672749</v>
      </c>
      <c r="F206" s="15" t="n">
        <v>1.32389775</v>
      </c>
      <c r="G206" s="15" t="n">
        <v>3.443895</v>
      </c>
      <c r="H206" s="15" t="n">
        <f aca="false">SQRT(F206^2+G206^2)</f>
        <v>3.68959591601574</v>
      </c>
      <c r="I206" s="15" t="n">
        <f aca="false">D206*F206/H206</f>
        <v>0.0595566307149783</v>
      </c>
      <c r="J206" s="15" t="n">
        <f aca="false">SQRT(C206^2+D206^2-I206^2)</f>
        <v>73.4599832937953</v>
      </c>
      <c r="K206" s="15" t="n">
        <f aca="false">E206/H206</f>
        <v>934.976234593374</v>
      </c>
      <c r="L206" s="15" t="n">
        <f aca="false">J206/2-K206*ASINH(I206/(2*K206*SINH(J206/(2*K206))))</f>
        <v>35.9721680566842</v>
      </c>
      <c r="M206" s="15" t="n">
        <f aca="false">-L206/K206</f>
        <v>-0.0384738849242822</v>
      </c>
      <c r="N206" s="15" t="n">
        <f aca="false">(J206-L206)/K206</f>
        <v>0.0400949391546992</v>
      </c>
      <c r="O206" s="15" t="n">
        <f aca="false">K206*(SINH(N206)-SINH(M206))</f>
        <v>73.4789035918346</v>
      </c>
      <c r="P206" s="15" t="n">
        <f aca="false">E206*COSH(M206)</f>
        <v>3452.23799186754</v>
      </c>
      <c r="Q206" s="15" t="n">
        <f aca="false">E206*COSH(N206)</f>
        <v>3452.457731769</v>
      </c>
    </row>
    <row r="207" customFormat="false" ht="21" hidden="false" customHeight="true" outlineLevel="0" collapsed="false">
      <c r="A207" s="1" t="s">
        <v>357</v>
      </c>
      <c r="B207" s="1" t="s">
        <v>321</v>
      </c>
      <c r="C207" s="15" t="n">
        <v>73.4598199243559</v>
      </c>
      <c r="D207" s="15" t="n">
        <v>0.165979511225578</v>
      </c>
      <c r="E207" s="15" t="n">
        <v>3744.52399716774</v>
      </c>
      <c r="F207" s="15" t="n">
        <v>3.85543216183014</v>
      </c>
      <c r="G207" s="15" t="n">
        <v>0</v>
      </c>
      <c r="H207" s="15" t="n">
        <f aca="false">SQRT(F207^2+G207^2)</f>
        <v>3.85543216183014</v>
      </c>
      <c r="I207" s="15" t="n">
        <f aca="false">D207*F207/H207</f>
        <v>0.165979511225578</v>
      </c>
      <c r="J207" s="15" t="n">
        <f aca="false">SQRT(C207^2+D207^2-I207^2)</f>
        <v>73.4598199243559</v>
      </c>
      <c r="K207" s="15" t="n">
        <f aca="false">E207/H207</f>
        <v>971.233272949162</v>
      </c>
      <c r="L207" s="15" t="n">
        <f aca="false">J207/2-K207*ASINH(I207/(2*K207*SINH(J207/(2*K207))))</f>
        <v>34.5359722700767</v>
      </c>
      <c r="M207" s="15" t="n">
        <f aca="false">-L207/K207</f>
        <v>-0.0355588850093735</v>
      </c>
      <c r="N207" s="15" t="n">
        <f aca="false">(J207-L207)/K207</f>
        <v>0.0400767238297824</v>
      </c>
      <c r="O207" s="15" t="n">
        <f aca="false">K207*(SINH(N207)-SINH(M207))</f>
        <v>73.4775188486884</v>
      </c>
      <c r="P207" s="15" t="n">
        <f aca="false">E207*COSH(M207)</f>
        <v>3746.89159892046</v>
      </c>
      <c r="Q207" s="15" t="n">
        <f aca="false">E207*COSH(N207)</f>
        <v>3747.53152166625</v>
      </c>
    </row>
    <row r="208" customFormat="false" ht="21" hidden="false" customHeight="true" outlineLevel="0" collapsed="false">
      <c r="A208" s="1" t="s">
        <v>357</v>
      </c>
      <c r="B208" s="1" t="s">
        <v>322</v>
      </c>
      <c r="C208" s="15" t="n">
        <v>73.4598199243559</v>
      </c>
      <c r="D208" s="15" t="n">
        <v>0.165979511225578</v>
      </c>
      <c r="E208" s="15" t="n">
        <v>3449.71747724119</v>
      </c>
      <c r="F208" s="15" t="n">
        <v>2.33651151473205</v>
      </c>
      <c r="G208" s="15" t="n">
        <v>1.43495625</v>
      </c>
      <c r="H208" s="15" t="n">
        <f aca="false">SQRT(F208^2+G208^2)</f>
        <v>2.74196745018783</v>
      </c>
      <c r="I208" s="15" t="n">
        <f aca="false">D208*F208/H208</f>
        <v>0.141436047740681</v>
      </c>
      <c r="J208" s="15" t="n">
        <f aca="false">SQRT(C208^2+D208^2-I208^2)</f>
        <v>73.459871279232</v>
      </c>
      <c r="K208" s="15" t="n">
        <f aca="false">E208/H208</f>
        <v>1258.11758888855</v>
      </c>
      <c r="L208" s="15" t="n">
        <f aca="false">J208/2-K208*ASINH(I208/(2*K208*SINH(J208/(2*K208))))</f>
        <v>34.3079630476795</v>
      </c>
      <c r="M208" s="15" t="n">
        <f aca="false">-L208/K208</f>
        <v>-0.0272692817831026</v>
      </c>
      <c r="N208" s="15" t="n">
        <f aca="false">(J208-L208)/K208</f>
        <v>0.0311194347629622</v>
      </c>
      <c r="O208" s="15" t="n">
        <f aca="false">K208*(SINH(N208)-SINH(M208))</f>
        <v>73.4704429654447</v>
      </c>
      <c r="P208" s="15" t="n">
        <f aca="false">E208*COSH(M208)</f>
        <v>3451.00018536342</v>
      </c>
      <c r="Q208" s="15" t="n">
        <f aca="false">E208*COSH(N208)</f>
        <v>3451.38799840261</v>
      </c>
    </row>
    <row r="209" customFormat="false" ht="21" hidden="false" customHeight="true" outlineLevel="0" collapsed="false">
      <c r="A209" s="1" t="s">
        <v>357</v>
      </c>
      <c r="B209" s="1" t="s">
        <v>323</v>
      </c>
      <c r="C209" s="15" t="n">
        <v>73.4598199243559</v>
      </c>
      <c r="D209" s="15" t="n">
        <v>0.165979511225578</v>
      </c>
      <c r="E209" s="15" t="n">
        <v>3467.77989228677</v>
      </c>
      <c r="F209" s="15" t="n">
        <v>1.32389775</v>
      </c>
      <c r="G209" s="15" t="n">
        <v>0</v>
      </c>
      <c r="H209" s="15" t="n">
        <f aca="false">SQRT(F209^2+G209^2)</f>
        <v>1.32389775</v>
      </c>
      <c r="I209" s="15" t="n">
        <f aca="false">D209*F209/H209</f>
        <v>0.165979511225578</v>
      </c>
      <c r="J209" s="15" t="n">
        <f aca="false">SQRT(C209^2+D209^2-I209^2)</f>
        <v>73.4598199243559</v>
      </c>
      <c r="K209" s="15" t="n">
        <f aca="false">E209/H209</f>
        <v>2619.37139200272</v>
      </c>
      <c r="L209" s="15" t="n">
        <f aca="false">J209/2-K209*ASINH(I209/(2*K209*SINH(J209/(2*K209))))</f>
        <v>30.8117445417279</v>
      </c>
      <c r="M209" s="15" t="n">
        <f aca="false">-L209/K209</f>
        <v>-0.0117630301055437</v>
      </c>
      <c r="N209" s="15" t="n">
        <f aca="false">(J209-L209)/K209</f>
        <v>0.0162817978057018</v>
      </c>
      <c r="O209" s="15" t="n">
        <f aca="false">K209*(SINH(N209)-SINH(M209))</f>
        <v>73.4624148310434</v>
      </c>
      <c r="P209" s="15" t="n">
        <f aca="false">E209*COSH(M209)</f>
        <v>3468.01981145834</v>
      </c>
      <c r="Q209" s="15" t="n">
        <f aca="false">E209*COSH(N209)</f>
        <v>3468.2395513598</v>
      </c>
    </row>
    <row r="210" customFormat="false" ht="21" hidden="false" customHeight="true" outlineLevel="0" collapsed="false">
      <c r="A210" s="1" t="s">
        <v>357</v>
      </c>
      <c r="B210" s="1" t="s">
        <v>324</v>
      </c>
      <c r="C210" s="15" t="n">
        <v>73.4598199243559</v>
      </c>
      <c r="D210" s="15" t="n">
        <v>0.165979511225578</v>
      </c>
      <c r="E210" s="15" t="n">
        <v>557.492085553507</v>
      </c>
      <c r="F210" s="15" t="n">
        <v>1.32389775</v>
      </c>
      <c r="G210" s="15" t="n">
        <v>0</v>
      </c>
      <c r="H210" s="15" t="n">
        <f aca="false">SQRT(F210^2+G210^2)</f>
        <v>1.32389775</v>
      </c>
      <c r="I210" s="15" t="n">
        <f aca="false">D210*F210/H210</f>
        <v>0.165979511225578</v>
      </c>
      <c r="J210" s="15" t="n">
        <f aca="false">SQRT(C210^2+D210^2-I210^2)</f>
        <v>73.4598199243559</v>
      </c>
      <c r="K210" s="15" t="n">
        <f aca="false">E210/H210</f>
        <v>421.099050552437</v>
      </c>
      <c r="L210" s="15" t="n">
        <f aca="false">J210/2-K210*ASINH(I210/(2*K210*SINH(J210/(2*K210))))</f>
        <v>35.779659763938</v>
      </c>
      <c r="M210" s="15" t="n">
        <f aca="false">-L210/K210</f>
        <v>-0.0849673247113689</v>
      </c>
      <c r="N210" s="15" t="n">
        <f aca="false">(J210-L210)/K210</f>
        <v>0.0894805155959994</v>
      </c>
      <c r="O210" s="15" t="n">
        <f aca="false">K210*(SINH(N210)-SINH(M210))</f>
        <v>73.5531898398599</v>
      </c>
      <c r="P210" s="15" t="n">
        <f aca="false">E210*COSH(M210)</f>
        <v>559.505688619684</v>
      </c>
      <c r="Q210" s="15" t="n">
        <f aca="false">E210*COSH(N210)</f>
        <v>559.725428521142</v>
      </c>
    </row>
    <row r="211" customFormat="false" ht="21" hidden="false" customHeight="true" outlineLevel="0" collapsed="false">
      <c r="A211" s="1" t="s">
        <v>358</v>
      </c>
      <c r="B211" s="1" t="s">
        <v>319</v>
      </c>
      <c r="C211" s="15" t="n">
        <v>24.9444216685859</v>
      </c>
      <c r="D211" s="15" t="n">
        <v>7.45347118454256</v>
      </c>
      <c r="E211" s="15" t="n">
        <v>2205.00000000487</v>
      </c>
      <c r="F211" s="15" t="n">
        <v>1.32389775</v>
      </c>
      <c r="G211" s="15" t="n">
        <v>0</v>
      </c>
      <c r="H211" s="15" t="n">
        <f aca="false">SQRT(F211^2+G211^2)</f>
        <v>1.32389775</v>
      </c>
      <c r="I211" s="15" t="n">
        <f aca="false">D211*F211/H211</f>
        <v>7.45347118454256</v>
      </c>
      <c r="J211" s="15" t="n">
        <f aca="false">SQRT(C211^2+D211^2-I211^2)</f>
        <v>24.9444216685859</v>
      </c>
      <c r="K211" s="15" t="n">
        <f aca="false">E211/H211</f>
        <v>1665.53648120096</v>
      </c>
      <c r="L211" s="15" t="n">
        <f aca="false">J211/2-K211*ASINH(I211/(2*K211*SINH(J211/(2*K211))))</f>
        <v>-478.067899945486</v>
      </c>
      <c r="M211" s="15" t="n">
        <f aca="false">-L211/K211</f>
        <v>0.28703538189735</v>
      </c>
      <c r="N211" s="15" t="n">
        <f aca="false">(J211-L211)/K211</f>
        <v>0.302012190841576</v>
      </c>
      <c r="O211" s="15" t="n">
        <f aca="false">K211*(SINH(N211)-SINH(M211))</f>
        <v>26.0344010075519</v>
      </c>
      <c r="P211" s="15" t="n">
        <f aca="false">E211*COSH(M211)</f>
        <v>2296.45957739981</v>
      </c>
      <c r="Q211" s="15" t="n">
        <f aca="false">E211*COSH(N211)</f>
        <v>2306.32721113071</v>
      </c>
    </row>
    <row r="212" customFormat="false" ht="21" hidden="false" customHeight="true" outlineLevel="0" collapsed="false">
      <c r="A212" s="1" t="s">
        <v>358</v>
      </c>
      <c r="B212" s="1" t="s">
        <v>320</v>
      </c>
      <c r="C212" s="15" t="n">
        <v>24.9444216685859</v>
      </c>
      <c r="D212" s="15" t="n">
        <v>7.45347118454256</v>
      </c>
      <c r="E212" s="15" t="n">
        <v>3085.09421401718</v>
      </c>
      <c r="F212" s="15" t="n">
        <v>1.32389775</v>
      </c>
      <c r="G212" s="15" t="n">
        <v>3.443895</v>
      </c>
      <c r="H212" s="15" t="n">
        <f aca="false">SQRT(F212^2+G212^2)</f>
        <v>3.68959591601574</v>
      </c>
      <c r="I212" s="15" t="n">
        <f aca="false">D212*F212/H212</f>
        <v>2.67444835573252</v>
      </c>
      <c r="J212" s="15" t="n">
        <f aca="false">SQRT(C212^2+D212^2-I212^2)</f>
        <v>25.8964424404501</v>
      </c>
      <c r="K212" s="15" t="n">
        <f aca="false">E212/H212</f>
        <v>836.160458825706</v>
      </c>
      <c r="L212" s="15" t="n">
        <f aca="false">J212/2-K212*ASINH(I212/(2*K212*SINH(J212/(2*K212))))</f>
        <v>-73.2498275067206</v>
      </c>
      <c r="M212" s="15" t="n">
        <f aca="false">-L212/K212</f>
        <v>0.0876025967666442</v>
      </c>
      <c r="N212" s="15" t="n">
        <f aca="false">(J212-L212)/K212</f>
        <v>0.118573258159577</v>
      </c>
      <c r="O212" s="15" t="n">
        <f aca="false">K212*(SINH(N212)-SINH(M212))</f>
        <v>26.0352071458952</v>
      </c>
      <c r="P212" s="15" t="n">
        <f aca="false">E212*COSH(M212)</f>
        <v>3096.93962454905</v>
      </c>
      <c r="Q212" s="15" t="n">
        <f aca="false">E212*COSH(N212)</f>
        <v>3106.80725827996</v>
      </c>
    </row>
    <row r="213" customFormat="false" ht="21" hidden="false" customHeight="true" outlineLevel="0" collapsed="false">
      <c r="A213" s="1" t="s">
        <v>358</v>
      </c>
      <c r="B213" s="1" t="s">
        <v>321</v>
      </c>
      <c r="C213" s="15" t="n">
        <v>24.9444216685859</v>
      </c>
      <c r="D213" s="15" t="n">
        <v>7.45347118454256</v>
      </c>
      <c r="E213" s="15" t="n">
        <v>3289.45446833897</v>
      </c>
      <c r="F213" s="15" t="n">
        <v>3.85543216183014</v>
      </c>
      <c r="G213" s="15" t="n">
        <v>0</v>
      </c>
      <c r="H213" s="15" t="n">
        <f aca="false">SQRT(F213^2+G213^2)</f>
        <v>3.85543216183014</v>
      </c>
      <c r="I213" s="15" t="n">
        <f aca="false">D213*F213/H213</f>
        <v>7.45347118454256</v>
      </c>
      <c r="J213" s="15" t="n">
        <f aca="false">SQRT(C213^2+D213^2-I213^2)</f>
        <v>24.9444216685859</v>
      </c>
      <c r="K213" s="15" t="n">
        <f aca="false">E213/H213</f>
        <v>853.19993460279</v>
      </c>
      <c r="L213" s="15" t="n">
        <f aca="false">J213/2-K213*ASINH(I213/(2*K213*SINH(J213/(2*K213))))</f>
        <v>-238.809047951588</v>
      </c>
      <c r="M213" s="15" t="n">
        <f aca="false">-L213/K213</f>
        <v>0.279898108598387</v>
      </c>
      <c r="N213" s="15" t="n">
        <f aca="false">(J213-L213)/K213</f>
        <v>0.309134423156004</v>
      </c>
      <c r="O213" s="15" t="n">
        <f aca="false">K213*(SINH(N213)-SINH(M213))</f>
        <v>26.0350288549477</v>
      </c>
      <c r="P213" s="15" t="n">
        <f aca="false">E213*COSH(M213)</f>
        <v>3419.15067928047</v>
      </c>
      <c r="Q213" s="15" t="n">
        <f aca="false">E213*COSH(N213)</f>
        <v>3447.88703180263</v>
      </c>
    </row>
    <row r="214" customFormat="false" ht="21" hidden="false" customHeight="true" outlineLevel="0" collapsed="false">
      <c r="A214" s="1" t="s">
        <v>358</v>
      </c>
      <c r="B214" s="1" t="s">
        <v>322</v>
      </c>
      <c r="C214" s="15" t="n">
        <v>24.9444216685859</v>
      </c>
      <c r="D214" s="15" t="n">
        <v>7.45347118454256</v>
      </c>
      <c r="E214" s="15" t="n">
        <v>3284.05881977285</v>
      </c>
      <c r="F214" s="15" t="n">
        <v>2.33651151473205</v>
      </c>
      <c r="G214" s="15" t="n">
        <v>1.43495625</v>
      </c>
      <c r="H214" s="15" t="n">
        <f aca="false">SQRT(F214^2+G214^2)</f>
        <v>2.74196745018783</v>
      </c>
      <c r="I214" s="15" t="n">
        <f aca="false">D214*F214/H214</f>
        <v>6.35132311516473</v>
      </c>
      <c r="J214" s="15" t="n">
        <f aca="false">SQRT(C214^2+D214^2-I214^2)</f>
        <v>25.2475563127563</v>
      </c>
      <c r="K214" s="15" t="n">
        <f aca="false">E214/H214</f>
        <v>1197.70160639503</v>
      </c>
      <c r="L214" s="15" t="n">
        <f aca="false">J214/2-K214*ASINH(I214/(2*K214*SINH(J214/(2*K214))))</f>
        <v>-285.576286789554</v>
      </c>
      <c r="M214" s="15" t="n">
        <f aca="false">-L214/K214</f>
        <v>0.238436923908879</v>
      </c>
      <c r="N214" s="15" t="n">
        <f aca="false">(J214-L214)/K214</f>
        <v>0.259516929294151</v>
      </c>
      <c r="O214" s="15" t="n">
        <f aca="false">K214*(SINH(N214)-SINH(M214))</f>
        <v>26.0346309778064</v>
      </c>
      <c r="P214" s="15" t="n">
        <f aca="false">E214*COSH(M214)</f>
        <v>3377.85486483941</v>
      </c>
      <c r="Q214" s="15" t="n">
        <f aca="false">E214*COSH(N214)</f>
        <v>3395.26998608682</v>
      </c>
    </row>
    <row r="215" customFormat="false" ht="21" hidden="false" customHeight="true" outlineLevel="0" collapsed="false">
      <c r="A215" s="1" t="s">
        <v>358</v>
      </c>
      <c r="B215" s="1" t="s">
        <v>323</v>
      </c>
      <c r="C215" s="15" t="n">
        <v>24.9444216685859</v>
      </c>
      <c r="D215" s="15" t="n">
        <v>7.45347118454256</v>
      </c>
      <c r="E215" s="15" t="n">
        <v>3541.21143854622</v>
      </c>
      <c r="F215" s="15" t="n">
        <v>1.32389775</v>
      </c>
      <c r="G215" s="15" t="n">
        <v>0</v>
      </c>
      <c r="H215" s="15" t="n">
        <f aca="false">SQRT(F215^2+G215^2)</f>
        <v>1.32389775</v>
      </c>
      <c r="I215" s="15" t="n">
        <f aca="false">D215*F215/H215</f>
        <v>7.45347118454256</v>
      </c>
      <c r="J215" s="15" t="n">
        <f aca="false">SQRT(C215^2+D215^2-I215^2)</f>
        <v>24.9444216685859</v>
      </c>
      <c r="K215" s="15" t="n">
        <f aca="false">E215/H215</f>
        <v>2674.83756849516</v>
      </c>
      <c r="L215" s="15" t="n">
        <f aca="false">J215/2-K215*ASINH(I215/(2*K215*SINH(J215/(2*K215))))</f>
        <v>-775.335459928177</v>
      </c>
      <c r="M215" s="15" t="n">
        <f aca="false">-L215/K215</f>
        <v>0.289862632804419</v>
      </c>
      <c r="N215" s="15" t="n">
        <f aca="false">(J215-L215)/K215</f>
        <v>0.299188216519253</v>
      </c>
      <c r="O215" s="15" t="n">
        <f aca="false">K215*(SINH(N215)-SINH(M215))</f>
        <v>26.0342642392849</v>
      </c>
      <c r="P215" s="15" t="n">
        <f aca="false">E215*COSH(M215)</f>
        <v>3691.02288571841</v>
      </c>
      <c r="Q215" s="15" t="n">
        <f aca="false">E215*COSH(N215)</f>
        <v>3700.89051944932</v>
      </c>
    </row>
    <row r="216" customFormat="false" ht="21" hidden="false" customHeight="true" outlineLevel="0" collapsed="false">
      <c r="A216" s="1" t="s">
        <v>358</v>
      </c>
      <c r="B216" s="1" t="s">
        <v>324</v>
      </c>
      <c r="C216" s="15" t="n">
        <v>24.9444216685859</v>
      </c>
      <c r="D216" s="15" t="n">
        <v>7.45347118454256</v>
      </c>
      <c r="E216" s="15" t="n">
        <v>199.327107997063</v>
      </c>
      <c r="F216" s="15" t="n">
        <v>1.32389775</v>
      </c>
      <c r="G216" s="15" t="n">
        <v>0</v>
      </c>
      <c r="H216" s="15" t="n">
        <f aca="false">SQRT(F216^2+G216^2)</f>
        <v>1.32389775</v>
      </c>
      <c r="I216" s="15" t="n">
        <f aca="false">D216*F216/H216</f>
        <v>7.45347118454256</v>
      </c>
      <c r="J216" s="15" t="n">
        <f aca="false">SQRT(C216^2+D216^2-I216^2)</f>
        <v>24.9444216685859</v>
      </c>
      <c r="K216" s="15" t="n">
        <f aca="false">E216/H216</f>
        <v>150.560802748598</v>
      </c>
      <c r="L216" s="15" t="n">
        <f aca="false">J216/2-K216*ASINH(I216/(2*K216*SINH(J216/(2*K216))))</f>
        <v>-31.8226678246297</v>
      </c>
      <c r="M216" s="15" t="n">
        <f aca="false">-L216/K216</f>
        <v>0.211360906980327</v>
      </c>
      <c r="N216" s="15" t="n">
        <f aca="false">(J216-L216)/K216</f>
        <v>0.377037638328773</v>
      </c>
      <c r="O216" s="15" t="n">
        <f aca="false">K216*(SINH(N216)-SINH(M216))</f>
        <v>26.0615230263865</v>
      </c>
      <c r="P216" s="15" t="n">
        <f aca="false">E216*COSH(M216)</f>
        <v>203.796020810153</v>
      </c>
      <c r="Q216" s="15" t="n">
        <f aca="false">E216*COSH(N216)</f>
        <v>213.663654541058</v>
      </c>
    </row>
    <row r="217" customFormat="false" ht="21" hidden="false" customHeight="true" outlineLevel="0" collapsed="false">
      <c r="A217" s="1" t="s">
        <v>359</v>
      </c>
      <c r="B217" s="1" t="s">
        <v>319</v>
      </c>
      <c r="C217" s="15" t="n">
        <v>20.0053352517857</v>
      </c>
      <c r="D217" s="15" t="n">
        <v>12.5950314215801</v>
      </c>
      <c r="E217" s="15" t="n">
        <v>2205.00000002689</v>
      </c>
      <c r="F217" s="15" t="n">
        <v>1.32389775</v>
      </c>
      <c r="G217" s="15" t="n">
        <v>0</v>
      </c>
      <c r="H217" s="15" t="n">
        <f aca="false">SQRT(F217^2+G217^2)</f>
        <v>1.32389775</v>
      </c>
      <c r="I217" s="15" t="n">
        <f aca="false">D217*F217/H217</f>
        <v>12.5950314215801</v>
      </c>
      <c r="J217" s="15" t="n">
        <f aca="false">SQRT(C217^2+D217^2-I217^2)</f>
        <v>20.0053352517857</v>
      </c>
      <c r="K217" s="15" t="n">
        <f aca="false">E217/H217</f>
        <v>1665.53648121759</v>
      </c>
      <c r="L217" s="15" t="n">
        <f aca="false">J217/2-K217*ASINH(I217/(2*K217*SINH(J217/(2*K217))))</f>
        <v>-979.36494470284</v>
      </c>
      <c r="M217" s="15" t="n">
        <f aca="false">-L217/K217</f>
        <v>0.588017708256306</v>
      </c>
      <c r="N217" s="15" t="n">
        <f aca="false">(J217-L217)/K217</f>
        <v>0.600029054436584</v>
      </c>
      <c r="O217" s="15" t="n">
        <f aca="false">K217*(SINH(N217)-SINH(M217))</f>
        <v>23.6400733230129</v>
      </c>
      <c r="P217" s="15" t="n">
        <f aca="false">E217*COSH(M217)</f>
        <v>2597.3170608317</v>
      </c>
      <c r="Q217" s="15" t="n">
        <f aca="false">E217*COSH(N217)</f>
        <v>2613.99159459191</v>
      </c>
    </row>
    <row r="218" customFormat="false" ht="21" hidden="false" customHeight="true" outlineLevel="0" collapsed="false">
      <c r="A218" s="1" t="s">
        <v>359</v>
      </c>
      <c r="B218" s="1" t="s">
        <v>320</v>
      </c>
      <c r="C218" s="15" t="n">
        <v>20.0053352517857</v>
      </c>
      <c r="D218" s="15" t="n">
        <v>12.5950314215801</v>
      </c>
      <c r="E218" s="15" t="n">
        <v>3317.24782944836</v>
      </c>
      <c r="F218" s="15" t="n">
        <v>1.32389775</v>
      </c>
      <c r="G218" s="15" t="n">
        <v>3.443895</v>
      </c>
      <c r="H218" s="15" t="n">
        <f aca="false">SQRT(F218^2+G218^2)</f>
        <v>3.68959591601574</v>
      </c>
      <c r="I218" s="15" t="n">
        <f aca="false">D218*F218/H218</f>
        <v>4.51933874054571</v>
      </c>
      <c r="J218" s="15" t="n">
        <f aca="false">SQRT(C218^2+D218^2-I218^2)</f>
        <v>23.2039615668345</v>
      </c>
      <c r="K218" s="15" t="n">
        <f aca="false">E218/H218</f>
        <v>899.081608110228</v>
      </c>
      <c r="L218" s="15" t="n">
        <f aca="false">J218/2-K218*ASINH(I218/(2*K218*SINH(J218/(2*K218))))</f>
        <v>-162.415005262901</v>
      </c>
      <c r="M218" s="15" t="n">
        <f aca="false">-L218/K218</f>
        <v>0.180645453980846</v>
      </c>
      <c r="N218" s="15" t="n">
        <f aca="false">(J218-L218)/K218</f>
        <v>0.206453969423184</v>
      </c>
      <c r="O218" s="15" t="n">
        <f aca="false">K218*(SINH(N218)-SINH(M218))</f>
        <v>23.6406036682414</v>
      </c>
      <c r="P218" s="15" t="n">
        <f aca="false">E218*COSH(M218)</f>
        <v>3371.52068785274</v>
      </c>
      <c r="Q218" s="15" t="n">
        <f aca="false">E218*COSH(N218)</f>
        <v>3388.19522161295</v>
      </c>
    </row>
    <row r="219" customFormat="false" ht="21" hidden="false" customHeight="true" outlineLevel="0" collapsed="false">
      <c r="A219" s="1" t="s">
        <v>359</v>
      </c>
      <c r="B219" s="1" t="s">
        <v>321</v>
      </c>
      <c r="C219" s="15" t="n">
        <v>20.0053352517857</v>
      </c>
      <c r="D219" s="15" t="n">
        <v>12.5950314215801</v>
      </c>
      <c r="E219" s="15" t="n">
        <v>3135.82857596448</v>
      </c>
      <c r="F219" s="15" t="n">
        <v>3.85543216183014</v>
      </c>
      <c r="G219" s="15" t="n">
        <v>0</v>
      </c>
      <c r="H219" s="15" t="n">
        <f aca="false">SQRT(F219^2+G219^2)</f>
        <v>3.85543216183014</v>
      </c>
      <c r="I219" s="15" t="n">
        <f aca="false">D219*F219/H219</f>
        <v>12.5950314215801</v>
      </c>
      <c r="J219" s="15" t="n">
        <f aca="false">SQRT(C219^2+D219^2-I219^2)</f>
        <v>20.0053352517857</v>
      </c>
      <c r="K219" s="15" t="n">
        <f aca="false">E219/H219</f>
        <v>813.353327030382</v>
      </c>
      <c r="L219" s="15" t="n">
        <f aca="false">J219/2-K219*ASINH(I219/(2*K219*SINH(J219/(2*K219))))</f>
        <v>-473.139907756208</v>
      </c>
      <c r="M219" s="15" t="n">
        <f aca="false">-L219/K219</f>
        <v>0.581715094820696</v>
      </c>
      <c r="N219" s="15" t="n">
        <f aca="false">(J219-L219)/K219</f>
        <v>0.606311213858934</v>
      </c>
      <c r="O219" s="15" t="n">
        <f aca="false">K219*(SINH(N219)-SINH(M219))</f>
        <v>23.6403983014212</v>
      </c>
      <c r="P219" s="15" t="n">
        <f aca="false">E219*COSH(M219)</f>
        <v>3681.53047450074</v>
      </c>
      <c r="Q219" s="15" t="n">
        <f aca="false">E219*COSH(N219)</f>
        <v>3730.08976372276</v>
      </c>
    </row>
    <row r="220" customFormat="false" ht="21" hidden="false" customHeight="true" outlineLevel="0" collapsed="false">
      <c r="A220" s="1" t="s">
        <v>359</v>
      </c>
      <c r="B220" s="1" t="s">
        <v>322</v>
      </c>
      <c r="C220" s="15" t="n">
        <v>20.0053352517857</v>
      </c>
      <c r="D220" s="15" t="n">
        <v>12.5950314215801</v>
      </c>
      <c r="E220" s="15" t="n">
        <v>3280.40940919861</v>
      </c>
      <c r="F220" s="15" t="n">
        <v>2.33651151473205</v>
      </c>
      <c r="G220" s="15" t="n">
        <v>1.43495625</v>
      </c>
      <c r="H220" s="15" t="n">
        <f aca="false">SQRT(F220^2+G220^2)</f>
        <v>2.74196745018783</v>
      </c>
      <c r="I220" s="15" t="n">
        <f aca="false">D220*F220/H220</f>
        <v>10.7325985736694</v>
      </c>
      <c r="J220" s="15" t="n">
        <f aca="false">SQRT(C220^2+D220^2-I220^2)</f>
        <v>21.0632282165721</v>
      </c>
      <c r="K220" s="15" t="n">
        <f aca="false">E220/H220</f>
        <v>1196.37066040806</v>
      </c>
      <c r="L220" s="15" t="n">
        <f aca="false">J220/2-K220*ASINH(I220/(2*K220*SINH(J220/(2*K220))))</f>
        <v>-575.360075726841</v>
      </c>
      <c r="M220" s="15" t="n">
        <f aca="false">-L220/K220</f>
        <v>0.480921251889107</v>
      </c>
      <c r="N220" s="15" t="n">
        <f aca="false">(J220-L220)/K220</f>
        <v>0.498527190344158</v>
      </c>
      <c r="O220" s="15" t="n">
        <f aca="false">K220*(SINH(N220)-SINH(M220))</f>
        <v>23.6402139420872</v>
      </c>
      <c r="P220" s="15" t="n">
        <f aca="false">E220*COSH(M220)</f>
        <v>3667.13277184422</v>
      </c>
      <c r="Q220" s="15" t="n">
        <f aca="false">E220*COSH(N220)</f>
        <v>3696.56120778916</v>
      </c>
    </row>
    <row r="221" customFormat="false" ht="21" hidden="false" customHeight="true" outlineLevel="0" collapsed="false">
      <c r="A221" s="1" t="s">
        <v>359</v>
      </c>
      <c r="B221" s="1" t="s">
        <v>323</v>
      </c>
      <c r="C221" s="15" t="n">
        <v>20.0053352517857</v>
      </c>
      <c r="D221" s="15" t="n">
        <v>12.5950314215801</v>
      </c>
      <c r="E221" s="15" t="n">
        <v>3392.22903089942</v>
      </c>
      <c r="F221" s="15" t="n">
        <v>1.32389775</v>
      </c>
      <c r="G221" s="15" t="n">
        <v>0</v>
      </c>
      <c r="H221" s="15" t="n">
        <f aca="false">SQRT(F221^2+G221^2)</f>
        <v>1.32389775</v>
      </c>
      <c r="I221" s="15" t="n">
        <f aca="false">D221*F221/H221</f>
        <v>12.5950314215801</v>
      </c>
      <c r="J221" s="15" t="n">
        <f aca="false">SQRT(C221^2+D221^2-I221^2)</f>
        <v>20.0053352517857</v>
      </c>
      <c r="K221" s="15" t="n">
        <f aca="false">E221/H221</f>
        <v>2562.30440069818</v>
      </c>
      <c r="L221" s="15" t="n">
        <f aca="false">J221/2-K221*ASINH(I221/(2*K221*SINH(J221/(2*K221))))</f>
        <v>-1512.07079555528</v>
      </c>
      <c r="M221" s="15" t="n">
        <f aca="false">-L221/K221</f>
        <v>0.590121452838808</v>
      </c>
      <c r="N221" s="15" t="n">
        <f aca="false">(J221-L221)/K221</f>
        <v>0.597929008899023</v>
      </c>
      <c r="O221" s="15" t="n">
        <f aca="false">K221*(SINH(N221)-SINH(M221))</f>
        <v>23.6400145530061</v>
      </c>
      <c r="P221" s="15" t="n">
        <f aca="false">E221*COSH(M221)</f>
        <v>4000.23094810664</v>
      </c>
      <c r="Q221" s="15" t="n">
        <f aca="false">E221*COSH(N221)</f>
        <v>4016.90548186685</v>
      </c>
    </row>
    <row r="222" customFormat="false" ht="21" hidden="false" customHeight="true" outlineLevel="0" collapsed="false">
      <c r="A222" s="1" t="s">
        <v>359</v>
      </c>
      <c r="B222" s="1" t="s">
        <v>324</v>
      </c>
      <c r="C222" s="15" t="n">
        <v>20.0053352517857</v>
      </c>
      <c r="D222" s="15" t="n">
        <v>12.5950314215801</v>
      </c>
      <c r="E222" s="15" t="n">
        <v>149.538154138918</v>
      </c>
      <c r="F222" s="15" t="n">
        <v>1.32389775</v>
      </c>
      <c r="G222" s="15" t="n">
        <v>0</v>
      </c>
      <c r="H222" s="15" t="n">
        <f aca="false">SQRT(F222^2+G222^2)</f>
        <v>1.32389775</v>
      </c>
      <c r="I222" s="15" t="n">
        <f aca="false">D222*F222/H222</f>
        <v>12.5950314215801</v>
      </c>
      <c r="J222" s="15" t="n">
        <f aca="false">SQRT(C222^2+D222^2-I222^2)</f>
        <v>20.0053352517857</v>
      </c>
      <c r="K222" s="15" t="n">
        <f aca="false">E222/H222</f>
        <v>112.952948321665</v>
      </c>
      <c r="L222" s="15" t="n">
        <f aca="false">J222/2-K222*ASINH(I222/(2*K222*SINH(J222/(2*K222))))</f>
        <v>-57.0157871722985</v>
      </c>
      <c r="M222" s="15" t="n">
        <f aca="false">-L222/K222</f>
        <v>0.504774669625536</v>
      </c>
      <c r="N222" s="15" t="n">
        <f aca="false">(J222-L222)/K222</f>
        <v>0.681886781784087</v>
      </c>
      <c r="O222" s="15" t="n">
        <f aca="false">K222*(SINH(N222)-SINH(M222))</f>
        <v>23.6621117158783</v>
      </c>
      <c r="P222" s="15" t="n">
        <f aca="false">E222*COSH(M222)</f>
        <v>168.997088493314</v>
      </c>
      <c r="Q222" s="15" t="n">
        <f aca="false">E222*COSH(N222)</f>
        <v>185.671622253523</v>
      </c>
    </row>
    <row r="223" customFormat="false" ht="21" hidden="false" customHeight="true" outlineLevel="0" collapsed="false">
      <c r="A223" s="1" t="s">
        <v>360</v>
      </c>
      <c r="B223" s="1" t="s">
        <v>319</v>
      </c>
      <c r="C223" s="15" t="n">
        <v>30.4170679503427</v>
      </c>
      <c r="D223" s="15" t="n">
        <v>20.6473552565543</v>
      </c>
      <c r="E223" s="15" t="n">
        <v>2205.00000000047</v>
      </c>
      <c r="F223" s="15" t="n">
        <v>1.32389775</v>
      </c>
      <c r="G223" s="15" t="n">
        <v>0</v>
      </c>
      <c r="H223" s="15" t="n">
        <f aca="false">SQRT(F223^2+G223^2)</f>
        <v>1.32389775</v>
      </c>
      <c r="I223" s="15" t="n">
        <f aca="false">D223*F223/H223</f>
        <v>20.6473552565543</v>
      </c>
      <c r="J223" s="15" t="n">
        <f aca="false">SQRT(C223^2+D223^2-I223^2)</f>
        <v>30.4170679503427</v>
      </c>
      <c r="K223" s="15" t="n">
        <f aca="false">E223/H223</f>
        <v>1665.53648119764</v>
      </c>
      <c r="L223" s="15" t="n">
        <f aca="false">J223/2-K223*ASINH(I223/(2*K223*SINH(J223/(2*K223))))</f>
        <v>-1042.75916583941</v>
      </c>
      <c r="M223" s="15" t="n">
        <f aca="false">-L223/K223</f>
        <v>0.626080051449603</v>
      </c>
      <c r="N223" s="15" t="n">
        <f aca="false">(J223-L223)/K223</f>
        <v>0.644342676311756</v>
      </c>
      <c r="O223" s="15" t="n">
        <f aca="false">K223*(SINH(N223)-SINH(M223))</f>
        <v>36.7632563393989</v>
      </c>
      <c r="P223" s="15" t="n">
        <f aca="false">E223*COSH(M223)</f>
        <v>2651.45569915985</v>
      </c>
      <c r="Q223" s="15" t="n">
        <f aca="false">E223*COSH(N223)</f>
        <v>2678.79068632745</v>
      </c>
    </row>
    <row r="224" customFormat="false" ht="21" hidden="false" customHeight="true" outlineLevel="0" collapsed="false">
      <c r="A224" s="1" t="s">
        <v>360</v>
      </c>
      <c r="B224" s="1" t="s">
        <v>320</v>
      </c>
      <c r="C224" s="15" t="n">
        <v>30.4170679503427</v>
      </c>
      <c r="D224" s="15" t="n">
        <v>20.6473552565543</v>
      </c>
      <c r="E224" s="15" t="n">
        <v>3450.35651523921</v>
      </c>
      <c r="F224" s="15" t="n">
        <v>1.32389775</v>
      </c>
      <c r="G224" s="15" t="n">
        <v>3.443895</v>
      </c>
      <c r="H224" s="15" t="n">
        <f aca="false">SQRT(F224^2+G224^2)</f>
        <v>3.68959591601574</v>
      </c>
      <c r="I224" s="15" t="n">
        <f aca="false">D224*F224/H224</f>
        <v>7.40866690819654</v>
      </c>
      <c r="J224" s="15" t="n">
        <f aca="false">SQRT(C224^2+D224^2-I224^2)</f>
        <v>36.0086511331585</v>
      </c>
      <c r="K224" s="15" t="n">
        <f aca="false">E224/H224</f>
        <v>935.158373376866</v>
      </c>
      <c r="L224" s="15" t="n">
        <f aca="false">J224/2-K224*ASINH(I224/(2*K224*SINH(J224/(2*K224))))</f>
        <v>-173.057676712164</v>
      </c>
      <c r="M224" s="15" t="n">
        <f aca="false">-L224/K224</f>
        <v>0.185057078714112</v>
      </c>
      <c r="N224" s="15" t="n">
        <f aca="false">(J224-L224)/K224</f>
        <v>0.223562482887665</v>
      </c>
      <c r="O224" s="15" t="n">
        <f aca="false">K224*(SINH(N224)-SINH(M224))</f>
        <v>36.7650855380206</v>
      </c>
      <c r="P224" s="15" t="n">
        <f aca="false">E224*COSH(M224)</f>
        <v>3509.60598054547</v>
      </c>
      <c r="Q224" s="15" t="n">
        <f aca="false">E224*COSH(N224)</f>
        <v>3536.94096771307</v>
      </c>
    </row>
    <row r="225" customFormat="false" ht="21" hidden="false" customHeight="true" outlineLevel="0" collapsed="false">
      <c r="A225" s="1" t="s">
        <v>360</v>
      </c>
      <c r="B225" s="1" t="s">
        <v>321</v>
      </c>
      <c r="C225" s="15" t="n">
        <v>30.4170679503427</v>
      </c>
      <c r="D225" s="15" t="n">
        <v>20.6473552565543</v>
      </c>
      <c r="E225" s="15" t="n">
        <v>3155.84409683208</v>
      </c>
      <c r="F225" s="15" t="n">
        <v>3.85543216183014</v>
      </c>
      <c r="G225" s="15" t="n">
        <v>0</v>
      </c>
      <c r="H225" s="15" t="n">
        <f aca="false">SQRT(F225^2+G225^2)</f>
        <v>3.85543216183014</v>
      </c>
      <c r="I225" s="15" t="n">
        <f aca="false">D225*F225/H225</f>
        <v>20.6473552565543</v>
      </c>
      <c r="J225" s="15" t="n">
        <f aca="false">SQRT(C225^2+D225^2-I225^2)</f>
        <v>30.4170679503427</v>
      </c>
      <c r="K225" s="15" t="n">
        <f aca="false">E225/H225</f>
        <v>818.544838650209</v>
      </c>
      <c r="L225" s="15" t="n">
        <f aca="false">J225/2-K225*ASINH(I225/(2*K225*SINH(J225/(2*K225))))</f>
        <v>-504.720388251849</v>
      </c>
      <c r="M225" s="15" t="n">
        <f aca="false">-L225/K225</f>
        <v>0.616606891180378</v>
      </c>
      <c r="N225" s="15" t="n">
        <f aca="false">(J225-L225)/K225</f>
        <v>0.653766820012744</v>
      </c>
      <c r="O225" s="15" t="n">
        <f aca="false">K225*(SINH(N225)-SINH(M225))</f>
        <v>36.76435462223</v>
      </c>
      <c r="P225" s="15" t="n">
        <f aca="false">E225*COSH(M225)</f>
        <v>3775.02706380051</v>
      </c>
      <c r="Q225" s="15" t="n">
        <f aca="false">E225*COSH(N225)</f>
        <v>3854.63154131337</v>
      </c>
    </row>
    <row r="226" customFormat="false" ht="21" hidden="false" customHeight="true" outlineLevel="0" collapsed="false">
      <c r="A226" s="1" t="s">
        <v>360</v>
      </c>
      <c r="B226" s="1" t="s">
        <v>322</v>
      </c>
      <c r="C226" s="15" t="n">
        <v>30.4170679503427</v>
      </c>
      <c r="D226" s="15" t="n">
        <v>20.6473552565543</v>
      </c>
      <c r="E226" s="15" t="n">
        <v>3305.18115484726</v>
      </c>
      <c r="F226" s="15" t="n">
        <v>2.33651151473205</v>
      </c>
      <c r="G226" s="15" t="n">
        <v>1.43495625</v>
      </c>
      <c r="H226" s="15" t="n">
        <f aca="false">SQRT(F226^2+G226^2)</f>
        <v>2.74196745018783</v>
      </c>
      <c r="I226" s="15" t="n">
        <f aca="false">D226*F226/H226</f>
        <v>17.594221733886</v>
      </c>
      <c r="J226" s="15" t="n">
        <f aca="false">SQRT(C226^2+D226^2-I226^2)</f>
        <v>32.279322535719</v>
      </c>
      <c r="K226" s="15" t="n">
        <f aca="false">E226/H226</f>
        <v>1205.4049564377</v>
      </c>
      <c r="L226" s="15" t="n">
        <f aca="false">J226/2-K226*ASINH(I226/(2*K226*SINH(J226/(2*K226))))</f>
        <v>-612.03857507487</v>
      </c>
      <c r="M226" s="15" t="n">
        <f aca="false">-L226/K226</f>
        <v>0.507745195343819</v>
      </c>
      <c r="N226" s="15" t="n">
        <f aca="false">(J226-L226)/K226</f>
        <v>0.534524015493284</v>
      </c>
      <c r="O226" s="15" t="n">
        <f aca="false">K226*(SINH(N226)-SINH(M226))</f>
        <v>36.763753469972</v>
      </c>
      <c r="P226" s="15" t="n">
        <f aca="false">E226*COSH(M226)</f>
        <v>3740.45967316582</v>
      </c>
      <c r="Q226" s="15" t="n">
        <f aca="false">E226*COSH(N226)</f>
        <v>3788.70245647152</v>
      </c>
    </row>
    <row r="227" customFormat="false" ht="21" hidden="false" customHeight="true" outlineLevel="0" collapsed="false">
      <c r="A227" s="1" t="s">
        <v>360</v>
      </c>
      <c r="B227" s="1" t="s">
        <v>323</v>
      </c>
      <c r="C227" s="15" t="n">
        <v>30.4170679503427</v>
      </c>
      <c r="D227" s="15" t="n">
        <v>20.6473552565543</v>
      </c>
      <c r="E227" s="15" t="n">
        <v>3358.32702634211</v>
      </c>
      <c r="F227" s="15" t="n">
        <v>1.32389775</v>
      </c>
      <c r="G227" s="15" t="n">
        <v>0</v>
      </c>
      <c r="H227" s="15" t="n">
        <f aca="false">SQRT(F227^2+G227^2)</f>
        <v>1.32389775</v>
      </c>
      <c r="I227" s="15" t="n">
        <f aca="false">D227*F227/H227</f>
        <v>20.6473552565543</v>
      </c>
      <c r="J227" s="15" t="n">
        <f aca="false">SQRT(C227^2+D227^2-I227^2)</f>
        <v>30.4170679503427</v>
      </c>
      <c r="K227" s="15" t="n">
        <f aca="false">E227/H227</f>
        <v>2536.69667943927</v>
      </c>
      <c r="L227" s="15" t="n">
        <f aca="false">J227/2-K227*ASINH(I227/(2*K227*SINH(J227/(2*K227))))</f>
        <v>-1596.14128705746</v>
      </c>
      <c r="M227" s="15" t="n">
        <f aca="false">-L227/K227</f>
        <v>0.629220395167735</v>
      </c>
      <c r="N227" s="15" t="n">
        <f aca="false">(J227-L227)/K227</f>
        <v>0.641211213067598</v>
      </c>
      <c r="O227" s="15" t="n">
        <f aca="false">K227*(SINH(N227)-SINH(M227))</f>
        <v>36.7630573705654</v>
      </c>
      <c r="P227" s="15" t="n">
        <f aca="false">E227*COSH(M227)</f>
        <v>4045.3643834716</v>
      </c>
      <c r="Q227" s="15" t="n">
        <f aca="false">E227*COSH(N227)</f>
        <v>4072.6993706392</v>
      </c>
    </row>
    <row r="228" customFormat="false" ht="21" hidden="false" customHeight="true" outlineLevel="0" collapsed="false">
      <c r="A228" s="1" t="s">
        <v>360</v>
      </c>
      <c r="B228" s="1" t="s">
        <v>324</v>
      </c>
      <c r="C228" s="15" t="n">
        <v>30.4170679503427</v>
      </c>
      <c r="D228" s="15" t="n">
        <v>20.6473552565543</v>
      </c>
      <c r="E228" s="15" t="n">
        <v>220.523874208108</v>
      </c>
      <c r="F228" s="15" t="n">
        <v>1.32389775</v>
      </c>
      <c r="G228" s="15" t="n">
        <v>0</v>
      </c>
      <c r="H228" s="15" t="n">
        <f aca="false">SQRT(F228^2+G228^2)</f>
        <v>1.32389775</v>
      </c>
      <c r="I228" s="15" t="n">
        <f aca="false">D228*F228/H228</f>
        <v>20.6473552565543</v>
      </c>
      <c r="J228" s="15" t="n">
        <f aca="false">SQRT(C228^2+D228^2-I228^2)</f>
        <v>30.4170679503427</v>
      </c>
      <c r="K228" s="15" t="n">
        <f aca="false">E228/H228</f>
        <v>166.571681391639</v>
      </c>
      <c r="L228" s="15" t="n">
        <f aca="false">J228/2-K228*ASINH(I228/(2*K228*SINH(J228/(2*K228))))</f>
        <v>-90.4711087928608</v>
      </c>
      <c r="M228" s="15" t="n">
        <f aca="false">-L228/K228</f>
        <v>0.54313619240084</v>
      </c>
      <c r="N228" s="15" t="n">
        <f aca="false">(J228-L228)/K228</f>
        <v>0.725742669661682</v>
      </c>
      <c r="O228" s="15" t="n">
        <f aca="false">K228*(SINH(N228)-SINH(M228))</f>
        <v>36.7978948411861</v>
      </c>
      <c r="P228" s="15" t="n">
        <f aca="false">E228*COSH(M228)</f>
        <v>253.858322836242</v>
      </c>
      <c r="Q228" s="15" t="n">
        <f aca="false">E228*COSH(N228)</f>
        <v>281.193310003845</v>
      </c>
    </row>
    <row r="229" customFormat="false" ht="21" hidden="false" customHeight="true" outlineLevel="0" collapsed="false">
      <c r="A229" s="1" t="s">
        <v>361</v>
      </c>
      <c r="B229" s="1" t="s">
        <v>319</v>
      </c>
      <c r="C229" s="15" t="n">
        <v>75.724530713826</v>
      </c>
      <c r="D229" s="15" t="n">
        <v>1.47684093770513</v>
      </c>
      <c r="E229" s="15" t="n">
        <v>2204.99999999929</v>
      </c>
      <c r="F229" s="15" t="n">
        <v>1.32389775</v>
      </c>
      <c r="G229" s="15" t="n">
        <v>0</v>
      </c>
      <c r="H229" s="15" t="n">
        <f aca="false">SQRT(F229^2+G229^2)</f>
        <v>1.32389775</v>
      </c>
      <c r="I229" s="15" t="n">
        <f aca="false">D229*F229/H229</f>
        <v>1.47684093770513</v>
      </c>
      <c r="J229" s="15" t="n">
        <f aca="false">SQRT(C229^2+D229^2-I229^2)</f>
        <v>75.724530713826</v>
      </c>
      <c r="K229" s="15" t="n">
        <f aca="false">E229/H229</f>
        <v>1665.53648119675</v>
      </c>
      <c r="L229" s="15" t="n">
        <f aca="false">J229/2-K229*ASINH(I229/(2*K229*SINH(J229/(2*K229))))</f>
        <v>5.38448400360293</v>
      </c>
      <c r="M229" s="15" t="n">
        <f aca="false">-L229/K229</f>
        <v>-0.00323288265636426</v>
      </c>
      <c r="N229" s="15" t="n">
        <f aca="false">(J229-L229)/K229</f>
        <v>0.0422326664737365</v>
      </c>
      <c r="O229" s="15" t="n">
        <f aca="false">K229*(SINH(N229)-SINH(M229))</f>
        <v>75.7454516871367</v>
      </c>
      <c r="P229" s="15" t="n">
        <f aca="false">E229*COSH(M229)</f>
        <v>2205.01152282145</v>
      </c>
      <c r="Q229" s="15" t="n">
        <f aca="false">E229*COSH(N229)</f>
        <v>2206.96670921599</v>
      </c>
    </row>
    <row r="230" customFormat="false" ht="21" hidden="false" customHeight="true" outlineLevel="0" collapsed="false">
      <c r="A230" s="1" t="s">
        <v>361</v>
      </c>
      <c r="B230" s="1" t="s">
        <v>320</v>
      </c>
      <c r="C230" s="15" t="n">
        <v>75.724530713826</v>
      </c>
      <c r="D230" s="15" t="n">
        <v>1.47684093770513</v>
      </c>
      <c r="E230" s="15" t="n">
        <v>3472.93182435718</v>
      </c>
      <c r="F230" s="15" t="n">
        <v>1.32389775</v>
      </c>
      <c r="G230" s="15" t="n">
        <v>3.443895</v>
      </c>
      <c r="H230" s="15" t="n">
        <f aca="false">SQRT(F230^2+G230^2)</f>
        <v>3.68959591601574</v>
      </c>
      <c r="I230" s="15" t="n">
        <f aca="false">D230*F230/H230</f>
        <v>0.529918841802883</v>
      </c>
      <c r="J230" s="15" t="n">
        <f aca="false">SQRT(C230^2+D230^2-I230^2)</f>
        <v>75.7370767656473</v>
      </c>
      <c r="K230" s="15" t="n">
        <f aca="false">E230/H230</f>
        <v>941.277013366676</v>
      </c>
      <c r="L230" s="15" t="n">
        <f aca="false">J230/2-K230*ASINH(I230/(2*K230*SINH(J230/(2*K230))))</f>
        <v>31.2844206609612</v>
      </c>
      <c r="M230" s="15" t="n">
        <f aca="false">-L230/K230</f>
        <v>-0.0332361464443564</v>
      </c>
      <c r="N230" s="15" t="n">
        <f aca="false">(J230-L230)/K230</f>
        <v>0.0472259021238518</v>
      </c>
      <c r="O230" s="15" t="n">
        <f aca="false">K230*(SINH(N230)-SINH(M230))</f>
        <v>75.7593622925447</v>
      </c>
      <c r="P230" s="15" t="n">
        <f aca="false">E230*COSH(M230)</f>
        <v>3474.85017312725</v>
      </c>
      <c r="Q230" s="15" t="n">
        <f aca="false">E230*COSH(N230)</f>
        <v>3476.80535952179</v>
      </c>
    </row>
    <row r="231" customFormat="false" ht="21" hidden="false" customHeight="true" outlineLevel="0" collapsed="false">
      <c r="A231" s="1" t="s">
        <v>361</v>
      </c>
      <c r="B231" s="1" t="s">
        <v>321</v>
      </c>
      <c r="C231" s="15" t="n">
        <v>75.724530713826</v>
      </c>
      <c r="D231" s="15" t="n">
        <v>1.47684093770513</v>
      </c>
      <c r="E231" s="15" t="n">
        <v>3765.5445510648</v>
      </c>
      <c r="F231" s="15" t="n">
        <v>3.85543216183014</v>
      </c>
      <c r="G231" s="15" t="n">
        <v>0</v>
      </c>
      <c r="H231" s="15" t="n">
        <f aca="false">SQRT(F231^2+G231^2)</f>
        <v>3.85543216183014</v>
      </c>
      <c r="I231" s="15" t="n">
        <f aca="false">D231*F231/H231</f>
        <v>1.47684093770513</v>
      </c>
      <c r="J231" s="15" t="n">
        <f aca="false">SQRT(C231^2+D231^2-I231^2)</f>
        <v>75.724530713826</v>
      </c>
      <c r="K231" s="15" t="n">
        <f aca="false">E231/H231</f>
        <v>976.685464302743</v>
      </c>
      <c r="L231" s="15" t="n">
        <f aca="false">J231/2-K231*ASINH(I231/(2*K231*SINH(J231/(2*K231))))</f>
        <v>18.8201333757431</v>
      </c>
      <c r="M231" s="15" t="n">
        <f aca="false">-L231/K231</f>
        <v>-0.0192693902628916</v>
      </c>
      <c r="N231" s="15" t="n">
        <f aca="false">(J231-L231)/K231</f>
        <v>0.0582627666919431</v>
      </c>
      <c r="O231" s="15" t="n">
        <f aca="false">K231*(SINH(N231)-SINH(M231))</f>
        <v>75.7578950190287</v>
      </c>
      <c r="P231" s="15" t="n">
        <f aca="false">E231*COSH(M231)</f>
        <v>3766.2436637427</v>
      </c>
      <c r="Q231" s="15" t="n">
        <f aca="false">E231*COSH(N231)</f>
        <v>3771.93752379183</v>
      </c>
    </row>
    <row r="232" customFormat="false" ht="21" hidden="false" customHeight="true" outlineLevel="0" collapsed="false">
      <c r="A232" s="1" t="s">
        <v>361</v>
      </c>
      <c r="B232" s="1" t="s">
        <v>322</v>
      </c>
      <c r="C232" s="15" t="n">
        <v>75.724530713826</v>
      </c>
      <c r="D232" s="15" t="n">
        <v>1.47684093770513</v>
      </c>
      <c r="E232" s="15" t="n">
        <v>3458.91191135648</v>
      </c>
      <c r="F232" s="15" t="n">
        <v>2.33651151473205</v>
      </c>
      <c r="G232" s="15" t="n">
        <v>1.43495625</v>
      </c>
      <c r="H232" s="15" t="n">
        <f aca="false">SQRT(F232^2+G232^2)</f>
        <v>2.74196745018783</v>
      </c>
      <c r="I232" s="15" t="n">
        <f aca="false">D232*F232/H232</f>
        <v>1.25845981728899</v>
      </c>
      <c r="J232" s="15" t="n">
        <f aca="false">SQRT(C232^2+D232^2-I232^2)</f>
        <v>75.7284747626197</v>
      </c>
      <c r="K232" s="15" t="n">
        <f aca="false">E232/H232</f>
        <v>1261.47081400238</v>
      </c>
      <c r="L232" s="15" t="n">
        <f aca="false">J232/2-K232*ASINH(I232/(2*K232*SINH(J232/(2*K232))))</f>
        <v>16.9051601695196</v>
      </c>
      <c r="M232" s="15" t="n">
        <f aca="false">-L232/K232</f>
        <v>-0.0134011504522114</v>
      </c>
      <c r="N232" s="15" t="n">
        <f aca="false">(J232-L232)/K232</f>
        <v>0.0466307376596895</v>
      </c>
      <c r="O232" s="15" t="n">
        <f aca="false">K232*(SINH(N232)-SINH(M232))</f>
        <v>75.750300908068</v>
      </c>
      <c r="P232" s="15" t="n">
        <f aca="false">E232*COSH(M232)</f>
        <v>3459.22251044131</v>
      </c>
      <c r="Q232" s="15" t="n">
        <f aca="false">E232*COSH(N232)</f>
        <v>3462.67316629769</v>
      </c>
    </row>
    <row r="233" customFormat="false" ht="21" hidden="false" customHeight="true" outlineLevel="0" collapsed="false">
      <c r="A233" s="1" t="s">
        <v>361</v>
      </c>
      <c r="B233" s="1" t="s">
        <v>323</v>
      </c>
      <c r="C233" s="15" t="n">
        <v>75.724530713826</v>
      </c>
      <c r="D233" s="15" t="n">
        <v>1.47684093770513</v>
      </c>
      <c r="E233" s="15" t="n">
        <v>3458.8899148217</v>
      </c>
      <c r="F233" s="15" t="n">
        <v>1.32389775</v>
      </c>
      <c r="G233" s="15" t="n">
        <v>0</v>
      </c>
      <c r="H233" s="15" t="n">
        <f aca="false">SQRT(F233^2+G233^2)</f>
        <v>1.32389775</v>
      </c>
      <c r="I233" s="15" t="n">
        <f aca="false">D233*F233/H233</f>
        <v>1.47684093770513</v>
      </c>
      <c r="J233" s="15" t="n">
        <f aca="false">SQRT(C233^2+D233^2-I233^2)</f>
        <v>75.724530713826</v>
      </c>
      <c r="K233" s="15" t="n">
        <f aca="false">E233/H233</f>
        <v>2612.65638892558</v>
      </c>
      <c r="L233" s="15" t="n">
        <f aca="false">J233/2-K233*ASINH(I233/(2*K233*SINH(J233/(2*K233))))</f>
        <v>-13.0868562619816</v>
      </c>
      <c r="M233" s="15" t="n">
        <f aca="false">-L233/K233</f>
        <v>0.00500902312200474</v>
      </c>
      <c r="N233" s="15" t="n">
        <f aca="false">(J233-L233)/K233</f>
        <v>0.033992754405921</v>
      </c>
      <c r="O233" s="15" t="n">
        <f aca="false">K233*(SINH(N233)-SINH(M233))</f>
        <v>75.7415806781715</v>
      </c>
      <c r="P233" s="15" t="n">
        <f aca="false">E233*COSH(M233)</f>
        <v>3458.93330722709</v>
      </c>
      <c r="Q233" s="15" t="n">
        <f aca="false">E233*COSH(N233)</f>
        <v>3460.88849362163</v>
      </c>
    </row>
    <row r="234" customFormat="false" ht="21" hidden="false" customHeight="true" outlineLevel="0" collapsed="false">
      <c r="A234" s="1" t="s">
        <v>361</v>
      </c>
      <c r="B234" s="1" t="s">
        <v>324</v>
      </c>
      <c r="C234" s="15" t="n">
        <v>75.724530713826</v>
      </c>
      <c r="D234" s="15" t="n">
        <v>1.47684093770513</v>
      </c>
      <c r="E234" s="15" t="n">
        <v>572.364184477988</v>
      </c>
      <c r="F234" s="15" t="n">
        <v>1.32389775</v>
      </c>
      <c r="G234" s="15" t="n">
        <v>0</v>
      </c>
      <c r="H234" s="15" t="n">
        <f aca="false">SQRT(F234^2+G234^2)</f>
        <v>1.32389775</v>
      </c>
      <c r="I234" s="15" t="n">
        <f aca="false">D234*F234/H234</f>
        <v>1.47684093770513</v>
      </c>
      <c r="J234" s="15" t="n">
        <f aca="false">SQRT(C234^2+D234^2-I234^2)</f>
        <v>75.724530713826</v>
      </c>
      <c r="K234" s="15" t="n">
        <f aca="false">E234/H234</f>
        <v>432.332621214885</v>
      </c>
      <c r="L234" s="15" t="n">
        <f aca="false">J234/2-K234*ASINH(I234/(2*K234*SINH(J234/(2*K234))))</f>
        <v>29.4418663260015</v>
      </c>
      <c r="M234" s="15" t="n">
        <f aca="false">-L234/K234</f>
        <v>-0.0681000342820946</v>
      </c>
      <c r="N234" s="15" t="n">
        <f aca="false">(J234-L234)/K234</f>
        <v>0.107053370753673</v>
      </c>
      <c r="O234" s="15" t="n">
        <f aca="false">K234*(SINH(N234)-SINH(M234))</f>
        <v>75.8357464948998</v>
      </c>
      <c r="P234" s="15" t="n">
        <f aca="false">E234*COSH(M234)</f>
        <v>573.691899747382</v>
      </c>
      <c r="Q234" s="15" t="n">
        <f aca="false">E234*COSH(N234)</f>
        <v>575.647086141917</v>
      </c>
    </row>
    <row r="235" customFormat="false" ht="21" hidden="false" customHeight="true" outlineLevel="0" collapsed="false">
      <c r="A235" s="1" t="s">
        <v>362</v>
      </c>
      <c r="B235" s="1" t="s">
        <v>319</v>
      </c>
      <c r="C235" s="15" t="n">
        <v>82.3737077251098</v>
      </c>
      <c r="D235" s="15" t="n">
        <v>8.01755726877382</v>
      </c>
      <c r="E235" s="15" t="n">
        <v>2205.00000000056</v>
      </c>
      <c r="F235" s="15" t="n">
        <v>1.32389775</v>
      </c>
      <c r="G235" s="15" t="n">
        <v>0</v>
      </c>
      <c r="H235" s="15" t="n">
        <f aca="false">SQRT(F235^2+G235^2)</f>
        <v>1.32389775</v>
      </c>
      <c r="I235" s="15" t="n">
        <f aca="false">D235*F235/H235</f>
        <v>8.01755726877382</v>
      </c>
      <c r="J235" s="15" t="n">
        <f aca="false">SQRT(C235^2+D235^2-I235^2)</f>
        <v>82.3737077251098</v>
      </c>
      <c r="K235" s="15" t="n">
        <f aca="false">E235/H235</f>
        <v>1665.53648119771</v>
      </c>
      <c r="L235" s="15" t="n">
        <f aca="false">J235/2-K235*ASINH(I235/(2*K235*SINH(J235/(2*K235))))</f>
        <v>-120.651012035215</v>
      </c>
      <c r="M235" s="15" t="n">
        <f aca="false">-L235/K235</f>
        <v>0.0724397294188677</v>
      </c>
      <c r="N235" s="15" t="n">
        <f aca="false">(J235-L235)/K235</f>
        <v>0.121897491920638</v>
      </c>
      <c r="O235" s="15" t="n">
        <f aca="false">K235*(SINH(N235)-SINH(M235))</f>
        <v>82.7713247314925</v>
      </c>
      <c r="P235" s="15" t="n">
        <f aca="false">E235*COSH(M235)</f>
        <v>2210.78791497466</v>
      </c>
      <c r="Q235" s="15" t="n">
        <f aca="false">E235*COSH(N235)</f>
        <v>2221.40234100328</v>
      </c>
    </row>
    <row r="236" customFormat="false" ht="21" hidden="false" customHeight="true" outlineLevel="0" collapsed="false">
      <c r="A236" s="1" t="s">
        <v>362</v>
      </c>
      <c r="B236" s="1" t="s">
        <v>320</v>
      </c>
      <c r="C236" s="15" t="n">
        <v>82.3737077251098</v>
      </c>
      <c r="D236" s="15" t="n">
        <v>8.01755726877382</v>
      </c>
      <c r="E236" s="15" t="n">
        <v>3550.68690153791</v>
      </c>
      <c r="F236" s="15" t="n">
        <v>1.32389775</v>
      </c>
      <c r="G236" s="15" t="n">
        <v>3.443895</v>
      </c>
      <c r="H236" s="15" t="n">
        <f aca="false">SQRT(F236^2+G236^2)</f>
        <v>3.68959591601574</v>
      </c>
      <c r="I236" s="15" t="n">
        <f aca="false">D236*F236/H236</f>
        <v>2.87685325716858</v>
      </c>
      <c r="J236" s="15" t="n">
        <f aca="false">SQRT(C236^2+D236^2-I236^2)</f>
        <v>82.7129534249418</v>
      </c>
      <c r="K236" s="15" t="n">
        <f aca="false">E236/H236</f>
        <v>962.351157785365</v>
      </c>
      <c r="L236" s="15" t="n">
        <f aca="false">J236/2-K236*ASINH(I236/(2*K236*SINH(J236/(2*K236))))</f>
        <v>7.90181702075638</v>
      </c>
      <c r="M236" s="15" t="n">
        <f aca="false">-L236/K236</f>
        <v>-0.00821094977319988</v>
      </c>
      <c r="N236" s="15" t="n">
        <f aca="false">(J236-L236)/K236</f>
        <v>0.0777378774878252</v>
      </c>
      <c r="O236" s="15" t="n">
        <f aca="false">K236*(SINH(N236)-SINH(M236))</f>
        <v>82.7884144829662</v>
      </c>
      <c r="P236" s="15" t="n">
        <f aca="false">E236*COSH(M236)</f>
        <v>3550.80659532644</v>
      </c>
      <c r="Q236" s="15" t="n">
        <f aca="false">E236*COSH(N236)</f>
        <v>3561.42102135507</v>
      </c>
    </row>
    <row r="237" customFormat="false" ht="21" hidden="false" customHeight="true" outlineLevel="0" collapsed="false">
      <c r="A237" s="1" t="s">
        <v>362</v>
      </c>
      <c r="B237" s="1" t="s">
        <v>321</v>
      </c>
      <c r="C237" s="15" t="n">
        <v>82.3737077251098</v>
      </c>
      <c r="D237" s="15" t="n">
        <v>8.01755726877382</v>
      </c>
      <c r="E237" s="15" t="n">
        <v>3819.67883428011</v>
      </c>
      <c r="F237" s="15" t="n">
        <v>3.85543216183014</v>
      </c>
      <c r="G237" s="15" t="n">
        <v>0</v>
      </c>
      <c r="H237" s="15" t="n">
        <f aca="false">SQRT(F237^2+G237^2)</f>
        <v>3.85543216183014</v>
      </c>
      <c r="I237" s="15" t="n">
        <f aca="false">D237*F237/H237</f>
        <v>8.01755726877382</v>
      </c>
      <c r="J237" s="15" t="n">
        <f aca="false">SQRT(C237^2+D237^2-I237^2)</f>
        <v>82.3737077251098</v>
      </c>
      <c r="K237" s="15" t="n">
        <f aca="false">E237/H237</f>
        <v>990.72650586256</v>
      </c>
      <c r="L237" s="15" t="n">
        <f aca="false">J237/2-K237*ASINH(I237/(2*K237*SINH(J237/(2*K237))))</f>
        <v>-55.0628057759125</v>
      </c>
      <c r="M237" s="15" t="n">
        <f aca="false">-L237/K237</f>
        <v>0.0555782099803346</v>
      </c>
      <c r="N237" s="15" t="n">
        <f aca="false">(J237-L237)/K237</f>
        <v>0.138722960057847</v>
      </c>
      <c r="O237" s="15" t="n">
        <f aca="false">K237*(SINH(N237)-SINH(M237))</f>
        <v>82.78658616958</v>
      </c>
      <c r="P237" s="15" t="n">
        <f aca="false">E237*COSH(M237)</f>
        <v>3825.57972745363</v>
      </c>
      <c r="Q237" s="15" t="n">
        <f aca="false">E237*COSH(N237)</f>
        <v>3856.49087560698</v>
      </c>
    </row>
    <row r="238" customFormat="false" ht="21" hidden="false" customHeight="true" outlineLevel="0" collapsed="false">
      <c r="A238" s="1" t="s">
        <v>362</v>
      </c>
      <c r="B238" s="1" t="s">
        <v>322</v>
      </c>
      <c r="C238" s="15" t="n">
        <v>82.3737077251098</v>
      </c>
      <c r="D238" s="15" t="n">
        <v>8.01755726877382</v>
      </c>
      <c r="E238" s="15" t="n">
        <v>3485.66903317411</v>
      </c>
      <c r="F238" s="15" t="n">
        <v>2.33651151473205</v>
      </c>
      <c r="G238" s="15" t="n">
        <v>1.43495625</v>
      </c>
      <c r="H238" s="15" t="n">
        <f aca="false">SQRT(F238^2+G238^2)</f>
        <v>2.74196745018783</v>
      </c>
      <c r="I238" s="15" t="n">
        <f aca="false">D238*F238/H238</f>
        <v>6.83199754148448</v>
      </c>
      <c r="J238" s="15" t="n">
        <f aca="false">SQRT(C238^2+D238^2-I238^2)</f>
        <v>82.480499262147</v>
      </c>
      <c r="K238" s="15" t="n">
        <f aca="false">E238/H238</f>
        <v>1271.22917995811</v>
      </c>
      <c r="L238" s="15" t="n">
        <f aca="false">J238/2-K238*ASINH(I238/(2*K238*SINH(J238/(2*K238))))</f>
        <v>-63.9193428526961</v>
      </c>
      <c r="M238" s="15" t="n">
        <f aca="false">-L238/K238</f>
        <v>0.0502815258337621</v>
      </c>
      <c r="N238" s="15" t="n">
        <f aca="false">(J238-L238)/K238</f>
        <v>0.115164003802734</v>
      </c>
      <c r="O238" s="15" t="n">
        <f aca="false">K238*(SINH(N238)-SINH(M238))</f>
        <v>82.777387400327</v>
      </c>
      <c r="P238" s="15" t="n">
        <f aca="false">E238*COSH(M238)</f>
        <v>3490.07625131283</v>
      </c>
      <c r="Q238" s="15" t="n">
        <f aca="false">E238*COSH(N238)</f>
        <v>3508.80936619135</v>
      </c>
    </row>
    <row r="239" customFormat="false" ht="21" hidden="false" customHeight="true" outlineLevel="0" collapsed="false">
      <c r="A239" s="1" t="s">
        <v>362</v>
      </c>
      <c r="B239" s="1" t="s">
        <v>323</v>
      </c>
      <c r="C239" s="15" t="n">
        <v>82.3737077251098</v>
      </c>
      <c r="D239" s="15" t="n">
        <v>8.01755726877382</v>
      </c>
      <c r="E239" s="15" t="n">
        <v>3428.54044048383</v>
      </c>
      <c r="F239" s="15" t="n">
        <v>1.32389775</v>
      </c>
      <c r="G239" s="15" t="n">
        <v>0</v>
      </c>
      <c r="H239" s="15" t="n">
        <f aca="false">SQRT(F239^2+G239^2)</f>
        <v>1.32389775</v>
      </c>
      <c r="I239" s="15" t="n">
        <f aca="false">D239*F239/H239</f>
        <v>8.01755726877382</v>
      </c>
      <c r="J239" s="15" t="n">
        <f aca="false">SQRT(C239^2+D239^2-I239^2)</f>
        <v>82.3737077251098</v>
      </c>
      <c r="K239" s="15" t="n">
        <f aca="false">E239/H239</f>
        <v>2589.7320548236</v>
      </c>
      <c r="L239" s="15" t="n">
        <f aca="false">J239/2-K239*ASINH(I239/(2*K239*SINH(J239/(2*K239))))</f>
        <v>-210.468803795746</v>
      </c>
      <c r="M239" s="15" t="n">
        <f aca="false">-L239/K239</f>
        <v>0.0812704941438751</v>
      </c>
      <c r="N239" s="15" t="n">
        <f aca="false">(J239-L239)/K239</f>
        <v>0.113078305137944</v>
      </c>
      <c r="O239" s="15" t="n">
        <f aca="false">K239*(SINH(N239)-SINH(M239))</f>
        <v>82.7664246972615</v>
      </c>
      <c r="P239" s="15" t="n">
        <f aca="false">E239*COSH(M239)</f>
        <v>3439.86924563967</v>
      </c>
      <c r="Q239" s="15" t="n">
        <f aca="false">E239*COSH(N239)</f>
        <v>3450.4836716683</v>
      </c>
    </row>
    <row r="240" customFormat="false" ht="21" hidden="false" customHeight="true" outlineLevel="0" collapsed="false">
      <c r="A240" s="1" t="s">
        <v>362</v>
      </c>
      <c r="B240" s="1" t="s">
        <v>324</v>
      </c>
      <c r="C240" s="15" t="n">
        <v>82.3737077251098</v>
      </c>
      <c r="D240" s="15" t="n">
        <v>8.01755726877382</v>
      </c>
      <c r="E240" s="15" t="n">
        <v>613.606790924325</v>
      </c>
      <c r="F240" s="15" t="n">
        <v>1.32389775</v>
      </c>
      <c r="G240" s="15" t="n">
        <v>0</v>
      </c>
      <c r="H240" s="15" t="n">
        <f aca="false">SQRT(F240^2+G240^2)</f>
        <v>1.32389775</v>
      </c>
      <c r="I240" s="15" t="n">
        <f aca="false">D240*F240/H240</f>
        <v>8.01755726877382</v>
      </c>
      <c r="J240" s="15" t="n">
        <f aca="false">SQRT(C240^2+D240^2-I240^2)</f>
        <v>82.3737077251098</v>
      </c>
      <c r="K240" s="15" t="n">
        <f aca="false">E240/H240</f>
        <v>463.485031925105</v>
      </c>
      <c r="L240" s="15" t="n">
        <f aca="false">J240/2-K240*ASINH(I240/(2*K240*SINH(J240/(2*K240))))</f>
        <v>-3.7948795710745</v>
      </c>
      <c r="M240" s="15" t="n">
        <f aca="false">-L240/K240</f>
        <v>0.00818770685066637</v>
      </c>
      <c r="N240" s="15" t="n">
        <f aca="false">(J240-L240)/K240</f>
        <v>0.185914498550858</v>
      </c>
      <c r="O240" s="15" t="n">
        <f aca="false">K240*(SINH(N240)-SINH(M240))</f>
        <v>82.8709152912649</v>
      </c>
      <c r="P240" s="15" t="n">
        <f aca="false">E240*COSH(M240)</f>
        <v>613.627358691991</v>
      </c>
      <c r="Q240" s="15" t="n">
        <f aca="false">E240*COSH(N240)</f>
        <v>624.241784720617</v>
      </c>
    </row>
    <row r="241" customFormat="false" ht="21" hidden="false" customHeight="true" outlineLevel="0" collapsed="false">
      <c r="A241" s="1" t="s">
        <v>363</v>
      </c>
      <c r="B241" s="1" t="s">
        <v>319</v>
      </c>
      <c r="C241" s="15" t="n">
        <v>82.373707723345</v>
      </c>
      <c r="D241" s="15" t="n">
        <v>22.7341572000494</v>
      </c>
      <c r="E241" s="15" t="n">
        <v>2205.00000000229</v>
      </c>
      <c r="F241" s="15" t="n">
        <v>1.32389775</v>
      </c>
      <c r="G241" s="15" t="n">
        <v>0</v>
      </c>
      <c r="H241" s="15" t="n">
        <f aca="false">SQRT(F241^2+G241^2)</f>
        <v>1.32389775</v>
      </c>
      <c r="I241" s="15" t="n">
        <f aca="false">D241*F241/H241</f>
        <v>22.7341572000494</v>
      </c>
      <c r="J241" s="15" t="n">
        <f aca="false">SQRT(C241^2+D241^2-I241^2)</f>
        <v>82.373707723345</v>
      </c>
      <c r="K241" s="15" t="n">
        <f aca="false">E241/H241</f>
        <v>1665.53648119901</v>
      </c>
      <c r="L241" s="15" t="n">
        <f aca="false">J241/2-K241*ASINH(I241/(2*K241*SINH(J241/(2*K241))))</f>
        <v>-412.792071522774</v>
      </c>
      <c r="M241" s="15" t="n">
        <f aca="false">-L241/K241</f>
        <v>0.247843308256813</v>
      </c>
      <c r="N241" s="15" t="n">
        <f aca="false">(J241-L241)/K241</f>
        <v>0.297301070757484</v>
      </c>
      <c r="O241" s="15" t="n">
        <f aca="false">K241*(SINH(N241)-SINH(M241))</f>
        <v>85.4614116227541</v>
      </c>
      <c r="P241" s="15" t="n">
        <f aca="false">E241*COSH(M241)</f>
        <v>2273.06987426613</v>
      </c>
      <c r="Q241" s="15" t="n">
        <f aca="false">E241*COSH(N241)</f>
        <v>2303.16757383142</v>
      </c>
    </row>
    <row r="242" customFormat="false" ht="21" hidden="false" customHeight="true" outlineLevel="0" collapsed="false">
      <c r="A242" s="1" t="s">
        <v>363</v>
      </c>
      <c r="B242" s="1" t="s">
        <v>320</v>
      </c>
      <c r="C242" s="15" t="n">
        <v>82.373707723345</v>
      </c>
      <c r="D242" s="15" t="n">
        <v>22.7341572000494</v>
      </c>
      <c r="E242" s="15" t="n">
        <v>3630.65700178333</v>
      </c>
      <c r="F242" s="15" t="n">
        <v>1.32389775</v>
      </c>
      <c r="G242" s="15" t="n">
        <v>3.443895</v>
      </c>
      <c r="H242" s="15" t="n">
        <f aca="false">SQRT(F242^2+G242^2)</f>
        <v>3.68959591601574</v>
      </c>
      <c r="I242" s="15" t="n">
        <f aca="false">D242*F242/H242</f>
        <v>8.15745145278486</v>
      </c>
      <c r="J242" s="15" t="n">
        <f aca="false">SQRT(C242^2+D242^2-I242^2)</f>
        <v>85.0630684462011</v>
      </c>
      <c r="K242" s="15" t="n">
        <f aca="false">E242/H242</f>
        <v>984.025645199633</v>
      </c>
      <c r="L242" s="15" t="n">
        <f aca="false">J242/2-K242*ASINH(I242/(2*K242*SINH(J242/(2*K242))))</f>
        <v>-51.662116941294</v>
      </c>
      <c r="M242" s="15" t="n">
        <f aca="false">-L242/K242</f>
        <v>0.0525007830774706</v>
      </c>
      <c r="N242" s="15" t="n">
        <f aca="false">(J242-L242)/K242</f>
        <v>0.138944737928814</v>
      </c>
      <c r="O242" s="15" t="n">
        <f aca="false">K242*(SINH(N242)-SINH(M242))</f>
        <v>85.479684904468</v>
      </c>
      <c r="P242" s="15" t="n">
        <f aca="false">E242*COSH(M242)</f>
        <v>3635.66179964241</v>
      </c>
      <c r="Q242" s="15" t="n">
        <f aca="false">E242*COSH(N242)</f>
        <v>3665.7594992077</v>
      </c>
    </row>
    <row r="243" customFormat="false" ht="21" hidden="false" customHeight="true" outlineLevel="0" collapsed="false">
      <c r="A243" s="1" t="s">
        <v>363</v>
      </c>
      <c r="B243" s="1" t="s">
        <v>321</v>
      </c>
      <c r="C243" s="15" t="n">
        <v>82.373707723345</v>
      </c>
      <c r="D243" s="15" t="n">
        <v>22.7341572000494</v>
      </c>
      <c r="E243" s="15" t="n">
        <v>3760.18163413605</v>
      </c>
      <c r="F243" s="15" t="n">
        <v>3.85543216183014</v>
      </c>
      <c r="G243" s="15" t="n">
        <v>0</v>
      </c>
      <c r="H243" s="15" t="n">
        <f aca="false">SQRT(F243^2+G243^2)</f>
        <v>3.85543216183014</v>
      </c>
      <c r="I243" s="15" t="n">
        <f aca="false">D243*F243/H243</f>
        <v>22.7341572000494</v>
      </c>
      <c r="J243" s="15" t="n">
        <f aca="false">SQRT(C243^2+D243^2-I243^2)</f>
        <v>82.373707723345</v>
      </c>
      <c r="K243" s="15" t="n">
        <f aca="false">E243/H243</f>
        <v>975.294461503669</v>
      </c>
      <c r="L243" s="15" t="n">
        <f aca="false">J243/2-K243*ASINH(I243/(2*K243*SINH(J243/(2*K243))))</f>
        <v>-224.600629021184</v>
      </c>
      <c r="M243" s="15" t="n">
        <f aca="false">-L243/K243</f>
        <v>0.230290069190903</v>
      </c>
      <c r="N243" s="15" t="n">
        <f aca="false">(J243-L243)/K243</f>
        <v>0.314750415245104</v>
      </c>
      <c r="O243" s="15" t="n">
        <f aca="false">K243*(SINH(N243)-SINH(M243))</f>
        <v>85.4769224371049</v>
      </c>
      <c r="P243" s="15" t="n">
        <f aca="false">E243*COSH(M243)</f>
        <v>3860.33089494149</v>
      </c>
      <c r="Q243" s="15" t="n">
        <f aca="false">E243*COSH(N243)</f>
        <v>3947.98089578266</v>
      </c>
    </row>
    <row r="244" customFormat="false" ht="21" hidden="false" customHeight="true" outlineLevel="0" collapsed="false">
      <c r="A244" s="1" t="s">
        <v>363</v>
      </c>
      <c r="B244" s="1" t="s">
        <v>322</v>
      </c>
      <c r="C244" s="15" t="n">
        <v>82.373707723345</v>
      </c>
      <c r="D244" s="15" t="n">
        <v>22.7341572000494</v>
      </c>
      <c r="E244" s="15" t="n">
        <v>3482.05995662914</v>
      </c>
      <c r="F244" s="15" t="n">
        <v>2.33651151473205</v>
      </c>
      <c r="G244" s="15" t="n">
        <v>1.43495625</v>
      </c>
      <c r="H244" s="15" t="n">
        <f aca="false">SQRT(F244^2+G244^2)</f>
        <v>2.74196745018783</v>
      </c>
      <c r="I244" s="15" t="n">
        <f aca="false">D244*F244/H244</f>
        <v>19.3724473541819</v>
      </c>
      <c r="J244" s="15" t="n">
        <f aca="false">SQRT(C244^2+D244^2-I244^2)</f>
        <v>83.2284681536137</v>
      </c>
      <c r="K244" s="15" t="n">
        <f aca="false">E244/H244</f>
        <v>1269.91294385738</v>
      </c>
      <c r="L244" s="15" t="n">
        <f aca="false">J244/2-K244*ASINH(I244/(2*K244*SINH(J244/(2*K244))))</f>
        <v>-251.316045245433</v>
      </c>
      <c r="M244" s="15" t="n">
        <f aca="false">-L244/K244</f>
        <v>0.197900215491982</v>
      </c>
      <c r="N244" s="15" t="n">
        <f aca="false">(J244-L244)/K244</f>
        <v>0.263438934942156</v>
      </c>
      <c r="O244" s="15" t="n">
        <f aca="false">K244*(SINH(N244)-SINH(M244))</f>
        <v>85.4678269903083</v>
      </c>
      <c r="P244" s="15" t="n">
        <f aca="false">E244*COSH(M244)</f>
        <v>3550.46934876312</v>
      </c>
      <c r="Q244" s="15" t="n">
        <f aca="false">E244*COSH(N244)</f>
        <v>3603.58796883876</v>
      </c>
    </row>
    <row r="245" customFormat="false" ht="21" hidden="false" customHeight="true" outlineLevel="0" collapsed="false">
      <c r="A245" s="1" t="s">
        <v>363</v>
      </c>
      <c r="B245" s="1" t="s">
        <v>323</v>
      </c>
      <c r="C245" s="15" t="n">
        <v>82.373707723345</v>
      </c>
      <c r="D245" s="15" t="n">
        <v>22.7341572000494</v>
      </c>
      <c r="E245" s="15" t="n">
        <v>3402.60937313844</v>
      </c>
      <c r="F245" s="15" t="n">
        <v>1.32389775</v>
      </c>
      <c r="G245" s="15" t="n">
        <v>0</v>
      </c>
      <c r="H245" s="15" t="n">
        <f aca="false">SQRT(F245^2+G245^2)</f>
        <v>1.32389775</v>
      </c>
      <c r="I245" s="15" t="n">
        <f aca="false">D245*F245/H245</f>
        <v>22.7341572000494</v>
      </c>
      <c r="J245" s="15" t="n">
        <f aca="false">SQRT(C245^2+D245^2-I245^2)</f>
        <v>82.373707723345</v>
      </c>
      <c r="K245" s="15" t="n">
        <f aca="false">E245/H245</f>
        <v>2570.14514386661</v>
      </c>
      <c r="L245" s="15" t="n">
        <f aca="false">J245/2-K245*ASINH(I245/(2*K245*SINH(J245/(2*K245))))</f>
        <v>-659.403654974915</v>
      </c>
      <c r="M245" s="15" t="n">
        <f aca="false">-L245/K245</f>
        <v>0.256562807959898</v>
      </c>
      <c r="N245" s="15" t="n">
        <f aca="false">(J245-L245)/K245</f>
        <v>0.288613024236563</v>
      </c>
      <c r="O245" s="15" t="n">
        <f aca="false">K245*(SINH(N245)-SINH(M245))</f>
        <v>85.4567170527996</v>
      </c>
      <c r="P245" s="15" t="n">
        <f aca="false">E245*COSH(M245)</f>
        <v>3515.21250253237</v>
      </c>
      <c r="Q245" s="15" t="n">
        <f aca="false">E245*COSH(N245)</f>
        <v>3545.31020209766</v>
      </c>
    </row>
    <row r="246" customFormat="false" ht="21" hidden="false" customHeight="true" outlineLevel="0" collapsed="false">
      <c r="A246" s="1" t="s">
        <v>363</v>
      </c>
      <c r="B246" s="1" t="s">
        <v>324</v>
      </c>
      <c r="C246" s="15" t="n">
        <v>82.373707723345</v>
      </c>
      <c r="D246" s="15" t="n">
        <v>22.7341572000494</v>
      </c>
      <c r="E246" s="15" t="n">
        <v>600.692292623372</v>
      </c>
      <c r="F246" s="15" t="n">
        <v>1.32389775</v>
      </c>
      <c r="G246" s="15" t="n">
        <v>0</v>
      </c>
      <c r="H246" s="15" t="n">
        <f aca="false">SQRT(F246^2+G246^2)</f>
        <v>1.32389775</v>
      </c>
      <c r="I246" s="15" t="n">
        <f aca="false">D246*F246/H246</f>
        <v>22.7341572000494</v>
      </c>
      <c r="J246" s="15" t="n">
        <f aca="false">SQRT(C246^2+D246^2-I246^2)</f>
        <v>82.373707723345</v>
      </c>
      <c r="K246" s="15" t="n">
        <f aca="false">E246/H246</f>
        <v>453.730125776989</v>
      </c>
      <c r="L246" s="15" t="n">
        <f aca="false">J246/2-K246*ASINH(I246/(2*K246*SINH(J246/(2*K246))))</f>
        <v>-82.334038437343</v>
      </c>
      <c r="M246" s="15" t="n">
        <f aca="false">-L246/K246</f>
        <v>0.181460374261794</v>
      </c>
      <c r="N246" s="15" t="n">
        <f aca="false">(J246-L246)/K246</f>
        <v>0.363008177776679</v>
      </c>
      <c r="O246" s="15" t="n">
        <f aca="false">K246*(SINH(N246)-SINH(M246))</f>
        <v>85.5624169844148</v>
      </c>
      <c r="P246" s="15" t="n">
        <f aca="false">E246*COSH(M246)</f>
        <v>610.609217901734</v>
      </c>
      <c r="Q246" s="15" t="n">
        <f aca="false">E246*COSH(N246)</f>
        <v>640.706917467025</v>
      </c>
    </row>
    <row r="247" customFormat="false" ht="21" hidden="false" customHeight="true" outlineLevel="0" collapsed="false">
      <c r="A247" s="1" t="s">
        <v>364</v>
      </c>
      <c r="B247" s="1" t="s">
        <v>319</v>
      </c>
      <c r="C247" s="15" t="n">
        <v>63.0281944512418</v>
      </c>
      <c r="D247" s="15" t="n">
        <v>-5.11450169498376</v>
      </c>
      <c r="E247" s="15" t="n">
        <v>2204.99999999905</v>
      </c>
      <c r="F247" s="15" t="n">
        <v>1.32389775</v>
      </c>
      <c r="G247" s="15" t="n">
        <v>0</v>
      </c>
      <c r="H247" s="15" t="n">
        <f aca="false">SQRT(F247^2+G247^2)</f>
        <v>1.32389775</v>
      </c>
      <c r="I247" s="15" t="n">
        <f aca="false">D247*F247/H247</f>
        <v>-5.11450169498376</v>
      </c>
      <c r="J247" s="15" t="n">
        <f aca="false">SQRT(C247^2+D247^2-I247^2)</f>
        <v>63.0281944512418</v>
      </c>
      <c r="K247" s="15" t="n">
        <f aca="false">E247/H247</f>
        <v>1665.53648119657</v>
      </c>
      <c r="L247" s="15" t="n">
        <f aca="false">J247/2-K247*ASINH(I247/(2*K247*SINH(J247/(2*K247))))</f>
        <v>166.510215988806</v>
      </c>
      <c r="M247" s="15" t="n">
        <f aca="false">-L247/K247</f>
        <v>-0.099973923038408</v>
      </c>
      <c r="N247" s="15" t="n">
        <f aca="false">(J247-L247)/K247</f>
        <v>-0.0621313448884772</v>
      </c>
      <c r="O247" s="15" t="n">
        <f aca="false">K247*(SINH(N247)-SINH(M247))</f>
        <v>63.2391138784416</v>
      </c>
      <c r="P247" s="15" t="n">
        <f aca="false">E247*COSH(M247)</f>
        <v>2216.02843175745</v>
      </c>
      <c r="Q247" s="15" t="n">
        <f aca="false">E247*COSH(N247)</f>
        <v>2209.25735447109</v>
      </c>
    </row>
    <row r="248" customFormat="false" ht="21" hidden="false" customHeight="true" outlineLevel="0" collapsed="false">
      <c r="A248" s="1" t="s">
        <v>364</v>
      </c>
      <c r="B248" s="1" t="s">
        <v>320</v>
      </c>
      <c r="C248" s="15" t="n">
        <v>63.0281944512418</v>
      </c>
      <c r="D248" s="15" t="n">
        <v>-5.11450169498376</v>
      </c>
      <c r="E248" s="15" t="n">
        <v>3351.80524531692</v>
      </c>
      <c r="F248" s="15" t="n">
        <v>1.32389775</v>
      </c>
      <c r="G248" s="15" t="n">
        <v>3.443895</v>
      </c>
      <c r="H248" s="15" t="n">
        <f aca="false">SQRT(F248^2+G248^2)</f>
        <v>3.68959591601574</v>
      </c>
      <c r="I248" s="15" t="n">
        <f aca="false">D248*F248/H248</f>
        <v>-1.83518126116966</v>
      </c>
      <c r="J248" s="15" t="n">
        <f aca="false">SQRT(C248^2+D248^2-I248^2)</f>
        <v>63.2087298805331</v>
      </c>
      <c r="K248" s="15" t="n">
        <f aca="false">E248/H248</f>
        <v>908.447787132312</v>
      </c>
      <c r="L248" s="15" t="n">
        <f aca="false">J248/2-K248*ASINH(I248/(2*K248*SINH(J248/(2*K248))))</f>
        <v>57.970914569423</v>
      </c>
      <c r="M248" s="15" t="n">
        <f aca="false">-L248/K248</f>
        <v>-0.0638131496279155</v>
      </c>
      <c r="N248" s="15" t="n">
        <f aca="false">(J248-L248)/K248</f>
        <v>0.00576567567811931</v>
      </c>
      <c r="O248" s="15" t="n">
        <f aca="false">K248*(SINH(N248)-SINH(M248))</f>
        <v>63.2481109802536</v>
      </c>
      <c r="P248" s="15" t="n">
        <f aca="false">E248*COSH(M248)</f>
        <v>3358.63203481536</v>
      </c>
      <c r="Q248" s="15" t="n">
        <f aca="false">E248*COSH(N248)</f>
        <v>3351.860957529</v>
      </c>
    </row>
    <row r="249" customFormat="false" ht="21" hidden="false" customHeight="true" outlineLevel="0" collapsed="false">
      <c r="A249" s="1" t="s">
        <v>364</v>
      </c>
      <c r="B249" s="1" t="s">
        <v>321</v>
      </c>
      <c r="C249" s="15" t="n">
        <v>63.0281944512418</v>
      </c>
      <c r="D249" s="15" t="n">
        <v>-5.11450169498376</v>
      </c>
      <c r="E249" s="15" t="n">
        <v>3641.19408442835</v>
      </c>
      <c r="F249" s="15" t="n">
        <v>3.85543216183014</v>
      </c>
      <c r="G249" s="15" t="n">
        <v>0</v>
      </c>
      <c r="H249" s="15" t="n">
        <f aca="false">SQRT(F249^2+G249^2)</f>
        <v>3.85543216183014</v>
      </c>
      <c r="I249" s="15" t="n">
        <f aca="false">D249*F249/H249</f>
        <v>-5.11450169498376</v>
      </c>
      <c r="J249" s="15" t="n">
        <f aca="false">SQRT(C249^2+D249^2-I249^2)</f>
        <v>63.0281944512418</v>
      </c>
      <c r="K249" s="15" t="n">
        <f aca="false">E249/H249</f>
        <v>944.432149650354</v>
      </c>
      <c r="L249" s="15" t="n">
        <f aca="false">J249/2-K249*ASINH(I249/(2*K249*SINH(J249/(2*K249))))</f>
        <v>108.053194832257</v>
      </c>
      <c r="M249" s="15" t="n">
        <f aca="false">-L249/K249</f>
        <v>-0.114410754517686</v>
      </c>
      <c r="N249" s="15" t="n">
        <f aca="false">(J249-L249)/K249</f>
        <v>-0.0476741504381062</v>
      </c>
      <c r="O249" s="15" t="n">
        <f aca="false">K249*(SINH(N249)-SINH(M249))</f>
        <v>63.2470240164201</v>
      </c>
      <c r="P249" s="15" t="n">
        <f aca="false">E249*COSH(M249)</f>
        <v>3665.05138032126</v>
      </c>
      <c r="Q249" s="15" t="n">
        <f aca="false">E249*COSH(N249)</f>
        <v>3645.33276599469</v>
      </c>
    </row>
    <row r="250" customFormat="false" ht="21" hidden="false" customHeight="true" outlineLevel="0" collapsed="false">
      <c r="A250" s="1" t="s">
        <v>364</v>
      </c>
      <c r="B250" s="1" t="s">
        <v>322</v>
      </c>
      <c r="C250" s="15" t="n">
        <v>63.0281944512418</v>
      </c>
      <c r="D250" s="15" t="n">
        <v>-5.11450169498376</v>
      </c>
      <c r="E250" s="15" t="n">
        <v>3407.75350151118</v>
      </c>
      <c r="F250" s="15" t="n">
        <v>2.33651151473205</v>
      </c>
      <c r="G250" s="15" t="n">
        <v>1.43495625</v>
      </c>
      <c r="H250" s="15" t="n">
        <f aca="false">SQRT(F250^2+G250^2)</f>
        <v>2.74196745018783</v>
      </c>
      <c r="I250" s="15" t="n">
        <f aca="false">D250*F250/H250</f>
        <v>-4.35821807499121</v>
      </c>
      <c r="J250" s="15" t="n">
        <f aca="false">SQRT(C250^2+D250^2-I250^2)</f>
        <v>63.085001058749</v>
      </c>
      <c r="K250" s="15" t="n">
        <f aca="false">E250/H250</f>
        <v>1242.81325851543</v>
      </c>
      <c r="L250" s="15" t="n">
        <f aca="false">J250/2-K250*ASINH(I250/(2*K250*SINH(J250/(2*K250))))</f>
        <v>117.324726824664</v>
      </c>
      <c r="M250" s="15" t="n">
        <f aca="false">-L250/K250</f>
        <v>-0.0944025387730506</v>
      </c>
      <c r="N250" s="15" t="n">
        <f aca="false">(J250-L250)/K250</f>
        <v>-0.043642699652807</v>
      </c>
      <c r="O250" s="15" t="n">
        <f aca="false">K250*(SINH(N250)-SINH(M250))</f>
        <v>63.242122003962</v>
      </c>
      <c r="P250" s="15" t="n">
        <f aca="false">E250*COSH(M250)</f>
        <v>3422.94945764633</v>
      </c>
      <c r="Q250" s="15" t="n">
        <f aca="false">E250*COSH(N250)</f>
        <v>3410.99936554389</v>
      </c>
    </row>
    <row r="251" customFormat="false" ht="21" hidden="false" customHeight="true" outlineLevel="0" collapsed="false">
      <c r="A251" s="1" t="s">
        <v>364</v>
      </c>
      <c r="B251" s="1" t="s">
        <v>323</v>
      </c>
      <c r="C251" s="15" t="n">
        <v>63.0281944512418</v>
      </c>
      <c r="D251" s="15" t="n">
        <v>-5.11450169498376</v>
      </c>
      <c r="E251" s="15" t="n">
        <v>3501.84225582721</v>
      </c>
      <c r="F251" s="15" t="n">
        <v>1.32389775</v>
      </c>
      <c r="G251" s="15" t="n">
        <v>0</v>
      </c>
      <c r="H251" s="15" t="n">
        <f aca="false">SQRT(F251^2+G251^2)</f>
        <v>1.32389775</v>
      </c>
      <c r="I251" s="15" t="n">
        <f aca="false">D251*F251/H251</f>
        <v>-5.11450169498376</v>
      </c>
      <c r="J251" s="15" t="n">
        <f aca="false">SQRT(C251^2+D251^2-I251^2)</f>
        <v>63.0281944512418</v>
      </c>
      <c r="K251" s="15" t="n">
        <f aca="false">E251/H251</f>
        <v>2645.10023967275</v>
      </c>
      <c r="L251" s="15" t="n">
        <f aca="false">J251/2-K251*ASINH(I251/(2*K251*SINH(J251/(2*K251))))</f>
        <v>245.914142464562</v>
      </c>
      <c r="M251" s="15" t="n">
        <f aca="false">-L251/K251</f>
        <v>-0.0929696874153196</v>
      </c>
      <c r="N251" s="15" t="n">
        <f aca="false">(J251-L251)/K251</f>
        <v>-0.0691414054069826</v>
      </c>
      <c r="O251" s="15" t="n">
        <f aca="false">K251*(SINH(N251)-SINH(M251))</f>
        <v>63.2368515235642</v>
      </c>
      <c r="P251" s="15" t="n">
        <f aca="false">E251*COSH(M251)</f>
        <v>3516.98700608316</v>
      </c>
      <c r="Q251" s="15" t="n">
        <f aca="false">E251*COSH(N251)</f>
        <v>3510.2159287968</v>
      </c>
    </row>
    <row r="252" customFormat="false" ht="21" hidden="false" customHeight="true" outlineLevel="0" collapsed="false">
      <c r="A252" s="1" t="s">
        <v>364</v>
      </c>
      <c r="B252" s="1" t="s">
        <v>324</v>
      </c>
      <c r="C252" s="15" t="n">
        <v>63.0281944512418</v>
      </c>
      <c r="D252" s="15" t="n">
        <v>-5.11450169498376</v>
      </c>
      <c r="E252" s="15" t="n">
        <v>485.851964264899</v>
      </c>
      <c r="F252" s="15" t="n">
        <v>1.32389775</v>
      </c>
      <c r="G252" s="15" t="n">
        <v>0</v>
      </c>
      <c r="H252" s="15" t="n">
        <f aca="false">SQRT(F252^2+G252^2)</f>
        <v>1.32389775</v>
      </c>
      <c r="I252" s="15" t="n">
        <f aca="false">D252*F252/H252</f>
        <v>-5.11450169498376</v>
      </c>
      <c r="J252" s="15" t="n">
        <f aca="false">SQRT(C252^2+D252^2-I252^2)</f>
        <v>63.0281944512418</v>
      </c>
      <c r="K252" s="15" t="n">
        <f aca="false">E252/H252</f>
        <v>366.986018568956</v>
      </c>
      <c r="L252" s="15" t="n">
        <f aca="false">J252/2-K252*ASINH(I252/(2*K252*SINH(J252/(2*K252))))</f>
        <v>61.2246031130855</v>
      </c>
      <c r="M252" s="15" t="n">
        <f aca="false">-L252/K252</f>
        <v>-0.16683088732325</v>
      </c>
      <c r="N252" s="15" t="n">
        <f aca="false">(J252-L252)/K252</f>
        <v>0.00491460504459913</v>
      </c>
      <c r="O252" s="15" t="n">
        <f aca="false">K252*(SINH(N252)-SINH(M252))</f>
        <v>63.3126032908506</v>
      </c>
      <c r="P252" s="15" t="n">
        <f aca="false">E252*COSH(M252)</f>
        <v>492.628909037577</v>
      </c>
      <c r="Q252" s="15" t="n">
        <f aca="false">E252*COSH(N252)</f>
        <v>485.857831751217</v>
      </c>
    </row>
    <row r="253" customFormat="false" ht="21" hidden="false" customHeight="true" outlineLevel="0" collapsed="false">
      <c r="A253" s="1" t="s">
        <v>365</v>
      </c>
      <c r="B253" s="1" t="s">
        <v>319</v>
      </c>
      <c r="C253" s="15" t="n">
        <v>49.8786232746419</v>
      </c>
      <c r="D253" s="15" t="n">
        <v>6.07170067925817</v>
      </c>
      <c r="E253" s="15" t="n">
        <v>2205.00000000048</v>
      </c>
      <c r="F253" s="15" t="n">
        <v>1.32389775</v>
      </c>
      <c r="G253" s="15" t="n">
        <v>0</v>
      </c>
      <c r="H253" s="15" t="n">
        <f aca="false">SQRT(F253^2+G253^2)</f>
        <v>1.32389775</v>
      </c>
      <c r="I253" s="15" t="n">
        <f aca="false">D253*F253/H253</f>
        <v>6.07170067925817</v>
      </c>
      <c r="J253" s="15" t="n">
        <f aca="false">SQRT(C253^2+D253^2-I253^2)</f>
        <v>49.8786232746419</v>
      </c>
      <c r="K253" s="15" t="n">
        <f aca="false">E253/H253</f>
        <v>1665.53648119764</v>
      </c>
      <c r="L253" s="15" t="n">
        <f aca="false">J253/2-K253*ASINH(I253/(2*K253*SINH(J253/(2*K253))))</f>
        <v>-177.300712477652</v>
      </c>
      <c r="M253" s="15" t="n">
        <f aca="false">-L253/K253</f>
        <v>0.10645261420522</v>
      </c>
      <c r="N253" s="15" t="n">
        <f aca="false">(J253-L253)/K253</f>
        <v>0.136400095895189</v>
      </c>
      <c r="O253" s="15" t="n">
        <f aca="false">K253*(SINH(N253)-SINH(M253))</f>
        <v>50.2486671716443</v>
      </c>
      <c r="P253" s="15" t="n">
        <f aca="false">E253*COSH(M253)</f>
        <v>2217.50550822206</v>
      </c>
      <c r="Q253" s="15" t="n">
        <f aca="false">E253*COSH(N253)</f>
        <v>2225.54381909001</v>
      </c>
    </row>
    <row r="254" customFormat="false" ht="21" hidden="false" customHeight="true" outlineLevel="0" collapsed="false">
      <c r="A254" s="1" t="s">
        <v>365</v>
      </c>
      <c r="B254" s="1" t="s">
        <v>320</v>
      </c>
      <c r="C254" s="15" t="n">
        <v>49.8786232746419</v>
      </c>
      <c r="D254" s="15" t="n">
        <v>6.07170067925817</v>
      </c>
      <c r="E254" s="15" t="n">
        <v>3229.67444650284</v>
      </c>
      <c r="F254" s="15" t="n">
        <v>1.32389775</v>
      </c>
      <c r="G254" s="15" t="n">
        <v>3.443895</v>
      </c>
      <c r="H254" s="15" t="n">
        <f aca="false">SQRT(F254^2+G254^2)</f>
        <v>3.68959591601574</v>
      </c>
      <c r="I254" s="15" t="n">
        <f aca="false">D254*F254/H254</f>
        <v>2.17864260773132</v>
      </c>
      <c r="J254" s="15" t="n">
        <f aca="false">SQRT(C254^2+D254^2-I254^2)</f>
        <v>50.1995629990932</v>
      </c>
      <c r="K254" s="15" t="n">
        <f aca="false">E254/H254</f>
        <v>875.346384812363</v>
      </c>
      <c r="L254" s="15" t="n">
        <f aca="false">J254/2-K254*ASINH(I254/(2*K254*SINH(J254/(2*K254))))</f>
        <v>-12.8728141154249</v>
      </c>
      <c r="M254" s="15" t="n">
        <f aca="false">-L254/K254</f>
        <v>0.0147059659339134</v>
      </c>
      <c r="N254" s="15" t="n">
        <f aca="false">(J254-L254)/K254</f>
        <v>0.0720541927274174</v>
      </c>
      <c r="O254" s="15" t="n">
        <f aca="false">K254*(SINH(N254)-SINH(M254))</f>
        <v>50.2536897708347</v>
      </c>
      <c r="P254" s="15" t="n">
        <f aca="false">E254*COSH(M254)</f>
        <v>3230.02368626982</v>
      </c>
      <c r="Q254" s="15" t="n">
        <f aca="false">E254*COSH(N254)</f>
        <v>3238.06199713776</v>
      </c>
    </row>
    <row r="255" customFormat="false" ht="21" hidden="false" customHeight="true" outlineLevel="0" collapsed="false">
      <c r="A255" s="1" t="s">
        <v>365</v>
      </c>
      <c r="B255" s="1" t="s">
        <v>321</v>
      </c>
      <c r="C255" s="15" t="n">
        <v>49.8786232746419</v>
      </c>
      <c r="D255" s="15" t="n">
        <v>6.07170067925817</v>
      </c>
      <c r="E255" s="15" t="n">
        <v>3516.51414160537</v>
      </c>
      <c r="F255" s="15" t="n">
        <v>3.85543216183014</v>
      </c>
      <c r="G255" s="15" t="n">
        <v>0</v>
      </c>
      <c r="H255" s="15" t="n">
        <f aca="false">SQRT(F255^2+G255^2)</f>
        <v>3.85543216183014</v>
      </c>
      <c r="I255" s="15" t="n">
        <f aca="false">D255*F255/H255</f>
        <v>6.07170067925817</v>
      </c>
      <c r="J255" s="15" t="n">
        <f aca="false">SQRT(C255^2+D255^2-I255^2)</f>
        <v>49.8786232746419</v>
      </c>
      <c r="K255" s="15" t="n">
        <f aca="false">E255/H255</f>
        <v>912.09337734427</v>
      </c>
      <c r="L255" s="15" t="n">
        <f aca="false">J255/2-K255*ASINH(I255/(2*K255*SINH(J255/(2*K255))))</f>
        <v>-85.8032488594448</v>
      </c>
      <c r="M255" s="15" t="n">
        <f aca="false">-L255/K255</f>
        <v>0.0940728778332729</v>
      </c>
      <c r="N255" s="15" t="n">
        <f aca="false">(J255-L255)/K255</f>
        <v>0.148758751575579</v>
      </c>
      <c r="O255" s="15" t="n">
        <f aca="false">K255*(SINH(N255)-SINH(M255))</f>
        <v>50.2529867739412</v>
      </c>
      <c r="P255" s="15" t="n">
        <f aca="false">E255*COSH(M255)</f>
        <v>3532.08567890709</v>
      </c>
      <c r="Q255" s="15" t="n">
        <f aca="false">E255*COSH(N255)</f>
        <v>3555.49470898291</v>
      </c>
    </row>
    <row r="256" customFormat="false" ht="21" hidden="false" customHeight="true" outlineLevel="0" collapsed="false">
      <c r="A256" s="1" t="s">
        <v>365</v>
      </c>
      <c r="B256" s="1" t="s">
        <v>322</v>
      </c>
      <c r="C256" s="15" t="n">
        <v>49.8786232746419</v>
      </c>
      <c r="D256" s="15" t="n">
        <v>6.07170067925817</v>
      </c>
      <c r="E256" s="15" t="n">
        <v>3358.72598078993</v>
      </c>
      <c r="F256" s="15" t="n">
        <v>2.33651151473205</v>
      </c>
      <c r="G256" s="15" t="n">
        <v>1.43495625</v>
      </c>
      <c r="H256" s="15" t="n">
        <f aca="false">SQRT(F256^2+G256^2)</f>
        <v>2.74196745018783</v>
      </c>
      <c r="I256" s="15" t="n">
        <f aca="false">D256*F256/H256</f>
        <v>5.17387562354956</v>
      </c>
      <c r="J256" s="15" t="n">
        <f aca="false">SQRT(C256^2+D256^2-I256^2)</f>
        <v>49.9797320915608</v>
      </c>
      <c r="K256" s="15" t="n">
        <f aca="false">E256/H256</f>
        <v>1224.93284176654</v>
      </c>
      <c r="L256" s="15" t="n">
        <f aca="false">J256/2-K256*ASINH(I256/(2*K256*SINH(J256/(2*K256))))</f>
        <v>-101.580396336185</v>
      </c>
      <c r="M256" s="15" t="n">
        <f aca="false">-L256/K256</f>
        <v>0.0829273188476931</v>
      </c>
      <c r="N256" s="15" t="n">
        <f aca="false">(J256-L256)/K256</f>
        <v>0.123729337037917</v>
      </c>
      <c r="O256" s="15" t="n">
        <f aca="false">K256*(SINH(N256)-SINH(M256))</f>
        <v>50.2502654851395</v>
      </c>
      <c r="P256" s="15" t="n">
        <f aca="false">E256*COSH(M256)</f>
        <v>3370.28147959769</v>
      </c>
      <c r="Q256" s="15" t="n">
        <f aca="false">E256*COSH(N256)</f>
        <v>3384.46807814878</v>
      </c>
    </row>
    <row r="257" customFormat="false" ht="21" hidden="false" customHeight="true" outlineLevel="0" collapsed="false">
      <c r="A257" s="1" t="s">
        <v>365</v>
      </c>
      <c r="B257" s="1" t="s">
        <v>323</v>
      </c>
      <c r="C257" s="15" t="n">
        <v>49.8786232746419</v>
      </c>
      <c r="D257" s="15" t="n">
        <v>6.07170067925817</v>
      </c>
      <c r="E257" s="15" t="n">
        <v>3536.91180893089</v>
      </c>
      <c r="F257" s="15" t="n">
        <v>1.32389775</v>
      </c>
      <c r="G257" s="15" t="n">
        <v>0</v>
      </c>
      <c r="H257" s="15" t="n">
        <f aca="false">SQRT(F257^2+G257^2)</f>
        <v>1.32389775</v>
      </c>
      <c r="I257" s="15" t="n">
        <f aca="false">D257*F257/H257</f>
        <v>6.07170067925817</v>
      </c>
      <c r="J257" s="15" t="n">
        <f aca="false">SQRT(C257^2+D257^2-I257^2)</f>
        <v>49.8786232746419</v>
      </c>
      <c r="K257" s="15" t="n">
        <f aca="false">E257/H257</f>
        <v>2671.58986328883</v>
      </c>
      <c r="L257" s="15" t="n">
        <f aca="false">J257/2-K257*ASINH(I257/(2*K257*SINH(J257/(2*K257))))</f>
        <v>-299.469482427609</v>
      </c>
      <c r="M257" s="15" t="n">
        <f aca="false">-L257/K257</f>
        <v>0.112094107910317</v>
      </c>
      <c r="N257" s="15" t="n">
        <f aca="false">(J257-L257)/K257</f>
        <v>0.130764123079951</v>
      </c>
      <c r="O257" s="15" t="n">
        <f aca="false">K257*(SINH(N257)-SINH(M257))</f>
        <v>50.2475360216807</v>
      </c>
      <c r="P257" s="15" t="n">
        <f aca="false">E257*COSH(M257)</f>
        <v>3559.15589176065</v>
      </c>
      <c r="Q257" s="15" t="n">
        <f aca="false">E257*COSH(N257)</f>
        <v>3567.19420262859</v>
      </c>
    </row>
    <row r="258" customFormat="false" ht="21" hidden="false" customHeight="true" outlineLevel="0" collapsed="false">
      <c r="A258" s="1" t="s">
        <v>365</v>
      </c>
      <c r="B258" s="1" t="s">
        <v>324</v>
      </c>
      <c r="C258" s="15" t="n">
        <v>49.8786232746419</v>
      </c>
      <c r="D258" s="15" t="n">
        <v>6.07170067925817</v>
      </c>
      <c r="E258" s="15" t="n">
        <v>391.960071608153</v>
      </c>
      <c r="F258" s="15" t="n">
        <v>1.32389775</v>
      </c>
      <c r="G258" s="15" t="n">
        <v>0</v>
      </c>
      <c r="H258" s="15" t="n">
        <f aca="false">SQRT(F258^2+G258^2)</f>
        <v>1.32389775</v>
      </c>
      <c r="I258" s="15" t="n">
        <f aca="false">D258*F258/H258</f>
        <v>6.07170067925817</v>
      </c>
      <c r="J258" s="15" t="n">
        <f aca="false">SQRT(C258^2+D258^2-I258^2)</f>
        <v>49.8786232746419</v>
      </c>
      <c r="K258" s="15" t="n">
        <f aca="false">E258/H258</f>
        <v>296.065214710239</v>
      </c>
      <c r="L258" s="15" t="n">
        <f aca="false">J258/2-K258*ASINH(I258/(2*K258*SINH(J258/(2*K258))))</f>
        <v>-10.9698708056861</v>
      </c>
      <c r="M258" s="15" t="n">
        <f aca="false">-L258/K258</f>
        <v>0.0370522110016279</v>
      </c>
      <c r="N258" s="15" t="n">
        <f aca="false">(J258-L258)/K258</f>
        <v>0.205523955726716</v>
      </c>
      <c r="O258" s="15" t="n">
        <f aca="false">K258*(SINH(N258)-SINH(M258))</f>
        <v>50.3053930895198</v>
      </c>
      <c r="P258" s="15" t="n">
        <f aca="false">E258*COSH(M258)</f>
        <v>392.22915678536</v>
      </c>
      <c r="Q258" s="15" t="n">
        <f aca="false">E258*COSH(N258)</f>
        <v>400.267467653304</v>
      </c>
    </row>
    <row r="259" customFormat="false" ht="21" hidden="false" customHeight="true" outlineLevel="0" collapsed="false">
      <c r="A259" s="1" t="s">
        <v>366</v>
      </c>
      <c r="B259" s="1" t="s">
        <v>319</v>
      </c>
      <c r="C259" s="15" t="n">
        <v>80.0179103511325</v>
      </c>
      <c r="D259" s="15" t="n">
        <v>3.57645516314151</v>
      </c>
      <c r="E259" s="15" t="n">
        <v>2204.99999999955</v>
      </c>
      <c r="F259" s="15" t="n">
        <v>1.32389775</v>
      </c>
      <c r="G259" s="15" t="n">
        <v>0</v>
      </c>
      <c r="H259" s="15" t="n">
        <f aca="false">SQRT(F259^2+G259^2)</f>
        <v>1.32389775</v>
      </c>
      <c r="I259" s="15" t="n">
        <f aca="false">D259*F259/H259</f>
        <v>3.57645516314151</v>
      </c>
      <c r="J259" s="15" t="n">
        <f aca="false">SQRT(C259^2+D259^2-I259^2)</f>
        <v>80.0179103511325</v>
      </c>
      <c r="K259" s="15" t="n">
        <f aca="false">E259/H259</f>
        <v>1665.53648119695</v>
      </c>
      <c r="L259" s="15" t="n">
        <f aca="false">J259/2-K259*ASINH(I259/(2*K259*SINH(J259/(2*K259))))</f>
        <v>-34.401420472806</v>
      </c>
      <c r="M259" s="15" t="n">
        <f aca="false">-L259/K259</f>
        <v>0.0206548585763089</v>
      </c>
      <c r="N259" s="15" t="n">
        <f aca="false">(J259-L259)/K259</f>
        <v>0.068698183507641</v>
      </c>
      <c r="O259" s="15" t="n">
        <f aca="false">K259*(SINH(N259)-SINH(M259))</f>
        <v>80.1054846671195</v>
      </c>
      <c r="P259" s="15" t="n">
        <f aca="false">E259*COSH(M259)</f>
        <v>2205.47036878076</v>
      </c>
      <c r="Q259" s="15" t="n">
        <f aca="false">E259*COSH(N259)</f>
        <v>2210.20522972422</v>
      </c>
    </row>
    <row r="260" customFormat="false" ht="21" hidden="false" customHeight="true" outlineLevel="0" collapsed="false">
      <c r="A260" s="1" t="s">
        <v>366</v>
      </c>
      <c r="B260" s="1" t="s">
        <v>320</v>
      </c>
      <c r="C260" s="15" t="n">
        <v>80.0179103511325</v>
      </c>
      <c r="D260" s="15" t="n">
        <v>3.57645516314151</v>
      </c>
      <c r="E260" s="15" t="n">
        <v>3517.97490681812</v>
      </c>
      <c r="F260" s="15" t="n">
        <v>1.32389775</v>
      </c>
      <c r="G260" s="15" t="n">
        <v>3.443895</v>
      </c>
      <c r="H260" s="15" t="n">
        <f aca="false">SQRT(F260^2+G260^2)</f>
        <v>3.68959591601574</v>
      </c>
      <c r="I260" s="15" t="n">
        <f aca="false">D260*F260/H260</f>
        <v>1.28330067878325</v>
      </c>
      <c r="J260" s="15" t="n">
        <f aca="false">SQRT(C260^2+D260^2-I260^2)</f>
        <v>80.08751555557</v>
      </c>
      <c r="K260" s="15" t="n">
        <f aca="false">E260/H260</f>
        <v>953.485147668161</v>
      </c>
      <c r="L260" s="15" t="n">
        <f aca="false">J260/2-K260*ASINH(I260/(2*K260*SINH(J260/(2*K260))))</f>
        <v>24.7705132661904</v>
      </c>
      <c r="M260" s="15" t="n">
        <f aca="false">-L260/K260</f>
        <v>-0.0259789188397628</v>
      </c>
      <c r="N260" s="15" t="n">
        <f aca="false">(J260-L260)/K260</f>
        <v>0.0580155888370812</v>
      </c>
      <c r="O260" s="15" t="n">
        <f aca="false">K260*(SINH(N260)-SINH(M260))</f>
        <v>80.1213382327794</v>
      </c>
      <c r="P260" s="15" t="n">
        <f aca="false">E260*COSH(M260)</f>
        <v>3519.16212164964</v>
      </c>
      <c r="Q260" s="15" t="n">
        <f aca="false">E260*COSH(N260)</f>
        <v>3523.8969825931</v>
      </c>
    </row>
    <row r="261" customFormat="false" ht="21" hidden="false" customHeight="true" outlineLevel="0" collapsed="false">
      <c r="A261" s="1" t="s">
        <v>366</v>
      </c>
      <c r="B261" s="1" t="s">
        <v>321</v>
      </c>
      <c r="C261" s="15" t="n">
        <v>80.0179103511325</v>
      </c>
      <c r="D261" s="15" t="n">
        <v>3.57645516314151</v>
      </c>
      <c r="E261" s="15" t="n">
        <v>3804.52592074011</v>
      </c>
      <c r="F261" s="15" t="n">
        <v>3.85543216183014</v>
      </c>
      <c r="G261" s="15" t="n">
        <v>0</v>
      </c>
      <c r="H261" s="15" t="n">
        <f aca="false">SQRT(F261^2+G261^2)</f>
        <v>3.85543216183014</v>
      </c>
      <c r="I261" s="15" t="n">
        <f aca="false">D261*F261/H261</f>
        <v>3.57645516314151</v>
      </c>
      <c r="J261" s="15" t="n">
        <f aca="false">SQRT(C261^2+D261^2-I261^2)</f>
        <v>80.0179103511325</v>
      </c>
      <c r="K261" s="15" t="n">
        <f aca="false">E261/H261</f>
        <v>986.796229591584</v>
      </c>
      <c r="L261" s="15" t="n">
        <f aca="false">J261/2-K261*ASINH(I261/(2*K261*SINH(J261/(2*K261))))</f>
        <v>-4.06983522861018</v>
      </c>
      <c r="M261" s="15" t="n">
        <f aca="false">-L261/K261</f>
        <v>0.00412429142569242</v>
      </c>
      <c r="N261" s="15" t="n">
        <f aca="false">(J261-L261)/K261</f>
        <v>0.0852128768413971</v>
      </c>
      <c r="O261" s="15" t="n">
        <f aca="false">K261*(SINH(N261)-SINH(M261))</f>
        <v>80.1196992376159</v>
      </c>
      <c r="P261" s="15" t="n">
        <f aca="false">E261*COSH(M261)</f>
        <v>3804.55827785998</v>
      </c>
      <c r="Q261" s="15" t="n">
        <f aca="false">E261*COSH(N261)</f>
        <v>3818.3470581213</v>
      </c>
    </row>
    <row r="262" customFormat="false" ht="21" hidden="false" customHeight="true" outlineLevel="0" collapsed="false">
      <c r="A262" s="1" t="s">
        <v>366</v>
      </c>
      <c r="B262" s="1" t="s">
        <v>322</v>
      </c>
      <c r="C262" s="15" t="n">
        <v>80.0179103511325</v>
      </c>
      <c r="D262" s="15" t="n">
        <v>3.57645516314151</v>
      </c>
      <c r="E262" s="15" t="n">
        <v>3476.43612788415</v>
      </c>
      <c r="F262" s="15" t="n">
        <v>2.33651151473205</v>
      </c>
      <c r="G262" s="15" t="n">
        <v>1.43495625</v>
      </c>
      <c r="H262" s="15" t="n">
        <f aca="false">SQRT(F262^2+G262^2)</f>
        <v>2.74196745018783</v>
      </c>
      <c r="I262" s="15" t="n">
        <f aca="false">D262*F262/H262</f>
        <v>3.04760316174819</v>
      </c>
      <c r="J262" s="15" t="n">
        <f aca="false">SQRT(C262^2+D262^2-I262^2)</f>
        <v>80.0397971228335</v>
      </c>
      <c r="K262" s="15" t="n">
        <f aca="false">E262/H262</f>
        <v>1267.86192434414</v>
      </c>
      <c r="L262" s="15" t="n">
        <f aca="false">J262/2-K262*ASINH(I262/(2*K262*SINH(J262/(2*K262))))</f>
        <v>-8.23566944717648</v>
      </c>
      <c r="M262" s="15" t="n">
        <f aca="false">-L262/K262</f>
        <v>0.00649571478490194</v>
      </c>
      <c r="N262" s="15" t="n">
        <f aca="false">(J262-L262)/K262</f>
        <v>0.0696254575321159</v>
      </c>
      <c r="O262" s="15" t="n">
        <f aca="false">K262*(SINH(N262)-SINH(M262))</f>
        <v>80.1110787227783</v>
      </c>
      <c r="P262" s="15" t="n">
        <f aca="false">E262*COSH(M262)</f>
        <v>3476.50947105486</v>
      </c>
      <c r="Q262" s="15" t="n">
        <f aca="false">E262*COSH(N262)</f>
        <v>3484.86589972546</v>
      </c>
    </row>
    <row r="263" customFormat="false" ht="21" hidden="false" customHeight="true" outlineLevel="0" collapsed="false">
      <c r="A263" s="1" t="s">
        <v>366</v>
      </c>
      <c r="B263" s="1" t="s">
        <v>323</v>
      </c>
      <c r="C263" s="15" t="n">
        <v>80.0179103511325</v>
      </c>
      <c r="D263" s="15" t="n">
        <v>3.57645516314151</v>
      </c>
      <c r="E263" s="15" t="n">
        <v>3441.15062971583</v>
      </c>
      <c r="F263" s="15" t="n">
        <v>1.32389775</v>
      </c>
      <c r="G263" s="15" t="n">
        <v>0</v>
      </c>
      <c r="H263" s="15" t="n">
        <f aca="false">SQRT(F263^2+G263^2)</f>
        <v>1.32389775</v>
      </c>
      <c r="I263" s="15" t="n">
        <f aca="false">D263*F263/H263</f>
        <v>3.57645516314151</v>
      </c>
      <c r="J263" s="15" t="n">
        <f aca="false">SQRT(C263^2+D263^2-I263^2)</f>
        <v>80.0179103511325</v>
      </c>
      <c r="K263" s="15" t="n">
        <f aca="false">E263/H263</f>
        <v>2599.25710253366</v>
      </c>
      <c r="L263" s="15" t="n">
        <f aca="false">J263/2-K263*ASINH(I263/(2*K263*SINH(J263/(2*K263))))</f>
        <v>-76.1233877283143</v>
      </c>
      <c r="M263" s="15" t="n">
        <f aca="false">-L263/K263</f>
        <v>0.0292865941018732</v>
      </c>
      <c r="N263" s="15" t="n">
        <f aca="false">(J263-L263)/K263</f>
        <v>0.0600715096352901</v>
      </c>
      <c r="O263" s="15" t="n">
        <f aca="false">K263*(SINH(N263)-SINH(M263))</f>
        <v>80.1009531572085</v>
      </c>
      <c r="P263" s="15" t="n">
        <f aca="false">E263*COSH(M263)</f>
        <v>3442.62648055034</v>
      </c>
      <c r="Q263" s="15" t="n">
        <f aca="false">E263*COSH(N263)</f>
        <v>3447.36134149379</v>
      </c>
    </row>
    <row r="264" customFormat="false" ht="21" hidden="false" customHeight="true" outlineLevel="0" collapsed="false">
      <c r="A264" s="1" t="s">
        <v>366</v>
      </c>
      <c r="B264" s="1" t="s">
        <v>324</v>
      </c>
      <c r="C264" s="15" t="n">
        <v>80.0179103511325</v>
      </c>
      <c r="D264" s="15" t="n">
        <v>3.57645516314151</v>
      </c>
      <c r="E264" s="15" t="n">
        <v>600.002723251532</v>
      </c>
      <c r="F264" s="15" t="n">
        <v>1.32389775</v>
      </c>
      <c r="G264" s="15" t="n">
        <v>0</v>
      </c>
      <c r="H264" s="15" t="n">
        <f aca="false">SQRT(F264^2+G264^2)</f>
        <v>1.32389775</v>
      </c>
      <c r="I264" s="15" t="n">
        <f aca="false">D264*F264/H264</f>
        <v>3.57645516314151</v>
      </c>
      <c r="J264" s="15" t="n">
        <f aca="false">SQRT(C264^2+D264^2-I264^2)</f>
        <v>80.0179103511325</v>
      </c>
      <c r="K264" s="15" t="n">
        <f aca="false">E264/H264</f>
        <v>453.209262763331</v>
      </c>
      <c r="L264" s="15" t="n">
        <f aca="false">J264/2-K264*ASINH(I264/(2*K264*SINH(J264/(2*K264))))</f>
        <v>19.78545641663</v>
      </c>
      <c r="M264" s="15" t="n">
        <f aca="false">-L264/K264</f>
        <v>-0.0436563372425204</v>
      </c>
      <c r="N264" s="15" t="n">
        <f aca="false">(J264-L264)/K264</f>
        <v>0.13290208052512</v>
      </c>
      <c r="O264" s="15" t="n">
        <f aca="false">K264*(SINH(N264)-SINH(M264))</f>
        <v>80.2016663150587</v>
      </c>
      <c r="P264" s="15" t="n">
        <f aca="false">E264*COSH(M264)</f>
        <v>600.574579396295</v>
      </c>
      <c r="Q264" s="15" t="n">
        <f aca="false">E264*COSH(N264)</f>
        <v>605.309440339754</v>
      </c>
    </row>
    <row r="265" customFormat="false" ht="21" hidden="false" customHeight="true" outlineLevel="0" collapsed="false">
      <c r="A265" s="1" t="s">
        <v>367</v>
      </c>
      <c r="B265" s="1" t="s">
        <v>319</v>
      </c>
      <c r="C265" s="15" t="n">
        <v>80.0179103492714</v>
      </c>
      <c r="D265" s="15" t="n">
        <v>8.36857539298908</v>
      </c>
      <c r="E265" s="15" t="n">
        <v>2204.99999999925</v>
      </c>
      <c r="F265" s="15" t="n">
        <v>1.32389775</v>
      </c>
      <c r="G265" s="15" t="n">
        <v>0</v>
      </c>
      <c r="H265" s="15" t="n">
        <f aca="false">SQRT(F265^2+G265^2)</f>
        <v>1.32389775</v>
      </c>
      <c r="I265" s="15" t="n">
        <f aca="false">D265*F265/H265</f>
        <v>8.36857539298908</v>
      </c>
      <c r="J265" s="15" t="n">
        <f aca="false">SQRT(C265^2+D265^2-I265^2)</f>
        <v>80.0179103492714</v>
      </c>
      <c r="K265" s="15" t="n">
        <f aca="false">E265/H265</f>
        <v>1665.53648119671</v>
      </c>
      <c r="L265" s="15" t="n">
        <f aca="false">J265/2-K265*ASINH(I265/(2*K265*SINH(J265/(2*K265))))</f>
        <v>-133.846497281012</v>
      </c>
      <c r="M265" s="15" t="n">
        <f aca="false">-L265/K265</f>
        <v>0.0803623930139564</v>
      </c>
      <c r="N265" s="15" t="n">
        <f aca="false">(J265-L265)/K265</f>
        <v>0.128405717944178</v>
      </c>
      <c r="O265" s="15" t="n">
        <f aca="false">K265*(SINH(N265)-SINH(M265))</f>
        <v>80.4619829238029</v>
      </c>
      <c r="P265" s="15" t="n">
        <f aca="false">E265*COSH(M265)</f>
        <v>2212.12390359437</v>
      </c>
      <c r="Q265" s="15" t="n">
        <f aca="false">E265*COSH(N265)</f>
        <v>2223.20304172785</v>
      </c>
    </row>
    <row r="266" customFormat="false" ht="21" hidden="false" customHeight="true" outlineLevel="0" collapsed="false">
      <c r="A266" s="1" t="s">
        <v>367</v>
      </c>
      <c r="B266" s="1" t="s">
        <v>320</v>
      </c>
      <c r="C266" s="15" t="n">
        <v>80.0179103492714</v>
      </c>
      <c r="D266" s="15" t="n">
        <v>8.36857539298908</v>
      </c>
      <c r="E266" s="15" t="n">
        <v>3528.80152624227</v>
      </c>
      <c r="F266" s="15" t="n">
        <v>1.32389775</v>
      </c>
      <c r="G266" s="15" t="n">
        <v>3.443895</v>
      </c>
      <c r="H266" s="15" t="n">
        <f aca="false">SQRT(F266^2+G266^2)</f>
        <v>3.68959591601574</v>
      </c>
      <c r="I266" s="15" t="n">
        <f aca="false">D266*F266/H266</f>
        <v>3.00280528970434</v>
      </c>
      <c r="J266" s="15" t="n">
        <f aca="false">SQRT(C266^2+D266^2-I266^2)</f>
        <v>80.3982723145485</v>
      </c>
      <c r="K266" s="15" t="n">
        <f aca="false">E266/H266</f>
        <v>956.419512208504</v>
      </c>
      <c r="L266" s="15" t="n">
        <f aca="false">J266/2-K266*ASINH(I266/(2*K266*SINH(J266/(2*K266))))</f>
        <v>4.49651007339207</v>
      </c>
      <c r="M266" s="15" t="n">
        <f aca="false">-L266/K266</f>
        <v>-0.00470139935038444</v>
      </c>
      <c r="N266" s="15" t="n">
        <f aca="false">(J266-L266)/K266</f>
        <v>0.0793603238665519</v>
      </c>
      <c r="O266" s="15" t="n">
        <f aca="false">K266*(SINH(N266)-SINH(M266))</f>
        <v>80.4779862933838</v>
      </c>
      <c r="P266" s="15" t="n">
        <f aca="false">E266*COSH(M266)</f>
        <v>3528.84052513915</v>
      </c>
      <c r="Q266" s="15" t="n">
        <f aca="false">E266*COSH(N266)</f>
        <v>3539.91966327264</v>
      </c>
    </row>
    <row r="267" customFormat="false" ht="21" hidden="false" customHeight="true" outlineLevel="0" collapsed="false">
      <c r="A267" s="1" t="s">
        <v>367</v>
      </c>
      <c r="B267" s="1" t="s">
        <v>321</v>
      </c>
      <c r="C267" s="15" t="n">
        <v>80.0179103492714</v>
      </c>
      <c r="D267" s="15" t="n">
        <v>8.36857539298908</v>
      </c>
      <c r="E267" s="15" t="n">
        <v>3796.24531925209</v>
      </c>
      <c r="F267" s="15" t="n">
        <v>3.85543216183014</v>
      </c>
      <c r="G267" s="15" t="n">
        <v>0</v>
      </c>
      <c r="H267" s="15" t="n">
        <f aca="false">SQRT(F267^2+G267^2)</f>
        <v>3.85543216183014</v>
      </c>
      <c r="I267" s="15" t="n">
        <f aca="false">D267*F267/H267</f>
        <v>8.36857539298908</v>
      </c>
      <c r="J267" s="15" t="n">
        <f aca="false">SQRT(C267^2+D267^2-I267^2)</f>
        <v>80.0179103492714</v>
      </c>
      <c r="K267" s="15" t="n">
        <f aca="false">E267/H267</f>
        <v>984.648454416081</v>
      </c>
      <c r="L267" s="15" t="n">
        <f aca="false">J267/2-K267*ASINH(I267/(2*K267*SINH(J267/(2*K267))))</f>
        <v>-62.7543156942905</v>
      </c>
      <c r="M267" s="15" t="n">
        <f aca="false">-L267/K267</f>
        <v>0.0637327113172642</v>
      </c>
      <c r="N267" s="15" t="n">
        <f aca="false">(J267-L267)/K267</f>
        <v>0.144998172092017</v>
      </c>
      <c r="O267" s="15" t="n">
        <f aca="false">K267*(SINH(N267)-SINH(M267))</f>
        <v>80.4762297652078</v>
      </c>
      <c r="P267" s="15" t="n">
        <f aca="false">E267*COSH(M267)</f>
        <v>3803.95783496118</v>
      </c>
      <c r="Q267" s="15" t="n">
        <f aca="false">E267*COSH(N267)</f>
        <v>3836.22230968001</v>
      </c>
    </row>
    <row r="268" customFormat="false" ht="21" hidden="false" customHeight="true" outlineLevel="0" collapsed="false">
      <c r="A268" s="1" t="s">
        <v>367</v>
      </c>
      <c r="B268" s="1" t="s">
        <v>322</v>
      </c>
      <c r="C268" s="15" t="n">
        <v>80.0179103492714</v>
      </c>
      <c r="D268" s="15" t="n">
        <v>8.36857539298908</v>
      </c>
      <c r="E268" s="15" t="n">
        <v>3475.79884039129</v>
      </c>
      <c r="F268" s="15" t="n">
        <v>2.33651151473205</v>
      </c>
      <c r="G268" s="15" t="n">
        <v>1.43495625</v>
      </c>
      <c r="H268" s="15" t="n">
        <f aca="false">SQRT(F268^2+G268^2)</f>
        <v>2.74196745018783</v>
      </c>
      <c r="I268" s="15" t="n">
        <f aca="false">D268*F268/H268</f>
        <v>7.13111046095127</v>
      </c>
      <c r="J268" s="15" t="n">
        <f aca="false">SQRT(C268^2+D268^2-I268^2)</f>
        <v>80.1376708818386</v>
      </c>
      <c r="K268" s="15" t="n">
        <f aca="false">E268/H268</f>
        <v>1267.62950455637</v>
      </c>
      <c r="L268" s="15" t="n">
        <f aca="false">J268/2-K268*ASINH(I268/(2*K268*SINH(J268/(2*K268))))</f>
        <v>-72.5650738363634</v>
      </c>
      <c r="M268" s="15" t="n">
        <f aca="false">-L268/K268</f>
        <v>0.0572447024746074</v>
      </c>
      <c r="N268" s="15" t="n">
        <f aca="false">(J268-L268)/K268</f>
        <v>0.120463230123097</v>
      </c>
      <c r="O268" s="15" t="n">
        <f aca="false">K268*(SINH(N268)-SINH(M268))</f>
        <v>80.4676218658282</v>
      </c>
      <c r="P268" s="15" t="n">
        <f aca="false">E268*COSH(M268)</f>
        <v>3481.49541562062</v>
      </c>
      <c r="Q268" s="15" t="n">
        <f aca="false">E268*COSH(N268)</f>
        <v>3501.04868838824</v>
      </c>
    </row>
    <row r="269" customFormat="false" ht="21" hidden="false" customHeight="true" outlineLevel="0" collapsed="false">
      <c r="A269" s="1" t="s">
        <v>367</v>
      </c>
      <c r="B269" s="1" t="s">
        <v>323</v>
      </c>
      <c r="C269" s="15" t="n">
        <v>80.0179103492714</v>
      </c>
      <c r="D269" s="15" t="n">
        <v>8.36857539298908</v>
      </c>
      <c r="E269" s="15" t="n">
        <v>3437.45113302072</v>
      </c>
      <c r="F269" s="15" t="n">
        <v>1.32389775</v>
      </c>
      <c r="G269" s="15" t="n">
        <v>0</v>
      </c>
      <c r="H269" s="15" t="n">
        <f aca="false">SQRT(F269^2+G269^2)</f>
        <v>1.32389775</v>
      </c>
      <c r="I269" s="15" t="n">
        <f aca="false">D269*F269/H269</f>
        <v>8.36857539298908</v>
      </c>
      <c r="J269" s="15" t="n">
        <f aca="false">SQRT(C269^2+D269^2-I269^2)</f>
        <v>80.0179103492714</v>
      </c>
      <c r="K269" s="15" t="n">
        <f aca="false">E269/H269</f>
        <v>2596.46270493376</v>
      </c>
      <c r="L269" s="15" t="n">
        <f aca="false">J269/2-K269*ASINH(I269/(2*K269*SINH(J269/(2*K269))))</f>
        <v>-231.035636765624</v>
      </c>
      <c r="M269" s="15" t="n">
        <f aca="false">-L269/K269</f>
        <v>0.088980918665465</v>
      </c>
      <c r="N269" s="15" t="n">
        <f aca="false">(J269-L269)/K269</f>
        <v>0.119798965925386</v>
      </c>
      <c r="O269" s="15" t="n">
        <f aca="false">K269*(SINH(N269)-SINH(M269))</f>
        <v>80.4574782606688</v>
      </c>
      <c r="P269" s="15" t="n">
        <f aca="false">E269*COSH(M269)</f>
        <v>3451.06830230302</v>
      </c>
      <c r="Q269" s="15" t="n">
        <f aca="false">E269*COSH(N269)</f>
        <v>3462.1474404365</v>
      </c>
    </row>
    <row r="270" customFormat="false" ht="21" hidden="false" customHeight="true" outlineLevel="0" collapsed="false">
      <c r="A270" s="1" t="s">
        <v>367</v>
      </c>
      <c r="B270" s="1" t="s">
        <v>324</v>
      </c>
      <c r="C270" s="15" t="n">
        <v>80.0179103492714</v>
      </c>
      <c r="D270" s="15" t="n">
        <v>8.36857539298908</v>
      </c>
      <c r="E270" s="15" t="n">
        <v>598.216001916457</v>
      </c>
      <c r="F270" s="15" t="n">
        <v>1.32389775</v>
      </c>
      <c r="G270" s="15" t="n">
        <v>0</v>
      </c>
      <c r="H270" s="15" t="n">
        <f aca="false">SQRT(F270^2+G270^2)</f>
        <v>1.32389775</v>
      </c>
      <c r="I270" s="15" t="n">
        <f aca="false">D270*F270/H270</f>
        <v>8.36857539298908</v>
      </c>
      <c r="J270" s="15" t="n">
        <f aca="false">SQRT(C270^2+D270^2-I270^2)</f>
        <v>80.0179103492714</v>
      </c>
      <c r="K270" s="15" t="n">
        <f aca="false">E270/H270</f>
        <v>451.859671123739</v>
      </c>
      <c r="L270" s="15" t="n">
        <f aca="false">J270/2-K270*ASINH(I270/(2*K270*SINH(J270/(2*K270))))</f>
        <v>-7.10115222829838</v>
      </c>
      <c r="M270" s="15" t="n">
        <f aca="false">-L270/K270</f>
        <v>0.0157153928135219</v>
      </c>
      <c r="N270" s="15" t="n">
        <f aca="false">(J270-L270)/K270</f>
        <v>0.192801146340216</v>
      </c>
      <c r="O270" s="15" t="n">
        <f aca="false">K270*(SINH(N270)-SINH(M270))</f>
        <v>80.5583578223068</v>
      </c>
      <c r="P270" s="15" t="n">
        <f aca="false">E270*COSH(M270)</f>
        <v>598.289875208031</v>
      </c>
      <c r="Q270" s="15" t="n">
        <f aca="false">E270*COSH(N270)</f>
        <v>609.369013341514</v>
      </c>
    </row>
    <row r="271" customFormat="false" ht="21" hidden="false" customHeight="true" outlineLevel="0" collapsed="false">
      <c r="A271" s="1" t="s">
        <v>368</v>
      </c>
      <c r="B271" s="1" t="s">
        <v>319</v>
      </c>
      <c r="C271" s="15" t="n">
        <v>61.4282655706483</v>
      </c>
      <c r="D271" s="15" t="n">
        <v>-1.22441851156564</v>
      </c>
      <c r="E271" s="15" t="n">
        <v>2205.00000000006</v>
      </c>
      <c r="F271" s="15" t="n">
        <v>1.32389775</v>
      </c>
      <c r="G271" s="15" t="n">
        <v>0</v>
      </c>
      <c r="H271" s="15" t="n">
        <f aca="false">SQRT(F271^2+G271^2)</f>
        <v>1.32389775</v>
      </c>
      <c r="I271" s="15" t="n">
        <f aca="false">D271*F271/H271</f>
        <v>-1.22441851156564</v>
      </c>
      <c r="J271" s="15" t="n">
        <f aca="false">SQRT(C271^2+D271^2-I271^2)</f>
        <v>61.4282655706483</v>
      </c>
      <c r="K271" s="15" t="n">
        <f aca="false">E271/H271</f>
        <v>1665.53648119733</v>
      </c>
      <c r="L271" s="15" t="n">
        <f aca="false">J271/2-K271*ASINH(I271/(2*K271*SINH(J271/(2*K271))))</f>
        <v>63.9083489838075</v>
      </c>
      <c r="M271" s="15" t="n">
        <f aca="false">-L271/K271</f>
        <v>-0.038371029218084</v>
      </c>
      <c r="N271" s="15" t="n">
        <f aca="false">(J271-L271)/K271</f>
        <v>-0.00148905979614226</v>
      </c>
      <c r="O271" s="15" t="n">
        <f aca="false">K271*(SINH(N271)-SINH(M271))</f>
        <v>61.4439482345722</v>
      </c>
      <c r="P271" s="15" t="n">
        <f aca="false">E271*COSH(M271)</f>
        <v>2206.62344948526</v>
      </c>
      <c r="Q271" s="15" t="n">
        <f aca="false">E271*COSH(N271)</f>
        <v>2205.00244457274</v>
      </c>
    </row>
    <row r="272" customFormat="false" ht="21" hidden="false" customHeight="true" outlineLevel="0" collapsed="false">
      <c r="A272" s="1" t="s">
        <v>368</v>
      </c>
      <c r="B272" s="1" t="s">
        <v>320</v>
      </c>
      <c r="C272" s="15" t="n">
        <v>61.4282655706483</v>
      </c>
      <c r="D272" s="15" t="n">
        <v>-1.22441851156564</v>
      </c>
      <c r="E272" s="15" t="n">
        <v>3328.83187554832</v>
      </c>
      <c r="F272" s="15" t="n">
        <v>1.32389775</v>
      </c>
      <c r="G272" s="15" t="n">
        <v>3.443895</v>
      </c>
      <c r="H272" s="15" t="n">
        <f aca="false">SQRT(F272^2+G272^2)</f>
        <v>3.68959591601574</v>
      </c>
      <c r="I272" s="15" t="n">
        <f aca="false">D272*F272/H272</f>
        <v>-0.439344835970698</v>
      </c>
      <c r="J272" s="15" t="n">
        <f aca="false">SQRT(C272^2+D272^2-I272^2)</f>
        <v>61.4388963753799</v>
      </c>
      <c r="K272" s="15" t="n">
        <f aca="false">E272/H272</f>
        <v>902.221259812918</v>
      </c>
      <c r="L272" s="15" t="n">
        <f aca="false">J272/2-K272*ASINH(I272/(2*K272*SINH(J272/(2*K272))))</f>
        <v>37.1698618447923</v>
      </c>
      <c r="M272" s="15" t="n">
        <f aca="false">-L272/K272</f>
        <v>-0.0411981666808647</v>
      </c>
      <c r="N272" s="15" t="n">
        <f aca="false">(J272-L272)/K272</f>
        <v>0.0268992048974992</v>
      </c>
      <c r="O272" s="15" t="n">
        <f aca="false">K272*(SINH(N272)-SINH(M272))</f>
        <v>61.4523387525025</v>
      </c>
      <c r="P272" s="15" t="n">
        <f aca="false">E272*COSH(M272)</f>
        <v>3331.65726989948</v>
      </c>
      <c r="Q272" s="15" t="n">
        <f aca="false">E272*COSH(N272)</f>
        <v>3330.03626498696</v>
      </c>
    </row>
    <row r="273" customFormat="false" ht="21" hidden="false" customHeight="true" outlineLevel="0" collapsed="false">
      <c r="A273" s="1" t="s">
        <v>368</v>
      </c>
      <c r="B273" s="1" t="s">
        <v>321</v>
      </c>
      <c r="C273" s="15" t="n">
        <v>61.4282655706483</v>
      </c>
      <c r="D273" s="15" t="n">
        <v>-1.22441851156564</v>
      </c>
      <c r="E273" s="15" t="n">
        <v>3631.56750022559</v>
      </c>
      <c r="F273" s="15" t="n">
        <v>3.85543216183014</v>
      </c>
      <c r="G273" s="15" t="n">
        <v>0</v>
      </c>
      <c r="H273" s="15" t="n">
        <f aca="false">SQRT(F273^2+G273^2)</f>
        <v>3.85543216183014</v>
      </c>
      <c r="I273" s="15" t="n">
        <f aca="false">D273*F273/H273</f>
        <v>-1.22441851156564</v>
      </c>
      <c r="J273" s="15" t="n">
        <f aca="false">SQRT(C273^2+D273^2-I273^2)</f>
        <v>61.4282655706483</v>
      </c>
      <c r="K273" s="15" t="n">
        <f aca="false">E273/H273</f>
        <v>941.935261156747</v>
      </c>
      <c r="L273" s="15" t="n">
        <f aca="false">J273/2-K273*ASINH(I273/(2*K273*SINH(J273/(2*K273))))</f>
        <v>49.484682324927</v>
      </c>
      <c r="M273" s="15" t="n">
        <f aca="false">-L273/K273</f>
        <v>-0.0525351203692673</v>
      </c>
      <c r="N273" s="15" t="n">
        <f aca="false">(J273-L273)/K273</f>
        <v>0.0126798345260522</v>
      </c>
      <c r="O273" s="15" t="n">
        <f aca="false">K273*(SINH(N273)-SINH(M273))</f>
        <v>61.4513512089405</v>
      </c>
      <c r="P273" s="15" t="n">
        <f aca="false">E273*COSH(M273)</f>
        <v>3636.58010509557</v>
      </c>
      <c r="Q273" s="15" t="n">
        <f aca="false">E273*COSH(N273)</f>
        <v>3631.85944258654</v>
      </c>
    </row>
    <row r="274" customFormat="false" ht="21" hidden="false" customHeight="true" outlineLevel="0" collapsed="false">
      <c r="A274" s="1" t="s">
        <v>368</v>
      </c>
      <c r="B274" s="1" t="s">
        <v>322</v>
      </c>
      <c r="C274" s="15" t="n">
        <v>61.4282655706483</v>
      </c>
      <c r="D274" s="15" t="n">
        <v>-1.22441851156564</v>
      </c>
      <c r="E274" s="15" t="n">
        <v>3402.11567129242</v>
      </c>
      <c r="F274" s="15" t="n">
        <v>2.33651151473205</v>
      </c>
      <c r="G274" s="15" t="n">
        <v>1.43495625</v>
      </c>
      <c r="H274" s="15" t="n">
        <f aca="false">SQRT(F274^2+G274^2)</f>
        <v>2.74196745018783</v>
      </c>
      <c r="I274" s="15" t="n">
        <f aca="false">D274*F274/H274</f>
        <v>-1.04336320656477</v>
      </c>
      <c r="J274" s="15" t="n">
        <f aca="false">SQRT(C274^2+D274^2-I274^2)</f>
        <v>61.4316075398385</v>
      </c>
      <c r="K274" s="15" t="n">
        <f aca="false">E274/H274</f>
        <v>1240.75713264188</v>
      </c>
      <c r="L274" s="15" t="n">
        <f aca="false">J274/2-K274*ASINH(I274/(2*K274*SINH(J274/(2*K274))))</f>
        <v>51.7858353576886</v>
      </c>
      <c r="M274" s="15" t="n">
        <f aca="false">-L274/K274</f>
        <v>-0.0417372860451937</v>
      </c>
      <c r="N274" s="15" t="n">
        <f aca="false">(J274-L274)/K274</f>
        <v>0.00777410173867928</v>
      </c>
      <c r="O274" s="15" t="n">
        <f aca="false">K274*(SINH(N274)-SINH(M274))</f>
        <v>61.4467411726859</v>
      </c>
      <c r="P274" s="15" t="n">
        <f aca="false">E274*COSH(M274)</f>
        <v>3405.0793460117</v>
      </c>
      <c r="Q274" s="15" t="n">
        <f aca="false">E274*COSH(N274)</f>
        <v>3402.21847806058</v>
      </c>
    </row>
    <row r="275" customFormat="false" ht="21" hidden="false" customHeight="true" outlineLevel="0" collapsed="false">
      <c r="A275" s="1" t="s">
        <v>368</v>
      </c>
      <c r="B275" s="1" t="s">
        <v>323</v>
      </c>
      <c r="C275" s="15" t="n">
        <v>61.4282655706483</v>
      </c>
      <c r="D275" s="15" t="n">
        <v>-1.22441851156564</v>
      </c>
      <c r="E275" s="15" t="n">
        <v>3510.36461214605</v>
      </c>
      <c r="F275" s="15" t="n">
        <v>1.32389775</v>
      </c>
      <c r="G275" s="15" t="n">
        <v>0</v>
      </c>
      <c r="H275" s="15" t="n">
        <f aca="false">SQRT(F275^2+G275^2)</f>
        <v>1.32389775</v>
      </c>
      <c r="I275" s="15" t="n">
        <f aca="false">D275*F275/H275</f>
        <v>-1.22441851156564</v>
      </c>
      <c r="J275" s="15" t="n">
        <f aca="false">SQRT(C275^2+D275^2-I275^2)</f>
        <v>61.4282655706483</v>
      </c>
      <c r="K275" s="15" t="n">
        <f aca="false">E275/H275</f>
        <v>2651.53756182912</v>
      </c>
      <c r="L275" s="15" t="n">
        <f aca="false">J275/2-K275*ASINH(I275/(2*K275*SINH(J275/(2*K275))))</f>
        <v>83.5612075702698</v>
      </c>
      <c r="M275" s="15" t="n">
        <f aca="false">-L275/K275</f>
        <v>-0.0315142462144216</v>
      </c>
      <c r="N275" s="15" t="n">
        <f aca="false">(J275-L275)/K275</f>
        <v>-0.00834721043301135</v>
      </c>
      <c r="O275" s="15" t="n">
        <f aca="false">K275*(SINH(N275)-SINH(M275))</f>
        <v>61.4418406714647</v>
      </c>
      <c r="P275" s="15" t="n">
        <f aca="false">E275*COSH(M275)</f>
        <v>3512.10791171413</v>
      </c>
      <c r="Q275" s="15" t="n">
        <f aca="false">E275*COSH(N275)</f>
        <v>3510.48690680161</v>
      </c>
    </row>
    <row r="276" customFormat="false" ht="21" hidden="false" customHeight="true" outlineLevel="0" collapsed="false">
      <c r="A276" s="1" t="s">
        <v>368</v>
      </c>
      <c r="B276" s="1" t="s">
        <v>324</v>
      </c>
      <c r="C276" s="15" t="n">
        <v>61.4282655706483</v>
      </c>
      <c r="D276" s="15" t="n">
        <v>-1.22441851156564</v>
      </c>
      <c r="E276" s="15" t="n">
        <v>475.79414222781</v>
      </c>
      <c r="F276" s="15" t="n">
        <v>1.32389775</v>
      </c>
      <c r="G276" s="15" t="n">
        <v>0</v>
      </c>
      <c r="H276" s="15" t="n">
        <f aca="false">SQRT(F276^2+G276^2)</f>
        <v>1.32389775</v>
      </c>
      <c r="I276" s="15" t="n">
        <f aca="false">D276*F276/H276</f>
        <v>-1.22441851156564</v>
      </c>
      <c r="J276" s="15" t="n">
        <f aca="false">SQRT(C276^2+D276^2-I276^2)</f>
        <v>61.4282655706483</v>
      </c>
      <c r="K276" s="15" t="n">
        <f aca="false">E276/H276</f>
        <v>359.388889533055</v>
      </c>
      <c r="L276" s="15" t="n">
        <f aca="false">J276/2-K276*ASINH(I276/(2*K276*SINH(J276/(2*K276))))</f>
        <v>37.8684643055801</v>
      </c>
      <c r="M276" s="15" t="n">
        <f aca="false">-L276/K276</f>
        <v>-0.105369045645183</v>
      </c>
      <c r="N276" s="15" t="n">
        <f aca="false">(J276-L276)/K276</f>
        <v>0.0655551742172077</v>
      </c>
      <c r="O276" s="15" t="n">
        <f aca="false">K276*(SINH(N276)-SINH(M276))</f>
        <v>61.5152560341209</v>
      </c>
      <c r="P276" s="15" t="n">
        <f aca="false">E276*COSH(M276)</f>
        <v>478.437871434494</v>
      </c>
      <c r="Q276" s="15" t="n">
        <f aca="false">E276*COSH(N276)</f>
        <v>476.816866521974</v>
      </c>
    </row>
    <row r="277" customFormat="false" ht="21" hidden="false" customHeight="true" outlineLevel="0" collapsed="false">
      <c r="A277" s="1" t="s">
        <v>369</v>
      </c>
      <c r="B277" s="1" t="s">
        <v>319</v>
      </c>
      <c r="C277" s="15" t="n">
        <v>61.4282655722358</v>
      </c>
      <c r="D277" s="15" t="n">
        <v>1.39271571979125</v>
      </c>
      <c r="E277" s="15" t="n">
        <v>2205.00000000055</v>
      </c>
      <c r="F277" s="15" t="n">
        <v>1.32389775</v>
      </c>
      <c r="G277" s="15" t="n">
        <v>0</v>
      </c>
      <c r="H277" s="15" t="n">
        <f aca="false">SQRT(F277^2+G277^2)</f>
        <v>1.32389775</v>
      </c>
      <c r="I277" s="15" t="n">
        <f aca="false">D277*F277/H277</f>
        <v>1.39271571979125</v>
      </c>
      <c r="J277" s="15" t="n">
        <f aca="false">SQRT(C277^2+D277^2-I277^2)</f>
        <v>61.4282655722358</v>
      </c>
      <c r="K277" s="15" t="n">
        <f aca="false">E277/H277</f>
        <v>1665.5364811977</v>
      </c>
      <c r="L277" s="15" t="n">
        <f aca="false">J277/2-K277*ASINH(I277/(2*K277*SINH(J277/(2*K277))))</f>
        <v>-7.04191819280104</v>
      </c>
      <c r="M277" s="15" t="n">
        <f aca="false">-L277/K277</f>
        <v>0.00422801798237234</v>
      </c>
      <c r="N277" s="15" t="n">
        <f aca="false">(J277-L277)/K277</f>
        <v>0.041109987405259</v>
      </c>
      <c r="O277" s="15" t="n">
        <f aca="false">K277*(SINH(N277)-SINH(M277))</f>
        <v>61.4475323445341</v>
      </c>
      <c r="P277" s="15" t="n">
        <f aca="false">E277*COSH(M277)</f>
        <v>2205.01970846992</v>
      </c>
      <c r="Q277" s="15" t="n">
        <f aca="false">E277*COSH(N277)</f>
        <v>2206.86352167774</v>
      </c>
    </row>
    <row r="278" customFormat="false" ht="21" hidden="false" customHeight="true" outlineLevel="0" collapsed="false">
      <c r="A278" s="1" t="s">
        <v>369</v>
      </c>
      <c r="B278" s="1" t="s">
        <v>320</v>
      </c>
      <c r="C278" s="15" t="n">
        <v>61.4282655722358</v>
      </c>
      <c r="D278" s="15" t="n">
        <v>1.39271571979125</v>
      </c>
      <c r="E278" s="15" t="n">
        <v>3328.96106626814</v>
      </c>
      <c r="F278" s="15" t="n">
        <v>1.32389775</v>
      </c>
      <c r="G278" s="15" t="n">
        <v>3.443895</v>
      </c>
      <c r="H278" s="15" t="n">
        <f aca="false">SQRT(F278^2+G278^2)</f>
        <v>3.68959591601574</v>
      </c>
      <c r="I278" s="15" t="n">
        <f aca="false">D278*F278/H278</f>
        <v>0.499733100803172</v>
      </c>
      <c r="J278" s="15" t="n">
        <f aca="false">SQRT(C278^2+D278^2-I278^2)</f>
        <v>61.4420192955704</v>
      </c>
      <c r="K278" s="15" t="n">
        <f aca="false">E278/H278</f>
        <v>902.256274682502</v>
      </c>
      <c r="L278" s="15" t="n">
        <f aca="false">J278/2-K278*ASINH(I278/(2*K278*SINH(J278/(2*K278))))</f>
        <v>23.3840885534188</v>
      </c>
      <c r="M278" s="15" t="n">
        <f aca="false">-L278/K278</f>
        <v>-0.0259173465561628</v>
      </c>
      <c r="N278" s="15" t="n">
        <f aca="false">(J278-L278)/K278</f>
        <v>0.0421808435253542</v>
      </c>
      <c r="O278" s="15" t="n">
        <f aca="false">K278*(SINH(N278)-SINH(M278))</f>
        <v>61.4559238652385</v>
      </c>
      <c r="P278" s="15" t="n">
        <f aca="false">E278*COSH(M278)</f>
        <v>3330.07917516195</v>
      </c>
      <c r="Q278" s="15" t="n">
        <f aca="false">E278*COSH(N278)</f>
        <v>3331.92298836977</v>
      </c>
    </row>
    <row r="279" customFormat="false" ht="21" hidden="false" customHeight="true" outlineLevel="0" collapsed="false">
      <c r="A279" s="1" t="s">
        <v>369</v>
      </c>
      <c r="B279" s="1" t="s">
        <v>321</v>
      </c>
      <c r="C279" s="15" t="n">
        <v>61.4282655722358</v>
      </c>
      <c r="D279" s="15" t="n">
        <v>1.39271571979125</v>
      </c>
      <c r="E279" s="15" t="n">
        <v>3631.47015009742</v>
      </c>
      <c r="F279" s="15" t="n">
        <v>3.85543216183014</v>
      </c>
      <c r="G279" s="15" t="n">
        <v>0</v>
      </c>
      <c r="H279" s="15" t="n">
        <f aca="false">SQRT(F279^2+G279^2)</f>
        <v>3.85543216183014</v>
      </c>
      <c r="I279" s="15" t="n">
        <f aca="false">D279*F279/H279</f>
        <v>1.39271571979125</v>
      </c>
      <c r="J279" s="15" t="n">
        <f aca="false">SQRT(C279^2+D279^2-I279^2)</f>
        <v>61.4282655722358</v>
      </c>
      <c r="K279" s="15" t="n">
        <f aca="false">E279/H279</f>
        <v>941.910011035856</v>
      </c>
      <c r="L279" s="15" t="n">
        <f aca="false">J279/2-K279*ASINH(I279/(2*K279*SINH(J279/(2*K279))))</f>
        <v>9.36454526295507</v>
      </c>
      <c r="M279" s="15" t="n">
        <f aca="false">-L279/K279</f>
        <v>-0.00994208061623266</v>
      </c>
      <c r="N279" s="15" t="n">
        <f aca="false">(J279-L279)/K279</f>
        <v>0.0552746225215551</v>
      </c>
      <c r="O279" s="15" t="n">
        <f aca="false">K279*(SINH(N279)-SINH(M279))</f>
        <v>61.4549354707017</v>
      </c>
      <c r="P279" s="15" t="n">
        <f aca="false">E279*COSH(M279)</f>
        <v>3631.64962784932</v>
      </c>
      <c r="Q279" s="15" t="n">
        <f aca="false">E279*COSH(N279)</f>
        <v>3637.01914882769</v>
      </c>
    </row>
    <row r="280" customFormat="false" ht="21" hidden="false" customHeight="true" outlineLevel="0" collapsed="false">
      <c r="A280" s="1" t="s">
        <v>369</v>
      </c>
      <c r="B280" s="1" t="s">
        <v>322</v>
      </c>
      <c r="C280" s="15" t="n">
        <v>61.4282655722358</v>
      </c>
      <c r="D280" s="15" t="n">
        <v>1.39271571979125</v>
      </c>
      <c r="E280" s="15" t="n">
        <v>3402.10571764977</v>
      </c>
      <c r="F280" s="15" t="n">
        <v>2.33651151473205</v>
      </c>
      <c r="G280" s="15" t="n">
        <v>1.43495625</v>
      </c>
      <c r="H280" s="15" t="n">
        <f aca="false">SQRT(F280^2+G280^2)</f>
        <v>2.74196745018783</v>
      </c>
      <c r="I280" s="15" t="n">
        <f aca="false">D280*F280/H280</f>
        <v>1.1867742324285</v>
      </c>
      <c r="J280" s="15" t="n">
        <f aca="false">SQRT(C280^2+D280^2-I280^2)</f>
        <v>61.4325893578525</v>
      </c>
      <c r="K280" s="15" t="n">
        <f aca="false">E280/H280</f>
        <v>1240.75350253218</v>
      </c>
      <c r="L280" s="15" t="n">
        <f aca="false">J280/2-K280*ASINH(I280/(2*K280*SINH(J280/(2*K280))))</f>
        <v>6.75096358436551</v>
      </c>
      <c r="M280" s="15" t="n">
        <f aca="false">-L280/K280</f>
        <v>-0.00544101916342601</v>
      </c>
      <c r="N280" s="15" t="n">
        <f aca="false">(J280-L280)/K280</f>
        <v>0.0440713047852701</v>
      </c>
      <c r="O280" s="15" t="n">
        <f aca="false">K280*(SINH(N280)-SINH(M280))</f>
        <v>61.4503255575326</v>
      </c>
      <c r="P280" s="15" t="n">
        <f aca="false">E280*COSH(M280)</f>
        <v>3402.15607691578</v>
      </c>
      <c r="Q280" s="15" t="n">
        <f aca="false">E280*COSH(N280)</f>
        <v>3405.41017323182</v>
      </c>
    </row>
    <row r="281" customFormat="false" ht="21" hidden="false" customHeight="true" outlineLevel="0" collapsed="false">
      <c r="A281" s="1" t="s">
        <v>369</v>
      </c>
      <c r="B281" s="1" t="s">
        <v>323</v>
      </c>
      <c r="C281" s="15" t="n">
        <v>61.4282655722358</v>
      </c>
      <c r="D281" s="15" t="n">
        <v>1.39271571979125</v>
      </c>
      <c r="E281" s="15" t="n">
        <v>3510.3030809829</v>
      </c>
      <c r="F281" s="15" t="n">
        <v>1.32389775</v>
      </c>
      <c r="G281" s="15" t="n">
        <v>0</v>
      </c>
      <c r="H281" s="15" t="n">
        <f aca="false">SQRT(F281^2+G281^2)</f>
        <v>1.32389775</v>
      </c>
      <c r="I281" s="15" t="n">
        <f aca="false">D281*F281/H281</f>
        <v>1.39271571979125</v>
      </c>
      <c r="J281" s="15" t="n">
        <f aca="false">SQRT(C281^2+D281^2-I281^2)</f>
        <v>61.4282655722358</v>
      </c>
      <c r="K281" s="15" t="n">
        <f aca="false">E281/H281</f>
        <v>2651.49108455159</v>
      </c>
      <c r="L281" s="15" t="n">
        <f aca="false">J281/2-K281*ASINH(I281/(2*K281*SINH(J281/(2*K281))))</f>
        <v>-29.3945879349499</v>
      </c>
      <c r="M281" s="15" t="n">
        <f aca="false">-L281/K281</f>
        <v>0.0110860595029763</v>
      </c>
      <c r="N281" s="15" t="n">
        <f aca="false">(J281-L281)/K281</f>
        <v>0.0342535013737546</v>
      </c>
      <c r="O281" s="15" t="n">
        <f aca="false">K281*(SINH(N281)-SINH(M281))</f>
        <v>61.4454249525082</v>
      </c>
      <c r="P281" s="15" t="n">
        <f aca="false">E281*COSH(M281)</f>
        <v>3510.51879257194</v>
      </c>
      <c r="Q281" s="15" t="n">
        <f aca="false">E281*COSH(N281)</f>
        <v>3512.36260577976</v>
      </c>
    </row>
    <row r="282" customFormat="false" ht="21" hidden="false" customHeight="true" outlineLevel="0" collapsed="false">
      <c r="A282" s="1" t="s">
        <v>369</v>
      </c>
      <c r="B282" s="1" t="s">
        <v>324</v>
      </c>
      <c r="C282" s="15" t="n">
        <v>61.4282655722358</v>
      </c>
      <c r="D282" s="15" t="n">
        <v>1.39271571979125</v>
      </c>
      <c r="E282" s="15" t="n">
        <v>475.775335574185</v>
      </c>
      <c r="F282" s="15" t="n">
        <v>1.32389775</v>
      </c>
      <c r="G282" s="15" t="n">
        <v>0</v>
      </c>
      <c r="H282" s="15" t="n">
        <f aca="false">SQRT(F282^2+G282^2)</f>
        <v>1.32389775</v>
      </c>
      <c r="I282" s="15" t="n">
        <f aca="false">D282*F282/H282</f>
        <v>1.39271571979125</v>
      </c>
      <c r="J282" s="15" t="n">
        <f aca="false">SQRT(C282^2+D282^2-I282^2)</f>
        <v>61.4282655722358</v>
      </c>
      <c r="K282" s="15" t="n">
        <f aca="false">E282/H282</f>
        <v>359.374684014823</v>
      </c>
      <c r="L282" s="15" t="n">
        <f aca="false">J282/2-K282*ASINH(I282/(2*K282*SINH(J282/(2*K282))))</f>
        <v>22.5769135426781</v>
      </c>
      <c r="M282" s="15" t="n">
        <f aca="false">-L282/K282</f>
        <v>-0.0628227711825881</v>
      </c>
      <c r="N282" s="15" t="n">
        <f aca="false">(J282-L282)/K282</f>
        <v>0.108108205050846</v>
      </c>
      <c r="O282" s="15" t="n">
        <f aca="false">K282*(SINH(N282)-SINH(M282))</f>
        <v>61.5188419041748</v>
      </c>
      <c r="P282" s="15" t="n">
        <f aca="false">E282*COSH(M282)</f>
        <v>476.714515798041</v>
      </c>
      <c r="Q282" s="15" t="n">
        <f aca="false">E282*COSH(N282)</f>
        <v>478.558329005863</v>
      </c>
    </row>
    <row r="283" customFormat="false" ht="21" hidden="false" customHeight="true" outlineLevel="0" collapsed="false">
      <c r="A283" s="1" t="s">
        <v>370</v>
      </c>
      <c r="B283" s="1" t="s">
        <v>319</v>
      </c>
      <c r="C283" s="15" t="n">
        <v>61.4282655706483</v>
      </c>
      <c r="D283" s="15" t="n">
        <v>4.49905944039792</v>
      </c>
      <c r="E283" s="15" t="n">
        <v>2204.99999999973</v>
      </c>
      <c r="F283" s="15" t="n">
        <v>1.32389775</v>
      </c>
      <c r="G283" s="15" t="n">
        <v>0</v>
      </c>
      <c r="H283" s="15" t="n">
        <f aca="false">SQRT(F283^2+G283^2)</f>
        <v>1.32389775</v>
      </c>
      <c r="I283" s="15" t="n">
        <f aca="false">D283*F283/H283</f>
        <v>4.49905944039792</v>
      </c>
      <c r="J283" s="15" t="n">
        <f aca="false">SQRT(C283^2+D283^2-I283^2)</f>
        <v>61.4282655706483</v>
      </c>
      <c r="K283" s="15" t="n">
        <f aca="false">E283/H283</f>
        <v>1665.53648119708</v>
      </c>
      <c r="L283" s="15" t="n">
        <f aca="false">J283/2-K283*ASINH(I283/(2*K283*SINH(J283/(2*K283))))</f>
        <v>-91.1555112169166</v>
      </c>
      <c r="M283" s="15" t="n">
        <f aca="false">-L283/K283</f>
        <v>0.054730420045438</v>
      </c>
      <c r="N283" s="15" t="n">
        <f aca="false">(J283-L283)/K283</f>
        <v>0.0916123894673853</v>
      </c>
      <c r="O283" s="15" t="n">
        <f aca="false">K283*(SINH(N283)-SINH(M283))</f>
        <v>61.5962751293417</v>
      </c>
      <c r="P283" s="15" t="n">
        <f aca="false">E283*COSH(M283)</f>
        <v>2208.303273747</v>
      </c>
      <c r="Q283" s="15" t="n">
        <f aca="false">E283*COSH(N283)</f>
        <v>2214.25956841726</v>
      </c>
    </row>
    <row r="284" customFormat="false" ht="21" hidden="false" customHeight="true" outlineLevel="0" collapsed="false">
      <c r="A284" s="1" t="s">
        <v>370</v>
      </c>
      <c r="B284" s="1" t="s">
        <v>320</v>
      </c>
      <c r="C284" s="15" t="n">
        <v>61.4282655706483</v>
      </c>
      <c r="D284" s="15" t="n">
        <v>4.49905944039792</v>
      </c>
      <c r="E284" s="15" t="n">
        <v>3334.32189380924</v>
      </c>
      <c r="F284" s="15" t="n">
        <v>1.32389775</v>
      </c>
      <c r="G284" s="15" t="n">
        <v>3.443895</v>
      </c>
      <c r="H284" s="15" t="n">
        <f aca="false">SQRT(F284^2+G284^2)</f>
        <v>3.68959591601574</v>
      </c>
      <c r="I284" s="15" t="n">
        <f aca="false">D284*F284/H284</f>
        <v>1.61434878123213</v>
      </c>
      <c r="J284" s="15" t="n">
        <f aca="false">SQRT(C284^2+D284^2-I284^2)</f>
        <v>61.5716430256564</v>
      </c>
      <c r="K284" s="15" t="n">
        <f aca="false">E284/H284</f>
        <v>903.709232584432</v>
      </c>
      <c r="L284" s="15" t="n">
        <f aca="false">J284/2-K284*ASINH(I284/(2*K284*SINH(J284/(2*K284))))</f>
        <v>7.09873623394072</v>
      </c>
      <c r="M284" s="15" t="n">
        <f aca="false">-L284/K284</f>
        <v>-0.00785511088963838</v>
      </c>
      <c r="N284" s="15" t="n">
        <f aca="false">(J284-L284)/K284</f>
        <v>0.0602770280833956</v>
      </c>
      <c r="O284" s="15" t="n">
        <f aca="false">K284*(SINH(N284)-SINH(M284))</f>
        <v>61.6047082721495</v>
      </c>
      <c r="P284" s="15" t="n">
        <f aca="false">E284*COSH(M284)</f>
        <v>3334.42476278179</v>
      </c>
      <c r="Q284" s="15" t="n">
        <f aca="false">E284*COSH(N284)</f>
        <v>3340.38105745205</v>
      </c>
    </row>
    <row r="285" customFormat="false" ht="21" hidden="false" customHeight="true" outlineLevel="0" collapsed="false">
      <c r="A285" s="1" t="s">
        <v>370</v>
      </c>
      <c r="B285" s="1" t="s">
        <v>321</v>
      </c>
      <c r="C285" s="15" t="n">
        <v>61.4282655706483</v>
      </c>
      <c r="D285" s="15" t="n">
        <v>4.49905944039792</v>
      </c>
      <c r="E285" s="15" t="n">
        <v>3627.43984407756</v>
      </c>
      <c r="F285" s="15" t="n">
        <v>3.85543216183014</v>
      </c>
      <c r="G285" s="15" t="n">
        <v>0</v>
      </c>
      <c r="H285" s="15" t="n">
        <f aca="false">SQRT(F285^2+G285^2)</f>
        <v>3.85543216183014</v>
      </c>
      <c r="I285" s="15" t="n">
        <f aca="false">D285*F285/H285</f>
        <v>4.49905944039792</v>
      </c>
      <c r="J285" s="15" t="n">
        <f aca="false">SQRT(C285^2+D285^2-I285^2)</f>
        <v>61.4282655706483</v>
      </c>
      <c r="K285" s="15" t="n">
        <f aca="false">E285/H285</f>
        <v>940.864653252167</v>
      </c>
      <c r="L285" s="15" t="n">
        <f aca="false">J285/2-K285*ASINH(I285/(2*K285*SINH(J285/(2*K285))))</f>
        <v>-38.1219457273608</v>
      </c>
      <c r="M285" s="15" t="n">
        <f aca="false">-L285/K285</f>
        <v>0.0405179911856499</v>
      </c>
      <c r="N285" s="15" t="n">
        <f aca="false">(J285-L285)/K285</f>
        <v>0.105807154040602</v>
      </c>
      <c r="O285" s="15" t="n">
        <f aca="false">K285*(SINH(N285)-SINH(M285))</f>
        <v>61.6036845223159</v>
      </c>
      <c r="P285" s="15" t="n">
        <f aca="false">E285*COSH(M285)</f>
        <v>3630.41784925985</v>
      </c>
      <c r="Q285" s="15" t="n">
        <f aca="false">E285*COSH(N285)</f>
        <v>3647.76366772434</v>
      </c>
    </row>
    <row r="286" customFormat="false" ht="21" hidden="false" customHeight="true" outlineLevel="0" collapsed="false">
      <c r="A286" s="1" t="s">
        <v>370</v>
      </c>
      <c r="B286" s="1" t="s">
        <v>322</v>
      </c>
      <c r="C286" s="15" t="n">
        <v>61.4282655706483</v>
      </c>
      <c r="D286" s="15" t="n">
        <v>4.49905944039792</v>
      </c>
      <c r="E286" s="15" t="n">
        <v>3401.6982554456</v>
      </c>
      <c r="F286" s="15" t="n">
        <v>2.33651151473205</v>
      </c>
      <c r="G286" s="15" t="n">
        <v>1.43495625</v>
      </c>
      <c r="H286" s="15" t="n">
        <f aca="false">SQRT(F286^2+G286^2)</f>
        <v>2.74196745018783</v>
      </c>
      <c r="I286" s="15" t="n">
        <f aca="false">D286*F286/H286</f>
        <v>3.83378153786385</v>
      </c>
      <c r="J286" s="15" t="n">
        <f aca="false">SQRT(C286^2+D286^2-I286^2)</f>
        <v>61.4733720076121</v>
      </c>
      <c r="K286" s="15" t="n">
        <f aca="false">E286/H286</f>
        <v>1240.60490040193</v>
      </c>
      <c r="L286" s="15" t="n">
        <f aca="false">J286/2-K286*ASINH(I286/(2*K286*SINH(J286/(2*K286))))</f>
        <v>-46.5755659207407</v>
      </c>
      <c r="M286" s="15" t="n">
        <f aca="false">-L286/K286</f>
        <v>0.0375426261057419</v>
      </c>
      <c r="N286" s="15" t="n">
        <f aca="false">(J286-L286)/K286</f>
        <v>0.0870937539367671</v>
      </c>
      <c r="O286" s="15" t="n">
        <f aca="false">K286*(SINH(N286)-SINH(M286))</f>
        <v>61.5990797375849</v>
      </c>
      <c r="P286" s="15" t="n">
        <f aca="false">E286*COSH(M286)</f>
        <v>3404.09579674611</v>
      </c>
      <c r="Q286" s="15" t="n">
        <f aca="false">E286*COSH(N286)</f>
        <v>3414.60790093406</v>
      </c>
    </row>
    <row r="287" customFormat="false" ht="21" hidden="false" customHeight="true" outlineLevel="0" collapsed="false">
      <c r="A287" s="1" t="s">
        <v>370</v>
      </c>
      <c r="B287" s="1" t="s">
        <v>323</v>
      </c>
      <c r="C287" s="15" t="n">
        <v>61.4282655706483</v>
      </c>
      <c r="D287" s="15" t="n">
        <v>4.49905944039792</v>
      </c>
      <c r="E287" s="15" t="n">
        <v>3507.75339905894</v>
      </c>
      <c r="F287" s="15" t="n">
        <v>1.32389775</v>
      </c>
      <c r="G287" s="15" t="n">
        <v>0</v>
      </c>
      <c r="H287" s="15" t="n">
        <f aca="false">SQRT(F287^2+G287^2)</f>
        <v>1.32389775</v>
      </c>
      <c r="I287" s="15" t="n">
        <f aca="false">D287*F287/H287</f>
        <v>4.49905944039792</v>
      </c>
      <c r="J287" s="15" t="n">
        <f aca="false">SQRT(C287^2+D287^2-I287^2)</f>
        <v>61.4282655706483</v>
      </c>
      <c r="K287" s="15" t="n">
        <f aca="false">E287/H287</f>
        <v>2649.56519418432</v>
      </c>
      <c r="L287" s="15" t="n">
        <f aca="false">J287/2-K287*ASINH(I287/(2*K287*SINH(J287/(2*K287))))</f>
        <v>-163.164908978722</v>
      </c>
      <c r="M287" s="15" t="n">
        <f aca="false">-L287/K287</f>
        <v>0.0615817679583281</v>
      </c>
      <c r="N287" s="15" t="n">
        <f aca="false">(J287-L287)/K287</f>
        <v>0.0847660495549768</v>
      </c>
      <c r="O287" s="15" t="n">
        <f aca="false">K287*(SINH(N287)-SINH(M287))</f>
        <v>61.594174818941</v>
      </c>
      <c r="P287" s="15" t="n">
        <f aca="false">E287*COSH(M287)</f>
        <v>3514.40675271023</v>
      </c>
      <c r="Q287" s="15" t="n">
        <f aca="false">E287*COSH(N287)</f>
        <v>3520.36304738048</v>
      </c>
    </row>
    <row r="288" customFormat="false" ht="21" hidden="false" customHeight="true" outlineLevel="0" collapsed="false">
      <c r="A288" s="1" t="s">
        <v>370</v>
      </c>
      <c r="B288" s="1" t="s">
        <v>324</v>
      </c>
      <c r="C288" s="15" t="n">
        <v>61.4282655706483</v>
      </c>
      <c r="D288" s="15" t="n">
        <v>4.49905944039792</v>
      </c>
      <c r="E288" s="15" t="n">
        <v>474.997006510329</v>
      </c>
      <c r="F288" s="15" t="n">
        <v>1.32389775</v>
      </c>
      <c r="G288" s="15" t="n">
        <v>0</v>
      </c>
      <c r="H288" s="15" t="n">
        <f aca="false">SQRT(F288^2+G288^2)</f>
        <v>1.32389775</v>
      </c>
      <c r="I288" s="15" t="n">
        <f aca="false">D288*F288/H288</f>
        <v>4.49905944039792</v>
      </c>
      <c r="J288" s="15" t="n">
        <f aca="false">SQRT(C288^2+D288^2-I288^2)</f>
        <v>61.4282655706483</v>
      </c>
      <c r="K288" s="15" t="n">
        <f aca="false">E288/H288</f>
        <v>358.786776781159</v>
      </c>
      <c r="L288" s="15" t="n">
        <f aca="false">J288/2-K288*ASINH(I288/(2*K288*SINH(J288/(2*K288))))</f>
        <v>4.49169735698579</v>
      </c>
      <c r="M288" s="15" t="n">
        <f aca="false">-L288/K288</f>
        <v>-0.0125191273694166</v>
      </c>
      <c r="N288" s="15" t="n">
        <f aca="false">(J288-L288)/K288</f>
        <v>0.158691935986233</v>
      </c>
      <c r="O288" s="15" t="n">
        <f aca="false">K288*(SINH(N288)-SINH(M288))</f>
        <v>61.6676574916752</v>
      </c>
      <c r="P288" s="15" t="n">
        <f aca="false">E288*COSH(M288)</f>
        <v>475.034229792552</v>
      </c>
      <c r="Q288" s="15" t="n">
        <f aca="false">E288*COSH(N288)</f>
        <v>480.990524462811</v>
      </c>
    </row>
    <row r="289" customFormat="false" ht="21" hidden="false" customHeight="true" outlineLevel="0" collapsed="false">
      <c r="A289" s="1" t="s">
        <v>371</v>
      </c>
      <c r="B289" s="1" t="s">
        <v>319</v>
      </c>
      <c r="C289" s="15" t="n">
        <v>38.4378051466475</v>
      </c>
      <c r="D289" s="15" t="n">
        <v>9.91610789095867</v>
      </c>
      <c r="E289" s="15" t="n">
        <v>2204.99999999953</v>
      </c>
      <c r="F289" s="15" t="n">
        <v>1.32389775</v>
      </c>
      <c r="G289" s="15" t="n">
        <v>0</v>
      </c>
      <c r="H289" s="15" t="n">
        <f aca="false">SQRT(F289^2+G289^2)</f>
        <v>1.32389775</v>
      </c>
      <c r="I289" s="15" t="n">
        <f aca="false">D289*F289/H289</f>
        <v>9.91610789095867</v>
      </c>
      <c r="J289" s="15" t="n">
        <f aca="false">SQRT(C289^2+D289^2-I289^2)</f>
        <v>38.4378051466475</v>
      </c>
      <c r="K289" s="15" t="n">
        <f aca="false">E289/H289</f>
        <v>1665.53648119693</v>
      </c>
      <c r="L289" s="15" t="n">
        <f aca="false">J289/2-K289*ASINH(I289/(2*K289*SINH(J289/(2*K289))))</f>
        <v>-405.814984803648</v>
      </c>
      <c r="M289" s="15" t="n">
        <f aca="false">-L289/K289</f>
        <v>0.243654215554625</v>
      </c>
      <c r="N289" s="15" t="n">
        <f aca="false">(J289-L289)/K289</f>
        <v>0.266732548320428</v>
      </c>
      <c r="O289" s="15" t="n">
        <f aca="false">K289*(SINH(N289)-SINH(M289))</f>
        <v>39.6970986010217</v>
      </c>
      <c r="P289" s="15" t="n">
        <f aca="false">E289*COSH(M289)</f>
        <v>2270.77698644855</v>
      </c>
      <c r="Q289" s="15" t="n">
        <f aca="false">E289*COSH(N289)</f>
        <v>2283.90489937415</v>
      </c>
    </row>
    <row r="290" customFormat="false" ht="21" hidden="false" customHeight="true" outlineLevel="0" collapsed="false">
      <c r="A290" s="1" t="s">
        <v>371</v>
      </c>
      <c r="B290" s="1" t="s">
        <v>320</v>
      </c>
      <c r="C290" s="15" t="n">
        <v>38.4378051466475</v>
      </c>
      <c r="D290" s="15" t="n">
        <v>9.91610789095867</v>
      </c>
      <c r="E290" s="15" t="n">
        <v>3173.44225525531</v>
      </c>
      <c r="F290" s="15" t="n">
        <v>1.32389775</v>
      </c>
      <c r="G290" s="15" t="n">
        <v>3.443895</v>
      </c>
      <c r="H290" s="15" t="n">
        <f aca="false">SQRT(F290^2+G290^2)</f>
        <v>3.68959591601574</v>
      </c>
      <c r="I290" s="15" t="n">
        <f aca="false">D290*F290/H290</f>
        <v>3.55808961859806</v>
      </c>
      <c r="J290" s="15" t="n">
        <f aca="false">SQRT(C290^2+D290^2-I290^2)</f>
        <v>39.5364902142666</v>
      </c>
      <c r="K290" s="15" t="n">
        <f aca="false">E290/H290</f>
        <v>860.105639612206</v>
      </c>
      <c r="L290" s="15" t="n">
        <f aca="false">J290/2-K290*ASINH(I290/(2*K290*SINH(J290/(2*K290))))</f>
        <v>-57.5261374961706</v>
      </c>
      <c r="M290" s="15" t="n">
        <f aca="false">-L290/K290</f>
        <v>0.0668826419067631</v>
      </c>
      <c r="N290" s="15" t="n">
        <f aca="false">(J290-L290)/K290</f>
        <v>0.112849658507296</v>
      </c>
      <c r="O290" s="15" t="n">
        <f aca="false">K290*(SINH(N290)-SINH(M290))</f>
        <v>39.6997395090926</v>
      </c>
      <c r="P290" s="15" t="n">
        <f aca="false">E290*COSH(M290)</f>
        <v>3180.54276179135</v>
      </c>
      <c r="Q290" s="15" t="n">
        <f aca="false">E290*COSH(N290)</f>
        <v>3193.67067471695</v>
      </c>
    </row>
    <row r="291" customFormat="false" ht="21" hidden="false" customHeight="true" outlineLevel="0" collapsed="false">
      <c r="A291" s="1" t="s">
        <v>371</v>
      </c>
      <c r="B291" s="1" t="s">
        <v>321</v>
      </c>
      <c r="C291" s="15" t="n">
        <v>38.4378051466475</v>
      </c>
      <c r="D291" s="15" t="n">
        <v>9.91610789095867</v>
      </c>
      <c r="E291" s="15" t="n">
        <v>3389.19318691734</v>
      </c>
      <c r="F291" s="15" t="n">
        <v>3.85543216183014</v>
      </c>
      <c r="G291" s="15" t="n">
        <v>0</v>
      </c>
      <c r="H291" s="15" t="n">
        <f aca="false">SQRT(F291^2+G291^2)</f>
        <v>3.85543216183014</v>
      </c>
      <c r="I291" s="15" t="n">
        <f aca="false">D291*F291/H291</f>
        <v>9.91610789095867</v>
      </c>
      <c r="J291" s="15" t="n">
        <f aca="false">SQRT(C291^2+D291^2-I291^2)</f>
        <v>38.4378051466475</v>
      </c>
      <c r="K291" s="15" t="n">
        <f aca="false">E291/H291</f>
        <v>879.069594446846</v>
      </c>
      <c r="L291" s="15" t="n">
        <f aca="false">J291/2-K291*ASINH(I291/(2*K291*SINH(J291/(2*K291))))</f>
        <v>-205.101220833084</v>
      </c>
      <c r="M291" s="15" t="n">
        <f aca="false">-L291/K291</f>
        <v>0.233316249508259</v>
      </c>
      <c r="N291" s="15" t="n">
        <f aca="false">(J291-L291)/K291</f>
        <v>0.277041803650345</v>
      </c>
      <c r="O291" s="15" t="n">
        <f aca="false">K291*(SINH(N291)-SINH(M291))</f>
        <v>39.6992377162895</v>
      </c>
      <c r="P291" s="15" t="n">
        <f aca="false">E291*COSH(M291)</f>
        <v>3481.86027815998</v>
      </c>
      <c r="Q291" s="15" t="n">
        <f aca="false">E291*COSH(N291)</f>
        <v>3520.09115944296</v>
      </c>
    </row>
    <row r="292" customFormat="false" ht="21" hidden="false" customHeight="true" outlineLevel="0" collapsed="false">
      <c r="A292" s="1" t="s">
        <v>371</v>
      </c>
      <c r="B292" s="1" t="s">
        <v>322</v>
      </c>
      <c r="C292" s="15" t="n">
        <v>38.4378051466475</v>
      </c>
      <c r="D292" s="15" t="n">
        <v>9.91610789095867</v>
      </c>
      <c r="E292" s="15" t="n">
        <v>3318.71702929958</v>
      </c>
      <c r="F292" s="15" t="n">
        <v>2.33651151473205</v>
      </c>
      <c r="G292" s="15" t="n">
        <v>1.43495625</v>
      </c>
      <c r="H292" s="15" t="n">
        <f aca="false">SQRT(F292^2+G292^2)</f>
        <v>2.74196745018783</v>
      </c>
      <c r="I292" s="15" t="n">
        <f aca="false">D292*F292/H292</f>
        <v>8.44980864632919</v>
      </c>
      <c r="J292" s="15" t="n">
        <f aca="false">SQRT(C292^2+D292^2-I292^2)</f>
        <v>38.7865285123224</v>
      </c>
      <c r="K292" s="15" t="n">
        <f aca="false">E292/H292</f>
        <v>1210.34151192139</v>
      </c>
      <c r="L292" s="15" t="n">
        <f aca="false">J292/2-K292*ASINH(I292/(2*K292*SINH(J292/(2*K292))))</f>
        <v>-242.231322437041</v>
      </c>
      <c r="M292" s="15" t="n">
        <f aca="false">-L292/K292</f>
        <v>0.200134689301454</v>
      </c>
      <c r="N292" s="15" t="n">
        <f aca="false">(J292-L292)/K292</f>
        <v>0.232180626857334</v>
      </c>
      <c r="O292" s="15" t="n">
        <f aca="false">K292*(SINH(N292)-SINH(M292))</f>
        <v>39.6978942573544</v>
      </c>
      <c r="P292" s="15" t="n">
        <f aca="false">E292*COSH(M292)</f>
        <v>3385.40293992555</v>
      </c>
      <c r="Q292" s="15" t="n">
        <f aca="false">E292*COSH(N292)</f>
        <v>3408.5720401941</v>
      </c>
    </row>
    <row r="293" customFormat="false" ht="21" hidden="false" customHeight="true" outlineLevel="0" collapsed="false">
      <c r="A293" s="1" t="s">
        <v>371</v>
      </c>
      <c r="B293" s="1" t="s">
        <v>323</v>
      </c>
      <c r="C293" s="15" t="n">
        <v>38.4378051466475</v>
      </c>
      <c r="D293" s="15" t="n">
        <v>9.91610789095867</v>
      </c>
      <c r="E293" s="15" t="n">
        <v>3533.28321987459</v>
      </c>
      <c r="F293" s="15" t="n">
        <v>1.32389775</v>
      </c>
      <c r="G293" s="15" t="n">
        <v>0</v>
      </c>
      <c r="H293" s="15" t="n">
        <f aca="false">SQRT(F293^2+G293^2)</f>
        <v>1.32389775</v>
      </c>
      <c r="I293" s="15" t="n">
        <f aca="false">D293*F293/H293</f>
        <v>9.91610789095867</v>
      </c>
      <c r="J293" s="15" t="n">
        <f aca="false">SQRT(C293^2+D293^2-I293^2)</f>
        <v>38.4378051466475</v>
      </c>
      <c r="K293" s="15" t="n">
        <f aca="false">E293/H293</f>
        <v>2668.84902544368</v>
      </c>
      <c r="L293" s="15" t="n">
        <f aca="false">J293/2-K293*ASINH(I293/(2*K293*SINH(J293/(2*K293))))</f>
        <v>-661.862738859464</v>
      </c>
      <c r="M293" s="15" t="n">
        <f aca="false">-L293/K293</f>
        <v>0.247995571330391</v>
      </c>
      <c r="N293" s="15" t="n">
        <f aca="false">(J293-L293)/K293</f>
        <v>0.262397961566855</v>
      </c>
      <c r="O293" s="15" t="n">
        <f aca="false">K293*(SINH(N293)-SINH(M293))</f>
        <v>39.6965943053369</v>
      </c>
      <c r="P293" s="15" t="n">
        <f aca="false">E293*COSH(M293)</f>
        <v>3642.49286369821</v>
      </c>
      <c r="Q293" s="15" t="n">
        <f aca="false">E293*COSH(N293)</f>
        <v>3655.6207766238</v>
      </c>
    </row>
    <row r="294" customFormat="false" ht="21" hidden="false" customHeight="true" outlineLevel="0" collapsed="false">
      <c r="A294" s="1" t="s">
        <v>371</v>
      </c>
      <c r="B294" s="1" t="s">
        <v>324</v>
      </c>
      <c r="C294" s="15" t="n">
        <v>38.4378051466475</v>
      </c>
      <c r="D294" s="15" t="n">
        <v>9.91610789095867</v>
      </c>
      <c r="E294" s="15" t="n">
        <v>302.686339953344</v>
      </c>
      <c r="F294" s="15" t="n">
        <v>1.32389775</v>
      </c>
      <c r="G294" s="15" t="n">
        <v>0</v>
      </c>
      <c r="H294" s="15" t="n">
        <f aca="false">SQRT(F294^2+G294^2)</f>
        <v>1.32389775</v>
      </c>
      <c r="I294" s="15" t="n">
        <f aca="false">D294*F294/H294</f>
        <v>9.91610789095867</v>
      </c>
      <c r="J294" s="15" t="n">
        <f aca="false">SQRT(C294^2+D294^2-I294^2)</f>
        <v>38.4378051466475</v>
      </c>
      <c r="K294" s="15" t="n">
        <f aca="false">E294/H294</f>
        <v>228.632717257314</v>
      </c>
      <c r="L294" s="15" t="n">
        <f aca="false">J294/2-K294*ASINH(I294/(2*K294*SINH(J294/(2*K294))))</f>
        <v>-39.0607137872209</v>
      </c>
      <c r="M294" s="15" t="n">
        <f aca="false">-L294/K294</f>
        <v>0.17084481283254</v>
      </c>
      <c r="N294" s="15" t="n">
        <f aca="false">(J294-L294)/K294</f>
        <v>0.33896513090315</v>
      </c>
      <c r="O294" s="15" t="n">
        <f aca="false">K294*(SINH(N294)-SINH(M294))</f>
        <v>39.7401222581047</v>
      </c>
      <c r="P294" s="15" t="n">
        <f aca="false">E294*COSH(M294)</f>
        <v>307.114491864826</v>
      </c>
      <c r="Q294" s="15" t="n">
        <f aca="false">E294*COSH(N294)</f>
        <v>320.242404790423</v>
      </c>
    </row>
    <row r="295" customFormat="false" ht="21" hidden="false" customHeight="true" outlineLevel="0" collapsed="false">
      <c r="A295" s="1" t="s">
        <v>372</v>
      </c>
      <c r="B295" s="1" t="s">
        <v>319</v>
      </c>
      <c r="C295" s="15" t="n">
        <v>79.6682606765048</v>
      </c>
      <c r="D295" s="15" t="n">
        <v>8.39021926377463</v>
      </c>
      <c r="E295" s="15" t="n">
        <v>2204.99999999898</v>
      </c>
      <c r="F295" s="15" t="n">
        <v>1.32389775</v>
      </c>
      <c r="G295" s="15" t="n">
        <v>0</v>
      </c>
      <c r="H295" s="15" t="n">
        <f aca="false">SQRT(F295^2+G295^2)</f>
        <v>1.32389775</v>
      </c>
      <c r="I295" s="15" t="n">
        <f aca="false">D295*F295/H295</f>
        <v>8.39021926377463</v>
      </c>
      <c r="J295" s="15" t="n">
        <f aca="false">SQRT(C295^2+D295^2-I295^2)</f>
        <v>79.6682606765048</v>
      </c>
      <c r="K295" s="15" t="n">
        <f aca="false">E295/H295</f>
        <v>1665.53648119651</v>
      </c>
      <c r="L295" s="15" t="n">
        <f aca="false">J295/2-K295*ASINH(I295/(2*K295*SINH(J295/(2*K295))))</f>
        <v>-135.231670871158</v>
      </c>
      <c r="M295" s="15" t="n">
        <f aca="false">-L295/K295</f>
        <v>0.0811940611315871</v>
      </c>
      <c r="N295" s="15" t="n">
        <f aca="false">(J295-L295)/K295</f>
        <v>0.129027453900788</v>
      </c>
      <c r="O295" s="15" t="n">
        <f aca="false">K295*(SINH(N295)-SINH(M295))</f>
        <v>80.1164016659764</v>
      </c>
      <c r="P295" s="15" t="n">
        <f aca="false">E295*COSH(M295)</f>
        <v>2212.27219813972</v>
      </c>
      <c r="Q295" s="15" t="n">
        <f aca="false">E295*COSH(N295)</f>
        <v>2223.37999054503</v>
      </c>
    </row>
    <row r="296" customFormat="false" ht="21" hidden="false" customHeight="true" outlineLevel="0" collapsed="false">
      <c r="A296" s="1" t="s">
        <v>372</v>
      </c>
      <c r="B296" s="1" t="s">
        <v>320</v>
      </c>
      <c r="C296" s="15" t="n">
        <v>79.6682606765048</v>
      </c>
      <c r="D296" s="15" t="n">
        <v>8.39021926377463</v>
      </c>
      <c r="E296" s="15" t="n">
        <v>3525.46493269367</v>
      </c>
      <c r="F296" s="15" t="n">
        <v>1.32389775</v>
      </c>
      <c r="G296" s="15" t="n">
        <v>3.443895</v>
      </c>
      <c r="H296" s="15" t="n">
        <f aca="false">SQRT(F296^2+G296^2)</f>
        <v>3.68959591601574</v>
      </c>
      <c r="I296" s="15" t="n">
        <f aca="false">D296*F296/H296</f>
        <v>3.01057152548911</v>
      </c>
      <c r="J296" s="15" t="n">
        <f aca="false">SQRT(C296^2+D296^2-I296^2)</f>
        <v>80.0522579169611</v>
      </c>
      <c r="K296" s="15" t="n">
        <f aca="false">E296/H296</f>
        <v>955.515187283893</v>
      </c>
      <c r="L296" s="15" t="n">
        <f aca="false">J296/2-K296*ASINH(I296/(2*K296*SINH(J296/(2*K296))))</f>
        <v>4.11048202644261</v>
      </c>
      <c r="M296" s="15" t="n">
        <f aca="false">-L296/K296</f>
        <v>-0.00430184897230874</v>
      </c>
      <c r="N296" s="15" t="n">
        <f aca="false">(J296-L296)/K296</f>
        <v>0.0794773091010593</v>
      </c>
      <c r="O296" s="15" t="n">
        <f aca="false">K296*(SINH(N296)-SINH(M296))</f>
        <v>80.1322453596621</v>
      </c>
      <c r="P296" s="15" t="n">
        <f aca="false">E296*COSH(M296)</f>
        <v>3525.4975537028</v>
      </c>
      <c r="Q296" s="15" t="n">
        <f aca="false">E296*COSH(N296)</f>
        <v>3536.60534610812</v>
      </c>
    </row>
    <row r="297" customFormat="false" ht="21" hidden="false" customHeight="true" outlineLevel="0" collapsed="false">
      <c r="A297" s="1" t="s">
        <v>372</v>
      </c>
      <c r="B297" s="1" t="s">
        <v>321</v>
      </c>
      <c r="C297" s="15" t="n">
        <v>79.6682606765048</v>
      </c>
      <c r="D297" s="15" t="n">
        <v>8.39021926377463</v>
      </c>
      <c r="E297" s="15" t="n">
        <v>3792.82668492459</v>
      </c>
      <c r="F297" s="15" t="n">
        <v>3.85543216183014</v>
      </c>
      <c r="G297" s="15" t="n">
        <v>0</v>
      </c>
      <c r="H297" s="15" t="n">
        <f aca="false">SQRT(F297^2+G297^2)</f>
        <v>3.85543216183014</v>
      </c>
      <c r="I297" s="15" t="n">
        <f aca="false">D297*F297/H297</f>
        <v>8.39021926377463</v>
      </c>
      <c r="J297" s="15" t="n">
        <f aca="false">SQRT(C297^2+D297^2-I297^2)</f>
        <v>79.6682606765048</v>
      </c>
      <c r="K297" s="15" t="n">
        <f aca="false">E297/H297</f>
        <v>983.761748546543</v>
      </c>
      <c r="L297" s="15" t="n">
        <f aca="false">J297/2-K297*ASINH(I297/(2*K297*SINH(J297/(2*K297))))</f>
        <v>-63.5514842869451</v>
      </c>
      <c r="M297" s="15" t="n">
        <f aca="false">-L297/K297</f>
        <v>0.0646004831767845</v>
      </c>
      <c r="N297" s="15" t="n">
        <f aca="false">(J297-L297)/K297</f>
        <v>0.145583770841924</v>
      </c>
      <c r="O297" s="15" t="n">
        <f aca="false">K297*(SINH(N297)-SINH(M297))</f>
        <v>80.1305004644589</v>
      </c>
      <c r="P297" s="15" t="n">
        <f aca="false">E297*COSH(M297)</f>
        <v>3800.74359229248</v>
      </c>
      <c r="Q297" s="15" t="n">
        <f aca="false">E297*COSH(N297)</f>
        <v>3833.09151348684</v>
      </c>
    </row>
    <row r="298" customFormat="false" ht="21" hidden="false" customHeight="true" outlineLevel="0" collapsed="false">
      <c r="A298" s="1" t="s">
        <v>372</v>
      </c>
      <c r="B298" s="1" t="s">
        <v>322</v>
      </c>
      <c r="C298" s="15" t="n">
        <v>79.6682606765048</v>
      </c>
      <c r="D298" s="15" t="n">
        <v>8.39021926377463</v>
      </c>
      <c r="E298" s="15" t="n">
        <v>3474.34171014121</v>
      </c>
      <c r="F298" s="15" t="n">
        <v>2.33651151473205</v>
      </c>
      <c r="G298" s="15" t="n">
        <v>1.43495625</v>
      </c>
      <c r="H298" s="15" t="n">
        <f aca="false">SQRT(F298^2+G298^2)</f>
        <v>2.74196745018783</v>
      </c>
      <c r="I298" s="15" t="n">
        <f aca="false">D298*F298/H298</f>
        <v>7.14955384302364</v>
      </c>
      <c r="J298" s="15" t="n">
        <f aca="false">SQRT(C298^2+D298^2-I298^2)</f>
        <v>79.7891685528772</v>
      </c>
      <c r="K298" s="15" t="n">
        <f aca="false">E298/H298</f>
        <v>1267.09808677824</v>
      </c>
      <c r="L298" s="15" t="n">
        <f aca="false">J298/2-K298*ASINH(I298/(2*K298*SINH(J298/(2*K298))))</f>
        <v>-73.4743882521976</v>
      </c>
      <c r="M298" s="15" t="n">
        <f aca="false">-L298/K298</f>
        <v>0.0579863461391656</v>
      </c>
      <c r="N298" s="15" t="n">
        <f aca="false">(J298-L298)/K298</f>
        <v>0.120956347740029</v>
      </c>
      <c r="O298" s="15" t="n">
        <f aca="false">K298*(SINH(N298)-SINH(M298))</f>
        <v>80.121978690492</v>
      </c>
      <c r="P298" s="15" t="n">
        <f aca="false">E298*COSH(M298)</f>
        <v>3480.18443867248</v>
      </c>
      <c r="Q298" s="15" t="n">
        <f aca="false">E298*COSH(N298)</f>
        <v>3499.78828259341</v>
      </c>
    </row>
    <row r="299" customFormat="false" ht="21" hidden="false" customHeight="true" outlineLevel="0" collapsed="false">
      <c r="A299" s="1" t="s">
        <v>372</v>
      </c>
      <c r="B299" s="1" t="s">
        <v>323</v>
      </c>
      <c r="C299" s="15" t="n">
        <v>79.6682606765048</v>
      </c>
      <c r="D299" s="15" t="n">
        <v>8.39021926377463</v>
      </c>
      <c r="E299" s="15" t="n">
        <v>3438.77964795954</v>
      </c>
      <c r="F299" s="15" t="n">
        <v>1.32389775</v>
      </c>
      <c r="G299" s="15" t="n">
        <v>0</v>
      </c>
      <c r="H299" s="15" t="n">
        <f aca="false">SQRT(F299^2+G299^2)</f>
        <v>1.32389775</v>
      </c>
      <c r="I299" s="15" t="n">
        <f aca="false">D299*F299/H299</f>
        <v>8.39021926377463</v>
      </c>
      <c r="J299" s="15" t="n">
        <f aca="false">SQRT(C299^2+D299^2-I299^2)</f>
        <v>79.6682606765048</v>
      </c>
      <c r="K299" s="15" t="n">
        <f aca="false">E299/H299</f>
        <v>2597.46619250583</v>
      </c>
      <c r="L299" s="15" t="n">
        <f aca="false">J299/2-K299*ASINH(I299/(2*K299*SINH(J299/(2*K299))))</f>
        <v>-233.202779242805</v>
      </c>
      <c r="M299" s="15" t="n">
        <f aca="false">-L299/K299</f>
        <v>0.0897808718033128</v>
      </c>
      <c r="N299" s="15" t="n">
        <f aca="false">(J299-L299)/K299</f>
        <v>0.120452401198522</v>
      </c>
      <c r="O299" s="15" t="n">
        <f aca="false">K299*(SINH(N299)-SINH(M299))</f>
        <v>80.1119537341843</v>
      </c>
      <c r="P299" s="15" t="n">
        <f aca="false">E299*COSH(M299)</f>
        <v>3452.64828211659</v>
      </c>
      <c r="Q299" s="15" t="n">
        <f aca="false">E299*COSH(N299)</f>
        <v>3463.75607452191</v>
      </c>
    </row>
    <row r="300" customFormat="false" ht="21" hidden="false" customHeight="true" outlineLevel="0" collapsed="false">
      <c r="A300" s="1" t="s">
        <v>372</v>
      </c>
      <c r="B300" s="1" t="s">
        <v>324</v>
      </c>
      <c r="C300" s="15" t="n">
        <v>79.6682606765048</v>
      </c>
      <c r="D300" s="15" t="n">
        <v>8.39021926377463</v>
      </c>
      <c r="E300" s="15" t="n">
        <v>595.933519107495</v>
      </c>
      <c r="F300" s="15" t="n">
        <v>1.32389775</v>
      </c>
      <c r="G300" s="15" t="n">
        <v>0</v>
      </c>
      <c r="H300" s="15" t="n">
        <f aca="false">SQRT(F300^2+G300^2)</f>
        <v>1.32389775</v>
      </c>
      <c r="I300" s="15" t="n">
        <f aca="false">D300*F300/H300</f>
        <v>8.39021926377463</v>
      </c>
      <c r="J300" s="15" t="n">
        <f aca="false">SQRT(C300^2+D300^2-I300^2)</f>
        <v>79.6682606765048</v>
      </c>
      <c r="K300" s="15" t="n">
        <f aca="false">E300/H300</f>
        <v>450.135608363633</v>
      </c>
      <c r="L300" s="15" t="n">
        <f aca="false">J300/2-K300*ASINH(I300/(2*K300*SINH(J300/(2*K300))))</f>
        <v>-7.42298132582815</v>
      </c>
      <c r="M300" s="15" t="n">
        <f aca="false">-L300/K300</f>
        <v>0.0164905446001322</v>
      </c>
      <c r="N300" s="15" t="n">
        <f aca="false">(J300-L300)/K300</f>
        <v>0.193477788435653</v>
      </c>
      <c r="O300" s="15" t="n">
        <f aca="false">K300*(SINH(N300)-SINH(M300))</f>
        <v>80.2122993848997</v>
      </c>
      <c r="P300" s="15" t="n">
        <f aca="false">E300*COSH(M300)</f>
        <v>596.014549446638</v>
      </c>
      <c r="Q300" s="15" t="n">
        <f aca="false">E300*COSH(N300)</f>
        <v>607.122341851956</v>
      </c>
    </row>
    <row r="301" customFormat="false" ht="21" hidden="false" customHeight="true" outlineLevel="0" collapsed="false">
      <c r="A301" s="1" t="s">
        <v>373</v>
      </c>
      <c r="B301" s="1" t="s">
        <v>319</v>
      </c>
      <c r="C301" s="15" t="n">
        <v>57.8548116044641</v>
      </c>
      <c r="D301" s="15" t="n">
        <v>-0.182251600328618</v>
      </c>
      <c r="E301" s="15" t="n">
        <v>2204.99999999924</v>
      </c>
      <c r="F301" s="15" t="n">
        <v>1.32389775</v>
      </c>
      <c r="G301" s="15" t="n">
        <v>0</v>
      </c>
      <c r="H301" s="15" t="n">
        <f aca="false">SQRT(F301^2+G301^2)</f>
        <v>1.32389775</v>
      </c>
      <c r="I301" s="15" t="n">
        <f aca="false">D301*F301/H301</f>
        <v>-0.182251600328618</v>
      </c>
      <c r="J301" s="15" t="n">
        <f aca="false">SQRT(C301^2+D301^2-I301^2)</f>
        <v>57.8548116044641</v>
      </c>
      <c r="K301" s="15" t="n">
        <f aca="false">E301/H301</f>
        <v>1665.53648119671</v>
      </c>
      <c r="L301" s="15" t="n">
        <f aca="false">J301/2-K301*ASINH(I301/(2*K301*SINH(J301/(2*K301))))</f>
        <v>34.1738307441434</v>
      </c>
      <c r="M301" s="15" t="n">
        <f aca="false">-L301/K301</f>
        <v>-0.0205182120775818</v>
      </c>
      <c r="N301" s="15" t="n">
        <f aca="false">(J301-L301)/K301</f>
        <v>0.0142182300584047</v>
      </c>
      <c r="O301" s="15" t="n">
        <f aca="false">K301*(SINH(N301)-SINH(M301))</f>
        <v>57.8580073934091</v>
      </c>
      <c r="P301" s="15" t="n">
        <f aca="false">E301*COSH(M301)</f>
        <v>2205.46416550537</v>
      </c>
      <c r="Q301" s="15" t="n">
        <f aca="false">E301*COSH(N301)</f>
        <v>2205.22288302176</v>
      </c>
    </row>
    <row r="302" customFormat="false" ht="21" hidden="false" customHeight="true" outlineLevel="0" collapsed="false">
      <c r="A302" s="1" t="s">
        <v>373</v>
      </c>
      <c r="B302" s="1" t="s">
        <v>320</v>
      </c>
      <c r="C302" s="15" t="n">
        <v>57.8548116044641</v>
      </c>
      <c r="D302" s="15" t="n">
        <v>-0.182251600328618</v>
      </c>
      <c r="E302" s="15" t="n">
        <v>3292.65117796296</v>
      </c>
      <c r="F302" s="15" t="n">
        <v>1.32389775</v>
      </c>
      <c r="G302" s="15" t="n">
        <v>3.443895</v>
      </c>
      <c r="H302" s="15" t="n">
        <f aca="false">SQRT(F302^2+G302^2)</f>
        <v>3.68959591601574</v>
      </c>
      <c r="I302" s="15" t="n">
        <f aca="false">D302*F302/H302</f>
        <v>-0.0653953682465879</v>
      </c>
      <c r="J302" s="15" t="n">
        <f aca="false">SQRT(C302^2+D302^2-I302^2)</f>
        <v>57.8550617049163</v>
      </c>
      <c r="K302" s="15" t="n">
        <f aca="false">E302/H302</f>
        <v>892.415118867155</v>
      </c>
      <c r="L302" s="15" t="n">
        <f aca="false">J302/2-K302*ASINH(I302/(2*K302*SINH(J302/(2*K302))))</f>
        <v>29.9360784613315</v>
      </c>
      <c r="M302" s="15" t="n">
        <f aca="false">-L302/K302</f>
        <v>-0.0335450149021824</v>
      </c>
      <c r="N302" s="15" t="n">
        <f aca="false">(J302-L302)/K302</f>
        <v>0.0312847492756796</v>
      </c>
      <c r="O302" s="15" t="n">
        <f aca="false">K302*(SINH(N302)-SINH(M302))</f>
        <v>57.8652308125052</v>
      </c>
      <c r="P302" s="15" t="n">
        <f aca="false">E302*COSH(M302)</f>
        <v>3294.50390923179</v>
      </c>
      <c r="Q302" s="15" t="n">
        <f aca="false">E302*COSH(N302)</f>
        <v>3294.26262674819</v>
      </c>
    </row>
    <row r="303" customFormat="false" ht="21" hidden="false" customHeight="true" outlineLevel="0" collapsed="false">
      <c r="A303" s="1" t="s">
        <v>373</v>
      </c>
      <c r="B303" s="1" t="s">
        <v>321</v>
      </c>
      <c r="C303" s="15" t="n">
        <v>57.8548116044641</v>
      </c>
      <c r="D303" s="15" t="n">
        <v>-0.182251600328618</v>
      </c>
      <c r="E303" s="15" t="n">
        <v>3599.05384936422</v>
      </c>
      <c r="F303" s="15" t="n">
        <v>3.85543216183014</v>
      </c>
      <c r="G303" s="15" t="n">
        <v>0</v>
      </c>
      <c r="H303" s="15" t="n">
        <f aca="false">SQRT(F303^2+G303^2)</f>
        <v>3.85543216183014</v>
      </c>
      <c r="I303" s="15" t="n">
        <f aca="false">D303*F303/H303</f>
        <v>-0.182251600328618</v>
      </c>
      <c r="J303" s="15" t="n">
        <f aca="false">SQRT(C303^2+D303^2-I303^2)</f>
        <v>57.8548116044641</v>
      </c>
      <c r="K303" s="15" t="n">
        <f aca="false">E303/H303</f>
        <v>933.502055877385</v>
      </c>
      <c r="L303" s="15" t="n">
        <f aca="false">J303/2-K303*ASINH(I303/(2*K303*SINH(J303/(2*K303))))</f>
        <v>31.8676061446726</v>
      </c>
      <c r="M303" s="15" t="n">
        <f aca="false">-L303/K303</f>
        <v>-0.0341376925139395</v>
      </c>
      <c r="N303" s="15" t="n">
        <f aca="false">(J303-L303)/K303</f>
        <v>0.0278384019576331</v>
      </c>
      <c r="O303" s="15" t="n">
        <f aca="false">K303*(SINH(N303)-SINH(M303))</f>
        <v>57.8643583306934</v>
      </c>
      <c r="P303" s="15" t="n">
        <f aca="false">E303*COSH(M303)</f>
        <v>3601.15118941273</v>
      </c>
      <c r="Q303" s="15" t="n">
        <f aca="false">E303*COSH(N303)</f>
        <v>3600.44853073127</v>
      </c>
    </row>
    <row r="304" customFormat="false" ht="21" hidden="false" customHeight="true" outlineLevel="0" collapsed="false">
      <c r="A304" s="1" t="s">
        <v>373</v>
      </c>
      <c r="B304" s="1" t="s">
        <v>322</v>
      </c>
      <c r="C304" s="15" t="n">
        <v>57.8548116044641</v>
      </c>
      <c r="D304" s="15" t="n">
        <v>-0.182251600328618</v>
      </c>
      <c r="E304" s="15" t="n">
        <v>3388.65140604257</v>
      </c>
      <c r="F304" s="15" t="n">
        <v>2.33651151473205</v>
      </c>
      <c r="G304" s="15" t="n">
        <v>1.43495625</v>
      </c>
      <c r="H304" s="15" t="n">
        <f aca="false">SQRT(F304^2+G304^2)</f>
        <v>2.74196745018783</v>
      </c>
      <c r="I304" s="15" t="n">
        <f aca="false">D304*F304/H304</f>
        <v>-0.155301975855691</v>
      </c>
      <c r="J304" s="15" t="n">
        <f aca="false">SQRT(C304^2+D304^2-I304^2)</f>
        <v>57.8548902231277</v>
      </c>
      <c r="K304" s="15" t="n">
        <f aca="false">E304/H304</f>
        <v>1235.8466931511</v>
      </c>
      <c r="L304" s="15" t="n">
        <f aca="false">J304/2-K304*ASINH(I304/(2*K304*SINH(J304/(2*K304))))</f>
        <v>32.2445662280323</v>
      </c>
      <c r="M304" s="15" t="n">
        <f aca="false">-L304/K304</f>
        <v>-0.0260910729516271</v>
      </c>
      <c r="N304" s="15" t="n">
        <f aca="false">(J304-L304)/K304</f>
        <v>0.0207228972145368</v>
      </c>
      <c r="O304" s="15" t="n">
        <f aca="false">K304*(SINH(N304)-SINH(M304))</f>
        <v>57.8603817797009</v>
      </c>
      <c r="P304" s="15" t="n">
        <f aca="false">E304*COSH(M304)</f>
        <v>3389.80487368011</v>
      </c>
      <c r="Q304" s="15" t="n">
        <f aca="false">E304*COSH(N304)</f>
        <v>3389.37904071737</v>
      </c>
    </row>
    <row r="305" customFormat="false" ht="21" hidden="false" customHeight="true" outlineLevel="0" collapsed="false">
      <c r="A305" s="1" t="s">
        <v>373</v>
      </c>
      <c r="B305" s="1" t="s">
        <v>323</v>
      </c>
      <c r="C305" s="15" t="n">
        <v>57.8548116044641</v>
      </c>
      <c r="D305" s="15" t="n">
        <v>-0.182251600328618</v>
      </c>
      <c r="E305" s="15" t="n">
        <v>3522.05120747941</v>
      </c>
      <c r="F305" s="15" t="n">
        <v>1.32389775</v>
      </c>
      <c r="G305" s="15" t="n">
        <v>0</v>
      </c>
      <c r="H305" s="15" t="n">
        <f aca="false">SQRT(F305^2+G305^2)</f>
        <v>1.32389775</v>
      </c>
      <c r="I305" s="15" t="n">
        <f aca="false">D305*F305/H305</f>
        <v>-0.182251600328618</v>
      </c>
      <c r="J305" s="15" t="n">
        <f aca="false">SQRT(C305^2+D305^2-I305^2)</f>
        <v>57.8548116044641</v>
      </c>
      <c r="K305" s="15" t="n">
        <f aca="false">E305/H305</f>
        <v>2660.36497718907</v>
      </c>
      <c r="L305" s="15" t="n">
        <f aca="false">J305/2-K305*ASINH(I305/(2*K305*SINH(J305/(2*K305))))</f>
        <v>37.3077877462943</v>
      </c>
      <c r="M305" s="15" t="n">
        <f aca="false">-L305/K305</f>
        <v>-0.0140235599499259</v>
      </c>
      <c r="N305" s="15" t="n">
        <f aca="false">(J305-L305)/K305</f>
        <v>0.00772338533785679</v>
      </c>
      <c r="O305" s="15" t="n">
        <f aca="false">K305*(SINH(N305)-SINH(M305))</f>
        <v>57.856238717468</v>
      </c>
      <c r="P305" s="15" t="n">
        <f aca="false">E305*COSH(M305)</f>
        <v>3522.39753686186</v>
      </c>
      <c r="Q305" s="15" t="n">
        <f aca="false">E305*COSH(N305)</f>
        <v>3522.15625437825</v>
      </c>
    </row>
    <row r="306" customFormat="false" ht="21" hidden="false" customHeight="true" outlineLevel="0" collapsed="false">
      <c r="A306" s="1" t="s">
        <v>373</v>
      </c>
      <c r="B306" s="1" t="s">
        <v>324</v>
      </c>
      <c r="C306" s="15" t="n">
        <v>57.8548116044641</v>
      </c>
      <c r="D306" s="15" t="n">
        <v>-0.182251600328618</v>
      </c>
      <c r="E306" s="15" t="n">
        <v>450.879360487886</v>
      </c>
      <c r="F306" s="15" t="n">
        <v>1.32389775</v>
      </c>
      <c r="G306" s="15" t="n">
        <v>0</v>
      </c>
      <c r="H306" s="15" t="n">
        <f aca="false">SQRT(F306^2+G306^2)</f>
        <v>1.32389775</v>
      </c>
      <c r="I306" s="15" t="n">
        <f aca="false">D306*F306/H306</f>
        <v>-0.182251600328618</v>
      </c>
      <c r="J306" s="15" t="n">
        <f aca="false">SQRT(C306^2+D306^2-I306^2)</f>
        <v>57.8548116044641</v>
      </c>
      <c r="K306" s="15" t="n">
        <f aca="false">E306/H306</f>
        <v>340.569625175272</v>
      </c>
      <c r="L306" s="15" t="n">
        <f aca="false">J306/2-K306*ASINH(I306/(2*K306*SINH(J306/(2*K306))))</f>
        <v>29.998962075363</v>
      </c>
      <c r="M306" s="15" t="n">
        <f aca="false">-L306/K306</f>
        <v>-0.0880846671511715</v>
      </c>
      <c r="N306" s="15" t="n">
        <f aca="false">(J306-L306)/K306</f>
        <v>0.0817919375950372</v>
      </c>
      <c r="O306" s="15" t="n">
        <f aca="false">K306*(SINH(N306)-SINH(M306))</f>
        <v>57.924689154082</v>
      </c>
      <c r="P306" s="15" t="n">
        <f aca="false">E306*COSH(M306)</f>
        <v>452.629657619529</v>
      </c>
      <c r="Q306" s="15" t="n">
        <f aca="false">E306*COSH(N306)</f>
        <v>452.38837513592</v>
      </c>
    </row>
    <row r="307" customFormat="false" ht="21" hidden="false" customHeight="true" outlineLevel="0" collapsed="false">
      <c r="A307" s="1" t="s">
        <v>374</v>
      </c>
      <c r="B307" s="1" t="s">
        <v>319</v>
      </c>
      <c r="C307" s="15" t="n">
        <v>57.8548116060001</v>
      </c>
      <c r="D307" s="15" t="n">
        <v>3.13257216273305</v>
      </c>
      <c r="E307" s="15" t="n">
        <v>2204.99999999947</v>
      </c>
      <c r="F307" s="15" t="n">
        <v>1.32389775</v>
      </c>
      <c r="G307" s="15" t="n">
        <v>0</v>
      </c>
      <c r="H307" s="15" t="n">
        <f aca="false">SQRT(F307^2+G307^2)</f>
        <v>1.32389775</v>
      </c>
      <c r="I307" s="15" t="n">
        <f aca="false">D307*F307/H307</f>
        <v>3.13257216273305</v>
      </c>
      <c r="J307" s="15" t="n">
        <f aca="false">SQRT(C307^2+D307^2-I307^2)</f>
        <v>57.8548116060001</v>
      </c>
      <c r="K307" s="15" t="n">
        <f aca="false">E307/H307</f>
        <v>1665.53648119688</v>
      </c>
      <c r="L307" s="15" t="n">
        <f aca="false">J307/2-K307*ASINH(I307/(2*K307*SINH(J307/(2*K307))))</f>
        <v>-61.2052067842416</v>
      </c>
      <c r="M307" s="15" t="n">
        <f aca="false">-L307/K307</f>
        <v>0.036748043333316</v>
      </c>
      <c r="N307" s="15" t="n">
        <f aca="false">(J307-L307)/K307</f>
        <v>0.0714844854702212</v>
      </c>
      <c r="O307" s="15" t="n">
        <f aca="false">K307*(SINH(N307)-SINH(M307))</f>
        <v>57.9424612216503</v>
      </c>
      <c r="P307" s="15" t="n">
        <f aca="false">E307*COSH(M307)</f>
        <v>2206.4890041575</v>
      </c>
      <c r="Q307" s="15" t="n">
        <f aca="false">E307*COSH(N307)</f>
        <v>2210.63620939546</v>
      </c>
    </row>
    <row r="308" customFormat="false" ht="21" hidden="false" customHeight="true" outlineLevel="0" collapsed="false">
      <c r="A308" s="1" t="s">
        <v>374</v>
      </c>
      <c r="B308" s="1" t="s">
        <v>320</v>
      </c>
      <c r="C308" s="15" t="n">
        <v>57.8548116060001</v>
      </c>
      <c r="D308" s="15" t="n">
        <v>3.13257216273305</v>
      </c>
      <c r="E308" s="15" t="n">
        <v>3295.82723897614</v>
      </c>
      <c r="F308" s="15" t="n">
        <v>1.32389775</v>
      </c>
      <c r="G308" s="15" t="n">
        <v>3.443895</v>
      </c>
      <c r="H308" s="15" t="n">
        <f aca="false">SQRT(F308^2+G308^2)</f>
        <v>3.68959591601574</v>
      </c>
      <c r="I308" s="15" t="n">
        <f aca="false">D308*F308/H308</f>
        <v>1.12402694830423</v>
      </c>
      <c r="J308" s="15" t="n">
        <f aca="false">SQRT(C308^2+D308^2-I308^2)</f>
        <v>57.9286526490991</v>
      </c>
      <c r="K308" s="15" t="n">
        <f aca="false">E308/H308</f>
        <v>893.275934274986</v>
      </c>
      <c r="L308" s="15" t="n">
        <f aca="false">J308/2-K308*ASINH(I308/(2*K308*SINH(J308/(2*K308))))</f>
        <v>11.6356418895115</v>
      </c>
      <c r="M308" s="15" t="n">
        <f aca="false">-L308/K308</f>
        <v>-0.0130258092074935</v>
      </c>
      <c r="N308" s="15" t="n">
        <f aca="false">(J308-L308)/K308</f>
        <v>0.0518238642543982</v>
      </c>
      <c r="O308" s="15" t="n">
        <f aca="false">K308*(SINH(N308)-SINH(M308))</f>
        <v>57.9497060972967</v>
      </c>
      <c r="P308" s="15" t="n">
        <f aca="false">E308*COSH(M308)</f>
        <v>3296.10684724392</v>
      </c>
      <c r="Q308" s="15" t="n">
        <f aca="false">E308*COSH(N308)</f>
        <v>3300.25405248188</v>
      </c>
    </row>
    <row r="309" customFormat="false" ht="21" hidden="false" customHeight="true" outlineLevel="0" collapsed="false">
      <c r="A309" s="1" t="s">
        <v>374</v>
      </c>
      <c r="B309" s="1" t="s">
        <v>321</v>
      </c>
      <c r="C309" s="15" t="n">
        <v>57.8548116060001</v>
      </c>
      <c r="D309" s="15" t="n">
        <v>3.13257216273305</v>
      </c>
      <c r="E309" s="15" t="n">
        <v>3596.68333275839</v>
      </c>
      <c r="F309" s="15" t="n">
        <v>3.85543216183014</v>
      </c>
      <c r="G309" s="15" t="n">
        <v>0</v>
      </c>
      <c r="H309" s="15" t="n">
        <f aca="false">SQRT(F309^2+G309^2)</f>
        <v>3.85543216183014</v>
      </c>
      <c r="I309" s="15" t="n">
        <f aca="false">D309*F309/H309</f>
        <v>3.13257216273305</v>
      </c>
      <c r="J309" s="15" t="n">
        <f aca="false">SQRT(C309^2+D309^2-I309^2)</f>
        <v>57.8548116060001</v>
      </c>
      <c r="K309" s="15" t="n">
        <f aca="false">E309/H309</f>
        <v>932.887204803281</v>
      </c>
      <c r="L309" s="15" t="n">
        <f aca="false">J309/2-K309*ASINH(I309/(2*K309*SINH(J309/(2*K309))))</f>
        <v>-21.5514185920733</v>
      </c>
      <c r="M309" s="15" t="n">
        <f aca="false">-L309/K309</f>
        <v>0.0231018481989126</v>
      </c>
      <c r="N309" s="15" t="n">
        <f aca="false">(J309-L309)/K309</f>
        <v>0.0851187901272778</v>
      </c>
      <c r="O309" s="15" t="n">
        <f aca="false">K309*(SINH(N309)-SINH(M309))</f>
        <v>57.948815095776</v>
      </c>
      <c r="P309" s="15" t="n">
        <f aca="false">E309*COSH(M309)</f>
        <v>3597.64314210176</v>
      </c>
      <c r="Q309" s="15" t="n">
        <f aca="false">E309*COSH(N309)</f>
        <v>3609.72056156722</v>
      </c>
    </row>
    <row r="310" customFormat="false" ht="21" hidden="false" customHeight="true" outlineLevel="0" collapsed="false">
      <c r="A310" s="1" t="s">
        <v>374</v>
      </c>
      <c r="B310" s="1" t="s">
        <v>322</v>
      </c>
      <c r="C310" s="15" t="n">
        <v>57.8548116060001</v>
      </c>
      <c r="D310" s="15" t="n">
        <v>3.13257216273305</v>
      </c>
      <c r="E310" s="15" t="n">
        <v>3388.40051996188</v>
      </c>
      <c r="F310" s="15" t="n">
        <v>2.33651151473205</v>
      </c>
      <c r="G310" s="15" t="n">
        <v>1.43495625</v>
      </c>
      <c r="H310" s="15" t="n">
        <f aca="false">SQRT(F310^2+G310^2)</f>
        <v>2.74196745018783</v>
      </c>
      <c r="I310" s="15" t="n">
        <f aca="false">D310*F310/H310</f>
        <v>2.6693573362636</v>
      </c>
      <c r="J310" s="15" t="n">
        <f aca="false">SQRT(C310^2+D310^2-I310^2)</f>
        <v>57.8780335337322</v>
      </c>
      <c r="K310" s="15" t="n">
        <f aca="false">E310/H310</f>
        <v>1235.75519458838</v>
      </c>
      <c r="L310" s="15" t="n">
        <f aca="false">J310/2-K310*ASINH(I310/(2*K310*SINH(J310/(2*K310))))</f>
        <v>-28.0291025596621</v>
      </c>
      <c r="M310" s="15" t="n">
        <f aca="false">-L310/K310</f>
        <v>0.0226817598521188</v>
      </c>
      <c r="N310" s="15" t="n">
        <f aca="false">(J310-L310)/K310</f>
        <v>0.0695179243183428</v>
      </c>
      <c r="O310" s="15" t="n">
        <f aca="false">K310*(SINH(N310)-SINH(M310))</f>
        <v>57.944841375966</v>
      </c>
      <c r="P310" s="15" t="n">
        <f aca="false">E310*COSH(M310)</f>
        <v>3389.27215937351</v>
      </c>
      <c r="Q310" s="15" t="n">
        <f aca="false">E310*COSH(N310)</f>
        <v>3396.59145030246</v>
      </c>
    </row>
    <row r="311" customFormat="false" ht="21" hidden="false" customHeight="true" outlineLevel="0" collapsed="false">
      <c r="A311" s="1" t="s">
        <v>374</v>
      </c>
      <c r="B311" s="1" t="s">
        <v>323</v>
      </c>
      <c r="C311" s="15" t="n">
        <v>57.8548116060001</v>
      </c>
      <c r="D311" s="15" t="n">
        <v>3.13257216273305</v>
      </c>
      <c r="E311" s="15" t="n">
        <v>3520.45718103924</v>
      </c>
      <c r="F311" s="15" t="n">
        <v>1.32389775</v>
      </c>
      <c r="G311" s="15" t="n">
        <v>0</v>
      </c>
      <c r="H311" s="15" t="n">
        <f aca="false">SQRT(F311^2+G311^2)</f>
        <v>1.32389775</v>
      </c>
      <c r="I311" s="15" t="n">
        <f aca="false">D311*F311/H311</f>
        <v>3.13257216273305</v>
      </c>
      <c r="J311" s="15" t="n">
        <f aca="false">SQRT(C311^2+D311^2-I311^2)</f>
        <v>57.8548116060001</v>
      </c>
      <c r="K311" s="15" t="n">
        <f aca="false">E311/H311</f>
        <v>2659.16093674095</v>
      </c>
      <c r="L311" s="15" t="n">
        <f aca="false">J311/2-K311*ASINH(I311/(2*K311*SINH(J311/(2*K311))))</f>
        <v>-114.980842892033</v>
      </c>
      <c r="M311" s="15" t="n">
        <f aca="false">-L311/K311</f>
        <v>0.0432395201446335</v>
      </c>
      <c r="N311" s="15" t="n">
        <f aca="false">(J311-L311)/K311</f>
        <v>0.0649963122239074</v>
      </c>
      <c r="O311" s="15" t="n">
        <f aca="false">K311*(SINH(N311)-SINH(M311))</f>
        <v>57.9406961548582</v>
      </c>
      <c r="P311" s="15" t="n">
        <f aca="false">E311*COSH(M311)</f>
        <v>3523.74871595361</v>
      </c>
      <c r="Q311" s="15" t="n">
        <f aca="false">E311*COSH(N311)</f>
        <v>3527.89592119156</v>
      </c>
    </row>
    <row r="312" customFormat="false" ht="21" hidden="false" customHeight="true" outlineLevel="0" collapsed="false">
      <c r="A312" s="1" t="s">
        <v>374</v>
      </c>
      <c r="B312" s="1" t="s">
        <v>324</v>
      </c>
      <c r="C312" s="15" t="n">
        <v>57.8548116060001</v>
      </c>
      <c r="D312" s="15" t="n">
        <v>3.13257216273305</v>
      </c>
      <c r="E312" s="15" t="n">
        <v>450.433837278679</v>
      </c>
      <c r="F312" s="15" t="n">
        <v>1.32389775</v>
      </c>
      <c r="G312" s="15" t="n">
        <v>0</v>
      </c>
      <c r="H312" s="15" t="n">
        <f aca="false">SQRT(F312^2+G312^2)</f>
        <v>1.32389775</v>
      </c>
      <c r="I312" s="15" t="n">
        <f aca="false">D312*F312/H312</f>
        <v>3.13257216273305</v>
      </c>
      <c r="J312" s="15" t="n">
        <f aca="false">SQRT(C312^2+D312^2-I312^2)</f>
        <v>57.8548116060001</v>
      </c>
      <c r="K312" s="15" t="n">
        <f aca="false">E312/H312</f>
        <v>340.233101294023</v>
      </c>
      <c r="L312" s="15" t="n">
        <f aca="false">J312/2-K312*ASINH(I312/(2*K312*SINH(J312/(2*K312))))</f>
        <v>10.5364803146666</v>
      </c>
      <c r="M312" s="15" t="n">
        <f aca="false">-L312/K312</f>
        <v>-0.0309684162845788</v>
      </c>
      <c r="N312" s="15" t="n">
        <f aca="false">(J312-L312)/K312</f>
        <v>0.139076213076757</v>
      </c>
      <c r="O312" s="15" t="n">
        <f aca="false">K312*(SINH(N312)-SINH(M312))</f>
        <v>58.0091834833395</v>
      </c>
      <c r="P312" s="15" t="n">
        <f aca="false">E312*COSH(M312)</f>
        <v>450.64984720729</v>
      </c>
      <c r="Q312" s="15" t="n">
        <f aca="false">E312*COSH(N312)</f>
        <v>454.797052445245</v>
      </c>
    </row>
    <row r="313" customFormat="false" ht="21" hidden="false" customHeight="true" outlineLevel="0" collapsed="false">
      <c r="A313" s="1" t="s">
        <v>375</v>
      </c>
      <c r="B313" s="1" t="s">
        <v>319</v>
      </c>
      <c r="C313" s="15" t="n">
        <v>82.715246473159</v>
      </c>
      <c r="D313" s="15" t="n">
        <v>21.5266530307548</v>
      </c>
      <c r="E313" s="15" t="n">
        <v>2204.99999999906</v>
      </c>
      <c r="F313" s="15" t="n">
        <v>1.32389775</v>
      </c>
      <c r="G313" s="15" t="n">
        <v>0</v>
      </c>
      <c r="H313" s="15" t="n">
        <f aca="false">SQRT(F313^2+G313^2)</f>
        <v>1.32389775</v>
      </c>
      <c r="I313" s="15" t="n">
        <f aca="false">D313*F313/H313</f>
        <v>21.5266530307548</v>
      </c>
      <c r="J313" s="15" t="n">
        <f aca="false">SQRT(C313^2+D313^2-I313^2)</f>
        <v>82.715246473159</v>
      </c>
      <c r="K313" s="15" t="n">
        <f aca="false">E313/H313</f>
        <v>1665.53648119657</v>
      </c>
      <c r="L313" s="15" t="n">
        <f aca="false">J313/2-K313*ASINH(I313/(2*K313*SINH(J313/(2*K313))))</f>
        <v>-387.305721914404</v>
      </c>
      <c r="M313" s="15" t="n">
        <f aca="false">-L313/K313</f>
        <v>0.232541121906949</v>
      </c>
      <c r="N313" s="15" t="n">
        <f aca="false">(J313-L313)/K313</f>
        <v>0.282203946712644</v>
      </c>
      <c r="O313" s="15" t="n">
        <f aca="false">K313*(SINH(N313)-SINH(M313))</f>
        <v>85.4787407703107</v>
      </c>
      <c r="P313" s="15" t="n">
        <f aca="false">E313*COSH(M313)</f>
        <v>2264.88723978581</v>
      </c>
      <c r="Q313" s="15" t="n">
        <f aca="false">E313*COSH(N313)</f>
        <v>2293.38632729826</v>
      </c>
    </row>
    <row r="314" customFormat="false" ht="21" hidden="false" customHeight="true" outlineLevel="0" collapsed="false">
      <c r="A314" s="1" t="s">
        <v>375</v>
      </c>
      <c r="B314" s="1" t="s">
        <v>320</v>
      </c>
      <c r="C314" s="15" t="n">
        <v>82.715246473159</v>
      </c>
      <c r="D314" s="15" t="n">
        <v>21.5266530307548</v>
      </c>
      <c r="E314" s="15" t="n">
        <v>3624.25151097421</v>
      </c>
      <c r="F314" s="15" t="n">
        <v>1.32389775</v>
      </c>
      <c r="G314" s="15" t="n">
        <v>3.443895</v>
      </c>
      <c r="H314" s="15" t="n">
        <f aca="false">SQRT(F314^2+G314^2)</f>
        <v>3.68959591601574</v>
      </c>
      <c r="I314" s="15" t="n">
        <f aca="false">D314*F314/H314</f>
        <v>7.72417580709545</v>
      </c>
      <c r="J314" s="15" t="n">
        <f aca="false">SQRT(C314^2+D314^2-I314^2)</f>
        <v>85.1207724232048</v>
      </c>
      <c r="K314" s="15" t="n">
        <f aca="false">E314/H314</f>
        <v>982.289549715217</v>
      </c>
      <c r="L314" s="15" t="n">
        <f aca="false">J314/2-K314*ASINH(I314/(2*K314*SINH(J314/(2*K314))))</f>
        <v>-46.4265753101102</v>
      </c>
      <c r="M314" s="15" t="n">
        <f aca="false">-L314/K314</f>
        <v>0.0472636355782978</v>
      </c>
      <c r="N314" s="15" t="n">
        <f aca="false">(J314-L314)/K314</f>
        <v>0.133919115571832</v>
      </c>
      <c r="O314" s="15" t="n">
        <f aca="false">K314*(SINH(N314)-SINH(M314))</f>
        <v>85.4970404703487</v>
      </c>
      <c r="P314" s="15" t="n">
        <f aca="false">E314*COSH(M314)</f>
        <v>3628.30028396699</v>
      </c>
      <c r="Q314" s="15" t="n">
        <f aca="false">E314*COSH(N314)</f>
        <v>3656.79937147943</v>
      </c>
    </row>
    <row r="315" customFormat="false" ht="21" hidden="false" customHeight="true" outlineLevel="0" collapsed="false">
      <c r="A315" s="1" t="s">
        <v>375</v>
      </c>
      <c r="B315" s="1" t="s">
        <v>321</v>
      </c>
      <c r="C315" s="15" t="n">
        <v>82.715246473159</v>
      </c>
      <c r="D315" s="15" t="n">
        <v>21.5266530307548</v>
      </c>
      <c r="E315" s="15" t="n">
        <v>3770.52569678696</v>
      </c>
      <c r="F315" s="15" t="n">
        <v>3.85543216183014</v>
      </c>
      <c r="G315" s="15" t="n">
        <v>0</v>
      </c>
      <c r="H315" s="15" t="n">
        <f aca="false">SQRT(F315^2+G315^2)</f>
        <v>3.85543216183014</v>
      </c>
      <c r="I315" s="15" t="n">
        <f aca="false">D315*F315/H315</f>
        <v>21.5266530307548</v>
      </c>
      <c r="J315" s="15" t="n">
        <f aca="false">SQRT(C315^2+D315^2-I315^2)</f>
        <v>82.715246473159</v>
      </c>
      <c r="K315" s="15" t="n">
        <f aca="false">E315/H315</f>
        <v>977.977445464151</v>
      </c>
      <c r="L315" s="15" t="n">
        <f aca="false">J315/2-K315*ASINH(I315/(2*K315*SINH(J315/(2*K315))))</f>
        <v>-210.298820018968</v>
      </c>
      <c r="M315" s="15" t="n">
        <f aca="false">-L315/K315</f>
        <v>0.215034427423998</v>
      </c>
      <c r="N315" s="15" t="n">
        <f aca="false">(J315-L315)/K315</f>
        <v>0.299612294589331</v>
      </c>
      <c r="O315" s="15" t="n">
        <f aca="false">K315*(SINH(N315)-SINH(M315))</f>
        <v>85.4943757771517</v>
      </c>
      <c r="P315" s="15" t="n">
        <f aca="false">E315*COSH(M315)</f>
        <v>3858.03631118429</v>
      </c>
      <c r="Q315" s="15" t="n">
        <f aca="false">E315*COSH(N315)</f>
        <v>3941.03086161562</v>
      </c>
    </row>
    <row r="316" customFormat="false" ht="21" hidden="false" customHeight="true" outlineLevel="0" collapsed="false">
      <c r="A316" s="1" t="s">
        <v>375</v>
      </c>
      <c r="B316" s="1" t="s">
        <v>322</v>
      </c>
      <c r="C316" s="15" t="n">
        <v>82.715246473159</v>
      </c>
      <c r="D316" s="15" t="n">
        <v>21.5266530307548</v>
      </c>
      <c r="E316" s="15" t="n">
        <v>3483.85406526652</v>
      </c>
      <c r="F316" s="15" t="n">
        <v>2.33651151473205</v>
      </c>
      <c r="G316" s="15" t="n">
        <v>1.43495625</v>
      </c>
      <c r="H316" s="15" t="n">
        <f aca="false">SQRT(F316^2+G316^2)</f>
        <v>2.74196745018783</v>
      </c>
      <c r="I316" s="15" t="n">
        <f aca="false">D316*F316/H316</f>
        <v>18.3434973586411</v>
      </c>
      <c r="J316" s="15" t="n">
        <f aca="false">SQRT(C316^2+D316^2-I316^2)</f>
        <v>83.4788889149555</v>
      </c>
      <c r="K316" s="15" t="n">
        <f aca="false">E316/H316</f>
        <v>1270.56725820282</v>
      </c>
      <c r="L316" s="15" t="n">
        <f aca="false">J316/2-K316*ASINH(I316/(2*K316*SINH(J316/(2*K316))))</f>
        <v>-235.204293081919</v>
      </c>
      <c r="M316" s="15" t="n">
        <f aca="false">-L316/K316</f>
        <v>0.185117546169582</v>
      </c>
      <c r="N316" s="15" t="n">
        <f aca="false">(J316-L316)/K316</f>
        <v>0.250819608280827</v>
      </c>
      <c r="O316" s="15" t="n">
        <f aca="false">K316*(SINH(N316)-SINH(M316))</f>
        <v>85.4851800637631</v>
      </c>
      <c r="P316" s="15" t="n">
        <f aca="false">E316*COSH(M316)</f>
        <v>3543.7179634048</v>
      </c>
      <c r="Q316" s="15" t="n">
        <f aca="false">E316*COSH(N316)</f>
        <v>3594.0152360848</v>
      </c>
    </row>
    <row r="317" customFormat="false" ht="21" hidden="false" customHeight="true" outlineLevel="0" collapsed="false">
      <c r="A317" s="1" t="s">
        <v>375</v>
      </c>
      <c r="B317" s="1" t="s">
        <v>323</v>
      </c>
      <c r="C317" s="15" t="n">
        <v>82.715246473159</v>
      </c>
      <c r="D317" s="15" t="n">
        <v>21.5266530307548</v>
      </c>
      <c r="E317" s="15" t="n">
        <v>3404.54710335153</v>
      </c>
      <c r="F317" s="15" t="n">
        <v>1.32389775</v>
      </c>
      <c r="G317" s="15" t="n">
        <v>0</v>
      </c>
      <c r="H317" s="15" t="n">
        <f aca="false">SQRT(F317^2+G317^2)</f>
        <v>1.32389775</v>
      </c>
      <c r="I317" s="15" t="n">
        <f aca="false">D317*F317/H317</f>
        <v>21.5266530307548</v>
      </c>
      <c r="J317" s="15" t="n">
        <f aca="false">SQRT(C317^2+D317^2-I317^2)</f>
        <v>82.715246473159</v>
      </c>
      <c r="K317" s="15" t="n">
        <f aca="false">E317/H317</f>
        <v>2571.60879935896</v>
      </c>
      <c r="L317" s="15" t="n">
        <f aca="false">J317/2-K317*ASINH(I317/(2*K317*SINH(J317/(2*K317))))</f>
        <v>-620.542487473785</v>
      </c>
      <c r="M317" s="15" t="n">
        <f aca="false">-L317/K317</f>
        <v>0.241305165711235</v>
      </c>
      <c r="N317" s="15" t="n">
        <f aca="false">(J317-L317)/K317</f>
        <v>0.273469951620265</v>
      </c>
      <c r="O317" s="15" t="n">
        <f aca="false">K317*(SINH(N317)-SINH(M317))</f>
        <v>85.4739648855294</v>
      </c>
      <c r="P317" s="15" t="n">
        <f aca="false">E317*COSH(M317)</f>
        <v>3504.14929995764</v>
      </c>
      <c r="Q317" s="15" t="n">
        <f aca="false">E317*COSH(N317)</f>
        <v>3532.64838747009</v>
      </c>
    </row>
    <row r="318" customFormat="false" ht="21" hidden="false" customHeight="true" outlineLevel="0" collapsed="false">
      <c r="A318" s="1" t="s">
        <v>375</v>
      </c>
      <c r="B318" s="1" t="s">
        <v>324</v>
      </c>
      <c r="C318" s="15" t="n">
        <v>82.715246473159</v>
      </c>
      <c r="D318" s="15" t="n">
        <v>21.5266530307548</v>
      </c>
      <c r="E318" s="15" t="n">
        <v>604.395228787946</v>
      </c>
      <c r="F318" s="15" t="n">
        <v>1.32389775</v>
      </c>
      <c r="G318" s="15" t="n">
        <v>0</v>
      </c>
      <c r="H318" s="15" t="n">
        <f aca="false">SQRT(F318^2+G318^2)</f>
        <v>1.32389775</v>
      </c>
      <c r="I318" s="15" t="n">
        <f aca="false">D318*F318/H318</f>
        <v>21.5266530307548</v>
      </c>
      <c r="J318" s="15" t="n">
        <f aca="false">SQRT(C318^2+D318^2-I318^2)</f>
        <v>82.715246473159</v>
      </c>
      <c r="K318" s="15" t="n">
        <f aca="false">E318/H318</f>
        <v>456.527121364128</v>
      </c>
      <c r="L318" s="15" t="n">
        <f aca="false">J318/2-K318*ASINH(I318/(2*K318*SINH(J318/(2*K318))))</f>
        <v>-75.9946052604471</v>
      </c>
      <c r="M318" s="15" t="n">
        <f aca="false">-L318/K318</f>
        <v>0.166462410893292</v>
      </c>
      <c r="N318" s="15" t="n">
        <f aca="false">(J318-L318)/K318</f>
        <v>0.34764605278953</v>
      </c>
      <c r="O318" s="15" t="n">
        <f aca="false">K318*(SINH(N318)-SINH(M318))</f>
        <v>85.5800556284317</v>
      </c>
      <c r="P318" s="15" t="n">
        <f aca="false">E318*COSH(M318)</f>
        <v>612.788398590265</v>
      </c>
      <c r="Q318" s="15" t="n">
        <f aca="false">E318*COSH(N318)</f>
        <v>641.287486102712</v>
      </c>
    </row>
    <row r="319" customFormat="false" ht="21" hidden="false" customHeight="true" outlineLevel="0" collapsed="false">
      <c r="A319" s="1" t="s">
        <v>376</v>
      </c>
      <c r="B319" s="1" t="s">
        <v>319</v>
      </c>
      <c r="C319" s="15" t="n">
        <v>48.0005518821749</v>
      </c>
      <c r="D319" s="15" t="n">
        <v>1.89355230791389</v>
      </c>
      <c r="E319" s="15" t="n">
        <v>2204.99999999931</v>
      </c>
      <c r="F319" s="15" t="n">
        <v>1.32389775</v>
      </c>
      <c r="G319" s="15" t="n">
        <v>0</v>
      </c>
      <c r="H319" s="15" t="n">
        <f aca="false">SQRT(F319^2+G319^2)</f>
        <v>1.32389775</v>
      </c>
      <c r="I319" s="15" t="n">
        <f aca="false">D319*F319/H319</f>
        <v>1.89355230791389</v>
      </c>
      <c r="J319" s="15" t="n">
        <f aca="false">SQRT(C319^2+D319^2-I319^2)</f>
        <v>48.0005518821749</v>
      </c>
      <c r="K319" s="15" t="n">
        <f aca="false">E319/H319</f>
        <v>1665.53648119676</v>
      </c>
      <c r="L319" s="15" t="n">
        <f aca="false">J319/2-K319*ASINH(I319/(2*K319*SINH(J319/(2*K319))))</f>
        <v>-41.6834268392527</v>
      </c>
      <c r="M319" s="15" t="n">
        <f aca="false">-L319/K319</f>
        <v>0.0250270272130583</v>
      </c>
      <c r="N319" s="15" t="n">
        <f aca="false">(J319-L319)/K319</f>
        <v>0.05384690142421</v>
      </c>
      <c r="O319" s="15" t="n">
        <f aca="false">K319*(SINH(N319)-SINH(M319))</f>
        <v>48.0395462277417</v>
      </c>
      <c r="P319" s="15" t="n">
        <f aca="false">E319*COSH(M319)</f>
        <v>2205.69058922465</v>
      </c>
      <c r="Q319" s="15" t="n">
        <f aca="false">E319*COSH(N319)</f>
        <v>2208.1974588646</v>
      </c>
    </row>
    <row r="320" customFormat="false" ht="21" hidden="false" customHeight="true" outlineLevel="0" collapsed="false">
      <c r="A320" s="1" t="s">
        <v>376</v>
      </c>
      <c r="B320" s="1" t="s">
        <v>320</v>
      </c>
      <c r="C320" s="15" t="n">
        <v>48.0005518821749</v>
      </c>
      <c r="D320" s="15" t="n">
        <v>1.89355230791389</v>
      </c>
      <c r="E320" s="15" t="n">
        <v>3197.76804301939</v>
      </c>
      <c r="F320" s="15" t="n">
        <v>1.32389775</v>
      </c>
      <c r="G320" s="15" t="n">
        <v>3.443895</v>
      </c>
      <c r="H320" s="15" t="n">
        <f aca="false">SQRT(F320^2+G320^2)</f>
        <v>3.68959591601574</v>
      </c>
      <c r="I320" s="15" t="n">
        <f aca="false">D320*F320/H320</f>
        <v>0.679442870443541</v>
      </c>
      <c r="J320" s="15" t="n">
        <f aca="false">SQRT(C320^2+D320^2-I320^2)</f>
        <v>48.0330810871213</v>
      </c>
      <c r="K320" s="15" t="n">
        <f aca="false">E320/H320</f>
        <v>866.698716013471</v>
      </c>
      <c r="L320" s="15" t="n">
        <f aca="false">J320/2-K320*ASINH(I320/(2*K320*SINH(J320/(2*K320))))</f>
        <v>11.7587951334178</v>
      </c>
      <c r="M320" s="15" t="n">
        <f aca="false">-L320/K320</f>
        <v>-0.0135673388181586</v>
      </c>
      <c r="N320" s="15" t="n">
        <f aca="false">(J320-L320)/K320</f>
        <v>0.041853397591903</v>
      </c>
      <c r="O320" s="15" t="n">
        <f aca="false">K320*(SINH(N320)-SINH(M320))</f>
        <v>48.0440330829701</v>
      </c>
      <c r="P320" s="15" t="n">
        <f aca="false">E320*COSH(M320)</f>
        <v>3198.06235840498</v>
      </c>
      <c r="Q320" s="15" t="n">
        <f aca="false">E320*COSH(N320)</f>
        <v>3200.56922804494</v>
      </c>
    </row>
    <row r="321" customFormat="false" ht="21" hidden="false" customHeight="true" outlineLevel="0" collapsed="false">
      <c r="A321" s="1" t="s">
        <v>376</v>
      </c>
      <c r="B321" s="1" t="s">
        <v>321</v>
      </c>
      <c r="C321" s="15" t="n">
        <v>48.0005518821749</v>
      </c>
      <c r="D321" s="15" t="n">
        <v>1.89355230791389</v>
      </c>
      <c r="E321" s="15" t="n">
        <v>3510.24339114353</v>
      </c>
      <c r="F321" s="15" t="n">
        <v>3.85543216183014</v>
      </c>
      <c r="G321" s="15" t="n">
        <v>0</v>
      </c>
      <c r="H321" s="15" t="n">
        <f aca="false">SQRT(F321^2+G321^2)</f>
        <v>3.85543216183014</v>
      </c>
      <c r="I321" s="15" t="n">
        <f aca="false">D321*F321/H321</f>
        <v>1.89355230791389</v>
      </c>
      <c r="J321" s="15" t="n">
        <f aca="false">SQRT(C321^2+D321^2-I321^2)</f>
        <v>48.0005518821749</v>
      </c>
      <c r="K321" s="15" t="n">
        <f aca="false">E321/H321</f>
        <v>910.466905862312</v>
      </c>
      <c r="L321" s="15" t="n">
        <f aca="false">J321/2-K321*ASINH(I321/(2*K321*SINH(J321/(2*K321))))</f>
        <v>-11.9028609363578</v>
      </c>
      <c r="M321" s="15" t="n">
        <f aca="false">-L321/K321</f>
        <v>0.0130733592398775</v>
      </c>
      <c r="N321" s="15" t="n">
        <f aca="false">(J321-L321)/K321</f>
        <v>0.065794168280941</v>
      </c>
      <c r="O321" s="15" t="n">
        <f aca="false">K321*(SINH(N321)-SINH(M321))</f>
        <v>48.0434412165318</v>
      </c>
      <c r="P321" s="15" t="n">
        <f aca="false">E321*COSH(M321)</f>
        <v>3510.54336804209</v>
      </c>
      <c r="Q321" s="15" t="n">
        <f aca="false">E321*COSH(N321)</f>
        <v>3517.84383051013</v>
      </c>
    </row>
    <row r="322" customFormat="false" ht="21" hidden="false" customHeight="true" outlineLevel="0" collapsed="false">
      <c r="A322" s="1" t="s">
        <v>376</v>
      </c>
      <c r="B322" s="1" t="s">
        <v>322</v>
      </c>
      <c r="C322" s="15" t="n">
        <v>48.0005518821749</v>
      </c>
      <c r="D322" s="15" t="n">
        <v>1.89355230791389</v>
      </c>
      <c r="E322" s="15" t="n">
        <v>3353.42368541317</v>
      </c>
      <c r="F322" s="15" t="n">
        <v>2.33651151473205</v>
      </c>
      <c r="G322" s="15" t="n">
        <v>1.43495625</v>
      </c>
      <c r="H322" s="15" t="n">
        <f aca="false">SQRT(F322^2+G322^2)</f>
        <v>2.74196745018783</v>
      </c>
      <c r="I322" s="15" t="n">
        <f aca="false">D322*F322/H322</f>
        <v>1.61355189350814</v>
      </c>
      <c r="J322" s="15" t="n">
        <f aca="false">SQRT(C322^2+D322^2-I322^2)</f>
        <v>48.0107797439609</v>
      </c>
      <c r="K322" s="15" t="n">
        <f aca="false">E322/H322</f>
        <v>1222.99908599698</v>
      </c>
      <c r="L322" s="15" t="n">
        <f aca="false">J322/2-K322*ASINH(I322/(2*K322*SINH(J322/(2*K322))))</f>
        <v>-17.0869349065308</v>
      </c>
      <c r="M322" s="15" t="n">
        <f aca="false">-L322/K322</f>
        <v>0.0139713390649035</v>
      </c>
      <c r="N322" s="15" t="n">
        <f aca="false">(J322-L322)/K322</f>
        <v>0.0532279340155228</v>
      </c>
      <c r="O322" s="15" t="n">
        <f aca="false">K322*(SINH(N322)-SINH(M322))</f>
        <v>48.0409674846889</v>
      </c>
      <c r="P322" s="15" t="n">
        <f aca="false">E322*COSH(M322)</f>
        <v>3353.75098206399</v>
      </c>
      <c r="Q322" s="15" t="n">
        <f aca="false">E322*COSH(N322)</f>
        <v>3358.17528883517</v>
      </c>
    </row>
    <row r="323" customFormat="false" ht="21" hidden="false" customHeight="true" outlineLevel="0" collapsed="false">
      <c r="A323" s="1" t="s">
        <v>376</v>
      </c>
      <c r="B323" s="1" t="s">
        <v>323</v>
      </c>
      <c r="C323" s="15" t="n">
        <v>48.0005518821749</v>
      </c>
      <c r="D323" s="15" t="n">
        <v>1.89355230791389</v>
      </c>
      <c r="E323" s="15" t="n">
        <v>3549.65889907457</v>
      </c>
      <c r="F323" s="15" t="n">
        <v>1.32389775</v>
      </c>
      <c r="G323" s="15" t="n">
        <v>0</v>
      </c>
      <c r="H323" s="15" t="n">
        <f aca="false">SQRT(F323^2+G323^2)</f>
        <v>1.32389775</v>
      </c>
      <c r="I323" s="15" t="n">
        <f aca="false">D323*F323/H323</f>
        <v>1.89355230791389</v>
      </c>
      <c r="J323" s="15" t="n">
        <f aca="false">SQRT(C323^2+D323^2-I323^2)</f>
        <v>48.0005518821749</v>
      </c>
      <c r="K323" s="15" t="n">
        <f aca="false">E323/H323</f>
        <v>2681.21831846498</v>
      </c>
      <c r="L323" s="15" t="n">
        <f aca="false">J323/2-K323*ASINH(I323/(2*K323*SINH(J323/(2*K323))))</f>
        <v>-81.7410813836533</v>
      </c>
      <c r="M323" s="15" t="n">
        <f aca="false">-L323/K323</f>
        <v>0.0304865444267332</v>
      </c>
      <c r="N323" s="15" t="n">
        <f aca="false">(J323-L323)/K323</f>
        <v>0.0483890596943655</v>
      </c>
      <c r="O323" s="15" t="n">
        <f aca="false">K323*(SINH(N323)-SINH(M323))</f>
        <v>48.0385268239857</v>
      </c>
      <c r="P323" s="15" t="n">
        <f aca="false">E323*COSH(M323)</f>
        <v>3551.30860549699</v>
      </c>
      <c r="Q323" s="15" t="n">
        <f aca="false">E323*COSH(N323)</f>
        <v>3553.81547513695</v>
      </c>
    </row>
    <row r="324" customFormat="false" ht="21" hidden="false" customHeight="true" outlineLevel="0" collapsed="false">
      <c r="A324" s="1" t="s">
        <v>376</v>
      </c>
      <c r="B324" s="1" t="s">
        <v>324</v>
      </c>
      <c r="C324" s="15" t="n">
        <v>48.0005518821749</v>
      </c>
      <c r="D324" s="15" t="n">
        <v>1.89355230791389</v>
      </c>
      <c r="E324" s="15" t="n">
        <v>380.056317730832</v>
      </c>
      <c r="F324" s="15" t="n">
        <v>1.32389775</v>
      </c>
      <c r="G324" s="15" t="n">
        <v>0</v>
      </c>
      <c r="H324" s="15" t="n">
        <f aca="false">SQRT(F324^2+G324^2)</f>
        <v>1.32389775</v>
      </c>
      <c r="I324" s="15" t="n">
        <f aca="false">D324*F324/H324</f>
        <v>1.89355230791389</v>
      </c>
      <c r="J324" s="15" t="n">
        <f aca="false">SQRT(C324^2+D324^2-I324^2)</f>
        <v>48.0005518821749</v>
      </c>
      <c r="K324" s="15" t="n">
        <f aca="false">E324/H324</f>
        <v>287.073769655423</v>
      </c>
      <c r="L324" s="15" t="n">
        <f aca="false">J324/2-K324*ASINH(I324/(2*K324*SINH(J324/(2*K324))))</f>
        <v>12.6917375894984</v>
      </c>
      <c r="M324" s="15" t="n">
        <f aca="false">-L324/K324</f>
        <v>-0.0442107183973389</v>
      </c>
      <c r="N324" s="15" t="n">
        <f aca="false">(J324-L324)/K324</f>
        <v>0.122995613061611</v>
      </c>
      <c r="O324" s="15" t="n">
        <f aca="false">K324*(SINH(N324)-SINH(M324))</f>
        <v>48.093778991957</v>
      </c>
      <c r="P324" s="15" t="n">
        <f aca="false">E324*COSH(M324)</f>
        <v>380.427804920607</v>
      </c>
      <c r="Q324" s="15" t="n">
        <f aca="false">E324*COSH(N324)</f>
        <v>382.934674560562</v>
      </c>
    </row>
    <row r="325" customFormat="false" ht="21" hidden="false" customHeight="true" outlineLevel="0" collapsed="false">
      <c r="A325" s="1" t="s">
        <v>377</v>
      </c>
      <c r="B325" s="1" t="s">
        <v>319</v>
      </c>
      <c r="C325" s="15" t="n">
        <v>48.0005518821975</v>
      </c>
      <c r="D325" s="15" t="n">
        <v>-1.29258545403864</v>
      </c>
      <c r="E325" s="15" t="n">
        <v>2205</v>
      </c>
      <c r="F325" s="15" t="n">
        <v>1.32389775</v>
      </c>
      <c r="G325" s="15" t="n">
        <v>0</v>
      </c>
      <c r="H325" s="15" t="n">
        <f aca="false">SQRT(F325^2+G325^2)</f>
        <v>1.32389775</v>
      </c>
      <c r="I325" s="15" t="n">
        <f aca="false">D325*F325/H325</f>
        <v>-1.29258545403864</v>
      </c>
      <c r="J325" s="15" t="n">
        <f aca="false">SQRT(C325^2+D325^2-I325^2)</f>
        <v>48.0005518821975</v>
      </c>
      <c r="K325" s="15" t="n">
        <f aca="false">E325/H325</f>
        <v>1665.53648119728</v>
      </c>
      <c r="L325" s="15" t="n">
        <f aca="false">J325/2-K325*ASINH(I325/(2*K325*SINH(J325/(2*K325))))</f>
        <v>68.8437946985755</v>
      </c>
      <c r="M325" s="15" t="n">
        <f aca="false">-L325/K325</f>
        <v>-0.0413343060784154</v>
      </c>
      <c r="N325" s="15" t="n">
        <f aca="false">(J325-L325)/K325</f>
        <v>-0.0125144318672592</v>
      </c>
      <c r="O325" s="15" t="n">
        <f aca="false">K325*(SINH(N325)-SINH(M325))</f>
        <v>48.0196130615678</v>
      </c>
      <c r="P325" s="15" t="n">
        <f aca="false">E325*COSH(M325)</f>
        <v>2206.88391686068</v>
      </c>
      <c r="Q325" s="15" t="n">
        <f aca="false">E325*COSH(N325)</f>
        <v>2205.1726658864</v>
      </c>
    </row>
    <row r="326" customFormat="false" ht="21" hidden="false" customHeight="true" outlineLevel="0" collapsed="false">
      <c r="A326" s="1" t="s">
        <v>377</v>
      </c>
      <c r="B326" s="1" t="s">
        <v>320</v>
      </c>
      <c r="C326" s="15" t="n">
        <v>48.0005518821975</v>
      </c>
      <c r="D326" s="15" t="n">
        <v>-1.29258545403864</v>
      </c>
      <c r="E326" s="15" t="n">
        <v>3196.90540080086</v>
      </c>
      <c r="F326" s="15" t="n">
        <v>1.32389775</v>
      </c>
      <c r="G326" s="15" t="n">
        <v>3.443895</v>
      </c>
      <c r="H326" s="15" t="n">
        <f aca="false">SQRT(F326^2+G326^2)</f>
        <v>3.68959591601574</v>
      </c>
      <c r="I326" s="15" t="n">
        <f aca="false">D326*F326/H326</f>
        <v>-0.463804441797082</v>
      </c>
      <c r="J326" s="15" t="n">
        <f aca="false">SQRT(C326^2+D326^2-I326^2)</f>
        <v>48.0157124657262</v>
      </c>
      <c r="K326" s="15" t="n">
        <f aca="false">E326/H326</f>
        <v>866.464912031091</v>
      </c>
      <c r="L326" s="15" t="n">
        <f aca="false">J326/2-K326*ASINH(I326/(2*K326*SINH(J326/(2*K326))))</f>
        <v>32.3762129900666</v>
      </c>
      <c r="M326" s="15" t="n">
        <f aca="false">-L326/K326</f>
        <v>-0.0373658673773334</v>
      </c>
      <c r="N326" s="15" t="n">
        <f aca="false">(J326-L326)/K326</f>
        <v>0.0180497781947094</v>
      </c>
      <c r="O326" s="15" t="n">
        <f aca="false">K326*(SINH(N326)-SINH(M326))</f>
        <v>48.0240962041679</v>
      </c>
      <c r="P326" s="15" t="n">
        <f aca="false">E326*COSH(M326)</f>
        <v>3199.1374330008</v>
      </c>
      <c r="Q326" s="15" t="n">
        <f aca="false">E326*COSH(N326)</f>
        <v>3197.42618202651</v>
      </c>
    </row>
    <row r="327" customFormat="false" ht="21" hidden="false" customHeight="true" outlineLevel="0" collapsed="false">
      <c r="A327" s="1" t="s">
        <v>377</v>
      </c>
      <c r="B327" s="1" t="s">
        <v>321</v>
      </c>
      <c r="C327" s="15" t="n">
        <v>48.0005518821975</v>
      </c>
      <c r="D327" s="15" t="n">
        <v>-1.29258545403864</v>
      </c>
      <c r="E327" s="15" t="n">
        <v>3510.86653226748</v>
      </c>
      <c r="F327" s="15" t="n">
        <v>3.85543216183014</v>
      </c>
      <c r="G327" s="15" t="n">
        <v>0</v>
      </c>
      <c r="H327" s="15" t="n">
        <f aca="false">SQRT(F327^2+G327^2)</f>
        <v>3.85543216183014</v>
      </c>
      <c r="I327" s="15" t="n">
        <f aca="false">D327*F327/H327</f>
        <v>-1.29258545403864</v>
      </c>
      <c r="J327" s="15" t="n">
        <f aca="false">SQRT(C327^2+D327^2-I327^2)</f>
        <v>48.0005518821975</v>
      </c>
      <c r="K327" s="15" t="n">
        <f aca="false">E327/H327</f>
        <v>910.628532652202</v>
      </c>
      <c r="L327" s="15" t="n">
        <f aca="false">J327/2-K327*ASINH(I327/(2*K327*SINH(J327/(2*K327))))</f>
        <v>48.516385210215</v>
      </c>
      <c r="M327" s="15" t="n">
        <f aca="false">-L327/K327</f>
        <v>-0.0532779102241736</v>
      </c>
      <c r="N327" s="15" t="n">
        <f aca="false">(J327-L327)/K327</f>
        <v>-0.00056645856078667</v>
      </c>
      <c r="O327" s="15" t="n">
        <f aca="false">K327*(SINH(N327)-SINH(M327))</f>
        <v>48.0235076944709</v>
      </c>
      <c r="P327" s="15" t="n">
        <f aca="false">E327*COSH(M327)</f>
        <v>3515.85057107409</v>
      </c>
      <c r="Q327" s="15" t="n">
        <f aca="false">E327*COSH(N327)</f>
        <v>3510.86709554268</v>
      </c>
    </row>
    <row r="328" customFormat="false" ht="21" hidden="false" customHeight="true" outlineLevel="0" collapsed="false">
      <c r="A328" s="1" t="s">
        <v>377</v>
      </c>
      <c r="B328" s="1" t="s">
        <v>322</v>
      </c>
      <c r="C328" s="15" t="n">
        <v>48.0005518821975</v>
      </c>
      <c r="D328" s="15" t="n">
        <v>-1.29258545403864</v>
      </c>
      <c r="E328" s="15" t="n">
        <v>3353.496452877</v>
      </c>
      <c r="F328" s="15" t="n">
        <v>2.33651151473205</v>
      </c>
      <c r="G328" s="15" t="n">
        <v>1.43495625</v>
      </c>
      <c r="H328" s="15" t="n">
        <f aca="false">SQRT(F328^2+G328^2)</f>
        <v>2.74196745018783</v>
      </c>
      <c r="I328" s="15" t="n">
        <f aca="false">D328*F328/H328</f>
        <v>-1.10145027320786</v>
      </c>
      <c r="J328" s="15" t="n">
        <f aca="false">SQRT(C328^2+D328^2-I328^2)</f>
        <v>48.0053180954692</v>
      </c>
      <c r="K328" s="15" t="n">
        <f aca="false">E328/H328</f>
        <v>1223.02562440969</v>
      </c>
      <c r="L328" s="15" t="n">
        <f aca="false">J328/2-K328*ASINH(I328/(2*K328*SINH(J328/(2*K328))))</f>
        <v>52.0599107158451</v>
      </c>
      <c r="M328" s="15" t="n">
        <f aca="false">-L328/K328</f>
        <v>-0.0425664922114553</v>
      </c>
      <c r="N328" s="15" t="n">
        <f aca="false">(J328-L328)/K328</f>
        <v>-0.00331521477510575</v>
      </c>
      <c r="O328" s="15" t="n">
        <f aca="false">K328*(SINH(N328)-SINH(M328))</f>
        <v>48.0210333723798</v>
      </c>
      <c r="P328" s="15" t="n">
        <f aca="false">E328*COSH(M328)</f>
        <v>3356.53502224224</v>
      </c>
      <c r="Q328" s="15" t="n">
        <f aca="false">E328*COSH(N328)</f>
        <v>3353.51488144511</v>
      </c>
    </row>
    <row r="329" customFormat="false" ht="21" hidden="false" customHeight="true" outlineLevel="0" collapsed="false">
      <c r="A329" s="1" t="s">
        <v>377</v>
      </c>
      <c r="B329" s="1" t="s">
        <v>323</v>
      </c>
      <c r="C329" s="15" t="n">
        <v>48.0005518821975</v>
      </c>
      <c r="D329" s="15" t="n">
        <v>-1.29258545403864</v>
      </c>
      <c r="E329" s="15" t="n">
        <v>3550.15212496231</v>
      </c>
      <c r="F329" s="15" t="n">
        <v>1.32389775</v>
      </c>
      <c r="G329" s="15" t="n">
        <v>0</v>
      </c>
      <c r="H329" s="15" t="n">
        <f aca="false">SQRT(F329^2+G329^2)</f>
        <v>1.32389775</v>
      </c>
      <c r="I329" s="15" t="n">
        <f aca="false">D329*F329/H329</f>
        <v>-1.29258545403864</v>
      </c>
      <c r="J329" s="15" t="n">
        <f aca="false">SQRT(C329^2+D329^2-I329^2)</f>
        <v>48.0005518821975</v>
      </c>
      <c r="K329" s="15" t="n">
        <f aca="false">E329/H329</f>
        <v>2681.59087434231</v>
      </c>
      <c r="L329" s="15" t="n">
        <f aca="false">J329/2-K329*ASINH(I329/(2*K329*SINH(J329/(2*K329))))</f>
        <v>96.2019524838151</v>
      </c>
      <c r="M329" s="15" t="n">
        <f aca="false">-L329/K329</f>
        <v>-0.0358749552007667</v>
      </c>
      <c r="N329" s="15" t="n">
        <f aca="false">(J329-L329)/K329</f>
        <v>-0.0179749271459762</v>
      </c>
      <c r="O329" s="15" t="n">
        <f aca="false">K329*(SINH(N329)-SINH(M329))</f>
        <v>48.0185930566074</v>
      </c>
      <c r="P329" s="15" t="n">
        <f aca="false">E329*COSH(M329)</f>
        <v>3552.4369149149</v>
      </c>
      <c r="Q329" s="15" t="n">
        <f aca="false">E329*COSH(N329)</f>
        <v>3550.72566394062</v>
      </c>
    </row>
    <row r="330" customFormat="false" ht="21" hidden="false" customHeight="true" outlineLevel="0" collapsed="false">
      <c r="A330" s="1" t="s">
        <v>377</v>
      </c>
      <c r="B330" s="1" t="s">
        <v>324</v>
      </c>
      <c r="C330" s="15" t="n">
        <v>48.0005518821975</v>
      </c>
      <c r="D330" s="15" t="n">
        <v>-1.29258545403864</v>
      </c>
      <c r="E330" s="15" t="n">
        <v>380.163182014327</v>
      </c>
      <c r="F330" s="15" t="n">
        <v>1.32389775</v>
      </c>
      <c r="G330" s="15" t="n">
        <v>0</v>
      </c>
      <c r="H330" s="15" t="n">
        <f aca="false">SQRT(F330^2+G330^2)</f>
        <v>1.32389775</v>
      </c>
      <c r="I330" s="15" t="n">
        <f aca="false">D330*F330/H330</f>
        <v>-1.29258545403864</v>
      </c>
      <c r="J330" s="15" t="n">
        <f aca="false">SQRT(C330^2+D330^2-I330^2)</f>
        <v>48.0005518821975</v>
      </c>
      <c r="K330" s="15" t="n">
        <f aca="false">E330/H330</f>
        <v>287.154489094287</v>
      </c>
      <c r="L330" s="15" t="n">
        <f aca="false">J330/2-K330*ASINH(I330/(2*K330*SINH(J330/(2*K330))))</f>
        <v>31.7230046298729</v>
      </c>
      <c r="M330" s="15" t="n">
        <f aca="false">-L330/K330</f>
        <v>-0.11047365036824</v>
      </c>
      <c r="N330" s="15" t="n">
        <f aca="false">(J330-L330)/K330</f>
        <v>0.0566856792093537</v>
      </c>
      <c r="O330" s="15" t="n">
        <f aca="false">K330*(SINH(N330)-SINH(M330))</f>
        <v>48.0738368700671</v>
      </c>
      <c r="P330" s="15" t="n">
        <f aca="false">E330*COSH(M330)</f>
        <v>382.485379313602</v>
      </c>
      <c r="Q330" s="15" t="n">
        <f aca="false">E330*COSH(N330)</f>
        <v>380.774128339318</v>
      </c>
    </row>
    <row r="331" customFormat="false" ht="21" hidden="false" customHeight="true" outlineLevel="0" collapsed="false">
      <c r="A331" s="1" t="s">
        <v>378</v>
      </c>
      <c r="B331" s="1" t="s">
        <v>319</v>
      </c>
      <c r="C331" s="15" t="n">
        <v>74.4621650032254</v>
      </c>
      <c r="D331" s="15" t="n">
        <v>10.5493051220436</v>
      </c>
      <c r="E331" s="15" t="n">
        <v>2204.99999999847</v>
      </c>
      <c r="F331" s="15" t="n">
        <v>1.32389775</v>
      </c>
      <c r="G331" s="15" t="n">
        <v>0</v>
      </c>
      <c r="H331" s="15" t="n">
        <f aca="false">SQRT(F331^2+G331^2)</f>
        <v>1.32389775</v>
      </c>
      <c r="I331" s="15" t="n">
        <f aca="false">D331*F331/H331</f>
        <v>10.5493051220436</v>
      </c>
      <c r="J331" s="15" t="n">
        <f aca="false">SQRT(C331^2+D331^2-I331^2)</f>
        <v>74.4621650032254</v>
      </c>
      <c r="K331" s="15" t="n">
        <f aca="false">E331/H331</f>
        <v>1665.53648119612</v>
      </c>
      <c r="L331" s="15" t="n">
        <f aca="false">J331/2-K331*ASINH(I331/(2*K331*SINH(J331/(2*K331))))</f>
        <v>-197.929310568955</v>
      </c>
      <c r="M331" s="15" t="n">
        <f aca="false">-L331/K331</f>
        <v>0.118838171846473</v>
      </c>
      <c r="N331" s="15" t="n">
        <f aca="false">(J331-L331)/K331</f>
        <v>0.163545787587048</v>
      </c>
      <c r="O331" s="15" t="n">
        <f aca="false">K331*(SINH(N331)-SINH(M331))</f>
        <v>75.2118704161141</v>
      </c>
      <c r="P331" s="15" t="n">
        <f aca="false">E331*COSH(M331)</f>
        <v>2220.58840113971</v>
      </c>
      <c r="Q331" s="15" t="n">
        <f aca="false">E331*COSH(N331)</f>
        <v>2234.55460245485</v>
      </c>
    </row>
    <row r="332" customFormat="false" ht="21" hidden="false" customHeight="true" outlineLevel="0" collapsed="false">
      <c r="A332" s="1" t="s">
        <v>378</v>
      </c>
      <c r="B332" s="1" t="s">
        <v>320</v>
      </c>
      <c r="C332" s="15" t="n">
        <v>74.4621650032254</v>
      </c>
      <c r="D332" s="15" t="n">
        <v>10.5493051220436</v>
      </c>
      <c r="E332" s="15" t="n">
        <v>3483.35801038502</v>
      </c>
      <c r="F332" s="15" t="n">
        <v>1.32389775</v>
      </c>
      <c r="G332" s="15" t="n">
        <v>3.443895</v>
      </c>
      <c r="H332" s="15" t="n">
        <f aca="false">SQRT(F332^2+G332^2)</f>
        <v>3.68959591601574</v>
      </c>
      <c r="I332" s="15" t="n">
        <f aca="false">D332*F332/H332</f>
        <v>3.78529292449419</v>
      </c>
      <c r="J332" s="15" t="n">
        <f aca="false">SQRT(C332^2+D332^2-I332^2)</f>
        <v>75.1104081536062</v>
      </c>
      <c r="K332" s="15" t="n">
        <f aca="false">E332/H332</f>
        <v>944.102847486497</v>
      </c>
      <c r="L332" s="15" t="n">
        <f aca="false">J332/2-K332*ASINH(I332/(2*K332*SINH(J332/(2*K332))))</f>
        <v>-9.99151801048673</v>
      </c>
      <c r="M332" s="15" t="n">
        <f aca="false">-L332/K332</f>
        <v>0.0105830821685236</v>
      </c>
      <c r="N332" s="15" t="n">
        <f aca="false">(J332-L332)/K332</f>
        <v>0.0901405248280538</v>
      </c>
      <c r="O332" s="15" t="n">
        <f aca="false">K332*(SINH(N332)-SINH(M332))</f>
        <v>75.2255151197503</v>
      </c>
      <c r="P332" s="15" t="n">
        <f aca="false">E332*COSH(M332)</f>
        <v>3483.55308309007</v>
      </c>
      <c r="Q332" s="15" t="n">
        <f aca="false">E332*COSH(N332)</f>
        <v>3497.51928440521</v>
      </c>
    </row>
    <row r="333" customFormat="false" ht="21" hidden="false" customHeight="true" outlineLevel="0" collapsed="false">
      <c r="A333" s="1" t="s">
        <v>378</v>
      </c>
      <c r="B333" s="1" t="s">
        <v>321</v>
      </c>
      <c r="C333" s="15" t="n">
        <v>74.4621650032254</v>
      </c>
      <c r="D333" s="15" t="n">
        <v>10.5493051220436</v>
      </c>
      <c r="E333" s="15" t="n">
        <v>3736.03650949675</v>
      </c>
      <c r="F333" s="15" t="n">
        <v>3.85543216183014</v>
      </c>
      <c r="G333" s="15" t="n">
        <v>0</v>
      </c>
      <c r="H333" s="15" t="n">
        <f aca="false">SQRT(F333^2+G333^2)</f>
        <v>3.85543216183014</v>
      </c>
      <c r="I333" s="15" t="n">
        <f aca="false">D333*F333/H333</f>
        <v>10.5493051220436</v>
      </c>
      <c r="J333" s="15" t="n">
        <f aca="false">SQRT(C333^2+D333^2-I333^2)</f>
        <v>74.4621650032254</v>
      </c>
      <c r="K333" s="15" t="n">
        <f aca="false">E333/H333</f>
        <v>969.031836815743</v>
      </c>
      <c r="L333" s="15" t="n">
        <f aca="false">J333/2-K333*ASINH(I333/(2*K333*SINH(J333/(2*K333))))</f>
        <v>-99.5663241905676</v>
      </c>
      <c r="M333" s="15" t="n">
        <f aca="false">-L333/K333</f>
        <v>0.102748248723947</v>
      </c>
      <c r="N333" s="15" t="n">
        <f aca="false">(J333-L333)/K333</f>
        <v>0.179590063589297</v>
      </c>
      <c r="O333" s="15" t="n">
        <f aca="false">K333*(SINH(N333)-SINH(M333))</f>
        <v>75.2238702121767</v>
      </c>
      <c r="P333" s="15" t="n">
        <f aca="false">E333*COSH(M333)</f>
        <v>3755.77491273318</v>
      </c>
      <c r="Q333" s="15" t="n">
        <f aca="false">E333*COSH(N333)</f>
        <v>3796.44704298567</v>
      </c>
    </row>
    <row r="334" customFormat="false" ht="21" hidden="false" customHeight="true" outlineLevel="0" collapsed="false">
      <c r="A334" s="1" t="s">
        <v>378</v>
      </c>
      <c r="B334" s="1" t="s">
        <v>322</v>
      </c>
      <c r="C334" s="15" t="n">
        <v>74.4621650032254</v>
      </c>
      <c r="D334" s="15" t="n">
        <v>10.5493051220436</v>
      </c>
      <c r="E334" s="15" t="n">
        <v>3452.3088050643</v>
      </c>
      <c r="F334" s="15" t="n">
        <v>2.33651151473205</v>
      </c>
      <c r="G334" s="15" t="n">
        <v>1.43495625</v>
      </c>
      <c r="H334" s="15" t="n">
        <f aca="false">SQRT(F334^2+G334^2)</f>
        <v>2.74196745018783</v>
      </c>
      <c r="I334" s="15" t="n">
        <f aca="false">D334*F334/H334</f>
        <v>8.98937472375478</v>
      </c>
      <c r="J334" s="15" t="n">
        <f aca="false">SQRT(C334^2+D334^2-I334^2)</f>
        <v>74.6665453707446</v>
      </c>
      <c r="K334" s="15" t="n">
        <f aca="false">E334/H334</f>
        <v>1259.06265037093</v>
      </c>
      <c r="L334" s="15" t="n">
        <f aca="false">J334/2-K334*ASINH(I334/(2*K334*SINH(J334/(2*K334))))</f>
        <v>-113.863948509747</v>
      </c>
      <c r="M334" s="15" t="n">
        <f aca="false">-L334/K334</f>
        <v>0.0904354906216956</v>
      </c>
      <c r="N334" s="15" t="n">
        <f aca="false">(J334-L334)/K334</f>
        <v>0.149738771001546</v>
      </c>
      <c r="O334" s="15" t="n">
        <f aca="false">K334*(SINH(N334)-SINH(M334))</f>
        <v>75.2165936328765</v>
      </c>
      <c r="P334" s="15" t="n">
        <f aca="false">E334*COSH(M334)</f>
        <v>3466.43591779501</v>
      </c>
      <c r="Q334" s="15" t="n">
        <f aca="false">E334*COSH(N334)</f>
        <v>3491.08449068509</v>
      </c>
    </row>
    <row r="335" customFormat="false" ht="21" hidden="false" customHeight="true" outlineLevel="0" collapsed="false">
      <c r="A335" s="1" t="s">
        <v>378</v>
      </c>
      <c r="B335" s="1" t="s">
        <v>323</v>
      </c>
      <c r="C335" s="15" t="n">
        <v>74.4621650032254</v>
      </c>
      <c r="D335" s="15" t="n">
        <v>10.5493051220436</v>
      </c>
      <c r="E335" s="15" t="n">
        <v>3454.97166597787</v>
      </c>
      <c r="F335" s="15" t="n">
        <v>1.32389775</v>
      </c>
      <c r="G335" s="15" t="n">
        <v>0</v>
      </c>
      <c r="H335" s="15" t="n">
        <f aca="false">SQRT(F335^2+G335^2)</f>
        <v>1.32389775</v>
      </c>
      <c r="I335" s="15" t="n">
        <f aca="false">D335*F335/H335</f>
        <v>10.5493051220436</v>
      </c>
      <c r="J335" s="15" t="n">
        <f aca="false">SQRT(C335^2+D335^2-I335^2)</f>
        <v>74.4621650032254</v>
      </c>
      <c r="K335" s="15" t="n">
        <f aca="false">E335/H335</f>
        <v>2609.69675790888</v>
      </c>
      <c r="L335" s="15" t="n">
        <f aca="false">J335/2-K335*ASINH(I335/(2*K335*SINH(J335/(2*K335))))</f>
        <v>-331.255236999071</v>
      </c>
      <c r="M335" s="15" t="n">
        <f aca="false">-L335/K335</f>
        <v>0.126932462936614</v>
      </c>
      <c r="N335" s="15" t="n">
        <f aca="false">(J335-L335)/K335</f>
        <v>0.155465343156341</v>
      </c>
      <c r="O335" s="15" t="n">
        <f aca="false">K335*(SINH(N335)-SINH(M335))</f>
        <v>75.2082311536333</v>
      </c>
      <c r="P335" s="15" t="n">
        <f aca="false">E335*COSH(M335)</f>
        <v>3482.84204901032</v>
      </c>
      <c r="Q335" s="15" t="n">
        <f aca="false">E335*COSH(N335)</f>
        <v>3496.80825032546</v>
      </c>
    </row>
    <row r="336" customFormat="false" ht="21" hidden="false" customHeight="true" outlineLevel="0" collapsed="false">
      <c r="A336" s="1" t="s">
        <v>378</v>
      </c>
      <c r="B336" s="1" t="s">
        <v>324</v>
      </c>
      <c r="C336" s="15" t="n">
        <v>74.4621650032254</v>
      </c>
      <c r="D336" s="15" t="n">
        <v>10.5493051220436</v>
      </c>
      <c r="E336" s="15" t="n">
        <v>560.364268022362</v>
      </c>
      <c r="F336" s="15" t="n">
        <v>1.32389775</v>
      </c>
      <c r="G336" s="15" t="n">
        <v>0</v>
      </c>
      <c r="H336" s="15" t="n">
        <f aca="false">SQRT(F336^2+G336^2)</f>
        <v>1.32389775</v>
      </c>
      <c r="I336" s="15" t="n">
        <f aca="false">D336*F336/H336</f>
        <v>10.5493051220436</v>
      </c>
      <c r="J336" s="15" t="n">
        <f aca="false">SQRT(C336^2+D336^2-I336^2)</f>
        <v>74.4621650032254</v>
      </c>
      <c r="K336" s="15" t="n">
        <f aca="false">E336/H336</f>
        <v>423.268540204379</v>
      </c>
      <c r="L336" s="15" t="n">
        <f aca="false">J336/2-K336*ASINH(I336/(2*K336*SINH(J336/(2*K336))))</f>
        <v>-22.4594904917701</v>
      </c>
      <c r="M336" s="15" t="n">
        <f aca="false">-L336/K336</f>
        <v>0.0530620359380486</v>
      </c>
      <c r="N336" s="15" t="n">
        <f aca="false">(J336-L336)/K336</f>
        <v>0.22898383954592</v>
      </c>
      <c r="O336" s="15" t="n">
        <f aca="false">K336*(SINH(N336)-SINH(M336))</f>
        <v>75.3008392871847</v>
      </c>
      <c r="P336" s="15" t="n">
        <f aca="false">E336*COSH(M336)</f>
        <v>561.153328251822</v>
      </c>
      <c r="Q336" s="15" t="n">
        <f aca="false">E336*COSH(N336)</f>
        <v>575.119529566959</v>
      </c>
    </row>
    <row r="337" customFormat="false" ht="21" hidden="false" customHeight="true" outlineLevel="0" collapsed="false">
      <c r="A337" s="1" t="s">
        <v>379</v>
      </c>
      <c r="B337" s="1" t="s">
        <v>319</v>
      </c>
      <c r="C337" s="15" t="n">
        <v>81.9115348921288</v>
      </c>
      <c r="D337" s="15" t="n">
        <v>-9.53786736964921</v>
      </c>
      <c r="E337" s="15" t="n">
        <v>2205.00000000074</v>
      </c>
      <c r="F337" s="15" t="n">
        <v>1.32389775</v>
      </c>
      <c r="G337" s="15" t="n">
        <v>0</v>
      </c>
      <c r="H337" s="15" t="n">
        <f aca="false">SQRT(F337^2+G337^2)</f>
        <v>1.32389775</v>
      </c>
      <c r="I337" s="15" t="n">
        <f aca="false">D337*F337/H337</f>
        <v>-9.53786736964921</v>
      </c>
      <c r="J337" s="15" t="n">
        <f aca="false">SQRT(C337^2+D337^2-I337^2)</f>
        <v>81.9115348921288</v>
      </c>
      <c r="K337" s="15" t="n">
        <f aca="false">E337/H337</f>
        <v>1665.53648119784</v>
      </c>
      <c r="L337" s="15" t="n">
        <f aca="false">J337/2-K337*ASINH(I337/(2*K337*SINH(J337/(2*K337))))</f>
        <v>234.437620315804</v>
      </c>
      <c r="M337" s="15" t="n">
        <f aca="false">-L337/K337</f>
        <v>-0.140758021791992</v>
      </c>
      <c r="N337" s="15" t="n">
        <f aca="false">(J337-L337)/K337</f>
        <v>-0.0915777511603825</v>
      </c>
      <c r="O337" s="15" t="n">
        <f aca="false">K337*(SINH(N337)-SINH(M337))</f>
        <v>82.4731648864022</v>
      </c>
      <c r="P337" s="15" t="n">
        <f aca="false">E337*COSH(M337)</f>
        <v>2226.87972398314</v>
      </c>
      <c r="Q337" s="15" t="n">
        <f aca="false">E337*COSH(N337)</f>
        <v>2214.25256283267</v>
      </c>
    </row>
    <row r="338" customFormat="false" ht="21" hidden="false" customHeight="true" outlineLevel="0" collapsed="false">
      <c r="A338" s="1" t="s">
        <v>379</v>
      </c>
      <c r="B338" s="1" t="s">
        <v>320</v>
      </c>
      <c r="C338" s="15" t="n">
        <v>81.9115348921288</v>
      </c>
      <c r="D338" s="15" t="n">
        <v>-9.53786736964921</v>
      </c>
      <c r="E338" s="15" t="n">
        <v>3551.03281153963</v>
      </c>
      <c r="F338" s="15" t="n">
        <v>1.32389775</v>
      </c>
      <c r="G338" s="15" t="n">
        <v>3.443895</v>
      </c>
      <c r="H338" s="15" t="n">
        <f aca="false">SQRT(F338^2+G338^2)</f>
        <v>3.68959591601574</v>
      </c>
      <c r="I338" s="15" t="n">
        <f aca="false">D338*F338/H338</f>
        <v>-3.42236966808891</v>
      </c>
      <c r="J338" s="15" t="n">
        <f aca="false">SQRT(C338^2+D338^2-I338^2)</f>
        <v>82.3939187573962</v>
      </c>
      <c r="K338" s="15" t="n">
        <f aca="false">E338/H338</f>
        <v>962.444910599927</v>
      </c>
      <c r="L338" s="15" t="n">
        <f aca="false">J338/2-K338*ASINH(I338/(2*K338*SINH(J338/(2*K338))))</f>
        <v>81.1500426865656</v>
      </c>
      <c r="M338" s="15" t="n">
        <f aca="false">-L338/K338</f>
        <v>-0.0843165585820198</v>
      </c>
      <c r="N338" s="15" t="n">
        <f aca="false">(J338-L338)/K338</f>
        <v>0.00129241274708936</v>
      </c>
      <c r="O338" s="15" t="n">
        <f aca="false">K338*(SINH(N338)-SINH(M338))</f>
        <v>82.4901063787547</v>
      </c>
      <c r="P338" s="15" t="n">
        <f aca="false">E338*COSH(M338)</f>
        <v>3563.66293839009</v>
      </c>
      <c r="Q338" s="15" t="n">
        <f aca="false">E338*COSH(N338)</f>
        <v>3551.03577723962</v>
      </c>
    </row>
    <row r="339" customFormat="false" ht="21" hidden="false" customHeight="true" outlineLevel="0" collapsed="false">
      <c r="A339" s="1" t="s">
        <v>379</v>
      </c>
      <c r="B339" s="1" t="s">
        <v>321</v>
      </c>
      <c r="C339" s="15" t="n">
        <v>81.9115348921288</v>
      </c>
      <c r="D339" s="15" t="n">
        <v>-9.53786736964921</v>
      </c>
      <c r="E339" s="15" t="n">
        <v>3811.55524808534</v>
      </c>
      <c r="F339" s="15" t="n">
        <v>3.85543216183014</v>
      </c>
      <c r="G339" s="15" t="n">
        <v>0</v>
      </c>
      <c r="H339" s="15" t="n">
        <f aca="false">SQRT(F339^2+G339^2)</f>
        <v>3.85543216183014</v>
      </c>
      <c r="I339" s="15" t="n">
        <f aca="false">D339*F339/H339</f>
        <v>-9.53786736964921</v>
      </c>
      <c r="J339" s="15" t="n">
        <f aca="false">SQRT(C339^2+D339^2-I339^2)</f>
        <v>81.9115348921288</v>
      </c>
      <c r="K339" s="15" t="n">
        <f aca="false">E339/H339</f>
        <v>988.619456418092</v>
      </c>
      <c r="L339" s="15" t="n">
        <f aca="false">J339/2-K339*ASINH(I339/(2*K339*SINH(J339/(2*K339))))</f>
        <v>155.780423022343</v>
      </c>
      <c r="M339" s="15" t="n">
        <f aca="false">-L339/K339</f>
        <v>-0.157573697352425</v>
      </c>
      <c r="N339" s="15" t="n">
        <f aca="false">(J339-L339)/K339</f>
        <v>-0.074719233624889</v>
      </c>
      <c r="O339" s="15" t="n">
        <f aca="false">K339*(SINH(N339)-SINH(M339))</f>
        <v>82.4882395045907</v>
      </c>
      <c r="P339" s="15" t="n">
        <f aca="false">E339*COSH(M339)</f>
        <v>3858.97268742049</v>
      </c>
      <c r="Q339" s="15" t="n">
        <f aca="false">E339*COSH(N339)</f>
        <v>3822.20008680828</v>
      </c>
    </row>
    <row r="340" customFormat="false" ht="21" hidden="false" customHeight="true" outlineLevel="0" collapsed="false">
      <c r="A340" s="1" t="s">
        <v>379</v>
      </c>
      <c r="B340" s="1" t="s">
        <v>322</v>
      </c>
      <c r="C340" s="15" t="n">
        <v>81.9115348921288</v>
      </c>
      <c r="D340" s="15" t="n">
        <v>-9.53786736964921</v>
      </c>
      <c r="E340" s="15" t="n">
        <v>3483.47388585149</v>
      </c>
      <c r="F340" s="15" t="n">
        <v>2.33651151473205</v>
      </c>
      <c r="G340" s="15" t="n">
        <v>1.43495625</v>
      </c>
      <c r="H340" s="15" t="n">
        <f aca="false">SQRT(F340^2+G340^2)</f>
        <v>2.74196745018783</v>
      </c>
      <c r="I340" s="15" t="n">
        <f aca="false">D340*F340/H340</f>
        <v>-8.12749871762553</v>
      </c>
      <c r="J340" s="15" t="n">
        <f aca="false">SQRT(C340^2+D340^2-I340^2)</f>
        <v>82.0634768148441</v>
      </c>
      <c r="K340" s="15" t="n">
        <f aca="false">E340/H340</f>
        <v>1270.42860615025</v>
      </c>
      <c r="L340" s="15" t="n">
        <f aca="false">J340/2-K340*ASINH(I340/(2*K340*SINH(J340/(2*K340))))</f>
        <v>166.627378132688</v>
      </c>
      <c r="M340" s="15" t="n">
        <f aca="false">-L340/K340</f>
        <v>-0.131158395935065</v>
      </c>
      <c r="N340" s="15" t="n">
        <f aca="false">(J340-L340)/K340</f>
        <v>-0.0665632849484521</v>
      </c>
      <c r="O340" s="15" t="n">
        <f aca="false">K340*(SINH(N340)-SINH(M340))</f>
        <v>82.4791635258126</v>
      </c>
      <c r="P340" s="15" t="n">
        <f aca="false">E340*COSH(M340)</f>
        <v>3513.47913571538</v>
      </c>
      <c r="Q340" s="15" t="n">
        <f aca="false">E340*COSH(N340)</f>
        <v>3491.1937987802</v>
      </c>
    </row>
    <row r="341" customFormat="false" ht="21" hidden="false" customHeight="true" outlineLevel="0" collapsed="false">
      <c r="A341" s="1" t="s">
        <v>379</v>
      </c>
      <c r="B341" s="1" t="s">
        <v>323</v>
      </c>
      <c r="C341" s="15" t="n">
        <v>81.9115348921288</v>
      </c>
      <c r="D341" s="15" t="n">
        <v>-9.53786736964921</v>
      </c>
      <c r="E341" s="15" t="n">
        <v>3428.78743728788</v>
      </c>
      <c r="F341" s="15" t="n">
        <v>1.32389775</v>
      </c>
      <c r="G341" s="15" t="n">
        <v>0</v>
      </c>
      <c r="H341" s="15" t="n">
        <f aca="false">SQRT(F341^2+G341^2)</f>
        <v>1.32389775</v>
      </c>
      <c r="I341" s="15" t="n">
        <f aca="false">D341*F341/H341</f>
        <v>-9.53786736964921</v>
      </c>
      <c r="J341" s="15" t="n">
        <f aca="false">SQRT(C341^2+D341^2-I341^2)</f>
        <v>81.9115348921288</v>
      </c>
      <c r="K341" s="15" t="n">
        <f aca="false">E341/H341</f>
        <v>2589.91862270925</v>
      </c>
      <c r="L341" s="15" t="n">
        <f aca="false">J341/2-K341*ASINH(I341/(2*K341*SINH(J341/(2*K341))))</f>
        <v>341.838841934374</v>
      </c>
      <c r="M341" s="15" t="n">
        <f aca="false">-L341/K341</f>
        <v>-0.131988255900019</v>
      </c>
      <c r="N341" s="15" t="n">
        <f aca="false">(J341-L341)/K341</f>
        <v>-0.100361186935805</v>
      </c>
      <c r="O341" s="15" t="n">
        <f aca="false">K341*(SINH(N341)-SINH(M341))</f>
        <v>82.4683560994962</v>
      </c>
      <c r="P341" s="15" t="n">
        <f aca="false">E341*COSH(M341)</f>
        <v>3458.69710160859</v>
      </c>
      <c r="Q341" s="15" t="n">
        <f aca="false">E341*COSH(N341)</f>
        <v>3446.06994045811</v>
      </c>
    </row>
    <row r="342" customFormat="false" ht="21" hidden="false" customHeight="true" outlineLevel="0" collapsed="false">
      <c r="A342" s="1" t="s">
        <v>379</v>
      </c>
      <c r="B342" s="1" t="s">
        <v>324</v>
      </c>
      <c r="C342" s="15" t="n">
        <v>81.9115348921288</v>
      </c>
      <c r="D342" s="15" t="n">
        <v>-9.53786736964921</v>
      </c>
      <c r="E342" s="15" t="n">
        <v>609.830057885984</v>
      </c>
      <c r="F342" s="15" t="n">
        <v>1.32389775</v>
      </c>
      <c r="G342" s="15" t="n">
        <v>0</v>
      </c>
      <c r="H342" s="15" t="n">
        <f aca="false">SQRT(F342^2+G342^2)</f>
        <v>1.32389775</v>
      </c>
      <c r="I342" s="15" t="n">
        <f aca="false">D342*F342/H342</f>
        <v>-9.53786736964921</v>
      </c>
      <c r="J342" s="15" t="n">
        <f aca="false">SQRT(C342^2+D342^2-I342^2)</f>
        <v>81.9115348921288</v>
      </c>
      <c r="K342" s="15" t="n">
        <f aca="false">E342/H342</f>
        <v>460.632294213042</v>
      </c>
      <c r="L342" s="15" t="n">
        <f aca="false">J342/2-K342*ASINH(I342/(2*K342*SINH(J342/(2*K342))))</f>
        <v>94.4016853464792</v>
      </c>
      <c r="M342" s="15" t="n">
        <f aca="false">-L342/K342</f>
        <v>-0.204939355169958</v>
      </c>
      <c r="N342" s="15" t="n">
        <f aca="false">(J342-L342)/K342</f>
        <v>-0.0271152296772611</v>
      </c>
      <c r="O342" s="15" t="n">
        <f aca="false">K342*(SINH(N342)-SINH(M342))</f>
        <v>82.5722073934041</v>
      </c>
      <c r="P342" s="15" t="n">
        <f aca="false">E342*COSH(M342)</f>
        <v>622.68141718128</v>
      </c>
      <c r="Q342" s="15" t="n">
        <f aca="false">E342*COSH(N342)</f>
        <v>610.054256030803</v>
      </c>
    </row>
    <row r="343" customFormat="false" ht="21" hidden="false" customHeight="true" outlineLevel="0" collapsed="false">
      <c r="A343" s="1" t="s">
        <v>380</v>
      </c>
      <c r="B343" s="1" t="s">
        <v>319</v>
      </c>
      <c r="C343" s="15" t="n">
        <v>47.3170829449549</v>
      </c>
      <c r="D343" s="15" t="n">
        <v>7.98533868770792</v>
      </c>
      <c r="E343" s="15" t="n">
        <v>2205.00000000371</v>
      </c>
      <c r="F343" s="15" t="n">
        <v>1.32389775</v>
      </c>
      <c r="G343" s="15" t="n">
        <v>0</v>
      </c>
      <c r="H343" s="15" t="n">
        <f aca="false">SQRT(F343^2+G343^2)</f>
        <v>1.32389775</v>
      </c>
      <c r="I343" s="15" t="n">
        <f aca="false">D343*F343/H343</f>
        <v>7.98533868770792</v>
      </c>
      <c r="J343" s="15" t="n">
        <f aca="false">SQRT(C343^2+D343^2-I343^2)</f>
        <v>47.3170829449549</v>
      </c>
      <c r="K343" s="15" t="n">
        <f aca="false">E343/H343</f>
        <v>1665.53648120008</v>
      </c>
      <c r="L343" s="15" t="n">
        <f aca="false">J343/2-K343*ASINH(I343/(2*K343*SINH(J343/(2*K343))))</f>
        <v>-256.094458657597</v>
      </c>
      <c r="M343" s="15" t="n">
        <f aca="false">-L343/K343</f>
        <v>0.153760942223896</v>
      </c>
      <c r="N343" s="15" t="n">
        <f aca="false">(J343-L343)/K343</f>
        <v>0.182170456803163</v>
      </c>
      <c r="O343" s="15" t="n">
        <f aca="false">K343*(SINH(N343)-SINH(M343))</f>
        <v>47.9877334496434</v>
      </c>
      <c r="P343" s="15" t="n">
        <f aca="false">E343*COSH(M343)</f>
        <v>2231.11717150155</v>
      </c>
      <c r="Q343" s="15" t="n">
        <f aca="false">E343*COSH(N343)</f>
        <v>2241.68894342319</v>
      </c>
    </row>
    <row r="344" customFormat="false" ht="21" hidden="false" customHeight="true" outlineLevel="0" collapsed="false">
      <c r="A344" s="1" t="s">
        <v>380</v>
      </c>
      <c r="B344" s="1" t="s">
        <v>320</v>
      </c>
      <c r="C344" s="15" t="n">
        <v>47.3170829449549</v>
      </c>
      <c r="D344" s="15" t="n">
        <v>7.98533868770792</v>
      </c>
      <c r="E344" s="15" t="n">
        <v>3218.91647113809</v>
      </c>
      <c r="F344" s="15" t="n">
        <v>1.32389775</v>
      </c>
      <c r="G344" s="15" t="n">
        <v>3.443895</v>
      </c>
      <c r="H344" s="15" t="n">
        <f aca="false">SQRT(F344^2+G344^2)</f>
        <v>3.68959591601574</v>
      </c>
      <c r="I344" s="15" t="n">
        <f aca="false">D344*F344/H344</f>
        <v>2.86529261260147</v>
      </c>
      <c r="J344" s="15" t="n">
        <f aca="false">SQRT(C344^2+D344^2-I344^2)</f>
        <v>47.9005435315855</v>
      </c>
      <c r="K344" s="15" t="n">
        <f aca="false">E344/H344</f>
        <v>872.430625035511</v>
      </c>
      <c r="L344" s="15" t="n">
        <f aca="false">J344/2-K344*ASINH(I344/(2*K344*SINH(J344/(2*K344))))</f>
        <v>-28.1987663561884</v>
      </c>
      <c r="M344" s="15" t="n">
        <f aca="false">-L344/K344</f>
        <v>0.0323220730072842</v>
      </c>
      <c r="N344" s="15" t="n">
        <f aca="false">(J344-L344)/K344</f>
        <v>0.0872267750626892</v>
      </c>
      <c r="O344" s="15" t="n">
        <f aca="false">K344*(SINH(N344)-SINH(M344))</f>
        <v>47.9921704377027</v>
      </c>
      <c r="P344" s="15" t="n">
        <f aca="false">E344*COSH(M344)</f>
        <v>3220.59804494718</v>
      </c>
      <c r="Q344" s="15" t="n">
        <f aca="false">E344*COSH(N344)</f>
        <v>3231.16981686882</v>
      </c>
    </row>
    <row r="345" customFormat="false" ht="21" hidden="false" customHeight="true" outlineLevel="0" collapsed="false">
      <c r="A345" s="1" t="s">
        <v>380</v>
      </c>
      <c r="B345" s="1" t="s">
        <v>321</v>
      </c>
      <c r="C345" s="15" t="n">
        <v>47.3170829449549</v>
      </c>
      <c r="D345" s="15" t="n">
        <v>7.98533868770792</v>
      </c>
      <c r="E345" s="15" t="n">
        <v>3484.72554100936</v>
      </c>
      <c r="F345" s="15" t="n">
        <v>3.85543216183014</v>
      </c>
      <c r="G345" s="15" t="n">
        <v>0</v>
      </c>
      <c r="H345" s="15" t="n">
        <f aca="false">SQRT(F345^2+G345^2)</f>
        <v>3.85543216183014</v>
      </c>
      <c r="I345" s="15" t="n">
        <f aca="false">D345*F345/H345</f>
        <v>7.98533868770792</v>
      </c>
      <c r="J345" s="15" t="n">
        <f aca="false">SQRT(C345^2+D345^2-I345^2)</f>
        <v>47.3170829449549</v>
      </c>
      <c r="K345" s="15" t="n">
        <f aca="false">E345/H345</f>
        <v>903.848231466534</v>
      </c>
      <c r="L345" s="15" t="n">
        <f aca="false">J345/2-K345*ASINH(I345/(2*K345*SINH(J345/(2*K345))))</f>
        <v>-128.144842944875</v>
      </c>
      <c r="M345" s="15" t="n">
        <f aca="false">-L345/K345</f>
        <v>0.14177694715069</v>
      </c>
      <c r="N345" s="15" t="n">
        <f aca="false">(J345-L345)/K345</f>
        <v>0.19412764198823</v>
      </c>
      <c r="O345" s="15" t="n">
        <f aca="false">K345*(SINH(N345)-SINH(M345))</f>
        <v>47.9914924449868</v>
      </c>
      <c r="P345" s="15" t="n">
        <f aca="false">E345*COSH(M345)</f>
        <v>3519.806961552</v>
      </c>
      <c r="Q345" s="15" t="n">
        <f aca="false">E345*COSH(N345)</f>
        <v>3550.59389315169</v>
      </c>
    </row>
    <row r="346" customFormat="false" ht="21" hidden="false" customHeight="true" outlineLevel="0" collapsed="false">
      <c r="A346" s="1" t="s">
        <v>380</v>
      </c>
      <c r="B346" s="1" t="s">
        <v>322</v>
      </c>
      <c r="C346" s="15" t="n">
        <v>47.3170829449549</v>
      </c>
      <c r="D346" s="15" t="n">
        <v>7.98533868770792</v>
      </c>
      <c r="E346" s="15" t="n">
        <v>3348.9671580646</v>
      </c>
      <c r="F346" s="15" t="n">
        <v>2.33651151473205</v>
      </c>
      <c r="G346" s="15" t="n">
        <v>1.43495625</v>
      </c>
      <c r="H346" s="15" t="n">
        <f aca="false">SQRT(F346^2+G346^2)</f>
        <v>2.74196745018783</v>
      </c>
      <c r="I346" s="15" t="n">
        <f aca="false">D346*F346/H346</f>
        <v>6.80454313620201</v>
      </c>
      <c r="J346" s="15" t="n">
        <f aca="false">SQRT(C346^2+D346^2-I346^2)</f>
        <v>47.5012648787873</v>
      </c>
      <c r="K346" s="15" t="n">
        <f aca="false">E346/H346</f>
        <v>1221.37378320636</v>
      </c>
      <c r="L346" s="15" t="n">
        <f aca="false">J346/2-K346*ASINH(I346/(2*K346*SINH(J346/(2*K346))))</f>
        <v>-150.606988223843</v>
      </c>
      <c r="M346" s="15" t="n">
        <f aca="false">-L346/K346</f>
        <v>0.123309498119788</v>
      </c>
      <c r="N346" s="15" t="n">
        <f aca="false">(J346-L346)/K346</f>
        <v>0.162201167100996</v>
      </c>
      <c r="O346" s="15" t="n">
        <f aca="false">K346*(SINH(N346)-SINH(M346))</f>
        <v>47.9891278834634</v>
      </c>
      <c r="P346" s="15" t="n">
        <f aca="false">E346*COSH(M346)</f>
        <v>3374.46034785671</v>
      </c>
      <c r="Q346" s="15" t="n">
        <f aca="false">E346*COSH(N346)</f>
        <v>3393.11818364958</v>
      </c>
    </row>
    <row r="347" customFormat="false" ht="21" hidden="false" customHeight="true" outlineLevel="0" collapsed="false">
      <c r="A347" s="1" t="s">
        <v>380</v>
      </c>
      <c r="B347" s="1" t="s">
        <v>323</v>
      </c>
      <c r="C347" s="15" t="n">
        <v>47.3170829449549</v>
      </c>
      <c r="D347" s="15" t="n">
        <v>7.98533868770792</v>
      </c>
      <c r="E347" s="15" t="n">
        <v>3535.67612875365</v>
      </c>
      <c r="F347" s="15" t="n">
        <v>1.32389775</v>
      </c>
      <c r="G347" s="15" t="n">
        <v>0</v>
      </c>
      <c r="H347" s="15" t="n">
        <f aca="false">SQRT(F347^2+G347^2)</f>
        <v>1.32389775</v>
      </c>
      <c r="I347" s="15" t="n">
        <f aca="false">D347*F347/H347</f>
        <v>7.98533868770792</v>
      </c>
      <c r="J347" s="15" t="n">
        <f aca="false">SQRT(C347^2+D347^2-I347^2)</f>
        <v>47.3170829449549</v>
      </c>
      <c r="K347" s="15" t="n">
        <f aca="false">E347/H347</f>
        <v>2670.65649802158</v>
      </c>
      <c r="L347" s="15" t="n">
        <f aca="false">J347/2-K347*ASINH(I347/(2*K347*SINH(J347/(2*K347))))</f>
        <v>-424.929277848213</v>
      </c>
      <c r="M347" s="15" t="n">
        <f aca="false">-L347/K347</f>
        <v>0.159110420289169</v>
      </c>
      <c r="N347" s="15" t="n">
        <f aca="false">(J347-L347)/K347</f>
        <v>0.176827817857897</v>
      </c>
      <c r="O347" s="15" t="n">
        <f aca="false">K347*(SINH(N347)-SINH(M347))</f>
        <v>47.9867746384427</v>
      </c>
      <c r="P347" s="15" t="n">
        <f aca="false">E347*COSH(M347)</f>
        <v>3580.52543757917</v>
      </c>
      <c r="Q347" s="15" t="n">
        <f aca="false">E347*COSH(N347)</f>
        <v>3591.09720950082</v>
      </c>
    </row>
    <row r="348" customFormat="false" ht="21" hidden="false" customHeight="true" outlineLevel="0" collapsed="false">
      <c r="A348" s="1" t="s">
        <v>380</v>
      </c>
      <c r="B348" s="1" t="s">
        <v>324</v>
      </c>
      <c r="C348" s="15" t="n">
        <v>47.3170829449549</v>
      </c>
      <c r="D348" s="15" t="n">
        <v>7.98533868770792</v>
      </c>
      <c r="E348" s="15" t="n">
        <v>371.725938655307</v>
      </c>
      <c r="F348" s="15" t="n">
        <v>1.32389775</v>
      </c>
      <c r="G348" s="15" t="n">
        <v>0</v>
      </c>
      <c r="H348" s="15" t="n">
        <f aca="false">SQRT(F348^2+G348^2)</f>
        <v>1.32389775</v>
      </c>
      <c r="I348" s="15" t="n">
        <f aca="false">D348*F348/H348</f>
        <v>7.98533868770792</v>
      </c>
      <c r="J348" s="15" t="n">
        <f aca="false">SQRT(C348^2+D348^2-I348^2)</f>
        <v>47.3170829449549</v>
      </c>
      <c r="K348" s="15" t="n">
        <f aca="false">E348/H348</f>
        <v>280.781456615745</v>
      </c>
      <c r="L348" s="15" t="n">
        <f aca="false">J348/2-K348*ASINH(I348/(2*K348*SINH(J348/(2*K348))))</f>
        <v>-23.4494400880897</v>
      </c>
      <c r="M348" s="15" t="n">
        <f aca="false">-L348/K348</f>
        <v>0.0835149171555895</v>
      </c>
      <c r="N348" s="15" t="n">
        <f aca="false">(J348-L348)/K348</f>
        <v>0.252034175924552</v>
      </c>
      <c r="O348" s="15" t="n">
        <f aca="false">K348*(SINH(N348)-SINH(M348))</f>
        <v>48.0413936168086</v>
      </c>
      <c r="P348" s="15" t="n">
        <f aca="false">E348*COSH(M348)</f>
        <v>373.023038448338</v>
      </c>
      <c r="Q348" s="15" t="n">
        <f aca="false">E348*COSH(N348)</f>
        <v>383.594810369983</v>
      </c>
    </row>
    <row r="349" customFormat="false" ht="21" hidden="false" customHeight="true" outlineLevel="0" collapsed="false">
      <c r="A349" s="1" t="s">
        <v>381</v>
      </c>
      <c r="B349" s="1" t="s">
        <v>319</v>
      </c>
      <c r="C349" s="15" t="n">
        <v>47.3170829449168</v>
      </c>
      <c r="D349" s="15" t="n">
        <v>15.8147274456468</v>
      </c>
      <c r="E349" s="15" t="n">
        <v>2205.00000000479</v>
      </c>
      <c r="F349" s="15" t="n">
        <v>1.32389775</v>
      </c>
      <c r="G349" s="15" t="n">
        <v>0</v>
      </c>
      <c r="H349" s="15" t="n">
        <f aca="false">SQRT(F349^2+G349^2)</f>
        <v>1.32389775</v>
      </c>
      <c r="I349" s="15" t="n">
        <f aca="false">D349*F349/H349</f>
        <v>15.8147274456468</v>
      </c>
      <c r="J349" s="15" t="n">
        <f aca="false">SQRT(C349^2+D349^2-I349^2)</f>
        <v>47.3170829449168</v>
      </c>
      <c r="K349" s="15" t="n">
        <f aca="false">E349/H349</f>
        <v>1665.5364812009</v>
      </c>
      <c r="L349" s="15" t="n">
        <f aca="false">J349/2-K349*ASINH(I349/(2*K349*SINH(J349/(2*K349))))</f>
        <v>-523.118434721438</v>
      </c>
      <c r="M349" s="15" t="n">
        <f aca="false">-L349/K349</f>
        <v>0.314084044766317</v>
      </c>
      <c r="N349" s="15" t="n">
        <f aca="false">(J349-L349)/K349</f>
        <v>0.342493559345547</v>
      </c>
      <c r="O349" s="15" t="n">
        <f aca="false">K349*(SINH(N349)-SINH(M349))</f>
        <v>49.8915076125498</v>
      </c>
      <c r="P349" s="15" t="n">
        <f aca="false">E349*COSH(M349)</f>
        <v>2314.65732228696</v>
      </c>
      <c r="Q349" s="15" t="n">
        <f aca="false">E349*COSH(N349)</f>
        <v>2335.59440436911</v>
      </c>
    </row>
    <row r="350" customFormat="false" ht="21" hidden="false" customHeight="true" outlineLevel="0" collapsed="false">
      <c r="A350" s="1" t="s">
        <v>381</v>
      </c>
      <c r="B350" s="1" t="s">
        <v>320</v>
      </c>
      <c r="C350" s="15" t="n">
        <v>47.3170829449168</v>
      </c>
      <c r="D350" s="15" t="n">
        <v>15.8147274456468</v>
      </c>
      <c r="E350" s="15" t="n">
        <v>3302.27678855611</v>
      </c>
      <c r="F350" s="15" t="n">
        <v>1.32389775</v>
      </c>
      <c r="G350" s="15" t="n">
        <v>3.443895</v>
      </c>
      <c r="H350" s="15" t="n">
        <f aca="false">SQRT(F350^2+G350^2)</f>
        <v>3.68959591601574</v>
      </c>
      <c r="I350" s="15" t="n">
        <f aca="false">D350*F350/H350</f>
        <v>5.67462740059736</v>
      </c>
      <c r="J350" s="15" t="n">
        <f aca="false">SQRT(C350^2+D350^2-I350^2)</f>
        <v>49.5662238470979</v>
      </c>
      <c r="K350" s="15" t="n">
        <f aca="false">E350/H350</f>
        <v>895.023971113376</v>
      </c>
      <c r="L350" s="15" t="n">
        <f aca="false">J350/2-K350*ASINH(I350/(2*K350*SINH(J350/(2*K350))))</f>
        <v>-77.4488602132077</v>
      </c>
      <c r="M350" s="15" t="n">
        <f aca="false">-L350/K350</f>
        <v>0.0865327217067318</v>
      </c>
      <c r="N350" s="15" t="n">
        <f aca="false">(J350-L350)/K350</f>
        <v>0.141912494145049</v>
      </c>
      <c r="O350" s="15" t="n">
        <f aca="false">K350*(SINH(N350)-SINH(M350))</f>
        <v>49.8962915463269</v>
      </c>
      <c r="P350" s="15" t="n">
        <f aca="false">E350*COSH(M350)</f>
        <v>3314.64808413837</v>
      </c>
      <c r="Q350" s="15" t="n">
        <f aca="false">E350*COSH(N350)</f>
        <v>3335.58516622053</v>
      </c>
    </row>
    <row r="351" customFormat="false" ht="21" hidden="false" customHeight="true" outlineLevel="0" collapsed="false">
      <c r="A351" s="1" t="s">
        <v>381</v>
      </c>
      <c r="B351" s="1" t="s">
        <v>321</v>
      </c>
      <c r="C351" s="15" t="n">
        <v>47.3170829449168</v>
      </c>
      <c r="D351" s="15" t="n">
        <v>15.8147274456468</v>
      </c>
      <c r="E351" s="15" t="n">
        <v>3428.61835753312</v>
      </c>
      <c r="F351" s="15" t="n">
        <v>3.85543216183014</v>
      </c>
      <c r="G351" s="15" t="n">
        <v>0</v>
      </c>
      <c r="H351" s="15" t="n">
        <f aca="false">SQRT(F351^2+G351^2)</f>
        <v>3.85543216183014</v>
      </c>
      <c r="I351" s="15" t="n">
        <f aca="false">D351*F351/H351</f>
        <v>15.8147274456468</v>
      </c>
      <c r="J351" s="15" t="n">
        <f aca="false">SQRT(C351^2+D351^2-I351^2)</f>
        <v>47.3170829449168</v>
      </c>
      <c r="K351" s="15" t="n">
        <f aca="false">E351/H351</f>
        <v>889.295470291866</v>
      </c>
      <c r="L351" s="15" t="n">
        <f aca="false">J351/2-K351*ASINH(I351/(2*K351*SINH(J351/(2*K351))))</f>
        <v>-268.263432842851</v>
      </c>
      <c r="M351" s="15" t="n">
        <f aca="false">-L351/K351</f>
        <v>0.301658382173933</v>
      </c>
      <c r="N351" s="15" t="n">
        <f aca="false">(J351-L351)/K351</f>
        <v>0.354865763213878</v>
      </c>
      <c r="O351" s="15" t="n">
        <f aca="false">K351*(SINH(N351)-SINH(M351))</f>
        <v>49.8952922879754</v>
      </c>
      <c r="P351" s="15" t="n">
        <f aca="false">E351*COSH(M351)</f>
        <v>3585.80323875538</v>
      </c>
      <c r="Q351" s="15" t="n">
        <f aca="false">E351*COSH(N351)</f>
        <v>3646.77584757991</v>
      </c>
    </row>
    <row r="352" customFormat="false" ht="21" hidden="false" customHeight="true" outlineLevel="0" collapsed="false">
      <c r="A352" s="1" t="s">
        <v>381</v>
      </c>
      <c r="B352" s="1" t="s">
        <v>322</v>
      </c>
      <c r="C352" s="15" t="n">
        <v>47.3170829449168</v>
      </c>
      <c r="D352" s="15" t="n">
        <v>15.8147274456468</v>
      </c>
      <c r="E352" s="15" t="n">
        <v>3344.53010784412</v>
      </c>
      <c r="F352" s="15" t="n">
        <v>2.33651151473205</v>
      </c>
      <c r="G352" s="15" t="n">
        <v>1.43495625</v>
      </c>
      <c r="H352" s="15" t="n">
        <f aca="false">SQRT(F352^2+G352^2)</f>
        <v>2.74196745018783</v>
      </c>
      <c r="I352" s="15" t="n">
        <f aca="false">D352*F352/H352</f>
        <v>13.4761967274891</v>
      </c>
      <c r="J352" s="15" t="n">
        <f aca="false">SQRT(C352^2+D352^2-I352^2)</f>
        <v>48.0354459160966</v>
      </c>
      <c r="K352" s="15" t="n">
        <f aca="false">E352/H352</f>
        <v>1219.75558375611</v>
      </c>
      <c r="L352" s="15" t="n">
        <f aca="false">J352/2-K352*ASINH(I352/(2*K352*SINH(J352/(2*K352))))</f>
        <v>-313.822702094132</v>
      </c>
      <c r="M352" s="15" t="n">
        <f aca="false">-L352/K352</f>
        <v>0.257283267462279</v>
      </c>
      <c r="N352" s="15" t="n">
        <f aca="false">(J352-L352)/K352</f>
        <v>0.296664473464367</v>
      </c>
      <c r="O352" s="15" t="n">
        <f aca="false">K352*(SINH(N352)-SINH(M352))</f>
        <v>49.8929871504613</v>
      </c>
      <c r="P352" s="15" t="n">
        <f aca="false">E352*COSH(M352)</f>
        <v>3455.8371250192</v>
      </c>
      <c r="Q352" s="15" t="n">
        <f aca="false">E352*COSH(N352)</f>
        <v>3492.7884177983</v>
      </c>
    </row>
    <row r="353" customFormat="false" ht="21" hidden="false" customHeight="true" outlineLevel="0" collapsed="false">
      <c r="A353" s="1" t="s">
        <v>381</v>
      </c>
      <c r="B353" s="1" t="s">
        <v>323</v>
      </c>
      <c r="C353" s="15" t="n">
        <v>47.3170829449168</v>
      </c>
      <c r="D353" s="15" t="n">
        <v>15.8147274456468</v>
      </c>
      <c r="E353" s="15" t="n">
        <v>3490.10966366763</v>
      </c>
      <c r="F353" s="15" t="n">
        <v>1.32389775</v>
      </c>
      <c r="G353" s="15" t="n">
        <v>0</v>
      </c>
      <c r="H353" s="15" t="n">
        <f aca="false">SQRT(F353^2+G353^2)</f>
        <v>1.32389775</v>
      </c>
      <c r="I353" s="15" t="n">
        <f aca="false">D353*F353/H353</f>
        <v>15.8147274456468</v>
      </c>
      <c r="J353" s="15" t="n">
        <f aca="false">SQRT(C353^2+D353^2-I353^2)</f>
        <v>47.3170829449168</v>
      </c>
      <c r="K353" s="15" t="n">
        <f aca="false">E353/H353</f>
        <v>2636.23808082432</v>
      </c>
      <c r="L353" s="15" t="n">
        <f aca="false">J353/2-K353*ASINH(I353/(2*K353*SINH(J353/(2*K353))))</f>
        <v>-841.805784977751</v>
      </c>
      <c r="M353" s="15" t="n">
        <f aca="false">-L353/K353</f>
        <v>0.319320850078354</v>
      </c>
      <c r="N353" s="15" t="n">
        <f aca="false">(J353-L353)/K353</f>
        <v>0.337269563925217</v>
      </c>
      <c r="O353" s="15" t="n">
        <f aca="false">K353*(SINH(N353)-SINH(M353))</f>
        <v>49.8906008154732</v>
      </c>
      <c r="P353" s="15" t="n">
        <f aca="false">E353*COSH(M353)</f>
        <v>3669.56268143897</v>
      </c>
      <c r="Q353" s="15" t="n">
        <f aca="false">E353*COSH(N353)</f>
        <v>3690.49976352112</v>
      </c>
    </row>
    <row r="354" customFormat="false" ht="21" hidden="false" customHeight="true" outlineLevel="0" collapsed="false">
      <c r="A354" s="1" t="s">
        <v>381</v>
      </c>
      <c r="B354" s="1" t="s">
        <v>324</v>
      </c>
      <c r="C354" s="15" t="n">
        <v>47.3170829449168</v>
      </c>
      <c r="D354" s="15" t="n">
        <v>15.8147274456468</v>
      </c>
      <c r="E354" s="15" t="n">
        <v>362.267923459318</v>
      </c>
      <c r="F354" s="15" t="n">
        <v>1.32389775</v>
      </c>
      <c r="G354" s="15" t="n">
        <v>0</v>
      </c>
      <c r="H354" s="15" t="n">
        <f aca="false">SQRT(F354^2+G354^2)</f>
        <v>1.32389775</v>
      </c>
      <c r="I354" s="15" t="n">
        <f aca="false">D354*F354/H354</f>
        <v>15.8147274456468</v>
      </c>
      <c r="J354" s="15" t="n">
        <f aca="false">SQRT(C354^2+D354^2-I354^2)</f>
        <v>47.3170829449168</v>
      </c>
      <c r="K354" s="15" t="n">
        <f aca="false">E354/H354</f>
        <v>273.637388883936</v>
      </c>
      <c r="L354" s="15" t="n">
        <f aca="false">J354/2-K354*ASINH(I354/(2*K354*SINH(J354/(2*K354))))</f>
        <v>-66.0684854168368</v>
      </c>
      <c r="M354" s="15" t="n">
        <f aca="false">-L354/K354</f>
        <v>0.241445387585027</v>
      </c>
      <c r="N354" s="15" t="n">
        <f aca="false">(J354-L354)/K354</f>
        <v>0.414364311924663</v>
      </c>
      <c r="O354" s="15" t="n">
        <f aca="false">K354*(SINH(N354)-SINH(M354))</f>
        <v>49.9459336912823</v>
      </c>
      <c r="P354" s="15" t="n">
        <f aca="false">E354*COSH(M354)</f>
        <v>372.878683343531</v>
      </c>
      <c r="Q354" s="15" t="n">
        <f aca="false">E354*COSH(N354)</f>
        <v>393.815765425686</v>
      </c>
    </row>
    <row r="355" customFormat="false" ht="21" hidden="false" customHeight="true" outlineLevel="0" collapsed="false">
      <c r="A355" s="1" t="s">
        <v>382</v>
      </c>
      <c r="B355" s="1" t="s">
        <v>319</v>
      </c>
      <c r="C355" s="15" t="n">
        <v>38.4001797811293</v>
      </c>
      <c r="D355" s="15" t="n">
        <v>10.2445681670742</v>
      </c>
      <c r="E355" s="15" t="n">
        <v>2204.99999999894</v>
      </c>
      <c r="F355" s="15" t="n">
        <v>1.32389775</v>
      </c>
      <c r="G355" s="15" t="n">
        <v>0</v>
      </c>
      <c r="H355" s="15" t="n">
        <f aca="false">SQRT(F355^2+G355^2)</f>
        <v>1.32389775</v>
      </c>
      <c r="I355" s="15" t="n">
        <f aca="false">D355*F355/H355</f>
        <v>10.2445681670742</v>
      </c>
      <c r="J355" s="15" t="n">
        <f aca="false">SQRT(C355^2+D355^2-I355^2)</f>
        <v>38.4001797811293</v>
      </c>
      <c r="K355" s="15" t="n">
        <f aca="false">E355/H355</f>
        <v>1665.53648119649</v>
      </c>
      <c r="L355" s="15" t="n">
        <f aca="false">J355/2-K355*ASINH(I355/(2*K355*SINH(J355/(2*K355))))</f>
        <v>-420.020622294085</v>
      </c>
      <c r="M355" s="15" t="n">
        <f aca="false">-L355/K355</f>
        <v>0.252183381772791</v>
      </c>
      <c r="N355" s="15" t="n">
        <f aca="false">(J355-L355)/K355</f>
        <v>0.275239124000391</v>
      </c>
      <c r="O355" s="15" t="n">
        <f aca="false">K355*(SINH(N355)-SINH(M355))</f>
        <v>39.7440599952438</v>
      </c>
      <c r="P355" s="15" t="n">
        <f aca="false">E355*COSH(M355)</f>
        <v>2275.48747291935</v>
      </c>
      <c r="Q355" s="15" t="n">
        <f aca="false">E355*COSH(N355)</f>
        <v>2289.05023366546</v>
      </c>
    </row>
    <row r="356" customFormat="false" ht="21" hidden="false" customHeight="true" outlineLevel="0" collapsed="false">
      <c r="A356" s="1" t="s">
        <v>382</v>
      </c>
      <c r="B356" s="1" t="s">
        <v>320</v>
      </c>
      <c r="C356" s="15" t="n">
        <v>38.4001797811293</v>
      </c>
      <c r="D356" s="15" t="n">
        <v>10.2445681670742</v>
      </c>
      <c r="E356" s="15" t="n">
        <v>3177.56984834536</v>
      </c>
      <c r="F356" s="15" t="n">
        <v>1.32389775</v>
      </c>
      <c r="G356" s="15" t="n">
        <v>3.443895</v>
      </c>
      <c r="H356" s="15" t="n">
        <f aca="false">SQRT(F356^2+G356^2)</f>
        <v>3.68959591601574</v>
      </c>
      <c r="I356" s="15" t="n">
        <f aca="false">D356*F356/H356</f>
        <v>3.67594746276633</v>
      </c>
      <c r="J356" s="15" t="n">
        <f aca="false">SQRT(C356^2+D356^2-I356^2)</f>
        <v>39.5728744773976</v>
      </c>
      <c r="K356" s="15" t="n">
        <f aca="false">E356/H356</f>
        <v>861.224351033187</v>
      </c>
      <c r="L356" s="15" t="n">
        <f aca="false">J356/2-K356*ASINH(I356/(2*K356*SINH(J356/(2*K356))))</f>
        <v>-60.0915855115352</v>
      </c>
      <c r="M356" s="15" t="n">
        <f aca="false">-L356/K356</f>
        <v>0.0697746010542376</v>
      </c>
      <c r="N356" s="15" t="n">
        <f aca="false">(J356-L356)/K356</f>
        <v>0.115724154651884</v>
      </c>
      <c r="O356" s="15" t="n">
        <f aca="false">K356*(SINH(N356)-SINH(M356))</f>
        <v>39.7467047489317</v>
      </c>
      <c r="P356" s="15" t="n">
        <f aca="false">E356*COSH(M356)</f>
        <v>3185.30797838547</v>
      </c>
      <c r="Q356" s="15" t="n">
        <f aca="false">E356*COSH(N356)</f>
        <v>3198.87073913158</v>
      </c>
    </row>
    <row r="357" customFormat="false" ht="21" hidden="false" customHeight="true" outlineLevel="0" collapsed="false">
      <c r="A357" s="1" t="s">
        <v>382</v>
      </c>
      <c r="B357" s="1" t="s">
        <v>321</v>
      </c>
      <c r="C357" s="15" t="n">
        <v>38.4001797811293</v>
      </c>
      <c r="D357" s="15" t="n">
        <v>10.2445681670742</v>
      </c>
      <c r="E357" s="15" t="n">
        <v>3386.04274310606</v>
      </c>
      <c r="F357" s="15" t="n">
        <v>3.85543216183014</v>
      </c>
      <c r="G357" s="15" t="n">
        <v>0</v>
      </c>
      <c r="H357" s="15" t="n">
        <f aca="false">SQRT(F357^2+G357^2)</f>
        <v>3.85543216183014</v>
      </c>
      <c r="I357" s="15" t="n">
        <f aca="false">D357*F357/H357</f>
        <v>10.2445681670742</v>
      </c>
      <c r="J357" s="15" t="n">
        <f aca="false">SQRT(C357^2+D357^2-I357^2)</f>
        <v>38.4001797811293</v>
      </c>
      <c r="K357" s="15" t="n">
        <f aca="false">E357/H357</f>
        <v>878.252450303455</v>
      </c>
      <c r="L357" s="15" t="n">
        <f aca="false">J357/2-K357*ASINH(I357/(2*K357*SINH(J357/(2*K357))))</f>
        <v>-212.391946226217</v>
      </c>
      <c r="M357" s="15" t="n">
        <f aca="false">-L357/K357</f>
        <v>0.241834732317378</v>
      </c>
      <c r="N357" s="15" t="n">
        <f aca="false">(J357-L357)/K357</f>
        <v>0.285558128440965</v>
      </c>
      <c r="O357" s="15" t="n">
        <f aca="false">K357*(SINH(N357)-SINH(M357))</f>
        <v>39.746193721727</v>
      </c>
      <c r="P357" s="15" t="n">
        <f aca="false">E357*COSH(M357)</f>
        <v>3485.54097572851</v>
      </c>
      <c r="Q357" s="15" t="n">
        <f aca="false">E357*COSH(N357)</f>
        <v>3525.03821332391</v>
      </c>
    </row>
    <row r="358" customFormat="false" ht="21" hidden="false" customHeight="true" outlineLevel="0" collapsed="false">
      <c r="A358" s="1" t="s">
        <v>382</v>
      </c>
      <c r="B358" s="1" t="s">
        <v>322</v>
      </c>
      <c r="C358" s="15" t="n">
        <v>38.4001797811293</v>
      </c>
      <c r="D358" s="15" t="n">
        <v>10.2445681670742</v>
      </c>
      <c r="E358" s="15" t="n">
        <v>3318.36596464129</v>
      </c>
      <c r="F358" s="15" t="n">
        <v>2.33651151473205</v>
      </c>
      <c r="G358" s="15" t="n">
        <v>1.43495625</v>
      </c>
      <c r="H358" s="15" t="n">
        <f aca="false">SQRT(F358^2+G358^2)</f>
        <v>2.74196745018783</v>
      </c>
      <c r="I358" s="15" t="n">
        <f aca="false">D358*F358/H358</f>
        <v>8.72969935663771</v>
      </c>
      <c r="J358" s="15" t="n">
        <f aca="false">SQRT(C358^2+D358^2-I358^2)</f>
        <v>38.7726363985685</v>
      </c>
      <c r="K358" s="15" t="n">
        <f aca="false">E358/H358</f>
        <v>1210.21347806809</v>
      </c>
      <c r="L358" s="15" t="n">
        <f aca="false">J358/2-K358*ASINH(I358/(2*K358*SINH(J358/(2*K358))))</f>
        <v>-250.831974569765</v>
      </c>
      <c r="M358" s="15" t="n">
        <f aca="false">-L358/K358</f>
        <v>0.207262585581329</v>
      </c>
      <c r="N358" s="15" t="n">
        <f aca="false">(J358-L358)/K358</f>
        <v>0.239300434358607</v>
      </c>
      <c r="O358" s="15" t="n">
        <f aca="false">K358*(SINH(N358)-SINH(M358))</f>
        <v>39.7448559598708</v>
      </c>
      <c r="P358" s="15" t="n">
        <f aca="false">E358*COSH(M358)</f>
        <v>3389.89629744079</v>
      </c>
      <c r="Q358" s="15" t="n">
        <f aca="false">E358*COSH(N358)</f>
        <v>3413.83284892662</v>
      </c>
    </row>
    <row r="359" customFormat="false" ht="21" hidden="false" customHeight="true" outlineLevel="0" collapsed="false">
      <c r="A359" s="1" t="s">
        <v>382</v>
      </c>
      <c r="B359" s="1" t="s">
        <v>323</v>
      </c>
      <c r="C359" s="15" t="n">
        <v>38.4001797811293</v>
      </c>
      <c r="D359" s="15" t="n">
        <v>10.2445681670742</v>
      </c>
      <c r="E359" s="15" t="n">
        <v>3530.68356569416</v>
      </c>
      <c r="F359" s="15" t="n">
        <v>1.32389775</v>
      </c>
      <c r="G359" s="15" t="n">
        <v>0</v>
      </c>
      <c r="H359" s="15" t="n">
        <f aca="false">SQRT(F359^2+G359^2)</f>
        <v>1.32389775</v>
      </c>
      <c r="I359" s="15" t="n">
        <f aca="false">D359*F359/H359</f>
        <v>10.2445681670742</v>
      </c>
      <c r="J359" s="15" t="n">
        <f aca="false">SQRT(C359^2+D359^2-I359^2)</f>
        <v>38.4001797811293</v>
      </c>
      <c r="K359" s="15" t="n">
        <f aca="false">E359/H359</f>
        <v>2666.88538876523</v>
      </c>
      <c r="L359" s="15" t="n">
        <f aca="false">J359/2-K359*ASINH(I359/(2*K359*SINH(J359/(2*K359))))</f>
        <v>-684.096884389068</v>
      </c>
      <c r="M359" s="15" t="n">
        <f aca="false">-L359/K359</f>
        <v>0.256515292059778</v>
      </c>
      <c r="N359" s="15" t="n">
        <f aca="false">(J359-L359)/K359</f>
        <v>0.270914178469707</v>
      </c>
      <c r="O359" s="15" t="n">
        <f aca="false">K359*(SINH(N359)-SINH(M359))</f>
        <v>39.7435587362722</v>
      </c>
      <c r="P359" s="15" t="n">
        <f aca="false">E359*COSH(M359)</f>
        <v>3647.48156453302</v>
      </c>
      <c r="Q359" s="15" t="n">
        <f aca="false">E359*COSH(N359)</f>
        <v>3661.04432527913</v>
      </c>
    </row>
    <row r="360" customFormat="false" ht="21" hidden="false" customHeight="true" outlineLevel="0" collapsed="false">
      <c r="A360" s="1" t="s">
        <v>382</v>
      </c>
      <c r="B360" s="1" t="s">
        <v>324</v>
      </c>
      <c r="C360" s="15" t="n">
        <v>38.4001797811293</v>
      </c>
      <c r="D360" s="15" t="n">
        <v>10.2445681670742</v>
      </c>
      <c r="E360" s="15" t="n">
        <v>301.977832104566</v>
      </c>
      <c r="F360" s="15" t="n">
        <v>1.32389775</v>
      </c>
      <c r="G360" s="15" t="n">
        <v>0</v>
      </c>
      <c r="H360" s="15" t="n">
        <f aca="false">SQRT(F360^2+G360^2)</f>
        <v>1.32389775</v>
      </c>
      <c r="I360" s="15" t="n">
        <f aca="false">D360*F360/H360</f>
        <v>10.2445681670742</v>
      </c>
      <c r="J360" s="15" t="n">
        <f aca="false">SQRT(C360^2+D360^2-I360^2)</f>
        <v>38.4001797811293</v>
      </c>
      <c r="K360" s="15" t="n">
        <f aca="false">E360/H360</f>
        <v>228.097549153298</v>
      </c>
      <c r="L360" s="15" t="n">
        <f aca="false">J360/2-K360*ASINH(I360/(2*K360*SINH(J360/(2*K360))))</f>
        <v>-40.8837245914907</v>
      </c>
      <c r="M360" s="15" t="n">
        <f aca="false">-L360/K360</f>
        <v>0.179237895116593</v>
      </c>
      <c r="N360" s="15" t="n">
        <f aca="false">(J360-L360)/K360</f>
        <v>0.347587708271848</v>
      </c>
      <c r="O360" s="15" t="n">
        <f aca="false">K360*(SINH(N360)-SINH(M360))</f>
        <v>39.787069905942</v>
      </c>
      <c r="P360" s="15" t="n">
        <f aca="false">E360*COSH(M360)</f>
        <v>306.841535845843</v>
      </c>
      <c r="Q360" s="15" t="n">
        <f aca="false">E360*COSH(N360)</f>
        <v>320.404296591955</v>
      </c>
    </row>
    <row r="361" customFormat="false" ht="21" hidden="false" customHeight="true" outlineLevel="0" collapsed="false">
      <c r="A361" s="1" t="s">
        <v>383</v>
      </c>
      <c r="B361" s="1" t="s">
        <v>319</v>
      </c>
      <c r="C361" s="15" t="n">
        <v>68.1526870123737</v>
      </c>
      <c r="D361" s="15" t="n">
        <v>2.70836250006014</v>
      </c>
      <c r="E361" s="15" t="n">
        <v>2204.99999999984</v>
      </c>
      <c r="F361" s="15" t="n">
        <v>1.32389775</v>
      </c>
      <c r="G361" s="15" t="n">
        <v>0</v>
      </c>
      <c r="H361" s="15" t="n">
        <f aca="false">SQRT(F361^2+G361^2)</f>
        <v>1.32389775</v>
      </c>
      <c r="I361" s="15" t="n">
        <f aca="false">D361*F361/H361</f>
        <v>2.70836250006014</v>
      </c>
      <c r="J361" s="15" t="n">
        <f aca="false">SQRT(C361^2+D361^2-I361^2)</f>
        <v>68.1526870123737</v>
      </c>
      <c r="K361" s="15" t="n">
        <f aca="false">E361/H361</f>
        <v>1665.53648119717</v>
      </c>
      <c r="L361" s="15" t="n">
        <f aca="false">J361/2-K361*ASINH(I361/(2*K361*SINH(J361/(2*K361))))</f>
        <v>-32.0894359117945</v>
      </c>
      <c r="M361" s="15" t="n">
        <f aca="false">-L361/K361</f>
        <v>0.0192667265316993</v>
      </c>
      <c r="N361" s="15" t="n">
        <f aca="false">(J361-L361)/K361</f>
        <v>0.0601860866188386</v>
      </c>
      <c r="O361" s="15" t="n">
        <f aca="false">K361*(SINH(N361)-SINH(M361))</f>
        <v>68.2112315616541</v>
      </c>
      <c r="P361" s="15" t="n">
        <f aca="false">E361*COSH(M361)</f>
        <v>2205.40926810312</v>
      </c>
      <c r="Q361" s="15" t="n">
        <f aca="false">E361*COSH(N361)</f>
        <v>2208.99486312313</v>
      </c>
    </row>
    <row r="362" customFormat="false" ht="21" hidden="false" customHeight="true" outlineLevel="0" collapsed="false">
      <c r="A362" s="1" t="s">
        <v>383</v>
      </c>
      <c r="B362" s="1" t="s">
        <v>320</v>
      </c>
      <c r="C362" s="15" t="n">
        <v>68.1526870123737</v>
      </c>
      <c r="D362" s="15" t="n">
        <v>2.70836250006014</v>
      </c>
      <c r="E362" s="15" t="n">
        <v>3397.94041714956</v>
      </c>
      <c r="F362" s="15" t="n">
        <v>1.32389775</v>
      </c>
      <c r="G362" s="15" t="n">
        <v>3.443895</v>
      </c>
      <c r="H362" s="15" t="n">
        <f aca="false">SQRT(F362^2+G362^2)</f>
        <v>3.68959591601574</v>
      </c>
      <c r="I362" s="15" t="n">
        <f aca="false">D362*F362/H362</f>
        <v>0.971812388573419</v>
      </c>
      <c r="J362" s="15" t="n">
        <f aca="false">SQRT(C362^2+D362^2-I362^2)</f>
        <v>68.1995568542767</v>
      </c>
      <c r="K362" s="15" t="n">
        <f aca="false">E362/H362</f>
        <v>920.951913026527</v>
      </c>
      <c r="L362" s="15" t="n">
        <f aca="false">J362/2-K362*ASINH(I362/(2*K362*SINH(J362/(2*K362))))</f>
        <v>20.980078153331</v>
      </c>
      <c r="M362" s="15" t="n">
        <f aca="false">-L362/K362</f>
        <v>-0.0227808616894926</v>
      </c>
      <c r="N362" s="15" t="n">
        <f aca="false">(J362-L362)/K362</f>
        <v>0.051272469314677</v>
      </c>
      <c r="O362" s="15" t="n">
        <f aca="false">K362*(SINH(N362)-SINH(M362))</f>
        <v>68.2220632325125</v>
      </c>
      <c r="P362" s="15" t="n">
        <f aca="false">E362*COSH(M362)</f>
        <v>3398.82216587422</v>
      </c>
      <c r="Q362" s="15" t="n">
        <f aca="false">E362*COSH(N362)</f>
        <v>3402.40776089423</v>
      </c>
    </row>
    <row r="363" customFormat="false" ht="21" hidden="false" customHeight="true" outlineLevel="0" collapsed="false">
      <c r="A363" s="1" t="s">
        <v>383</v>
      </c>
      <c r="B363" s="1" t="s">
        <v>321</v>
      </c>
      <c r="C363" s="15" t="n">
        <v>68.1526870123737</v>
      </c>
      <c r="D363" s="15" t="n">
        <v>2.70836250006014</v>
      </c>
      <c r="E363" s="15" t="n">
        <v>3693.2084187147</v>
      </c>
      <c r="F363" s="15" t="n">
        <v>3.85543216183014</v>
      </c>
      <c r="G363" s="15" t="n">
        <v>0</v>
      </c>
      <c r="H363" s="15" t="n">
        <f aca="false">SQRT(F363^2+G363^2)</f>
        <v>3.85543216183014</v>
      </c>
      <c r="I363" s="15" t="n">
        <f aca="false">D363*F363/H363</f>
        <v>2.70836250006014</v>
      </c>
      <c r="J363" s="15" t="n">
        <f aca="false">SQRT(C363^2+D363^2-I363^2)</f>
        <v>68.1526870123737</v>
      </c>
      <c r="K363" s="15" t="n">
        <f aca="false">E363/H363</f>
        <v>957.923330950679</v>
      </c>
      <c r="L363" s="15" t="n">
        <f aca="false">J363/2-K363*ASINH(I363/(2*K363*SINH(J363/(2*K363))))</f>
        <v>-3.97314058526554</v>
      </c>
      <c r="M363" s="15" t="n">
        <f aca="false">-L363/K363</f>
        <v>0.00414766031569818</v>
      </c>
      <c r="N363" s="15" t="n">
        <f aca="false">(J363-L363)/K363</f>
        <v>0.0752939460468709</v>
      </c>
      <c r="O363" s="15" t="n">
        <f aca="false">K363*(SINH(N363)-SINH(M363))</f>
        <v>68.220843970292</v>
      </c>
      <c r="P363" s="15" t="n">
        <f aca="false">E363*COSH(M363)</f>
        <v>3693.24018605144</v>
      </c>
      <c r="Q363" s="15" t="n">
        <f aca="false">E363*COSH(N363)</f>
        <v>3703.68209394006</v>
      </c>
    </row>
    <row r="364" customFormat="false" ht="21" hidden="false" customHeight="true" outlineLevel="0" collapsed="false">
      <c r="A364" s="1" t="s">
        <v>383</v>
      </c>
      <c r="B364" s="1" t="s">
        <v>322</v>
      </c>
      <c r="C364" s="15" t="n">
        <v>68.1526870123737</v>
      </c>
      <c r="D364" s="15" t="n">
        <v>2.70836250006014</v>
      </c>
      <c r="E364" s="15" t="n">
        <v>3428.26559935883</v>
      </c>
      <c r="F364" s="15" t="n">
        <v>2.33651151473205</v>
      </c>
      <c r="G364" s="15" t="n">
        <v>1.43495625</v>
      </c>
      <c r="H364" s="15" t="n">
        <f aca="false">SQRT(F364^2+G364^2)</f>
        <v>2.74196745018783</v>
      </c>
      <c r="I364" s="15" t="n">
        <f aca="false">D364*F364/H364</f>
        <v>2.30787574339204</v>
      </c>
      <c r="J364" s="15" t="n">
        <f aca="false">SQRT(C364^2+D364^2-I364^2)</f>
        <v>68.1674239207509</v>
      </c>
      <c r="K364" s="15" t="n">
        <f aca="false">E364/H364</f>
        <v>1250.29405404648</v>
      </c>
      <c r="L364" s="15" t="n">
        <f aca="false">J364/2-K364*ASINH(I364/(2*K364*SINH(J364/(2*K364))))</f>
        <v>-8.23291140974051</v>
      </c>
      <c r="M364" s="15" t="n">
        <f aca="false">-L364/K364</f>
        <v>0.00658478010280488</v>
      </c>
      <c r="N364" s="15" t="n">
        <f aca="false">(J364-L364)/K364</f>
        <v>0.0611058935161914</v>
      </c>
      <c r="O364" s="15" t="n">
        <f aca="false">K364*(SINH(N364)-SINH(M364))</f>
        <v>68.2149188892694</v>
      </c>
      <c r="P364" s="15" t="n">
        <f aca="false">E364*COSH(M364)</f>
        <v>3428.3399232754</v>
      </c>
      <c r="Q364" s="15" t="n">
        <f aca="false">E364*COSH(N364)</f>
        <v>3434.66804344285</v>
      </c>
    </row>
    <row r="365" customFormat="false" ht="21" hidden="false" customHeight="true" outlineLevel="0" collapsed="false">
      <c r="A365" s="1" t="s">
        <v>383</v>
      </c>
      <c r="B365" s="1" t="s">
        <v>323</v>
      </c>
      <c r="C365" s="15" t="n">
        <v>68.1526870123737</v>
      </c>
      <c r="D365" s="15" t="n">
        <v>2.70836250006014</v>
      </c>
      <c r="E365" s="15" t="n">
        <v>3486.64416930335</v>
      </c>
      <c r="F365" s="15" t="n">
        <v>1.32389775</v>
      </c>
      <c r="G365" s="15" t="n">
        <v>0</v>
      </c>
      <c r="H365" s="15" t="n">
        <f aca="false">SQRT(F365^2+G365^2)</f>
        <v>1.32389775</v>
      </c>
      <c r="I365" s="15" t="n">
        <f aca="false">D365*F365/H365</f>
        <v>2.70836250006014</v>
      </c>
      <c r="J365" s="15" t="n">
        <f aca="false">SQRT(C365^2+D365^2-I365^2)</f>
        <v>68.1526870123737</v>
      </c>
      <c r="K365" s="15" t="n">
        <f aca="false">E365/H365</f>
        <v>2633.62043579525</v>
      </c>
      <c r="L365" s="15" t="n">
        <f aca="false">J365/2-K365*ASINH(I365/(2*K365*SINH(J365/(2*K365))))</f>
        <v>-70.5523103413378</v>
      </c>
      <c r="M365" s="15" t="n">
        <f aca="false">-L365/K365</f>
        <v>0.026789095870618</v>
      </c>
      <c r="N365" s="15" t="n">
        <f aca="false">(J365-L365)/K365</f>
        <v>0.0526670417150784</v>
      </c>
      <c r="O365" s="15" t="n">
        <f aca="false">K365*(SINH(N365)-SINH(M365))</f>
        <v>68.2083806125639</v>
      </c>
      <c r="P365" s="15" t="n">
        <f aca="false">E365*COSH(M365)</f>
        <v>3487.89534908403</v>
      </c>
      <c r="Q365" s="15" t="n">
        <f aca="false">E365*COSH(N365)</f>
        <v>3491.48094410405</v>
      </c>
    </row>
    <row r="366" customFormat="false" ht="21" hidden="false" customHeight="true" outlineLevel="0" collapsed="false">
      <c r="A366" s="1" t="s">
        <v>383</v>
      </c>
      <c r="B366" s="1" t="s">
        <v>324</v>
      </c>
      <c r="C366" s="15" t="n">
        <v>68.1526870123737</v>
      </c>
      <c r="D366" s="15" t="n">
        <v>2.70836250006014</v>
      </c>
      <c r="E366" s="15" t="n">
        <v>521.671659978031</v>
      </c>
      <c r="F366" s="15" t="n">
        <v>1.32389775</v>
      </c>
      <c r="G366" s="15" t="n">
        <v>0</v>
      </c>
      <c r="H366" s="15" t="n">
        <f aca="false">SQRT(F366^2+G366^2)</f>
        <v>1.32389775</v>
      </c>
      <c r="I366" s="15" t="n">
        <f aca="false">D366*F366/H366</f>
        <v>2.70836250006014</v>
      </c>
      <c r="J366" s="15" t="n">
        <f aca="false">SQRT(C366^2+D366^2-I366^2)</f>
        <v>68.1526870123737</v>
      </c>
      <c r="K366" s="15" t="n">
        <f aca="false">E366/H366</f>
        <v>394.042258911635</v>
      </c>
      <c r="L366" s="15" t="n">
        <f aca="false">J366/2-K366*ASINH(I366/(2*K366*SINH(J366/(2*K366))))</f>
        <v>18.4408545985688</v>
      </c>
      <c r="M366" s="15" t="n">
        <f aca="false">-L366/K366</f>
        <v>-0.0467991799902462</v>
      </c>
      <c r="N366" s="15" t="n">
        <f aca="false">(J366-L366)/K366</f>
        <v>0.126158632201307</v>
      </c>
      <c r="O366" s="15" t="n">
        <f aca="false">K366*(SINH(N366)-SINH(M366))</f>
        <v>68.2913930690443</v>
      </c>
      <c r="P366" s="15" t="n">
        <f aca="false">E366*COSH(M366)</f>
        <v>522.243037299287</v>
      </c>
      <c r="Q366" s="15" t="n">
        <f aca="false">E366*COSH(N366)</f>
        <v>525.828632319301</v>
      </c>
    </row>
    <row r="367" customFormat="false" ht="21" hidden="false" customHeight="true" outlineLevel="0" collapsed="false">
      <c r="A367" s="1" t="s">
        <v>384</v>
      </c>
      <c r="B367" s="1" t="s">
        <v>319</v>
      </c>
      <c r="C367" s="15" t="n">
        <v>68.1526870123718</v>
      </c>
      <c r="D367" s="15" t="n">
        <v>-10.938490444796</v>
      </c>
      <c r="E367" s="15" t="n">
        <v>2204.99999999872</v>
      </c>
      <c r="F367" s="15" t="n">
        <v>1.32389775</v>
      </c>
      <c r="G367" s="15" t="n">
        <v>0</v>
      </c>
      <c r="H367" s="15" t="n">
        <f aca="false">SQRT(F367^2+G367^2)</f>
        <v>1.32389775</v>
      </c>
      <c r="I367" s="15" t="n">
        <f aca="false">D367*F367/H367</f>
        <v>-10.938490444796</v>
      </c>
      <c r="J367" s="15" t="n">
        <f aca="false">SQRT(C367^2+D367^2-I367^2)</f>
        <v>68.1526870123718</v>
      </c>
      <c r="K367" s="15" t="n">
        <f aca="false">E367/H367</f>
        <v>1665.53648119631</v>
      </c>
      <c r="L367" s="15" t="n">
        <f aca="false">J367/2-K367*ASINH(I367/(2*K367*SINH(J367/(2*K367))))</f>
        <v>300.241558458198</v>
      </c>
      <c r="M367" s="15" t="n">
        <f aca="false">-L367/K367</f>
        <v>-0.180267176280967</v>
      </c>
      <c r="N367" s="15" t="n">
        <f aca="false">(J367-L367)/K367</f>
        <v>-0.139347816193808</v>
      </c>
      <c r="O367" s="15" t="n">
        <f aca="false">K367*(SINH(N367)-SINH(M367))</f>
        <v>69.0296128986431</v>
      </c>
      <c r="P367" s="15" t="n">
        <f aca="false">E367*COSH(M367)</f>
        <v>2240.92424672354</v>
      </c>
      <c r="Q367" s="15" t="n">
        <f aca="false">E367*COSH(N367)</f>
        <v>2226.44280383528</v>
      </c>
    </row>
    <row r="368" customFormat="false" ht="21" hidden="false" customHeight="true" outlineLevel="0" collapsed="false">
      <c r="A368" s="1" t="s">
        <v>384</v>
      </c>
      <c r="B368" s="1" t="s">
        <v>320</v>
      </c>
      <c r="C368" s="15" t="n">
        <v>68.1526870123718</v>
      </c>
      <c r="D368" s="15" t="n">
        <v>-10.938490444796</v>
      </c>
      <c r="E368" s="15" t="n">
        <v>3425.40833064997</v>
      </c>
      <c r="F368" s="15" t="n">
        <v>1.32389775</v>
      </c>
      <c r="G368" s="15" t="n">
        <v>3.443895</v>
      </c>
      <c r="H368" s="15" t="n">
        <f aca="false">SQRT(F368^2+G368^2)</f>
        <v>3.68959591601574</v>
      </c>
      <c r="I368" s="15" t="n">
        <f aca="false">D368*F368/H368</f>
        <v>-3.92494007959005</v>
      </c>
      <c r="J368" s="15" t="n">
        <f aca="false">SQRT(C368^2+D368^2-I368^2)</f>
        <v>68.913236504962</v>
      </c>
      <c r="K368" s="15" t="n">
        <f aca="false">E368/H368</f>
        <v>928.396607276425</v>
      </c>
      <c r="L368" s="15" t="n">
        <f aca="false">J368/2-K368*ASINH(I368/(2*K368*SINH(J368/(2*K368))))</f>
        <v>87.2926044582295</v>
      </c>
      <c r="M368" s="15" t="n">
        <f aca="false">-L368/K368</f>
        <v>-0.0940251222096921</v>
      </c>
      <c r="N368" s="15" t="n">
        <f aca="false">(J368-L368)/K368</f>
        <v>-0.0197968926310338</v>
      </c>
      <c r="O368" s="15" t="n">
        <f aca="false">K368*(SINH(N368)-SINH(M368))</f>
        <v>69.0407144493095</v>
      </c>
      <c r="P368" s="15" t="n">
        <f aca="false">E368*COSH(M368)</f>
        <v>3440.56103326714</v>
      </c>
      <c r="Q368" s="15" t="n">
        <f aca="false">E368*COSH(N368)</f>
        <v>3426.07959037888</v>
      </c>
    </row>
    <row r="369" customFormat="false" ht="21" hidden="false" customHeight="true" outlineLevel="0" collapsed="false">
      <c r="A369" s="1" t="s">
        <v>384</v>
      </c>
      <c r="B369" s="1" t="s">
        <v>321</v>
      </c>
      <c r="C369" s="15" t="n">
        <v>68.1526870123718</v>
      </c>
      <c r="D369" s="15" t="n">
        <v>-10.938490444796</v>
      </c>
      <c r="E369" s="15" t="n">
        <v>3672.50714007519</v>
      </c>
      <c r="F369" s="15" t="n">
        <v>3.85543216183014</v>
      </c>
      <c r="G369" s="15" t="n">
        <v>0</v>
      </c>
      <c r="H369" s="15" t="n">
        <f aca="false">SQRT(F369^2+G369^2)</f>
        <v>3.85543216183014</v>
      </c>
      <c r="I369" s="15" t="n">
        <f aca="false">D369*F369/H369</f>
        <v>-10.938490444796</v>
      </c>
      <c r="J369" s="15" t="n">
        <f aca="false">SQRT(C369^2+D369^2-I369^2)</f>
        <v>68.1526870123718</v>
      </c>
      <c r="K369" s="15" t="n">
        <f aca="false">E369/H369</f>
        <v>952.553951392024</v>
      </c>
      <c r="L369" s="15" t="n">
        <f aca="false">J369/2-K369*ASINH(I369/(2*K369*SINH(J369/(2*K369))))</f>
        <v>186.2799440673</v>
      </c>
      <c r="M369" s="15" t="n">
        <f aca="false">-L369/K369</f>
        <v>-0.195558418287046</v>
      </c>
      <c r="N369" s="15" t="n">
        <f aca="false">(J369-L369)/K369</f>
        <v>-0.124011093421325</v>
      </c>
      <c r="O369" s="15" t="n">
        <f aca="false">K369*(SINH(N369)-SINH(M369))</f>
        <v>69.0392718344535</v>
      </c>
      <c r="P369" s="15" t="n">
        <f aca="false">E369*COSH(M369)</f>
        <v>3742.95524387121</v>
      </c>
      <c r="Q369" s="15" t="n">
        <f aca="false">E369*COSH(N369)</f>
        <v>3700.78263600847</v>
      </c>
    </row>
    <row r="370" customFormat="false" ht="21" hidden="false" customHeight="true" outlineLevel="0" collapsed="false">
      <c r="A370" s="1" t="s">
        <v>384</v>
      </c>
      <c r="B370" s="1" t="s">
        <v>322</v>
      </c>
      <c r="C370" s="15" t="n">
        <v>68.1526870123718</v>
      </c>
      <c r="D370" s="15" t="n">
        <v>-10.938490444796</v>
      </c>
      <c r="E370" s="15" t="n">
        <v>3426.43015158907</v>
      </c>
      <c r="F370" s="15" t="n">
        <v>2.33651151473205</v>
      </c>
      <c r="G370" s="15" t="n">
        <v>1.43495625</v>
      </c>
      <c r="H370" s="15" t="n">
        <f aca="false">SQRT(F370^2+G370^2)</f>
        <v>2.74196745018783</v>
      </c>
      <c r="I370" s="15" t="n">
        <f aca="false">D370*F370/H370</f>
        <v>-9.32101104128779</v>
      </c>
      <c r="J370" s="15" t="n">
        <f aca="false">SQRT(C370^2+D370^2-I370^2)</f>
        <v>68.3926755828824</v>
      </c>
      <c r="K370" s="15" t="n">
        <f aca="false">E370/H370</f>
        <v>1249.62466325206</v>
      </c>
      <c r="L370" s="15" t="n">
        <f aca="false">J370/2-K370*ASINH(I370/(2*K370*SINH(J370/(2*K370))))</f>
        <v>203.959623766451</v>
      </c>
      <c r="M370" s="15" t="n">
        <f aca="false">-L370/K370</f>
        <v>-0.163216707995872</v>
      </c>
      <c r="N370" s="15" t="n">
        <f aca="false">(J370-L370)/K370</f>
        <v>-0.108486133612925</v>
      </c>
      <c r="O370" s="15" t="n">
        <f aca="false">K370*(SINH(N370)-SINH(M370))</f>
        <v>69.0333763277241</v>
      </c>
      <c r="P370" s="15" t="n">
        <f aca="false">E370*COSH(M370)</f>
        <v>3472.17108516214</v>
      </c>
      <c r="Q370" s="15" t="n">
        <f aca="false">E370*COSH(N370)</f>
        <v>3446.61317628408</v>
      </c>
    </row>
    <row r="371" customFormat="false" ht="21" hidden="false" customHeight="true" outlineLevel="0" collapsed="false">
      <c r="A371" s="1" t="s">
        <v>384</v>
      </c>
      <c r="B371" s="1" t="s">
        <v>323</v>
      </c>
      <c r="C371" s="15" t="n">
        <v>68.1526870123718</v>
      </c>
      <c r="D371" s="15" t="n">
        <v>-10.938490444796</v>
      </c>
      <c r="E371" s="15" t="n">
        <v>3474.97417794817</v>
      </c>
      <c r="F371" s="15" t="n">
        <v>1.32389775</v>
      </c>
      <c r="G371" s="15" t="n">
        <v>0</v>
      </c>
      <c r="H371" s="15" t="n">
        <f aca="false">SQRT(F371^2+G371^2)</f>
        <v>1.32389775</v>
      </c>
      <c r="I371" s="15" t="n">
        <f aca="false">D371*F371/H371</f>
        <v>-10.938490444796</v>
      </c>
      <c r="J371" s="15" t="n">
        <f aca="false">SQRT(C371^2+D371^2-I371^2)</f>
        <v>68.1526870123718</v>
      </c>
      <c r="K371" s="15" t="n">
        <f aca="false">E371/H371</f>
        <v>2624.80556217289</v>
      </c>
      <c r="L371" s="15" t="n">
        <f aca="false">J371/2-K371*ASINH(I371/(2*K371*SINH(J371/(2*K371))))</f>
        <v>453.557282711987</v>
      </c>
      <c r="M371" s="15" t="n">
        <f aca="false">-L371/K371</f>
        <v>-0.172796526054493</v>
      </c>
      <c r="N371" s="15" t="n">
        <f aca="false">(J371-L371)/K371</f>
        <v>-0.146831674411939</v>
      </c>
      <c r="O371" s="15" t="n">
        <f aca="false">K371*(SINH(N371)-SINH(M371))</f>
        <v>69.026808383024</v>
      </c>
      <c r="P371" s="15" t="n">
        <f aca="false">E371*COSH(M371)</f>
        <v>3526.98239333936</v>
      </c>
      <c r="Q371" s="15" t="n">
        <f aca="false">E371*COSH(N371)</f>
        <v>3512.5009504511</v>
      </c>
    </row>
    <row r="372" customFormat="false" ht="21" hidden="false" customHeight="true" outlineLevel="0" collapsed="false">
      <c r="A372" s="1" t="s">
        <v>384</v>
      </c>
      <c r="B372" s="1" t="s">
        <v>324</v>
      </c>
      <c r="C372" s="15" t="n">
        <v>68.1526870123718</v>
      </c>
      <c r="D372" s="15" t="n">
        <v>-10.938490444796</v>
      </c>
      <c r="E372" s="15" t="n">
        <v>517.494362776946</v>
      </c>
      <c r="F372" s="15" t="n">
        <v>1.32389775</v>
      </c>
      <c r="G372" s="15" t="n">
        <v>0</v>
      </c>
      <c r="H372" s="15" t="n">
        <f aca="false">SQRT(F372^2+G372^2)</f>
        <v>1.32389775</v>
      </c>
      <c r="I372" s="15" t="n">
        <f aca="false">D372*F372/H372</f>
        <v>-10.938490444796</v>
      </c>
      <c r="J372" s="15" t="n">
        <f aca="false">SQRT(C372^2+D372^2-I372^2)</f>
        <v>68.1526870123718</v>
      </c>
      <c r="K372" s="15" t="n">
        <f aca="false">E372/H372</f>
        <v>390.886956924692</v>
      </c>
      <c r="L372" s="15" t="n">
        <f aca="false">J372/2-K372*ASINH(I372/(2*K372*SINH(J372/(2*K372))))</f>
        <v>96.4689378919639</v>
      </c>
      <c r="M372" s="15" t="n">
        <f aca="false">-L372/K372</f>
        <v>-0.246794977890627</v>
      </c>
      <c r="N372" s="15" t="n">
        <f aca="false">(J372-L372)/K372</f>
        <v>-0.0724410225973528</v>
      </c>
      <c r="O372" s="15" t="n">
        <f aca="false">K372*(SINH(N372)-SINH(M372))</f>
        <v>69.1101857739809</v>
      </c>
      <c r="P372" s="15" t="n">
        <f aca="false">E372*COSH(M372)</f>
        <v>533.334227596661</v>
      </c>
      <c r="Q372" s="15" t="n">
        <f aca="false">E372*COSH(N372)</f>
        <v>518.852784708399</v>
      </c>
    </row>
    <row r="373" customFormat="false" ht="21" hidden="false" customHeight="true" outlineLevel="0" collapsed="false">
      <c r="A373" s="1" t="s">
        <v>385</v>
      </c>
      <c r="B373" s="1" t="s">
        <v>319</v>
      </c>
      <c r="C373" s="15" t="n">
        <v>68.1526870123718</v>
      </c>
      <c r="D373" s="15" t="n">
        <v>12.7987113016979</v>
      </c>
      <c r="E373" s="15" t="n">
        <v>2204.99999999849</v>
      </c>
      <c r="F373" s="15" t="n">
        <v>1.32389775</v>
      </c>
      <c r="G373" s="15" t="n">
        <v>0</v>
      </c>
      <c r="H373" s="15" t="n">
        <f aca="false">SQRT(F373^2+G373^2)</f>
        <v>1.32389775</v>
      </c>
      <c r="I373" s="15" t="n">
        <f aca="false">D373*F373/H373</f>
        <v>12.7987113016979</v>
      </c>
      <c r="J373" s="15" t="n">
        <f aca="false">SQRT(C373^2+D373^2-I373^2)</f>
        <v>68.1526870123718</v>
      </c>
      <c r="K373" s="15" t="n">
        <f aca="false">E373/H373</f>
        <v>1665.53648119614</v>
      </c>
      <c r="L373" s="15" t="n">
        <f aca="false">J373/2-K373*ASINH(I373/(2*K373*SINH(J373/(2*K373))))</f>
        <v>-276.87120784587</v>
      </c>
      <c r="M373" s="15" t="n">
        <f aca="false">-L373/K373</f>
        <v>0.166235450842259</v>
      </c>
      <c r="N373" s="15" t="n">
        <f aca="false">(J373-L373)/K373</f>
        <v>0.207154810929422</v>
      </c>
      <c r="O373" s="15" t="n">
        <f aca="false">K373*(SINH(N373)-SINH(M373))</f>
        <v>69.3487122786704</v>
      </c>
      <c r="P373" s="15" t="n">
        <f aca="false">E373*COSH(M373)</f>
        <v>2235.53695822945</v>
      </c>
      <c r="Q373" s="15" t="n">
        <f aca="false">E373*COSH(N373)</f>
        <v>2252.48114332467</v>
      </c>
    </row>
    <row r="374" customFormat="false" ht="21" hidden="false" customHeight="true" outlineLevel="0" collapsed="false">
      <c r="A374" s="1" t="s">
        <v>385</v>
      </c>
      <c r="B374" s="1" t="s">
        <v>320</v>
      </c>
      <c r="C374" s="15" t="n">
        <v>68.1526870123718</v>
      </c>
      <c r="D374" s="15" t="n">
        <v>12.7987113016979</v>
      </c>
      <c r="E374" s="15" t="n">
        <v>3436.10539584419</v>
      </c>
      <c r="F374" s="15" t="n">
        <v>1.32389775</v>
      </c>
      <c r="G374" s="15" t="n">
        <v>3.443895</v>
      </c>
      <c r="H374" s="15" t="n">
        <f aca="false">SQRT(F374^2+G374^2)</f>
        <v>3.68959591601574</v>
      </c>
      <c r="I374" s="15" t="n">
        <f aca="false">D374*F374/H374</f>
        <v>4.59242298639434</v>
      </c>
      <c r="J374" s="15" t="n">
        <f aca="false">SQRT(C374^2+D374^2-I374^2)</f>
        <v>69.1918016032576</v>
      </c>
      <c r="K374" s="15" t="n">
        <f aca="false">E374/H374</f>
        <v>931.295858424169</v>
      </c>
      <c r="L374" s="15" t="n">
        <f aca="false">J374/2-K374*ASINH(I374/(2*K374*SINH(J374/(2*K374))))</f>
        <v>-27.1569238169052</v>
      </c>
      <c r="M374" s="15" t="n">
        <f aca="false">-L374/K374</f>
        <v>0.0291603614160349</v>
      </c>
      <c r="N374" s="15" t="n">
        <f aca="false">(J374-L374)/K374</f>
        <v>0.103456623959644</v>
      </c>
      <c r="O374" s="15" t="n">
        <f aca="false">K374*(SINH(N374)-SINH(M374))</f>
        <v>69.3599191871124</v>
      </c>
      <c r="P374" s="15" t="n">
        <f aca="false">E374*COSH(M374)</f>
        <v>3437.56640541084</v>
      </c>
      <c r="Q374" s="15" t="n">
        <f aca="false">E374*COSH(N374)</f>
        <v>3454.51059050606</v>
      </c>
    </row>
    <row r="375" customFormat="false" ht="21" hidden="false" customHeight="true" outlineLevel="0" collapsed="false">
      <c r="A375" s="1" t="s">
        <v>385</v>
      </c>
      <c r="B375" s="1" t="s">
        <v>321</v>
      </c>
      <c r="C375" s="15" t="n">
        <v>68.1526870123718</v>
      </c>
      <c r="D375" s="15" t="n">
        <v>12.7987113016979</v>
      </c>
      <c r="E375" s="15" t="n">
        <v>3664.56269710285</v>
      </c>
      <c r="F375" s="15" t="n">
        <v>3.85543216183014</v>
      </c>
      <c r="G375" s="15" t="n">
        <v>0</v>
      </c>
      <c r="H375" s="15" t="n">
        <f aca="false">SQRT(F375^2+G375^2)</f>
        <v>3.85543216183014</v>
      </c>
      <c r="I375" s="15" t="n">
        <f aca="false">D375*F375/H375</f>
        <v>12.7987113016979</v>
      </c>
      <c r="J375" s="15" t="n">
        <f aca="false">SQRT(C375^2+D375^2-I375^2)</f>
        <v>68.1526870123718</v>
      </c>
      <c r="K375" s="15" t="n">
        <f aca="false">E375/H375</f>
        <v>950.493367094629</v>
      </c>
      <c r="L375" s="15" t="n">
        <f aca="false">J375/2-K375*ASINH(I375/(2*K375*SINH(J375/(2*K375))))</f>
        <v>-143.350803656194</v>
      </c>
      <c r="M375" s="15" t="n">
        <f aca="false">-L375/K375</f>
        <v>0.150817258298576</v>
      </c>
      <c r="N375" s="15" t="n">
        <f aca="false">(J375-L375)/K375</f>
        <v>0.222519691342053</v>
      </c>
      <c r="O375" s="15" t="n">
        <f aca="false">K375*(SINH(N375)-SINH(M375))</f>
        <v>69.3583887964603</v>
      </c>
      <c r="P375" s="15" t="n">
        <f aca="false">E375*COSH(M375)</f>
        <v>3706.31854312292</v>
      </c>
      <c r="Q375" s="15" t="n">
        <f aca="false">E375*COSH(N375)</f>
        <v>3755.66310630546</v>
      </c>
    </row>
    <row r="376" customFormat="false" ht="21" hidden="false" customHeight="true" outlineLevel="0" collapsed="false">
      <c r="A376" s="1" t="s">
        <v>385</v>
      </c>
      <c r="B376" s="1" t="s">
        <v>322</v>
      </c>
      <c r="C376" s="15" t="n">
        <v>68.1526870123718</v>
      </c>
      <c r="D376" s="15" t="n">
        <v>12.7987113016979</v>
      </c>
      <c r="E376" s="15" t="n">
        <v>3425.78369032187</v>
      </c>
      <c r="F376" s="15" t="n">
        <v>2.33651151473205</v>
      </c>
      <c r="G376" s="15" t="n">
        <v>1.43495625</v>
      </c>
      <c r="H376" s="15" t="n">
        <f aca="false">SQRT(F376^2+G376^2)</f>
        <v>2.74196745018783</v>
      </c>
      <c r="I376" s="15" t="n">
        <f aca="false">D376*F376/H376</f>
        <v>10.9061602201368</v>
      </c>
      <c r="J376" s="15" t="n">
        <f aca="false">SQRT(C376^2+D376^2-I376^2)</f>
        <v>68.4810296888359</v>
      </c>
      <c r="K376" s="15" t="n">
        <f aca="false">E376/H376</f>
        <v>1249.38889777382</v>
      </c>
      <c r="L376" s="15" t="n">
        <f aca="false">J376/2-K376*ASINH(I376/(2*K376*SINH(J376/(2*K376))))</f>
        <v>-163.878570384594</v>
      </c>
      <c r="M376" s="15" t="n">
        <f aca="false">-L376/K376</f>
        <v>0.13116698145517</v>
      </c>
      <c r="N376" s="15" t="n">
        <f aca="false">(J376-L376)/K376</f>
        <v>0.185978601608716</v>
      </c>
      <c r="O376" s="15" t="n">
        <f aca="false">K376*(SINH(N376)-SINH(M376))</f>
        <v>69.3525051764266</v>
      </c>
      <c r="P376" s="15" t="n">
        <f aca="false">E376*COSH(M376)</f>
        <v>3455.29588877627</v>
      </c>
      <c r="Q376" s="15" t="n">
        <f aca="false">E376*COSH(N376)</f>
        <v>3485.20022510642</v>
      </c>
    </row>
    <row r="377" customFormat="false" ht="21" hidden="false" customHeight="true" outlineLevel="0" collapsed="false">
      <c r="A377" s="1" t="s">
        <v>385</v>
      </c>
      <c r="B377" s="1" t="s">
        <v>323</v>
      </c>
      <c r="C377" s="15" t="n">
        <v>68.1526870123718</v>
      </c>
      <c r="D377" s="15" t="n">
        <v>12.7987113016979</v>
      </c>
      <c r="E377" s="15" t="n">
        <v>3470.46274025334</v>
      </c>
      <c r="F377" s="15" t="n">
        <v>1.32389775</v>
      </c>
      <c r="G377" s="15" t="n">
        <v>0</v>
      </c>
      <c r="H377" s="15" t="n">
        <f aca="false">SQRT(F377^2+G377^2)</f>
        <v>1.32389775</v>
      </c>
      <c r="I377" s="15" t="n">
        <f aca="false">D377*F377/H377</f>
        <v>12.7987113016979</v>
      </c>
      <c r="J377" s="15" t="n">
        <f aca="false">SQRT(C377^2+D377^2-I377^2)</f>
        <v>68.1526870123718</v>
      </c>
      <c r="K377" s="15" t="n">
        <f aca="false">E377/H377</f>
        <v>2621.3978687201</v>
      </c>
      <c r="L377" s="15" t="n">
        <f aca="false">J377/2-K377*ASINH(I377/(2*K377*SINH(J377/(2*K377))))</f>
        <v>-455.346001895321</v>
      </c>
      <c r="M377" s="15" t="n">
        <f aca="false">-L377/K377</f>
        <v>0.173703506563711</v>
      </c>
      <c r="N377" s="15" t="n">
        <f aca="false">(J377-L377)/K377</f>
        <v>0.199702111287399</v>
      </c>
      <c r="O377" s="15" t="n">
        <f aca="false">K377*(SINH(N377)-SINH(M377))</f>
        <v>69.3459255633343</v>
      </c>
      <c r="P377" s="15" t="n">
        <f aca="false">E377*COSH(M377)</f>
        <v>3522.95149640852</v>
      </c>
      <c r="Q377" s="15" t="n">
        <f aca="false">E377*COSH(N377)</f>
        <v>3539.89568150374</v>
      </c>
    </row>
    <row r="378" customFormat="false" ht="21" hidden="false" customHeight="true" outlineLevel="0" collapsed="false">
      <c r="A378" s="1" t="s">
        <v>385</v>
      </c>
      <c r="B378" s="1" t="s">
        <v>324</v>
      </c>
      <c r="C378" s="15" t="n">
        <v>68.1526870123718</v>
      </c>
      <c r="D378" s="15" t="n">
        <v>12.7987113016979</v>
      </c>
      <c r="E378" s="15" t="n">
        <v>515.895126561282</v>
      </c>
      <c r="F378" s="15" t="n">
        <v>1.32389775</v>
      </c>
      <c r="G378" s="15" t="n">
        <v>0</v>
      </c>
      <c r="H378" s="15" t="n">
        <f aca="false">SQRT(F378^2+G378^2)</f>
        <v>1.32389775</v>
      </c>
      <c r="I378" s="15" t="n">
        <f aca="false">D378*F378/H378</f>
        <v>12.7987113016979</v>
      </c>
      <c r="J378" s="15" t="n">
        <f aca="false">SQRT(C378^2+D378^2-I378^2)</f>
        <v>68.1526870123718</v>
      </c>
      <c r="K378" s="15" t="n">
        <f aca="false">E378/H378</f>
        <v>389.678981296918</v>
      </c>
      <c r="L378" s="15" t="n">
        <f aca="false">J378/2-K378*ASINH(I378/(2*K378*SINH(J378/(2*K378))))</f>
        <v>-38.5882568902876</v>
      </c>
      <c r="M378" s="15" t="n">
        <f aca="false">-L378/K378</f>
        <v>0.0990257590026009</v>
      </c>
      <c r="N378" s="15" t="n">
        <f aca="false">(J378-L378)/K378</f>
        <v>0.273920198485962</v>
      </c>
      <c r="O378" s="15" t="n">
        <f aca="false">K378*(SINH(N378)-SINH(M378))</f>
        <v>69.42944208274</v>
      </c>
      <c r="P378" s="15" t="n">
        <f aca="false">E378*COSH(M378)</f>
        <v>518.426654092907</v>
      </c>
      <c r="Q378" s="15" t="n">
        <f aca="false">E378*COSH(N378)</f>
        <v>535.370839188125</v>
      </c>
    </row>
    <row r="379" customFormat="false" ht="21" hidden="false" customHeight="true" outlineLevel="0" collapsed="false">
      <c r="A379" s="1" t="s">
        <v>386</v>
      </c>
      <c r="B379" s="1" t="s">
        <v>319</v>
      </c>
      <c r="C379" s="15" t="n">
        <v>68.1526870123737</v>
      </c>
      <c r="D379" s="15" t="n">
        <v>-4.10380521326497</v>
      </c>
      <c r="E379" s="15" t="n">
        <v>2205.00000000069</v>
      </c>
      <c r="F379" s="15" t="n">
        <v>1.32389775</v>
      </c>
      <c r="G379" s="15" t="n">
        <v>0</v>
      </c>
      <c r="H379" s="15" t="n">
        <f aca="false">SQRT(F379^2+G379^2)</f>
        <v>1.32389775</v>
      </c>
      <c r="I379" s="15" t="n">
        <f aca="false">D379*F379/H379</f>
        <v>-4.10380521326497</v>
      </c>
      <c r="J379" s="15" t="n">
        <f aca="false">SQRT(C379^2+D379^2-I379^2)</f>
        <v>68.1526870123737</v>
      </c>
      <c r="K379" s="15" t="n">
        <f aca="false">E379/H379</f>
        <v>1665.5364811978</v>
      </c>
      <c r="L379" s="15" t="n">
        <f aca="false">J379/2-K379*ASINH(I379/(2*K379*SINH(J379/(2*K379))))</f>
        <v>134.298915792623</v>
      </c>
      <c r="M379" s="15" t="n">
        <f aca="false">-L379/K379</f>
        <v>-0.0806340283198357</v>
      </c>
      <c r="N379" s="15" t="n">
        <f aca="false">(J379-L379)/K379</f>
        <v>-0.039714668232712</v>
      </c>
      <c r="O379" s="15" t="n">
        <f aca="false">K379*(SINH(N379)-SINH(M379))</f>
        <v>68.2808765391474</v>
      </c>
      <c r="P379" s="15" t="n">
        <f aca="false">E379*COSH(M379)</f>
        <v>2212.17217055875</v>
      </c>
      <c r="Q379" s="15" t="n">
        <f aca="false">E379*COSH(N379)</f>
        <v>2206.73915207047</v>
      </c>
    </row>
    <row r="380" customFormat="false" ht="21" hidden="false" customHeight="true" outlineLevel="0" collapsed="false">
      <c r="A380" s="1" t="s">
        <v>386</v>
      </c>
      <c r="B380" s="1" t="s">
        <v>320</v>
      </c>
      <c r="C380" s="15" t="n">
        <v>68.1526870123737</v>
      </c>
      <c r="D380" s="15" t="n">
        <v>-4.10380521326497</v>
      </c>
      <c r="E380" s="15" t="n">
        <v>3400.27988192179</v>
      </c>
      <c r="F380" s="15" t="n">
        <v>1.32389775</v>
      </c>
      <c r="G380" s="15" t="n">
        <v>3.443895</v>
      </c>
      <c r="H380" s="15" t="n">
        <f aca="false">SQRT(F380^2+G380^2)</f>
        <v>3.68959591601574</v>
      </c>
      <c r="I380" s="15" t="n">
        <f aca="false">D380*F380/H380</f>
        <v>-1.47252398689412</v>
      </c>
      <c r="J380" s="15" t="n">
        <f aca="false">SQRT(C380^2+D380^2-I380^2)</f>
        <v>68.2602493208383</v>
      </c>
      <c r="K380" s="15" t="n">
        <f aca="false">E380/H380</f>
        <v>921.58598375554</v>
      </c>
      <c r="L380" s="15" t="n">
        <f aca="false">J380/2-K380*ASINH(I380/(2*K380*SINH(J380/(2*K380))))</f>
        <v>54.0046807072835</v>
      </c>
      <c r="M380" s="15" t="n">
        <f aca="false">-L380/K380</f>
        <v>-0.0585997201120724</v>
      </c>
      <c r="N380" s="15" t="n">
        <f aca="false">(J380-L380)/K380</f>
        <v>0.015468517170218</v>
      </c>
      <c r="O380" s="15" t="n">
        <f aca="false">K380*(SINH(N380)-SINH(M380))</f>
        <v>68.2917311587641</v>
      </c>
      <c r="P380" s="15" t="n">
        <f aca="false">E380*COSH(M380)</f>
        <v>3406.11970954581</v>
      </c>
      <c r="Q380" s="15" t="n">
        <f aca="false">E380*COSH(N380)</f>
        <v>3400.68669105754</v>
      </c>
    </row>
    <row r="381" customFormat="false" ht="21" hidden="false" customHeight="true" outlineLevel="0" collapsed="false">
      <c r="A381" s="1" t="s">
        <v>386</v>
      </c>
      <c r="B381" s="1" t="s">
        <v>321</v>
      </c>
      <c r="C381" s="15" t="n">
        <v>68.1526870123737</v>
      </c>
      <c r="D381" s="15" t="n">
        <v>-4.10380521326497</v>
      </c>
      <c r="E381" s="15" t="n">
        <v>3691.4282008344</v>
      </c>
      <c r="F381" s="15" t="n">
        <v>3.85543216183014</v>
      </c>
      <c r="G381" s="15" t="n">
        <v>0</v>
      </c>
      <c r="H381" s="15" t="n">
        <f aca="false">SQRT(F381^2+G381^2)</f>
        <v>3.85543216183014</v>
      </c>
      <c r="I381" s="15" t="n">
        <f aca="false">D381*F381/H381</f>
        <v>-4.10380521326497</v>
      </c>
      <c r="J381" s="15" t="n">
        <f aca="false">SQRT(C381^2+D381^2-I381^2)</f>
        <v>68.1526870123737</v>
      </c>
      <c r="K381" s="15" t="n">
        <f aca="false">E381/H381</f>
        <v>957.46158819252</v>
      </c>
      <c r="L381" s="15" t="n">
        <f aca="false">J381/2-K381*ASINH(I381/(2*K381*SINH(J381/(2*K381))))</f>
        <v>91.6828378723255</v>
      </c>
      <c r="M381" s="15" t="n">
        <f aca="false">-L381/K381</f>
        <v>-0.0957561525213798</v>
      </c>
      <c r="N381" s="15" t="n">
        <f aca="false">(J381-L381)/K381</f>
        <v>-0.0245755559806546</v>
      </c>
      <c r="O381" s="15" t="n">
        <f aca="false">K381*(SINH(N381)-SINH(M381))</f>
        <v>68.29049298864</v>
      </c>
      <c r="P381" s="15" t="n">
        <f aca="false">E381*COSH(M381)</f>
        <v>3708.36493325262</v>
      </c>
      <c r="Q381" s="15" t="n">
        <f aca="false">E381*COSH(N381)</f>
        <v>3692.54299064751</v>
      </c>
    </row>
    <row r="382" customFormat="false" ht="21" hidden="false" customHeight="true" outlineLevel="0" collapsed="false">
      <c r="A382" s="1" t="s">
        <v>386</v>
      </c>
      <c r="B382" s="1" t="s">
        <v>322</v>
      </c>
      <c r="C382" s="15" t="n">
        <v>68.1526870123737</v>
      </c>
      <c r="D382" s="15" t="n">
        <v>-4.10380521326497</v>
      </c>
      <c r="E382" s="15" t="n">
        <v>3428.09937746224</v>
      </c>
      <c r="F382" s="15" t="n">
        <v>2.33651151473205</v>
      </c>
      <c r="G382" s="15" t="n">
        <v>1.43495625</v>
      </c>
      <c r="H382" s="15" t="n">
        <f aca="false">SQRT(F382^2+G382^2)</f>
        <v>2.74196745018783</v>
      </c>
      <c r="I382" s="15" t="n">
        <f aca="false">D382*F382/H382</f>
        <v>-3.49697372751606</v>
      </c>
      <c r="J382" s="15" t="n">
        <f aca="false">SQRT(C382^2+D382^2-I382^2)</f>
        <v>68.1865172815275</v>
      </c>
      <c r="K382" s="15" t="n">
        <f aca="false">E382/H382</f>
        <v>1250.23343264976</v>
      </c>
      <c r="L382" s="15" t="n">
        <f aca="false">J382/2-K382*ASINH(I382/(2*K382*SINH(J382/(2*K382))))</f>
        <v>98.1759872406396</v>
      </c>
      <c r="M382" s="15" t="n">
        <f aca="false">-L382/K382</f>
        <v>-0.0785261253433002</v>
      </c>
      <c r="N382" s="15" t="n">
        <f aca="false">(J382-L382)/K382</f>
        <v>-0.0239870964700984</v>
      </c>
      <c r="O382" s="15" t="n">
        <f aca="false">K382*(SINH(N382)-SINH(M382))</f>
        <v>68.2845703729127</v>
      </c>
      <c r="P382" s="15" t="n">
        <f aca="false">E382*COSH(M382)</f>
        <v>3438.67424416248</v>
      </c>
      <c r="Q382" s="15" t="n">
        <f aca="false">E382*COSH(N382)</f>
        <v>3429.08565602747</v>
      </c>
    </row>
    <row r="383" customFormat="false" ht="21" hidden="false" customHeight="true" outlineLevel="0" collapsed="false">
      <c r="A383" s="1" t="s">
        <v>386</v>
      </c>
      <c r="B383" s="1" t="s">
        <v>323</v>
      </c>
      <c r="C383" s="15" t="n">
        <v>68.1526870123737</v>
      </c>
      <c r="D383" s="15" t="n">
        <v>-4.10380521326497</v>
      </c>
      <c r="E383" s="15" t="n">
        <v>3485.64548010108</v>
      </c>
      <c r="F383" s="15" t="n">
        <v>1.32389775</v>
      </c>
      <c r="G383" s="15" t="n">
        <v>0</v>
      </c>
      <c r="H383" s="15" t="n">
        <f aca="false">SQRT(F383^2+G383^2)</f>
        <v>1.32389775</v>
      </c>
      <c r="I383" s="15" t="n">
        <f aca="false">D383*F383/H383</f>
        <v>-4.10380521326497</v>
      </c>
      <c r="J383" s="15" t="n">
        <f aca="false">SQRT(C383^2+D383^2-I383^2)</f>
        <v>68.1526870123737</v>
      </c>
      <c r="K383" s="15" t="n">
        <f aca="false">E383/H383</f>
        <v>2632.86608055727</v>
      </c>
      <c r="L383" s="15" t="n">
        <f aca="false">J383/2-K383*ASINH(I383/(2*K383*SINH(J383/(2*K383))))</f>
        <v>192.513965975947</v>
      </c>
      <c r="M383" s="15" t="n">
        <f aca="false">-L383/K383</f>
        <v>-0.073119543526194</v>
      </c>
      <c r="N383" s="15" t="n">
        <f aca="false">(J383-L383)/K383</f>
        <v>-0.0472341832658846</v>
      </c>
      <c r="O383" s="15" t="n">
        <f aca="false">K383*(SINH(N383)-SINH(M383))</f>
        <v>68.2780295859911</v>
      </c>
      <c r="P383" s="15" t="n">
        <f aca="false">E383*COSH(M383)</f>
        <v>3494.9675777403</v>
      </c>
      <c r="Q383" s="15" t="n">
        <f aca="false">E383*COSH(N383)</f>
        <v>3489.53455925202</v>
      </c>
    </row>
    <row r="384" customFormat="false" ht="21" hidden="false" customHeight="true" outlineLevel="0" collapsed="false">
      <c r="A384" s="1" t="s">
        <v>386</v>
      </c>
      <c r="B384" s="1" t="s">
        <v>324</v>
      </c>
      <c r="C384" s="15" t="n">
        <v>68.1526870123737</v>
      </c>
      <c r="D384" s="15" t="n">
        <v>-4.10380521326497</v>
      </c>
      <c r="E384" s="15" t="n">
        <v>521.311865070841</v>
      </c>
      <c r="F384" s="15" t="n">
        <v>1.32389775</v>
      </c>
      <c r="G384" s="15" t="n">
        <v>0</v>
      </c>
      <c r="H384" s="15" t="n">
        <f aca="false">SQRT(F384^2+G384^2)</f>
        <v>1.32389775</v>
      </c>
      <c r="I384" s="15" t="n">
        <f aca="false">D384*F384/H384</f>
        <v>-4.10380521326497</v>
      </c>
      <c r="J384" s="15" t="n">
        <f aca="false">SQRT(C384^2+D384^2-I384^2)</f>
        <v>68.1526870123737</v>
      </c>
      <c r="K384" s="15" t="n">
        <f aca="false">E384/H384</f>
        <v>393.770489504073</v>
      </c>
      <c r="L384" s="15" t="n">
        <f aca="false">J384/2-K384*ASINH(I384/(2*K384*SINH(J384/(2*K384))))</f>
        <v>57.7433616690431</v>
      </c>
      <c r="M384" s="15" t="n">
        <f aca="false">-L384/K384</f>
        <v>-0.146642176618585</v>
      </c>
      <c r="N384" s="15" t="n">
        <f aca="false">(J384-L384)/K384</f>
        <v>0.0264350062302546</v>
      </c>
      <c r="O384" s="15" t="n">
        <f aca="false">K384*(SINH(N384)-SINH(M384))</f>
        <v>68.3610735531691</v>
      </c>
      <c r="P384" s="15" t="n">
        <f aca="false">E384*COSH(M384)</f>
        <v>526.927043022713</v>
      </c>
      <c r="Q384" s="15" t="n">
        <f aca="false">E384*COSH(N384)</f>
        <v>521.494024534433</v>
      </c>
    </row>
    <row r="385" customFormat="false" ht="21" hidden="false" customHeight="true" outlineLevel="0" collapsed="false">
      <c r="A385" s="1" t="s">
        <v>387</v>
      </c>
      <c r="B385" s="1" t="s">
        <v>319</v>
      </c>
      <c r="C385" s="15" t="n">
        <v>56.0094548579217</v>
      </c>
      <c r="D385" s="15" t="n">
        <v>11.4679579130861</v>
      </c>
      <c r="E385" s="15" t="n">
        <v>2204.99999999604</v>
      </c>
      <c r="F385" s="15" t="n">
        <v>1.32389775</v>
      </c>
      <c r="G385" s="15" t="n">
        <v>0</v>
      </c>
      <c r="H385" s="15" t="n">
        <f aca="false">SQRT(F385^2+G385^2)</f>
        <v>1.32389775</v>
      </c>
      <c r="I385" s="15" t="n">
        <f aca="false">D385*F385/H385</f>
        <v>11.4679579130861</v>
      </c>
      <c r="J385" s="15" t="n">
        <f aca="false">SQRT(C385^2+D385^2-I385^2)</f>
        <v>56.0094548579217</v>
      </c>
      <c r="K385" s="15" t="n">
        <f aca="false">E385/H385</f>
        <v>1665.53648119429</v>
      </c>
      <c r="L385" s="15" t="n">
        <f aca="false">J385/2-K385*ASINH(I385/(2*K385*SINH(J385/(2*K385))))</f>
        <v>-310.659898262003</v>
      </c>
      <c r="M385" s="15" t="n">
        <f aca="false">-L385/K385</f>
        <v>0.186522421916115</v>
      </c>
      <c r="N385" s="15" t="n">
        <f aca="false">(J385-L385)/K385</f>
        <v>0.220150898680406</v>
      </c>
      <c r="O385" s="15" t="n">
        <f aca="false">K385*(SINH(N385)-SINH(M385))</f>
        <v>57.1740215335129</v>
      </c>
      <c r="P385" s="15" t="n">
        <f aca="false">E385*COSH(M385)</f>
        <v>2243.46798512673</v>
      </c>
      <c r="Q385" s="15" t="n">
        <f aca="false">E385*COSH(N385)</f>
        <v>2258.65038880496</v>
      </c>
    </row>
    <row r="386" customFormat="false" ht="21" hidden="false" customHeight="true" outlineLevel="0" collapsed="false">
      <c r="A386" s="1" t="s">
        <v>387</v>
      </c>
      <c r="B386" s="1" t="s">
        <v>320</v>
      </c>
      <c r="C386" s="15" t="n">
        <v>56.0094548579217</v>
      </c>
      <c r="D386" s="15" t="n">
        <v>11.4679579130861</v>
      </c>
      <c r="E386" s="15" t="n">
        <v>3319.0079828834</v>
      </c>
      <c r="F386" s="15" t="n">
        <v>1.32389775</v>
      </c>
      <c r="G386" s="15" t="n">
        <v>3.443895</v>
      </c>
      <c r="H386" s="15" t="n">
        <f aca="false">SQRT(F386^2+G386^2)</f>
        <v>3.68959591601574</v>
      </c>
      <c r="I386" s="15" t="n">
        <f aca="false">D386*F386/H386</f>
        <v>4.1149231579333</v>
      </c>
      <c r="J386" s="15" t="n">
        <f aca="false">SQRT(C386^2+D386^2-I386^2)</f>
        <v>57.023157572886</v>
      </c>
      <c r="K386" s="15" t="n">
        <f aca="false">E386/H386</f>
        <v>899.558666702848</v>
      </c>
      <c r="L386" s="15" t="n">
        <f aca="false">J386/2-K386*ASINH(I386/(2*K386*SINH(J386/(2*K386))))</f>
        <v>-36.3356120756545</v>
      </c>
      <c r="M386" s="15" t="n">
        <f aca="false">-L386/K386</f>
        <v>0.0403927096926712</v>
      </c>
      <c r="N386" s="15" t="n">
        <f aca="false">(J386-L386)/K386</f>
        <v>0.103782858310652</v>
      </c>
      <c r="O386" s="15" t="n">
        <f aca="false">K386*(SINH(N386)-SINH(M386))</f>
        <v>57.1809590678142</v>
      </c>
      <c r="P386" s="15" t="n">
        <f aca="false">E386*COSH(M386)</f>
        <v>3321.71594962074</v>
      </c>
      <c r="Q386" s="15" t="n">
        <f aca="false">E386*COSH(N386)</f>
        <v>3336.89835329896</v>
      </c>
    </row>
    <row r="387" customFormat="false" ht="21" hidden="false" customHeight="true" outlineLevel="0" collapsed="false">
      <c r="A387" s="1" t="s">
        <v>387</v>
      </c>
      <c r="B387" s="1" t="s">
        <v>321</v>
      </c>
      <c r="C387" s="15" t="n">
        <v>56.0094548579217</v>
      </c>
      <c r="D387" s="15" t="n">
        <v>11.4679579130861</v>
      </c>
      <c r="E387" s="15" t="n">
        <v>3549.69197189597</v>
      </c>
      <c r="F387" s="15" t="n">
        <v>3.85543216183014</v>
      </c>
      <c r="G387" s="15" t="n">
        <v>0</v>
      </c>
      <c r="H387" s="15" t="n">
        <f aca="false">SQRT(F387^2+G387^2)</f>
        <v>3.85543216183014</v>
      </c>
      <c r="I387" s="15" t="n">
        <f aca="false">D387*F387/H387</f>
        <v>11.4679579130861</v>
      </c>
      <c r="J387" s="15" t="n">
        <f aca="false">SQRT(C387^2+D387^2-I387^2)</f>
        <v>56.0094548579217</v>
      </c>
      <c r="K387" s="15" t="n">
        <f aca="false">E387/H387</f>
        <v>920.698853695034</v>
      </c>
      <c r="L387" s="15" t="n">
        <f aca="false">J387/2-K387*ASINH(I387/(2*K387*SINH(J387/(2*K387))))</f>
        <v>-159.187330068933</v>
      </c>
      <c r="M387" s="15" t="n">
        <f aca="false">-L387/K387</f>
        <v>0.172898368918423</v>
      </c>
      <c r="N387" s="15" t="n">
        <f aca="false">(J387-L387)/K387</f>
        <v>0.233732000494197</v>
      </c>
      <c r="O387" s="15" t="n">
        <f aca="false">K387*(SINH(N387)-SINH(M387))</f>
        <v>57.179897362847</v>
      </c>
      <c r="P387" s="15" t="n">
        <f aca="false">E387*COSH(M387)</f>
        <v>3602.88124928475</v>
      </c>
      <c r="Q387" s="15" t="n">
        <f aca="false">E387*COSH(N387)</f>
        <v>3647.09518305337</v>
      </c>
    </row>
    <row r="388" customFormat="false" ht="21" hidden="false" customHeight="true" outlineLevel="0" collapsed="false">
      <c r="A388" s="1" t="s">
        <v>387</v>
      </c>
      <c r="B388" s="1" t="s">
        <v>322</v>
      </c>
      <c r="C388" s="15" t="n">
        <v>56.0094548579217</v>
      </c>
      <c r="D388" s="15" t="n">
        <v>11.4679579130861</v>
      </c>
      <c r="E388" s="15" t="n">
        <v>3378.62358259894</v>
      </c>
      <c r="F388" s="15" t="n">
        <v>2.33651151473205</v>
      </c>
      <c r="G388" s="15" t="n">
        <v>1.43495625</v>
      </c>
      <c r="H388" s="15" t="n">
        <f aca="false">SQRT(F388^2+G388^2)</f>
        <v>2.74196745018783</v>
      </c>
      <c r="I388" s="15" t="n">
        <f aca="false">D388*F388/H388</f>
        <v>9.77218592166462</v>
      </c>
      <c r="J388" s="15" t="n">
        <f aca="false">SQRT(C388^2+D388^2-I388^2)</f>
        <v>56.3300761093956</v>
      </c>
      <c r="K388" s="15" t="n">
        <f aca="false">E388/H388</f>
        <v>1232.18952959033</v>
      </c>
      <c r="L388" s="15" t="n">
        <f aca="false">J388/2-K388*ASINH(I388/(2*K388*SINH(J388/(2*K388))))</f>
        <v>-184.519886523655</v>
      </c>
      <c r="M388" s="15" t="n">
        <f aca="false">-L388/K388</f>
        <v>0.149749597843931</v>
      </c>
      <c r="N388" s="15" t="n">
        <f aca="false">(J388-L388)/K388</f>
        <v>0.195465029404305</v>
      </c>
      <c r="O388" s="15" t="n">
        <f aca="false">K388*(SINH(N388)-SINH(M388))</f>
        <v>57.1762691047744</v>
      </c>
      <c r="P388" s="15" t="n">
        <f aca="false">E388*COSH(M388)</f>
        <v>3416.57714771788</v>
      </c>
      <c r="Q388" s="15" t="n">
        <f aca="false">E388*COSH(N388)</f>
        <v>3443.37216343227</v>
      </c>
    </row>
    <row r="389" customFormat="false" ht="21" hidden="false" customHeight="true" outlineLevel="0" collapsed="false">
      <c r="A389" s="1" t="s">
        <v>387</v>
      </c>
      <c r="B389" s="1" t="s">
        <v>323</v>
      </c>
      <c r="C389" s="15" t="n">
        <v>56.0094548579217</v>
      </c>
      <c r="D389" s="15" t="n">
        <v>11.4679579130861</v>
      </c>
      <c r="E389" s="15" t="n">
        <v>3505.01215105032</v>
      </c>
      <c r="F389" s="15" t="n">
        <v>1.32389775</v>
      </c>
      <c r="G389" s="15" t="n">
        <v>0</v>
      </c>
      <c r="H389" s="15" t="n">
        <f aca="false">SQRT(F389^2+G389^2)</f>
        <v>1.32389775</v>
      </c>
      <c r="I389" s="15" t="n">
        <f aca="false">D389*F389/H389</f>
        <v>11.4679579130861</v>
      </c>
      <c r="J389" s="15" t="n">
        <f aca="false">SQRT(C389^2+D389^2-I389^2)</f>
        <v>56.0094548579217</v>
      </c>
      <c r="K389" s="15" t="n">
        <f aca="false">E389/H389</f>
        <v>2647.49460526715</v>
      </c>
      <c r="L389" s="15" t="n">
        <f aca="false">J389/2-K389*ASINH(I389/(2*K389*SINH(J389/(2*K389))))</f>
        <v>-510.343103046615</v>
      </c>
      <c r="M389" s="15" t="n">
        <f aca="false">-L389/K389</f>
        <v>0.192764548804479</v>
      </c>
      <c r="N389" s="15" t="n">
        <f aca="false">(J389-L389)/K389</f>
        <v>0.213920193369908</v>
      </c>
      <c r="O389" s="15" t="n">
        <f aca="false">K389*(SINH(N389)-SINH(M389))</f>
        <v>57.1724592448807</v>
      </c>
      <c r="P389" s="15" t="n">
        <f aca="false">E389*COSH(M389)</f>
        <v>3570.33396665527</v>
      </c>
      <c r="Q389" s="15" t="n">
        <f aca="false">E389*COSH(N389)</f>
        <v>3585.5163703335</v>
      </c>
    </row>
    <row r="390" customFormat="false" ht="21" hidden="false" customHeight="true" outlineLevel="0" collapsed="false">
      <c r="A390" s="1" t="s">
        <v>387</v>
      </c>
      <c r="B390" s="1" t="s">
        <v>324</v>
      </c>
      <c r="C390" s="15" t="n">
        <v>56.0094548579217</v>
      </c>
      <c r="D390" s="15" t="n">
        <v>11.4679579130861</v>
      </c>
      <c r="E390" s="15" t="n">
        <v>431.833430851487</v>
      </c>
      <c r="F390" s="15" t="n">
        <v>1.32389775</v>
      </c>
      <c r="G390" s="15" t="n">
        <v>0</v>
      </c>
      <c r="H390" s="15" t="n">
        <f aca="false">SQRT(F390^2+G390^2)</f>
        <v>1.32389775</v>
      </c>
      <c r="I390" s="15" t="n">
        <f aca="false">D390*F390/H390</f>
        <v>11.4679579130861</v>
      </c>
      <c r="J390" s="15" t="n">
        <f aca="false">SQRT(C390^2+D390^2-I390^2)</f>
        <v>56.0094548579217</v>
      </c>
      <c r="K390" s="15" t="n">
        <f aca="false">E390/H390</f>
        <v>326.183370922329</v>
      </c>
      <c r="L390" s="15" t="n">
        <f aca="false">J390/2-K390*ASINH(I390/(2*K390*SINH(J390/(2*K390))))</f>
        <v>-38.2430782436273</v>
      </c>
      <c r="M390" s="15" t="n">
        <f aca="false">-L390/K390</f>
        <v>0.117244107618024</v>
      </c>
      <c r="N390" s="15" t="n">
        <f aca="false">(J390-L390)/K390</f>
        <v>0.288955665750332</v>
      </c>
      <c r="O390" s="15" t="n">
        <f aca="false">K390*(SINH(N390)-SINH(M390))</f>
        <v>57.2388735952041</v>
      </c>
      <c r="P390" s="15" t="n">
        <f aca="false">E390*COSH(M390)</f>
        <v>434.804862534796</v>
      </c>
      <c r="Q390" s="15" t="n">
        <f aca="false">E390*COSH(N390)</f>
        <v>449.987266213026</v>
      </c>
    </row>
    <row r="391" customFormat="false" ht="21" hidden="false" customHeight="true" outlineLevel="0" collapsed="false">
      <c r="A391" s="1" t="s">
        <v>388</v>
      </c>
      <c r="B391" s="1" t="s">
        <v>319</v>
      </c>
      <c r="C391" s="15" t="n">
        <v>69.7949639470296</v>
      </c>
      <c r="D391" s="15" t="n">
        <v>12.1846719458314</v>
      </c>
      <c r="E391" s="15" t="n">
        <v>2205.00000000207</v>
      </c>
      <c r="F391" s="15" t="n">
        <v>1.32389775</v>
      </c>
      <c r="G391" s="15" t="n">
        <v>0</v>
      </c>
      <c r="H391" s="15" t="n">
        <f aca="false">SQRT(F391^2+G391^2)</f>
        <v>1.32389775</v>
      </c>
      <c r="I391" s="15" t="n">
        <f aca="false">D391*F391/H391</f>
        <v>12.1846719458314</v>
      </c>
      <c r="J391" s="15" t="n">
        <f aca="false">SQRT(C391^2+D391^2-I391^2)</f>
        <v>69.7949639470296</v>
      </c>
      <c r="K391" s="15" t="n">
        <f aca="false">E391/H391</f>
        <v>1665.53648119885</v>
      </c>
      <c r="L391" s="15" t="n">
        <f aca="false">J391/2-K391*ASINH(I391/(2*K391*SINH(J391/(2*K391))))</f>
        <v>-254.390674132861</v>
      </c>
      <c r="M391" s="15" t="n">
        <f aca="false">-L391/K391</f>
        <v>0.15273797782547</v>
      </c>
      <c r="N391" s="15" t="n">
        <f aca="false">(J391-L391)/K391</f>
        <v>0.194643372714684</v>
      </c>
      <c r="O391" s="15" t="n">
        <f aca="false">K391*(SINH(N391)-SINH(M391))</f>
        <v>70.8556005459082</v>
      </c>
      <c r="P391" s="15" t="n">
        <f aca="false">E391*COSH(M391)</f>
        <v>2230.77014176688</v>
      </c>
      <c r="Q391" s="15" t="n">
        <f aca="false">E391*COSH(N391)</f>
        <v>2246.90140154045</v>
      </c>
    </row>
    <row r="392" customFormat="false" ht="21" hidden="false" customHeight="true" outlineLevel="0" collapsed="false">
      <c r="A392" s="1" t="s">
        <v>388</v>
      </c>
      <c r="B392" s="1" t="s">
        <v>320</v>
      </c>
      <c r="C392" s="15" t="n">
        <v>69.7949639470296</v>
      </c>
      <c r="D392" s="15" t="n">
        <v>12.1846719458314</v>
      </c>
      <c r="E392" s="15" t="n">
        <v>3447.58488326794</v>
      </c>
      <c r="F392" s="15" t="n">
        <v>1.32389775</v>
      </c>
      <c r="G392" s="15" t="n">
        <v>3.443895</v>
      </c>
      <c r="H392" s="15" t="n">
        <f aca="false">SQRT(F392^2+G392^2)</f>
        <v>3.68959591601574</v>
      </c>
      <c r="I392" s="15" t="n">
        <f aca="false">D392*F392/H392</f>
        <v>4.37209389341308</v>
      </c>
      <c r="J392" s="15" t="n">
        <f aca="false">SQRT(C392^2+D392^2-I392^2)</f>
        <v>70.7155429716967</v>
      </c>
      <c r="K392" s="15" t="n">
        <f aca="false">E392/H392</f>
        <v>934.407171338929</v>
      </c>
      <c r="L392" s="15" t="n">
        <f aca="false">J392/2-K392*ASINH(I392/(2*K392*SINH(J392/(2*K392))))</f>
        <v>-22.3628452253216</v>
      </c>
      <c r="M392" s="15" t="n">
        <f aca="false">-L392/K392</f>
        <v>0.0239326558177818</v>
      </c>
      <c r="N392" s="15" t="n">
        <f aca="false">(J392-L392)/K392</f>
        <v>0.099612236562402</v>
      </c>
      <c r="O392" s="15" t="n">
        <f aca="false">K392*(SINH(N392)-SINH(M392))</f>
        <v>70.8674143955291</v>
      </c>
      <c r="P392" s="15" t="n">
        <f aca="false">E392*COSH(M392)</f>
        <v>3448.57227046493</v>
      </c>
      <c r="Q392" s="15" t="n">
        <f aca="false">E392*COSH(N392)</f>
        <v>3464.7035302385</v>
      </c>
    </row>
    <row r="393" customFormat="false" ht="21" hidden="false" customHeight="true" outlineLevel="0" collapsed="false">
      <c r="A393" s="1" t="s">
        <v>388</v>
      </c>
      <c r="B393" s="1" t="s">
        <v>321</v>
      </c>
      <c r="C393" s="15" t="n">
        <v>69.7949639470296</v>
      </c>
      <c r="D393" s="15" t="n">
        <v>12.1846719458314</v>
      </c>
      <c r="E393" s="15" t="n">
        <v>3683.70680622383</v>
      </c>
      <c r="F393" s="15" t="n">
        <v>3.85543216183014</v>
      </c>
      <c r="G393" s="15" t="n">
        <v>0</v>
      </c>
      <c r="H393" s="15" t="n">
        <f aca="false">SQRT(F393^2+G393^2)</f>
        <v>3.85543216183014</v>
      </c>
      <c r="I393" s="15" t="n">
        <f aca="false">D393*F393/H393</f>
        <v>12.1846719458314</v>
      </c>
      <c r="J393" s="15" t="n">
        <f aca="false">SQRT(C393^2+D393^2-I393^2)</f>
        <v>69.7949639470296</v>
      </c>
      <c r="K393" s="15" t="n">
        <f aca="false">E393/H393</f>
        <v>955.458856906773</v>
      </c>
      <c r="L393" s="15" t="n">
        <f aca="false">J393/2-K393*ASINH(I393/(2*K393*SINH(J393/(2*K393))))</f>
        <v>-131.032306140294</v>
      </c>
      <c r="M393" s="15" t="n">
        <f aca="false">-L393/K393</f>
        <v>0.137140710134293</v>
      </c>
      <c r="N393" s="15" t="n">
        <f aca="false">(J393-L393)/K393</f>
        <v>0.21018934372275</v>
      </c>
      <c r="O393" s="15" t="n">
        <f aca="false">K393*(SINH(N393)-SINH(M393))</f>
        <v>70.8658575836687</v>
      </c>
      <c r="P393" s="15" t="n">
        <f aca="false">E393*COSH(M393)</f>
        <v>3718.40192758503</v>
      </c>
      <c r="Q393" s="15" t="n">
        <f aca="false">E393*COSH(N393)</f>
        <v>3765.37910368634</v>
      </c>
    </row>
    <row r="394" customFormat="false" ht="21" hidden="false" customHeight="true" outlineLevel="0" collapsed="false">
      <c r="A394" s="1" t="s">
        <v>388</v>
      </c>
      <c r="B394" s="1" t="s">
        <v>322</v>
      </c>
      <c r="C394" s="15" t="n">
        <v>69.7949639470296</v>
      </c>
      <c r="D394" s="15" t="n">
        <v>12.1846719458314</v>
      </c>
      <c r="E394" s="15" t="n">
        <v>3432.67892665028</v>
      </c>
      <c r="F394" s="15" t="n">
        <v>2.33651151473205</v>
      </c>
      <c r="G394" s="15" t="n">
        <v>1.43495625</v>
      </c>
      <c r="H394" s="15" t="n">
        <f aca="false">SQRT(F394^2+G394^2)</f>
        <v>2.74196745018783</v>
      </c>
      <c r="I394" s="15" t="n">
        <f aca="false">D394*F394/H394</f>
        <v>10.3829191344767</v>
      </c>
      <c r="J394" s="15" t="n">
        <f aca="false">SQRT(C394^2+D394^2-I394^2)</f>
        <v>70.085649123352</v>
      </c>
      <c r="K394" s="15" t="n">
        <f aca="false">E394/H394</f>
        <v>1251.90360170583</v>
      </c>
      <c r="L394" s="15" t="n">
        <f aca="false">J394/2-K394*ASINH(I394/(2*K394*SINH(J394/(2*K394))))</f>
        <v>-149.726125323826</v>
      </c>
      <c r="M394" s="15" t="n">
        <f aca="false">-L394/K394</f>
        <v>0.119598765527802</v>
      </c>
      <c r="N394" s="15" t="n">
        <f aca="false">(J394-L394)/K394</f>
        <v>0.175582028957873</v>
      </c>
      <c r="O394" s="15" t="n">
        <f aca="false">K394*(SINH(N394)-SINH(M394))</f>
        <v>70.8596236125743</v>
      </c>
      <c r="P394" s="15" t="n">
        <f aca="false">E394*COSH(M394)</f>
        <v>3457.25849176229</v>
      </c>
      <c r="Q394" s="15" t="n">
        <f aca="false">E394*COSH(N394)</f>
        <v>3485.72811806696</v>
      </c>
    </row>
    <row r="395" customFormat="false" ht="21" hidden="false" customHeight="true" outlineLevel="0" collapsed="false">
      <c r="A395" s="1" t="s">
        <v>388</v>
      </c>
      <c r="B395" s="1" t="s">
        <v>323</v>
      </c>
      <c r="C395" s="15" t="n">
        <v>69.7949639470296</v>
      </c>
      <c r="D395" s="15" t="n">
        <v>12.1846719458314</v>
      </c>
      <c r="E395" s="15" t="n">
        <v>3467.06413148962</v>
      </c>
      <c r="F395" s="15" t="n">
        <v>1.32389775</v>
      </c>
      <c r="G395" s="15" t="n">
        <v>0</v>
      </c>
      <c r="H395" s="15" t="n">
        <f aca="false">SQRT(F395^2+G395^2)</f>
        <v>1.32389775</v>
      </c>
      <c r="I395" s="15" t="n">
        <f aca="false">D395*F395/H395</f>
        <v>12.1846719458314</v>
      </c>
      <c r="J395" s="15" t="n">
        <f aca="false">SQRT(C395^2+D395^2-I395^2)</f>
        <v>69.7949639470296</v>
      </c>
      <c r="K395" s="15" t="n">
        <f aca="false">E395/H395</f>
        <v>2618.83074541793</v>
      </c>
      <c r="L395" s="15" t="n">
        <f aca="false">J395/2-K395*ASINH(I395/(2*K395*SINH(J395/(2*K395))))</f>
        <v>-419.988622040028</v>
      </c>
      <c r="M395" s="15" t="n">
        <f aca="false">-L395/K395</f>
        <v>0.160372571910142</v>
      </c>
      <c r="N395" s="15" t="n">
        <f aca="false">(J395-L395)/K395</f>
        <v>0.187023765031022</v>
      </c>
      <c r="O395" s="15" t="n">
        <f aca="false">K395*(SINH(N395)-SINH(M395))</f>
        <v>70.8526045148111</v>
      </c>
      <c r="P395" s="15" t="n">
        <f aca="false">E395*COSH(M395)</f>
        <v>3511.74511074926</v>
      </c>
      <c r="Q395" s="15" t="n">
        <f aca="false">E395*COSH(N395)</f>
        <v>3527.87637052284</v>
      </c>
    </row>
    <row r="396" customFormat="false" ht="21" hidden="false" customHeight="true" outlineLevel="0" collapsed="false">
      <c r="A396" s="1" t="s">
        <v>388</v>
      </c>
      <c r="B396" s="1" t="s">
        <v>324</v>
      </c>
      <c r="C396" s="15" t="n">
        <v>69.7949639470296</v>
      </c>
      <c r="D396" s="15" t="n">
        <v>12.1846719458314</v>
      </c>
      <c r="E396" s="15" t="n">
        <v>527.666342756496</v>
      </c>
      <c r="F396" s="15" t="n">
        <v>1.32389775</v>
      </c>
      <c r="G396" s="15" t="n">
        <v>0</v>
      </c>
      <c r="H396" s="15" t="n">
        <f aca="false">SQRT(F396^2+G396^2)</f>
        <v>1.32389775</v>
      </c>
      <c r="I396" s="15" t="n">
        <f aca="false">D396*F396/H396</f>
        <v>12.1846719458314</v>
      </c>
      <c r="J396" s="15" t="n">
        <f aca="false">SQRT(C396^2+D396^2-I396^2)</f>
        <v>69.7949639470296</v>
      </c>
      <c r="K396" s="15" t="n">
        <f aca="false">E396/H396</f>
        <v>398.570314630791</v>
      </c>
      <c r="L396" s="15" t="n">
        <f aca="false">J396/2-K396*ASINH(I396/(2*K396*SINH(J396/(2*K396))))</f>
        <v>-34.2479773607262</v>
      </c>
      <c r="M396" s="15" t="n">
        <f aca="false">-L396/K396</f>
        <v>0.0859270650711938</v>
      </c>
      <c r="N396" s="15" t="n">
        <f aca="false">(J396-L396)/K396</f>
        <v>0.261040367253979</v>
      </c>
      <c r="O396" s="15" t="n">
        <f aca="false">K396*(SINH(N396)-SINH(M396))</f>
        <v>70.938453006336</v>
      </c>
      <c r="P396" s="15" t="n">
        <f aca="false">E396*COSH(M396)</f>
        <v>529.615543436951</v>
      </c>
      <c r="Q396" s="15" t="n">
        <f aca="false">E396*COSH(N396)</f>
        <v>545.746803210525</v>
      </c>
    </row>
    <row r="397" customFormat="false" ht="21" hidden="false" customHeight="true" outlineLevel="0" collapsed="false">
      <c r="A397" s="1" t="s">
        <v>389</v>
      </c>
      <c r="B397" s="1" t="s">
        <v>319</v>
      </c>
      <c r="C397" s="15" t="n">
        <v>69.7949639470296</v>
      </c>
      <c r="D397" s="15" t="n">
        <v>3.44748519453296</v>
      </c>
      <c r="E397" s="15" t="n">
        <v>2205.00000000059</v>
      </c>
      <c r="F397" s="15" t="n">
        <v>1.32389775</v>
      </c>
      <c r="G397" s="15" t="n">
        <v>0</v>
      </c>
      <c r="H397" s="15" t="n">
        <f aca="false">SQRT(F397^2+G397^2)</f>
        <v>1.32389775</v>
      </c>
      <c r="I397" s="15" t="n">
        <f aca="false">D397*F397/H397</f>
        <v>3.44748519453296</v>
      </c>
      <c r="J397" s="15" t="n">
        <f aca="false">SQRT(C397^2+D397^2-I397^2)</f>
        <v>69.7949639470296</v>
      </c>
      <c r="K397" s="15" t="n">
        <f aca="false">E397/H397</f>
        <v>1665.53648119773</v>
      </c>
      <c r="L397" s="15" t="n">
        <f aca="false">J397/2-K397*ASINH(I397/(2*K397*SINH(J397/(2*K397))))</f>
        <v>-47.3313799775661</v>
      </c>
      <c r="M397" s="15" t="n">
        <f aca="false">-L397/K397</f>
        <v>0.0284180986198086</v>
      </c>
      <c r="N397" s="15" t="n">
        <f aca="false">(J397-L397)/K397</f>
        <v>0.0703234935090507</v>
      </c>
      <c r="O397" s="15" t="n">
        <f aca="false">K397*(SINH(N397)-SINH(M397))</f>
        <v>69.8851561668163</v>
      </c>
      <c r="P397" s="15" t="n">
        <f aca="false">E397*COSH(M397)</f>
        <v>2205.89042605589</v>
      </c>
      <c r="Q397" s="15" t="n">
        <f aca="false">E397*COSH(N397)</f>
        <v>2210.45454394809</v>
      </c>
    </row>
    <row r="398" customFormat="false" ht="21" hidden="false" customHeight="true" outlineLevel="0" collapsed="false">
      <c r="A398" s="1" t="s">
        <v>389</v>
      </c>
      <c r="B398" s="1" t="s">
        <v>320</v>
      </c>
      <c r="C398" s="15" t="n">
        <v>69.7949639470296</v>
      </c>
      <c r="D398" s="15" t="n">
        <v>3.44748519453296</v>
      </c>
      <c r="E398" s="15" t="n">
        <v>3415.52474826562</v>
      </c>
      <c r="F398" s="15" t="n">
        <v>1.32389775</v>
      </c>
      <c r="G398" s="15" t="n">
        <v>3.443895</v>
      </c>
      <c r="H398" s="15" t="n">
        <f aca="false">SQRT(F398^2+G398^2)</f>
        <v>3.68959591601574</v>
      </c>
      <c r="I398" s="15" t="n">
        <f aca="false">D398*F398/H398</f>
        <v>1.23702378149018</v>
      </c>
      <c r="J398" s="15" t="n">
        <f aca="false">SQRT(C398^2+D398^2-I398^2)</f>
        <v>69.8691056096879</v>
      </c>
      <c r="K398" s="15" t="n">
        <f aca="false">E398/H398</f>
        <v>925.717836319028</v>
      </c>
      <c r="L398" s="15" t="n">
        <f aca="false">J398/2-K398*ASINH(I398/(2*K398*SINH(J398/(2*K398))))</f>
        <v>18.5495793205425</v>
      </c>
      <c r="M398" s="15" t="n">
        <f aca="false">-L398/K398</f>
        <v>-0.0200380489526938</v>
      </c>
      <c r="N398" s="15" t="n">
        <f aca="false">(J398-L398)/K398</f>
        <v>0.0554375472478843</v>
      </c>
      <c r="O398" s="15" t="n">
        <f aca="false">K398*(SINH(N398)-SINH(M398))</f>
        <v>69.8966379245128</v>
      </c>
      <c r="P398" s="15" t="n">
        <f aca="false">E398*COSH(M398)</f>
        <v>3416.21047777467</v>
      </c>
      <c r="Q398" s="15" t="n">
        <f aca="false">E398*COSH(N398)</f>
        <v>3420.77459566687</v>
      </c>
    </row>
    <row r="399" customFormat="false" ht="21" hidden="false" customHeight="true" outlineLevel="0" collapsed="false">
      <c r="A399" s="1" t="s">
        <v>389</v>
      </c>
      <c r="B399" s="1" t="s">
        <v>321</v>
      </c>
      <c r="C399" s="15" t="n">
        <v>69.7949639470296</v>
      </c>
      <c r="D399" s="15" t="n">
        <v>3.44748519453296</v>
      </c>
      <c r="E399" s="15" t="n">
        <v>3707.8638841271</v>
      </c>
      <c r="F399" s="15" t="n">
        <v>3.85543216183014</v>
      </c>
      <c r="G399" s="15" t="n">
        <v>0</v>
      </c>
      <c r="H399" s="15" t="n">
        <f aca="false">SQRT(F399^2+G399^2)</f>
        <v>3.85543216183014</v>
      </c>
      <c r="I399" s="15" t="n">
        <f aca="false">D399*F399/H399</f>
        <v>3.44748519453296</v>
      </c>
      <c r="J399" s="15" t="n">
        <f aca="false">SQRT(C399^2+D399^2-I399^2)</f>
        <v>69.7949639470296</v>
      </c>
      <c r="K399" s="15" t="n">
        <f aca="false">E399/H399</f>
        <v>961.724581964117</v>
      </c>
      <c r="L399" s="15" t="n">
        <f aca="false">J399/2-K399*ASINH(I399/(2*K399*SINH(J399/(2*K399))))</f>
        <v>-12.5766872130782</v>
      </c>
      <c r="M399" s="15" t="n">
        <f aca="false">-L399/K399</f>
        <v>0.0130772234056792</v>
      </c>
      <c r="N399" s="15" t="n">
        <f aca="false">(J399-L399)/K399</f>
        <v>0.0856499383554087</v>
      </c>
      <c r="O399" s="15" t="n">
        <f aca="false">K399*(SINH(N399)-SINH(M399))</f>
        <v>69.8953542898465</v>
      </c>
      <c r="P399" s="15" t="n">
        <f aca="false">E399*COSH(M399)</f>
        <v>3708.18093653987</v>
      </c>
      <c r="Q399" s="15" t="n">
        <f aca="false">E399*COSH(N399)</f>
        <v>3721.4724818363</v>
      </c>
    </row>
    <row r="400" customFormat="false" ht="21" hidden="false" customHeight="true" outlineLevel="0" collapsed="false">
      <c r="A400" s="1" t="s">
        <v>389</v>
      </c>
      <c r="B400" s="1" t="s">
        <v>322</v>
      </c>
      <c r="C400" s="15" t="n">
        <v>69.7949639470296</v>
      </c>
      <c r="D400" s="15" t="n">
        <v>3.44748519453296</v>
      </c>
      <c r="E400" s="15" t="n">
        <v>3434.74676495664</v>
      </c>
      <c r="F400" s="15" t="n">
        <v>2.33651151473205</v>
      </c>
      <c r="G400" s="15" t="n">
        <v>1.43495625</v>
      </c>
      <c r="H400" s="15" t="n">
        <f aca="false">SQRT(F400^2+G400^2)</f>
        <v>2.74196745018783</v>
      </c>
      <c r="I400" s="15" t="n">
        <f aca="false">D400*F400/H400</f>
        <v>2.9377040392448</v>
      </c>
      <c r="J400" s="15" t="n">
        <f aca="false">SQRT(C400^2+D400^2-I400^2)</f>
        <v>69.8182787063065</v>
      </c>
      <c r="K400" s="15" t="n">
        <f aca="false">E400/H400</f>
        <v>1252.65774570787</v>
      </c>
      <c r="L400" s="15" t="n">
        <f aca="false">J400/2-K400*ASINH(I400/(2*K400*SINH(J400/(2*K400))))</f>
        <v>-17.7758730629354</v>
      </c>
      <c r="M400" s="15" t="n">
        <f aca="false">-L400/K400</f>
        <v>0.0141905266014145</v>
      </c>
      <c r="N400" s="15" t="n">
        <f aca="false">(J400-L400)/K400</f>
        <v>0.0699266436258238</v>
      </c>
      <c r="O400" s="15" t="n">
        <f aca="false">K400*(SINH(N400)-SINH(M400))</f>
        <v>69.8890849361738</v>
      </c>
      <c r="P400" s="15" t="n">
        <f aca="false">E400*COSH(M400)</f>
        <v>3435.09260003308</v>
      </c>
      <c r="Q400" s="15" t="n">
        <f aca="false">E400*COSH(N400)</f>
        <v>3443.14768888698</v>
      </c>
    </row>
    <row r="401" customFormat="false" ht="21" hidden="false" customHeight="true" outlineLevel="0" collapsed="false">
      <c r="A401" s="1" t="s">
        <v>389</v>
      </c>
      <c r="B401" s="1" t="s">
        <v>323</v>
      </c>
      <c r="C401" s="15" t="n">
        <v>69.7949639470296</v>
      </c>
      <c r="D401" s="15" t="n">
        <v>3.44748519453296</v>
      </c>
      <c r="E401" s="15" t="n">
        <v>3480.29604424288</v>
      </c>
      <c r="F401" s="15" t="n">
        <v>1.32389775</v>
      </c>
      <c r="G401" s="15" t="n">
        <v>0</v>
      </c>
      <c r="H401" s="15" t="n">
        <f aca="false">SQRT(F401^2+G401^2)</f>
        <v>1.32389775</v>
      </c>
      <c r="I401" s="15" t="n">
        <f aca="false">D401*F401/H401</f>
        <v>3.44748519453296</v>
      </c>
      <c r="J401" s="15" t="n">
        <f aca="false">SQRT(C401^2+D401^2-I401^2)</f>
        <v>69.7949639470296</v>
      </c>
      <c r="K401" s="15" t="n">
        <f aca="false">E401/H401</f>
        <v>2628.82540909438</v>
      </c>
      <c r="L401" s="15" t="n">
        <f aca="false">J401/2-K401*ASINH(I401/(2*K401*SINH(J401/(2*K401))))</f>
        <v>-94.8954010808041</v>
      </c>
      <c r="M401" s="15" t="n">
        <f aca="false">-L401/K401</f>
        <v>0.0360980233805238</v>
      </c>
      <c r="N401" s="15" t="n">
        <f aca="false">(J401-L401)/K401</f>
        <v>0.0626478899884678</v>
      </c>
      <c r="O401" s="15" t="n">
        <f aca="false">K401*(SINH(N401)-SINH(M401))</f>
        <v>69.8821028722706</v>
      </c>
      <c r="P401" s="15" t="n">
        <f aca="false">E401*COSH(M401)</f>
        <v>3482.56382045309</v>
      </c>
      <c r="Q401" s="15" t="n">
        <f aca="false">E401*COSH(N401)</f>
        <v>3487.12793834529</v>
      </c>
    </row>
    <row r="402" customFormat="false" ht="21" hidden="false" customHeight="true" outlineLevel="0" collapsed="false">
      <c r="A402" s="1" t="s">
        <v>389</v>
      </c>
      <c r="B402" s="1" t="s">
        <v>324</v>
      </c>
      <c r="C402" s="15" t="n">
        <v>69.7949639470296</v>
      </c>
      <c r="D402" s="15" t="n">
        <v>3.44748519453296</v>
      </c>
      <c r="E402" s="15" t="n">
        <v>532.58841309781</v>
      </c>
      <c r="F402" s="15" t="n">
        <v>1.32389775</v>
      </c>
      <c r="G402" s="15" t="n">
        <v>0</v>
      </c>
      <c r="H402" s="15" t="n">
        <f aca="false">SQRT(F402^2+G402^2)</f>
        <v>1.32389775</v>
      </c>
      <c r="I402" s="15" t="n">
        <f aca="false">D402*F402/H402</f>
        <v>3.44748519453296</v>
      </c>
      <c r="J402" s="15" t="n">
        <f aca="false">SQRT(C402^2+D402^2-I402^2)</f>
        <v>69.7949639470296</v>
      </c>
      <c r="K402" s="15" t="n">
        <f aca="false">E402/H402</f>
        <v>402.288177540758</v>
      </c>
      <c r="L402" s="15" t="n">
        <f aca="false">J402/2-K402*ASINH(I402/(2*K402*SINH(J402/(2*K402))))</f>
        <v>15.0596118873861</v>
      </c>
      <c r="M402" s="15" t="n">
        <f aca="false">-L402/K402</f>
        <v>-0.0374348855575313</v>
      </c>
      <c r="N402" s="15" t="n">
        <f aca="false">(J402-L402)/K402</f>
        <v>0.13606005623692</v>
      </c>
      <c r="O402" s="15" t="n">
        <f aca="false">K402*(SINH(N402)-SINH(M402))</f>
        <v>69.9675178280923</v>
      </c>
      <c r="P402" s="15" t="n">
        <f aca="false">E402*COSH(M402)</f>
        <v>532.961633566883</v>
      </c>
      <c r="Q402" s="15" t="n">
        <f aca="false">E402*COSH(N402)</f>
        <v>537.525751459083</v>
      </c>
    </row>
    <row r="403" customFormat="false" ht="21" hidden="false" customHeight="true" outlineLevel="0" collapsed="false">
      <c r="A403" s="1" t="s">
        <v>390</v>
      </c>
      <c r="B403" s="1" t="s">
        <v>319</v>
      </c>
      <c r="C403" s="15" t="n">
        <v>56.8852299738879</v>
      </c>
      <c r="D403" s="15" t="n">
        <v>11.8139038660112</v>
      </c>
      <c r="E403" s="15" t="n">
        <v>2204.99999999631</v>
      </c>
      <c r="F403" s="15" t="n">
        <v>1.32389775</v>
      </c>
      <c r="G403" s="15" t="n">
        <v>0</v>
      </c>
      <c r="H403" s="15" t="n">
        <f aca="false">SQRT(F403^2+G403^2)</f>
        <v>1.32389775</v>
      </c>
      <c r="I403" s="15" t="n">
        <f aca="false">D403*F403/H403</f>
        <v>11.8139038660112</v>
      </c>
      <c r="J403" s="15" t="n">
        <f aca="false">SQRT(C403^2+D403^2-I403^2)</f>
        <v>56.8852299738879</v>
      </c>
      <c r="K403" s="15" t="n">
        <f aca="false">E403/H403</f>
        <v>1665.53648119449</v>
      </c>
      <c r="L403" s="15" t="n">
        <f aca="false">J403/2-K403*ASINH(I403/(2*K403*SINH(J403/(2*K403))))</f>
        <v>-314.999512861831</v>
      </c>
      <c r="M403" s="15" t="n">
        <f aca="false">-L403/K403</f>
        <v>0.18912795751908</v>
      </c>
      <c r="N403" s="15" t="n">
        <f aca="false">(J403-L403)/K403</f>
        <v>0.223282255918531</v>
      </c>
      <c r="O403" s="15" t="n">
        <f aca="false">K403*(SINH(N403)-SINH(M403))</f>
        <v>58.1017408483876</v>
      </c>
      <c r="P403" s="15" t="n">
        <f aca="false">E403*COSH(M403)</f>
        <v>2244.55343581256</v>
      </c>
      <c r="Q403" s="15" t="n">
        <f aca="false">E403*COSH(N403)</f>
        <v>2260.19383655949</v>
      </c>
    </row>
    <row r="404" customFormat="false" ht="21" hidden="false" customHeight="true" outlineLevel="0" collapsed="false">
      <c r="A404" s="1" t="s">
        <v>390</v>
      </c>
      <c r="B404" s="1" t="s">
        <v>320</v>
      </c>
      <c r="C404" s="15" t="n">
        <v>56.8852299738879</v>
      </c>
      <c r="D404" s="15" t="n">
        <v>11.8139038660112</v>
      </c>
      <c r="E404" s="15" t="n">
        <v>3329.16749819448</v>
      </c>
      <c r="F404" s="15" t="n">
        <v>1.32389775</v>
      </c>
      <c r="G404" s="15" t="n">
        <v>3.443895</v>
      </c>
      <c r="H404" s="15" t="n">
        <f aca="false">SQRT(F404^2+G404^2)</f>
        <v>3.68959591601574</v>
      </c>
      <c r="I404" s="15" t="n">
        <f aca="false">D404*F404/H404</f>
        <v>4.23905519816868</v>
      </c>
      <c r="J404" s="15" t="n">
        <f aca="false">SQRT(C404^2+D404^2-I404^2)</f>
        <v>57.9441811122079</v>
      </c>
      <c r="K404" s="15" t="n">
        <f aca="false">E404/H404</f>
        <v>902.312224420913</v>
      </c>
      <c r="L404" s="15" t="n">
        <f aca="false">J404/2-K404*ASINH(I404/(2*K404*SINH(J404/(2*K404))))</f>
        <v>-36.9688229772047</v>
      </c>
      <c r="M404" s="15" t="n">
        <f aca="false">-L404/K404</f>
        <v>0.0409712092739635</v>
      </c>
      <c r="N404" s="15" t="n">
        <f aca="false">(J404-L404)/K404</f>
        <v>0.105188649250902</v>
      </c>
      <c r="O404" s="15" t="n">
        <f aca="false">K404*(SINH(N404)-SINH(M404))</f>
        <v>58.1089641033938</v>
      </c>
      <c r="P404" s="15" t="n">
        <f aca="false">E404*COSH(M404)</f>
        <v>3331.96212593972</v>
      </c>
      <c r="Q404" s="15" t="n">
        <f aca="false">E404*COSH(N404)</f>
        <v>3347.60252668665</v>
      </c>
    </row>
    <row r="405" customFormat="false" ht="21" hidden="false" customHeight="true" outlineLevel="0" collapsed="false">
      <c r="A405" s="1" t="s">
        <v>390</v>
      </c>
      <c r="B405" s="1" t="s">
        <v>321</v>
      </c>
      <c r="C405" s="15" t="n">
        <v>56.8852299738879</v>
      </c>
      <c r="D405" s="15" t="n">
        <v>11.8139038660112</v>
      </c>
      <c r="E405" s="15" t="n">
        <v>3556.50009949488</v>
      </c>
      <c r="F405" s="15" t="n">
        <v>3.85543216183014</v>
      </c>
      <c r="G405" s="15" t="n">
        <v>0</v>
      </c>
      <c r="H405" s="15" t="n">
        <f aca="false">SQRT(F405^2+G405^2)</f>
        <v>3.85543216183014</v>
      </c>
      <c r="I405" s="15" t="n">
        <f aca="false">D405*F405/H405</f>
        <v>11.8139038660112</v>
      </c>
      <c r="J405" s="15" t="n">
        <f aca="false">SQRT(C405^2+D405^2-I405^2)</f>
        <v>56.8852299738879</v>
      </c>
      <c r="K405" s="15" t="n">
        <f aca="false">E405/H405</f>
        <v>922.464706993223</v>
      </c>
      <c r="L405" s="15" t="n">
        <f aca="false">J405/2-K405*ASINH(I405/(2*K405*SINH(J405/(2*K405))))</f>
        <v>-161.75371735776</v>
      </c>
      <c r="M405" s="15" t="n">
        <f aca="false">-L405/K405</f>
        <v>0.175349491564828</v>
      </c>
      <c r="N405" s="15" t="n">
        <f aca="false">(J405-L405)/K405</f>
        <v>0.237016056738151</v>
      </c>
      <c r="O405" s="15" t="n">
        <f aca="false">K405*(SINH(N405)-SINH(M405))</f>
        <v>58.10785919639</v>
      </c>
      <c r="P405" s="15" t="n">
        <f aca="false">E405*COSH(M405)</f>
        <v>3611.31698458103</v>
      </c>
      <c r="Q405" s="15" t="n">
        <f aca="false">E405*COSH(N405)</f>
        <v>3656.86468950282</v>
      </c>
    </row>
    <row r="406" customFormat="false" ht="21" hidden="false" customHeight="true" outlineLevel="0" collapsed="false">
      <c r="A406" s="1" t="s">
        <v>390</v>
      </c>
      <c r="B406" s="1" t="s">
        <v>322</v>
      </c>
      <c r="C406" s="15" t="n">
        <v>56.8852299738879</v>
      </c>
      <c r="D406" s="15" t="n">
        <v>11.8139038660112</v>
      </c>
      <c r="E406" s="15" t="n">
        <v>3381.77718163069</v>
      </c>
      <c r="F406" s="15" t="n">
        <v>2.33651151473205</v>
      </c>
      <c r="G406" s="15" t="n">
        <v>1.43495625</v>
      </c>
      <c r="H406" s="15" t="n">
        <f aca="false">SQRT(F406^2+G406^2)</f>
        <v>2.74196745018783</v>
      </c>
      <c r="I406" s="15" t="n">
        <f aca="false">D406*F406/H406</f>
        <v>10.0669766940456</v>
      </c>
      <c r="J406" s="15" t="n">
        <f aca="false">SQRT(C406^2+D406^2-I406^2)</f>
        <v>57.2202210235072</v>
      </c>
      <c r="K406" s="15" t="n">
        <f aca="false">E406/H406</f>
        <v>1233.33965229931</v>
      </c>
      <c r="L406" s="15" t="n">
        <f aca="false">J406/2-K406*ASINH(I406/(2*K406*SINH(J406/(2*K406))))</f>
        <v>-187.252904489403</v>
      </c>
      <c r="M406" s="15" t="n">
        <f aca="false">-L406/K406</f>
        <v>0.151825901437862</v>
      </c>
      <c r="N406" s="15" t="n">
        <f aca="false">(J406-L406)/K406</f>
        <v>0.198220437538953</v>
      </c>
      <c r="O406" s="15" t="n">
        <f aca="false">K406*(SINH(N406)-SINH(M406))</f>
        <v>58.1040880176753</v>
      </c>
      <c r="P406" s="15" t="n">
        <f aca="false">E406*COSH(M406)</f>
        <v>3420.82896014869</v>
      </c>
      <c r="Q406" s="15" t="n">
        <f aca="false">E406*COSH(N406)</f>
        <v>3448.43228256556</v>
      </c>
    </row>
    <row r="407" customFormat="false" ht="21" hidden="false" customHeight="true" outlineLevel="0" collapsed="false">
      <c r="A407" s="1" t="s">
        <v>390</v>
      </c>
      <c r="B407" s="1" t="s">
        <v>323</v>
      </c>
      <c r="C407" s="15" t="n">
        <v>56.8852299738879</v>
      </c>
      <c r="D407" s="15" t="n">
        <v>11.8139038660112</v>
      </c>
      <c r="E407" s="15" t="n">
        <v>3501.87230029877</v>
      </c>
      <c r="F407" s="15" t="n">
        <v>1.32389775</v>
      </c>
      <c r="G407" s="15" t="n">
        <v>0</v>
      </c>
      <c r="H407" s="15" t="n">
        <f aca="false">SQRT(F407^2+G407^2)</f>
        <v>1.32389775</v>
      </c>
      <c r="I407" s="15" t="n">
        <f aca="false">D407*F407/H407</f>
        <v>11.8139038660112</v>
      </c>
      <c r="J407" s="15" t="n">
        <f aca="false">SQRT(C407^2+D407^2-I407^2)</f>
        <v>56.8852299738879</v>
      </c>
      <c r="K407" s="15" t="n">
        <f aca="false">E407/H407</f>
        <v>2645.12293362442</v>
      </c>
      <c r="L407" s="15" t="n">
        <f aca="false">J407/2-K407*ASINH(I407/(2*K407*SINH(J407/(2*K407))))</f>
        <v>-517.011018832272</v>
      </c>
      <c r="M407" s="15" t="n">
        <f aca="false">-L407/K407</f>
        <v>0.19545821944988</v>
      </c>
      <c r="N407" s="15" t="n">
        <f aca="false">(J407-L407)/K407</f>
        <v>0.216963923117097</v>
      </c>
      <c r="O407" s="15" t="n">
        <f aca="false">K407*(SINH(N407)-SINH(M407))</f>
        <v>58.1001069921736</v>
      </c>
      <c r="P407" s="15" t="n">
        <f aca="false">E407*COSH(M407)</f>
        <v>3568.97815182326</v>
      </c>
      <c r="Q407" s="15" t="n">
        <f aca="false">E407*COSH(N407)</f>
        <v>3584.61855257019</v>
      </c>
    </row>
    <row r="408" customFormat="false" ht="21" hidden="false" customHeight="true" outlineLevel="0" collapsed="false">
      <c r="A408" s="1" t="s">
        <v>390</v>
      </c>
      <c r="B408" s="1" t="s">
        <v>324</v>
      </c>
      <c r="C408" s="15" t="n">
        <v>56.8852299738879</v>
      </c>
      <c r="D408" s="15" t="n">
        <v>11.8139038660112</v>
      </c>
      <c r="E408" s="15" t="n">
        <v>437.773495517683</v>
      </c>
      <c r="F408" s="15" t="n">
        <v>1.32389775</v>
      </c>
      <c r="G408" s="15" t="n">
        <v>0</v>
      </c>
      <c r="H408" s="15" t="n">
        <f aca="false">SQRT(F408^2+G408^2)</f>
        <v>1.32389775</v>
      </c>
      <c r="I408" s="15" t="n">
        <f aca="false">D408*F408/H408</f>
        <v>11.8139038660112</v>
      </c>
      <c r="J408" s="15" t="n">
        <f aca="false">SQRT(C408^2+D408^2-I408^2)</f>
        <v>56.8852299738879</v>
      </c>
      <c r="K408" s="15" t="n">
        <f aca="false">E408/H408</f>
        <v>330.670171104742</v>
      </c>
      <c r="L408" s="15" t="n">
        <f aca="false">J408/2-K408*ASINH(I408/(2*K408*SINH(J408/(2*K408))))</f>
        <v>-39.6636883742087</v>
      </c>
      <c r="M408" s="15" t="n">
        <f aca="false">-L408/K408</f>
        <v>0.119949399250908</v>
      </c>
      <c r="N408" s="15" t="n">
        <f aca="false">(J408-L408)/K408</f>
        <v>0.291979521544186</v>
      </c>
      <c r="O408" s="15" t="n">
        <f aca="false">K408*(SINH(N408)-SINH(M408))</f>
        <v>58.1677404538691</v>
      </c>
      <c r="P408" s="15" t="n">
        <f aca="false">E408*COSH(M408)</f>
        <v>440.926584844605</v>
      </c>
      <c r="Q408" s="15" t="n">
        <f aca="false">E408*COSH(N408)</f>
        <v>456.566985591534</v>
      </c>
    </row>
    <row r="409" customFormat="false" ht="21" hidden="false" customHeight="true" outlineLevel="0" collapsed="false">
      <c r="A409" s="1" t="s">
        <v>391</v>
      </c>
      <c r="B409" s="1" t="s">
        <v>319</v>
      </c>
      <c r="C409" s="15" t="n">
        <v>56.8852299738504</v>
      </c>
      <c r="D409" s="15" t="n">
        <v>9.72080538140435</v>
      </c>
      <c r="E409" s="15" t="n">
        <v>2205.00000000458</v>
      </c>
      <c r="F409" s="15" t="n">
        <v>1.32389775</v>
      </c>
      <c r="G409" s="15" t="n">
        <v>0</v>
      </c>
      <c r="H409" s="15" t="n">
        <f aca="false">SQRT(F409^2+G409^2)</f>
        <v>1.32389775</v>
      </c>
      <c r="I409" s="15" t="n">
        <f aca="false">D409*F409/H409</f>
        <v>9.72080538140435</v>
      </c>
      <c r="J409" s="15" t="n">
        <f aca="false">SQRT(C409^2+D409^2-I409^2)</f>
        <v>56.8852299738504</v>
      </c>
      <c r="K409" s="15" t="n">
        <f aca="false">E409/H409</f>
        <v>1665.53648120074</v>
      </c>
      <c r="L409" s="15" t="n">
        <f aca="false">J409/2-K409*ASINH(I409/(2*K409*SINH(J409/(2*K409))))</f>
        <v>-254.790853000665</v>
      </c>
      <c r="M409" s="15" t="n">
        <f aca="false">-L409/K409</f>
        <v>0.152978248075946</v>
      </c>
      <c r="N409" s="15" t="n">
        <f aca="false">(J409-L409)/K409</f>
        <v>0.187132546475246</v>
      </c>
      <c r="O409" s="15" t="n">
        <f aca="false">K409*(SINH(N409)-SINH(M409))</f>
        <v>57.7125464896214</v>
      </c>
      <c r="P409" s="15" t="n">
        <f aca="false">E409*COSH(M409)</f>
        <v>2230.85144111191</v>
      </c>
      <c r="Q409" s="15" t="n">
        <f aca="false">E409*COSH(N409)</f>
        <v>2243.72079348454</v>
      </c>
    </row>
    <row r="410" customFormat="false" ht="21" hidden="false" customHeight="true" outlineLevel="0" collapsed="false">
      <c r="A410" s="1" t="s">
        <v>391</v>
      </c>
      <c r="B410" s="1" t="s">
        <v>320</v>
      </c>
      <c r="C410" s="15" t="n">
        <v>56.8852299738504</v>
      </c>
      <c r="D410" s="15" t="n">
        <v>9.72080538140435</v>
      </c>
      <c r="E410" s="15" t="n">
        <v>3314.36701159777</v>
      </c>
      <c r="F410" s="15" t="n">
        <v>1.32389775</v>
      </c>
      <c r="G410" s="15" t="n">
        <v>3.443895</v>
      </c>
      <c r="H410" s="15" t="n">
        <f aca="false">SQRT(F410^2+G410^2)</f>
        <v>3.68959591601574</v>
      </c>
      <c r="I410" s="15" t="n">
        <f aca="false">D410*F410/H410</f>
        <v>3.48801133391492</v>
      </c>
      <c r="J410" s="15" t="n">
        <f aca="false">SQRT(C410^2+D410^2-I410^2)</f>
        <v>57.6043160134331</v>
      </c>
      <c r="K410" s="15" t="n">
        <f aca="false">E410/H410</f>
        <v>898.300813162444</v>
      </c>
      <c r="L410" s="15" t="n">
        <f aca="false">J410/2-K410*ASINH(I410/(2*K410*SINH(J410/(2*K410))))</f>
        <v>-25.5485627130359</v>
      </c>
      <c r="M410" s="15" t="n">
        <f aca="false">-L410/K410</f>
        <v>0.0284409880729072</v>
      </c>
      <c r="N410" s="15" t="n">
        <f aca="false">(J410-L410)/K410</f>
        <v>0.0925668523372828</v>
      </c>
      <c r="O410" s="15" t="n">
        <f aca="false">K410*(SINH(N410)-SINH(M410))</f>
        <v>57.7196733655641</v>
      </c>
      <c r="P410" s="15" t="n">
        <f aca="false">E410*COSH(M410)</f>
        <v>3315.70758079733</v>
      </c>
      <c r="Q410" s="15" t="n">
        <f aca="false">E410*COSH(N410)</f>
        <v>3328.57693316996</v>
      </c>
    </row>
    <row r="411" customFormat="false" ht="21" hidden="false" customHeight="true" outlineLevel="0" collapsed="false">
      <c r="A411" s="1" t="s">
        <v>391</v>
      </c>
      <c r="B411" s="1" t="s">
        <v>321</v>
      </c>
      <c r="C411" s="15" t="n">
        <v>56.8852299738504</v>
      </c>
      <c r="D411" s="15" t="n">
        <v>9.72080538140435</v>
      </c>
      <c r="E411" s="15" t="n">
        <v>3567.16150233244</v>
      </c>
      <c r="F411" s="15" t="n">
        <v>3.85543216183014</v>
      </c>
      <c r="G411" s="15" t="n">
        <v>0</v>
      </c>
      <c r="H411" s="15" t="n">
        <f aca="false">SQRT(F411^2+G411^2)</f>
        <v>3.85543216183014</v>
      </c>
      <c r="I411" s="15" t="n">
        <f aca="false">D411*F411/H411</f>
        <v>9.72080538140435</v>
      </c>
      <c r="J411" s="15" t="n">
        <f aca="false">SQRT(C411^2+D411^2-I411^2)</f>
        <v>56.8852299738504</v>
      </c>
      <c r="K411" s="15" t="n">
        <f aca="false">E411/H411</f>
        <v>925.23000084098</v>
      </c>
      <c r="L411" s="15" t="n">
        <f aca="false">J411/2-K411*ASINH(I411/(2*K411*SINH(J411/(2*K411))))</f>
        <v>-128.880771201783</v>
      </c>
      <c r="M411" s="15" t="n">
        <f aca="false">-L411/K411</f>
        <v>0.139295927590585</v>
      </c>
      <c r="N411" s="15" t="n">
        <f aca="false">(J411-L411)/K411</f>
        <v>0.200778185971901</v>
      </c>
      <c r="O411" s="15" t="n">
        <f aca="false">K411*(SINH(N411)-SINH(M411))</f>
        <v>57.7186530595495</v>
      </c>
      <c r="P411" s="15" t="n">
        <f aca="false">E411*COSH(M411)</f>
        <v>3601.82494820425</v>
      </c>
      <c r="Q411" s="15" t="n">
        <f aca="false">E411*COSH(N411)</f>
        <v>3639.30285391061</v>
      </c>
    </row>
    <row r="412" customFormat="false" ht="21" hidden="false" customHeight="true" outlineLevel="0" collapsed="false">
      <c r="A412" s="1" t="s">
        <v>391</v>
      </c>
      <c r="B412" s="1" t="s">
        <v>322</v>
      </c>
      <c r="C412" s="15" t="n">
        <v>56.8852299738504</v>
      </c>
      <c r="D412" s="15" t="n">
        <v>9.72080538140435</v>
      </c>
      <c r="E412" s="15" t="n">
        <v>3382.73439475407</v>
      </c>
      <c r="F412" s="15" t="n">
        <v>2.33651151473205</v>
      </c>
      <c r="G412" s="15" t="n">
        <v>1.43495625</v>
      </c>
      <c r="H412" s="15" t="n">
        <f aca="false">SQRT(F412^2+G412^2)</f>
        <v>2.74196745018783</v>
      </c>
      <c r="I412" s="15" t="n">
        <f aca="false">D412*F412/H412</f>
        <v>8.28338560494755</v>
      </c>
      <c r="J412" s="15" t="n">
        <f aca="false">SQRT(C412^2+D412^2-I412^2)</f>
        <v>57.1122488557467</v>
      </c>
      <c r="K412" s="15" t="n">
        <f aca="false">E412/H412</f>
        <v>1233.68874948619</v>
      </c>
      <c r="L412" s="15" t="n">
        <f aca="false">J412/2-K412*ASINH(I412/(2*K412*SINH(J412/(2*K412))))</f>
        <v>-149.737044182329</v>
      </c>
      <c r="M412" s="15" t="n">
        <f aca="false">-L412/K412</f>
        <v>0.121373437380127</v>
      </c>
      <c r="N412" s="15" t="n">
        <f aca="false">(J412-L412)/K412</f>
        <v>0.167667325428901</v>
      </c>
      <c r="O412" s="15" t="n">
        <f aca="false">K412*(SINH(N412)-SINH(M412))</f>
        <v>57.7148683313119</v>
      </c>
      <c r="P412" s="15" t="n">
        <f aca="false">E412*COSH(M412)</f>
        <v>3407.68139277423</v>
      </c>
      <c r="Q412" s="15" t="n">
        <f aca="false">E412*COSH(N412)</f>
        <v>3430.39416648035</v>
      </c>
    </row>
    <row r="413" customFormat="false" ht="21" hidden="false" customHeight="true" outlineLevel="0" collapsed="false">
      <c r="A413" s="1" t="s">
        <v>391</v>
      </c>
      <c r="B413" s="1" t="s">
        <v>323</v>
      </c>
      <c r="C413" s="15" t="n">
        <v>56.8852299738504</v>
      </c>
      <c r="D413" s="15" t="n">
        <v>9.72080538140435</v>
      </c>
      <c r="E413" s="15" t="n">
        <v>3509.23740816868</v>
      </c>
      <c r="F413" s="15" t="n">
        <v>1.32389775</v>
      </c>
      <c r="G413" s="15" t="n">
        <v>0</v>
      </c>
      <c r="H413" s="15" t="n">
        <f aca="false">SQRT(F413^2+G413^2)</f>
        <v>1.32389775</v>
      </c>
      <c r="I413" s="15" t="n">
        <f aca="false">D413*F413/H413</f>
        <v>9.72080538140435</v>
      </c>
      <c r="J413" s="15" t="n">
        <f aca="false">SQRT(C413^2+D413^2-I413^2)</f>
        <v>56.8852299738504</v>
      </c>
      <c r="K413" s="15" t="n">
        <f aca="false">E413/H413</f>
        <v>2650.68613355425</v>
      </c>
      <c r="L413" s="15" t="n">
        <f aca="false">J413/2-K413*ASINH(I413/(2*K413*SINH(J413/(2*K413))))</f>
        <v>-422.334001375033</v>
      </c>
      <c r="M413" s="15" t="n">
        <f aca="false">-L413/K413</f>
        <v>0.159330067799741</v>
      </c>
      <c r="N413" s="15" t="n">
        <f aca="false">(J413-L413)/K413</f>
        <v>0.180790635783916</v>
      </c>
      <c r="O413" s="15" t="n">
        <f aca="false">K413*(SINH(N413)-SINH(M413))</f>
        <v>57.7108970839394</v>
      </c>
      <c r="P413" s="15" t="n">
        <f aca="false">E413*COSH(M413)</f>
        <v>3553.87459278642</v>
      </c>
      <c r="Q413" s="15" t="n">
        <f aca="false">E413*COSH(N413)</f>
        <v>3566.74394515905</v>
      </c>
    </row>
    <row r="414" customFormat="false" ht="21" hidden="false" customHeight="true" outlineLevel="0" collapsed="false">
      <c r="A414" s="1" t="s">
        <v>391</v>
      </c>
      <c r="B414" s="1" t="s">
        <v>324</v>
      </c>
      <c r="C414" s="15" t="n">
        <v>56.8852299738504</v>
      </c>
      <c r="D414" s="15" t="n">
        <v>9.72080538140435</v>
      </c>
      <c r="E414" s="15" t="n">
        <v>439.752007644256</v>
      </c>
      <c r="F414" s="15" t="n">
        <v>1.32389775</v>
      </c>
      <c r="G414" s="15" t="n">
        <v>0</v>
      </c>
      <c r="H414" s="15" t="n">
        <f aca="false">SQRT(F414^2+G414^2)</f>
        <v>1.32389775</v>
      </c>
      <c r="I414" s="15" t="n">
        <f aca="false">D414*F414/H414</f>
        <v>9.72080538140435</v>
      </c>
      <c r="J414" s="15" t="n">
        <f aca="false">SQRT(C414^2+D414^2-I414^2)</f>
        <v>56.8852299738504</v>
      </c>
      <c r="K414" s="15" t="n">
        <f aca="false">E414/H414</f>
        <v>332.164631025512</v>
      </c>
      <c r="L414" s="15" t="n">
        <f aca="false">J414/2-K414*ASINH(I414/(2*K414*SINH(J414/(2*K414))))</f>
        <v>-27.9781765883488</v>
      </c>
      <c r="M414" s="15" t="n">
        <f aca="false">-L414/K414</f>
        <v>0.084229848620457</v>
      </c>
      <c r="N414" s="15" t="n">
        <f aca="false">(J414-L414)/K414</f>
        <v>0.255485980852914</v>
      </c>
      <c r="O414" s="15" t="n">
        <f aca="false">K414*(SINH(N414)-SINH(M414))</f>
        <v>57.7783694168096</v>
      </c>
      <c r="P414" s="15" t="n">
        <f aca="false">E414*COSH(M414)</f>
        <v>441.312877253944</v>
      </c>
      <c r="Q414" s="15" t="n">
        <f aca="false">E414*COSH(N414)</f>
        <v>454.182229626573</v>
      </c>
    </row>
    <row r="415" customFormat="false" ht="21" hidden="false" customHeight="true" outlineLevel="0" collapsed="false">
      <c r="A415" s="1" t="s">
        <v>392</v>
      </c>
      <c r="B415" s="1" t="s">
        <v>319</v>
      </c>
      <c r="C415" s="15" t="n">
        <v>68.1489656451683</v>
      </c>
      <c r="D415" s="15" t="n">
        <v>-2.93117232108225</v>
      </c>
      <c r="E415" s="15" t="n">
        <v>2204.99999999982</v>
      </c>
      <c r="F415" s="15" t="n">
        <v>1.32389775</v>
      </c>
      <c r="G415" s="15" t="n">
        <v>0</v>
      </c>
      <c r="H415" s="15" t="n">
        <f aca="false">SQRT(F415^2+G415^2)</f>
        <v>1.32389775</v>
      </c>
      <c r="I415" s="15" t="n">
        <f aca="false">D415*F415/H415</f>
        <v>-2.93117232108225</v>
      </c>
      <c r="J415" s="15" t="n">
        <f aca="false">SQRT(C415^2+D415^2-I415^2)</f>
        <v>68.1489656451683</v>
      </c>
      <c r="K415" s="15" t="n">
        <f aca="false">E415/H415</f>
        <v>1665.53648119715</v>
      </c>
      <c r="L415" s="15" t="n">
        <f aca="false">J415/2-K415*ASINH(I415/(2*K415*SINH(J415/(2*K415))))</f>
        <v>105.684230090457</v>
      </c>
      <c r="M415" s="15" t="n">
        <f aca="false">-L415/K415</f>
        <v>-0.0634535666336736</v>
      </c>
      <c r="N415" s="15" t="n">
        <f aca="false">(J415-L415)/K415</f>
        <v>-0.0225364408819852</v>
      </c>
      <c r="O415" s="15" t="n">
        <f aca="false">K415*(SINH(N415)-SINH(M415))</f>
        <v>68.2167229119614</v>
      </c>
      <c r="P415" s="15" t="n">
        <f aca="false">E415*COSH(M415)</f>
        <v>2209.44054615274</v>
      </c>
      <c r="Q415" s="15" t="n">
        <f aca="false">E415*COSH(N415)</f>
        <v>2205.559973712</v>
      </c>
    </row>
    <row r="416" customFormat="false" ht="21" hidden="false" customHeight="true" outlineLevel="0" collapsed="false">
      <c r="A416" s="1" t="s">
        <v>392</v>
      </c>
      <c r="B416" s="1" t="s">
        <v>320</v>
      </c>
      <c r="C416" s="15" t="n">
        <v>68.1489656451683</v>
      </c>
      <c r="D416" s="15" t="n">
        <v>-2.93117232108225</v>
      </c>
      <c r="E416" s="15" t="n">
        <v>3398.21244521435</v>
      </c>
      <c r="F416" s="15" t="n">
        <v>1.32389775</v>
      </c>
      <c r="G416" s="15" t="n">
        <v>3.443895</v>
      </c>
      <c r="H416" s="15" t="n">
        <f aca="false">SQRT(F416^2+G416^2)</f>
        <v>3.68959591601574</v>
      </c>
      <c r="I416" s="15" t="n">
        <f aca="false">D416*F416/H416</f>
        <v>-1.05176082396946</v>
      </c>
      <c r="J416" s="15" t="n">
        <f aca="false">SQRT(C416^2+D416^2-I416^2)</f>
        <v>68.2038641782954</v>
      </c>
      <c r="K416" s="15" t="n">
        <f aca="false">E416/H416</f>
        <v>921.025641443129</v>
      </c>
      <c r="L416" s="15" t="n">
        <f aca="false">J416/2-K416*ASINH(I416/(2*K416*SINH(J416/(2*K416))))</f>
        <v>48.3011132634516</v>
      </c>
      <c r="M416" s="15" t="n">
        <f aca="false">-L416/K416</f>
        <v>-0.0524427454460117</v>
      </c>
      <c r="N416" s="15" t="n">
        <f aca="false">(J416-L416)/K416</f>
        <v>0.0216093342240274</v>
      </c>
      <c r="O416" s="15" t="n">
        <f aca="false">K416*(SINH(N416)-SINH(M416))</f>
        <v>68.2275561897321</v>
      </c>
      <c r="P416" s="15" t="n">
        <f aca="false">E416*COSH(M416)</f>
        <v>3402.88646882269</v>
      </c>
      <c r="Q416" s="15" t="n">
        <f aca="false">E416*COSH(N416)</f>
        <v>3399.00589638195</v>
      </c>
    </row>
    <row r="417" customFormat="false" ht="21" hidden="false" customHeight="true" outlineLevel="0" collapsed="false">
      <c r="A417" s="1" t="s">
        <v>392</v>
      </c>
      <c r="B417" s="1" t="s">
        <v>321</v>
      </c>
      <c r="C417" s="15" t="n">
        <v>68.1489656451683</v>
      </c>
      <c r="D417" s="15" t="n">
        <v>-2.93117232108225</v>
      </c>
      <c r="E417" s="15" t="n">
        <v>3692.93774177636</v>
      </c>
      <c r="F417" s="15" t="n">
        <v>3.85543216183014</v>
      </c>
      <c r="G417" s="15" t="n">
        <v>0</v>
      </c>
      <c r="H417" s="15" t="n">
        <f aca="false">SQRT(F417^2+G417^2)</f>
        <v>3.85543216183014</v>
      </c>
      <c r="I417" s="15" t="n">
        <f aca="false">D417*F417/H417</f>
        <v>-2.93117232108225</v>
      </c>
      <c r="J417" s="15" t="n">
        <f aca="false">SQRT(C417^2+D417^2-I417^2)</f>
        <v>68.1489656451683</v>
      </c>
      <c r="K417" s="15" t="n">
        <f aca="false">E417/H417</f>
        <v>957.853124310548</v>
      </c>
      <c r="L417" s="15" t="n">
        <f aca="false">J417/2-K417*ASINH(I417/(2*K417*SINH(J417/(2*K417))))</f>
        <v>75.2515725552325</v>
      </c>
      <c r="M417" s="15" t="n">
        <f aca="false">-L417/K417</f>
        <v>-0.0785627468818852</v>
      </c>
      <c r="N417" s="15" t="n">
        <f aca="false">(J417-L417)/K417</f>
        <v>-0.00741513153718278</v>
      </c>
      <c r="O417" s="15" t="n">
        <f aca="false">K417*(SINH(N417)-SINH(M417))</f>
        <v>68.2263345528507</v>
      </c>
      <c r="P417" s="15" t="n">
        <f aca="false">E417*COSH(M417)</f>
        <v>3704.34020484897</v>
      </c>
      <c r="Q417" s="15" t="n">
        <f aca="false">E417*COSH(N417)</f>
        <v>3693.03926881041</v>
      </c>
    </row>
    <row r="418" customFormat="false" ht="21" hidden="false" customHeight="true" outlineLevel="0" collapsed="false">
      <c r="A418" s="1" t="s">
        <v>392</v>
      </c>
      <c r="B418" s="1" t="s">
        <v>322</v>
      </c>
      <c r="C418" s="15" t="n">
        <v>68.1489656451683</v>
      </c>
      <c r="D418" s="15" t="n">
        <v>-2.93117232108225</v>
      </c>
      <c r="E418" s="15" t="n">
        <v>3428.2287049381</v>
      </c>
      <c r="F418" s="15" t="n">
        <v>2.33651151473205</v>
      </c>
      <c r="G418" s="15" t="n">
        <v>1.43495625</v>
      </c>
      <c r="H418" s="15" t="n">
        <f aca="false">SQRT(F418^2+G418^2)</f>
        <v>2.74196745018783</v>
      </c>
      <c r="I418" s="15" t="n">
        <f aca="false">D418*F418/H418</f>
        <v>-2.49773857797014</v>
      </c>
      <c r="J418" s="15" t="n">
        <f aca="false">SQRT(C418^2+D418^2-I418^2)</f>
        <v>68.1662276474085</v>
      </c>
      <c r="K418" s="15" t="n">
        <f aca="false">E418/H418</f>
        <v>1250.28059859108</v>
      </c>
      <c r="L418" s="15" t="n">
        <f aca="false">J418/2-K418*ASINH(I418/(2*K418*SINH(J418/(2*K418))))</f>
        <v>79.8798274622178</v>
      </c>
      <c r="M418" s="15" t="n">
        <f aca="false">-L418/K418</f>
        <v>-0.0638895201223092</v>
      </c>
      <c r="N418" s="15" t="n">
        <f aca="false">(J418-L418)/K418</f>
        <v>-0.00936877675940032</v>
      </c>
      <c r="O418" s="15" t="n">
        <f aca="false">K418*(SINH(N418)-SINH(M418))</f>
        <v>68.2204105695772</v>
      </c>
      <c r="P418" s="15" t="n">
        <f aca="false">E418*COSH(M418)</f>
        <v>3435.22787855389</v>
      </c>
      <c r="Q418" s="15" t="n">
        <f aca="false">E418*COSH(N418)</f>
        <v>3428.37916067401</v>
      </c>
    </row>
    <row r="419" customFormat="false" ht="21" hidden="false" customHeight="true" outlineLevel="0" collapsed="false">
      <c r="A419" s="1" t="s">
        <v>392</v>
      </c>
      <c r="B419" s="1" t="s">
        <v>323</v>
      </c>
      <c r="C419" s="15" t="n">
        <v>68.1489656451683</v>
      </c>
      <c r="D419" s="15" t="n">
        <v>-2.93117232108225</v>
      </c>
      <c r="E419" s="15" t="n">
        <v>3486.52525886865</v>
      </c>
      <c r="F419" s="15" t="n">
        <v>1.32389775</v>
      </c>
      <c r="G419" s="15" t="n">
        <v>0</v>
      </c>
      <c r="H419" s="15" t="n">
        <f aca="false">SQRT(F419^2+G419^2)</f>
        <v>1.32389775</v>
      </c>
      <c r="I419" s="15" t="n">
        <f aca="false">D419*F419/H419</f>
        <v>-2.93117232108225</v>
      </c>
      <c r="J419" s="15" t="n">
        <f aca="false">SQRT(C419^2+D419^2-I419^2)</f>
        <v>68.1489656451683</v>
      </c>
      <c r="K419" s="15" t="n">
        <f aca="false">E419/H419</f>
        <v>2633.53061735217</v>
      </c>
      <c r="L419" s="15" t="n">
        <f aca="false">J419/2-K419*ASINH(I419/(2*K419*SINH(J419/(2*K419))))</f>
        <v>147.307878124224</v>
      </c>
      <c r="M419" s="15" t="n">
        <f aca="false">-L419/K419</f>
        <v>-0.0559355099779821</v>
      </c>
      <c r="N419" s="15" t="n">
        <f aca="false">(J419-L419)/K419</f>
        <v>-0.030058094619247</v>
      </c>
      <c r="O419" s="15" t="n">
        <f aca="false">K419*(SINH(N419)-SINH(M419))</f>
        <v>68.2138729445781</v>
      </c>
      <c r="P419" s="15" t="n">
        <f aca="false">E419*COSH(M419)</f>
        <v>3491.98096859801</v>
      </c>
      <c r="Q419" s="15" t="n">
        <f aca="false">E419*COSH(N419)</f>
        <v>3488.10039615727</v>
      </c>
    </row>
    <row r="420" customFormat="false" ht="21" hidden="false" customHeight="true" outlineLevel="0" collapsed="false">
      <c r="A420" s="1" t="s">
        <v>392</v>
      </c>
      <c r="B420" s="1" t="s">
        <v>324</v>
      </c>
      <c r="C420" s="15" t="n">
        <v>68.1489656451683</v>
      </c>
      <c r="D420" s="15" t="n">
        <v>-2.93117232108225</v>
      </c>
      <c r="E420" s="15" t="n">
        <v>521.598832665099</v>
      </c>
      <c r="F420" s="15" t="n">
        <v>1.32389775</v>
      </c>
      <c r="G420" s="15" t="n">
        <v>0</v>
      </c>
      <c r="H420" s="15" t="n">
        <f aca="false">SQRT(F420^2+G420^2)</f>
        <v>1.32389775</v>
      </c>
      <c r="I420" s="15" t="n">
        <f aca="false">D420*F420/H420</f>
        <v>-2.93117232108225</v>
      </c>
      <c r="J420" s="15" t="n">
        <f aca="false">SQRT(C420^2+D420^2-I420^2)</f>
        <v>68.1489656451683</v>
      </c>
      <c r="K420" s="15" t="n">
        <f aca="false">E420/H420</f>
        <v>393.987249139973</v>
      </c>
      <c r="L420" s="15" t="n">
        <f aca="false">J420/2-K420*ASINH(I420/(2*K420*SINH(J420/(2*K420))))</f>
        <v>50.9940594376273</v>
      </c>
      <c r="M420" s="15" t="n">
        <f aca="false">-L420/K420</f>
        <v>-0.129430735509693</v>
      </c>
      <c r="N420" s="15" t="n">
        <f aca="false">(J420-L420)/K420</f>
        <v>0.0435417802098625</v>
      </c>
      <c r="O420" s="15" t="n">
        <f aca="false">K420*(SINH(N420)-SINH(M420))</f>
        <v>68.2968841845945</v>
      </c>
      <c r="P420" s="15" t="n">
        <f aca="false">E420*COSH(M420)</f>
        <v>525.973929353527</v>
      </c>
      <c r="Q420" s="15" t="n">
        <f aca="false">E420*COSH(N420)</f>
        <v>522.093356912784</v>
      </c>
    </row>
    <row r="421" customFormat="false" ht="21" hidden="false" customHeight="true" outlineLevel="0" collapsed="false">
      <c r="A421" s="1" t="s">
        <v>393</v>
      </c>
      <c r="B421" s="1" t="s">
        <v>319</v>
      </c>
      <c r="C421" s="15" t="n">
        <v>68.1489656451683</v>
      </c>
      <c r="D421" s="15" t="n">
        <v>1.75612360238019</v>
      </c>
      <c r="E421" s="15" t="n">
        <v>2204.99999999954</v>
      </c>
      <c r="F421" s="15" t="n">
        <v>1.32389775</v>
      </c>
      <c r="G421" s="15" t="n">
        <v>0</v>
      </c>
      <c r="H421" s="15" t="n">
        <f aca="false">SQRT(F421^2+G421^2)</f>
        <v>1.32389775</v>
      </c>
      <c r="I421" s="15" t="n">
        <f aca="false">D421*F421/H421</f>
        <v>1.75612360238019</v>
      </c>
      <c r="J421" s="15" t="n">
        <f aca="false">SQRT(C421^2+D421^2-I421^2)</f>
        <v>68.1489656451683</v>
      </c>
      <c r="K421" s="15" t="n">
        <f aca="false">E421/H421</f>
        <v>1665.53648119694</v>
      </c>
      <c r="L421" s="15" t="n">
        <f aca="false">J421/2-K421*ASINH(I421/(2*K421*SINH(J421/(2*K421))))</f>
        <v>-8.83681201676136</v>
      </c>
      <c r="M421" s="15" t="n">
        <f aca="false">-L421/K421</f>
        <v>0.00530568505495045</v>
      </c>
      <c r="N421" s="15" t="n">
        <f aca="false">(J421-L421)/K421</f>
        <v>0.046222810806644</v>
      </c>
      <c r="O421" s="15" t="n">
        <f aca="false">K421*(SINH(N421)-SINH(M421))</f>
        <v>68.1763410852935</v>
      </c>
      <c r="P421" s="15" t="n">
        <f aca="false">E421*COSH(M421)</f>
        <v>2205.03103577138</v>
      </c>
      <c r="Q421" s="15" t="n">
        <f aca="false">E421*COSH(N421)</f>
        <v>2207.35596385729</v>
      </c>
    </row>
    <row r="422" customFormat="false" ht="21" hidden="false" customHeight="true" outlineLevel="0" collapsed="false">
      <c r="A422" s="1" t="s">
        <v>393</v>
      </c>
      <c r="B422" s="1" t="s">
        <v>320</v>
      </c>
      <c r="C422" s="15" t="n">
        <v>68.1489656451683</v>
      </c>
      <c r="D422" s="15" t="n">
        <v>1.75612360238019</v>
      </c>
      <c r="E422" s="15" t="n">
        <v>3396.85578025125</v>
      </c>
      <c r="F422" s="15" t="n">
        <v>1.32389775</v>
      </c>
      <c r="G422" s="15" t="n">
        <v>3.443895</v>
      </c>
      <c r="H422" s="15" t="n">
        <f aca="false">SQRT(F422^2+G422^2)</f>
        <v>3.68959591601574</v>
      </c>
      <c r="I422" s="15" t="n">
        <f aca="false">D422*F422/H422</f>
        <v>0.630130816174481</v>
      </c>
      <c r="J422" s="15" t="n">
        <f aca="false">SQRT(C422^2+D422^2-I422^2)</f>
        <v>68.1686762653322</v>
      </c>
      <c r="K422" s="15" t="n">
        <f aca="false">E422/H422</f>
        <v>920.657941295476</v>
      </c>
      <c r="L422" s="15" t="n">
        <f aca="false">J422/2-K422*ASINH(I422/(2*K422*SINH(J422/(2*K422))))</f>
        <v>25.5761168451802</v>
      </c>
      <c r="M422" s="15" t="n">
        <f aca="false">-L422/K422</f>
        <v>-0.0277802598532866</v>
      </c>
      <c r="N422" s="15" t="n">
        <f aca="false">(J422-L422)/K422</f>
        <v>0.0462631749640037</v>
      </c>
      <c r="O422" s="15" t="n">
        <f aca="false">K422*(SINH(N422)-SINH(M422))</f>
        <v>68.187161059241</v>
      </c>
      <c r="P422" s="15" t="n">
        <f aca="false">E422*COSH(M422)</f>
        <v>3398.16661410946</v>
      </c>
      <c r="Q422" s="15" t="n">
        <f aca="false">E422*COSH(N422)</f>
        <v>3400.49154219537</v>
      </c>
    </row>
    <row r="423" customFormat="false" ht="21" hidden="false" customHeight="true" outlineLevel="0" collapsed="false">
      <c r="A423" s="1" t="s">
        <v>393</v>
      </c>
      <c r="B423" s="1" t="s">
        <v>321</v>
      </c>
      <c r="C423" s="15" t="n">
        <v>68.1489656451683</v>
      </c>
      <c r="D423" s="15" t="n">
        <v>1.75612360238019</v>
      </c>
      <c r="E423" s="15" t="n">
        <v>3693.97131359079</v>
      </c>
      <c r="F423" s="15" t="n">
        <v>3.85543216183014</v>
      </c>
      <c r="G423" s="15" t="n">
        <v>0</v>
      </c>
      <c r="H423" s="15" t="n">
        <f aca="false">SQRT(F423^2+G423^2)</f>
        <v>3.85543216183014</v>
      </c>
      <c r="I423" s="15" t="n">
        <f aca="false">D423*F423/H423</f>
        <v>1.75612360238019</v>
      </c>
      <c r="J423" s="15" t="n">
        <f aca="false">SQRT(C423^2+D423^2-I423^2)</f>
        <v>68.1489656451683</v>
      </c>
      <c r="K423" s="15" t="n">
        <f aca="false">E423/H423</f>
        <v>958.121206271542</v>
      </c>
      <c r="L423" s="15" t="n">
        <f aca="false">J423/2-K423*ASINH(I423/(2*K423*SINH(J423/(2*K423))))</f>
        <v>9.39269089566809</v>
      </c>
      <c r="M423" s="15" t="n">
        <f aca="false">-L423/K423</f>
        <v>-0.00980323870736465</v>
      </c>
      <c r="N423" s="15" t="n">
        <f aca="false">(J423-L423)/K423</f>
        <v>0.0613244695607416</v>
      </c>
      <c r="O423" s="15" t="n">
        <f aca="false">K423*(SINH(N423)-SINH(M423))</f>
        <v>68.1859503777542</v>
      </c>
      <c r="P423" s="15" t="n">
        <f aca="false">E423*COSH(M423)</f>
        <v>3694.14881677837</v>
      </c>
      <c r="Q423" s="15" t="n">
        <f aca="false">E423*COSH(N423)</f>
        <v>3700.91943219514</v>
      </c>
    </row>
    <row r="424" customFormat="false" ht="21" hidden="false" customHeight="true" outlineLevel="0" collapsed="false">
      <c r="A424" s="1" t="s">
        <v>393</v>
      </c>
      <c r="B424" s="1" t="s">
        <v>322</v>
      </c>
      <c r="C424" s="15" t="n">
        <v>68.1489656451683</v>
      </c>
      <c r="D424" s="15" t="n">
        <v>1.75612360238019</v>
      </c>
      <c r="E424" s="15" t="n">
        <v>3428.32580757253</v>
      </c>
      <c r="F424" s="15" t="n">
        <v>2.33651151473205</v>
      </c>
      <c r="G424" s="15" t="n">
        <v>1.43495625</v>
      </c>
      <c r="H424" s="15" t="n">
        <f aca="false">SQRT(F424^2+G424^2)</f>
        <v>2.74196745018783</v>
      </c>
      <c r="I424" s="15" t="n">
        <f aca="false">D424*F424/H424</f>
        <v>1.49644483123714</v>
      </c>
      <c r="J424" s="15" t="n">
        <f aca="false">SQRT(C424^2+D424^2-I424^2)</f>
        <v>68.1551622511474</v>
      </c>
      <c r="K424" s="15" t="n">
        <f aca="false">E424/H424</f>
        <v>1250.31601208019</v>
      </c>
      <c r="L424" s="15" t="n">
        <f aca="false">J424/2-K424*ASINH(I424/(2*K424*SINH(J424/(2*K424))))</f>
        <v>6.63069375097783</v>
      </c>
      <c r="M424" s="15" t="n">
        <f aca="false">-L424/K424</f>
        <v>-0.00530321429695693</v>
      </c>
      <c r="N424" s="15" t="n">
        <f aca="false">(J424-L424)/K424</f>
        <v>0.0492071347609229</v>
      </c>
      <c r="O424" s="15" t="n">
        <f aca="false">K424*(SINH(N424)-SINH(M424))</f>
        <v>68.1800249687339</v>
      </c>
      <c r="P424" s="15" t="n">
        <f aca="false">E424*COSH(M424)</f>
        <v>3428.37401694338</v>
      </c>
      <c r="Q424" s="15" t="n">
        <f aca="false">E424*COSH(N424)</f>
        <v>3432.47721996163</v>
      </c>
    </row>
    <row r="425" customFormat="false" ht="21" hidden="false" customHeight="true" outlineLevel="0" collapsed="false">
      <c r="A425" s="1" t="s">
        <v>393</v>
      </c>
      <c r="B425" s="1" t="s">
        <v>323</v>
      </c>
      <c r="C425" s="15" t="n">
        <v>68.1489656451683</v>
      </c>
      <c r="D425" s="15" t="n">
        <v>1.75612360238019</v>
      </c>
      <c r="E425" s="15" t="n">
        <v>3487.10477350026</v>
      </c>
      <c r="F425" s="15" t="n">
        <v>1.32389775</v>
      </c>
      <c r="G425" s="15" t="n">
        <v>0</v>
      </c>
      <c r="H425" s="15" t="n">
        <f aca="false">SQRT(F425^2+G425^2)</f>
        <v>1.32389775</v>
      </c>
      <c r="I425" s="15" t="n">
        <f aca="false">D425*F425/H425</f>
        <v>1.75612360238019</v>
      </c>
      <c r="J425" s="15" t="n">
        <f aca="false">SQRT(C425^2+D425^2-I425^2)</f>
        <v>68.1489656451683</v>
      </c>
      <c r="K425" s="15" t="n">
        <f aca="false">E425/H425</f>
        <v>2633.96835103033</v>
      </c>
      <c r="L425" s="15" t="n">
        <f aca="false">J425/2-K425*ASINH(I425/(2*K425*SINH(J425/(2*K425))))</f>
        <v>-33.7905713358894</v>
      </c>
      <c r="M425" s="15" t="n">
        <f aca="false">-L425/K425</f>
        <v>0.0128287689268064</v>
      </c>
      <c r="N425" s="15" t="n">
        <f aca="false">(J425-L425)/K425</f>
        <v>0.038701883772135</v>
      </c>
      <c r="O425" s="15" t="n">
        <f aca="false">K425*(SINH(N425)-SINH(M425))</f>
        <v>68.1734887980114</v>
      </c>
      <c r="P425" s="15" t="n">
        <f aca="false">E425*COSH(M425)</f>
        <v>3487.39172660117</v>
      </c>
      <c r="Q425" s="15" t="n">
        <f aca="false">E425*COSH(N425)</f>
        <v>3489.71665468709</v>
      </c>
    </row>
    <row r="426" customFormat="false" ht="21" hidden="false" customHeight="true" outlineLevel="0" collapsed="false">
      <c r="A426" s="1" t="s">
        <v>393</v>
      </c>
      <c r="B426" s="1" t="s">
        <v>324</v>
      </c>
      <c r="C426" s="15" t="n">
        <v>68.1489656451683</v>
      </c>
      <c r="D426" s="15" t="n">
        <v>1.75612360238019</v>
      </c>
      <c r="E426" s="15" t="n">
        <v>521.807760457237</v>
      </c>
      <c r="F426" s="15" t="n">
        <v>1.32389775</v>
      </c>
      <c r="G426" s="15" t="n">
        <v>0</v>
      </c>
      <c r="H426" s="15" t="n">
        <f aca="false">SQRT(F426^2+G426^2)</f>
        <v>1.32389775</v>
      </c>
      <c r="I426" s="15" t="n">
        <f aca="false">D426*F426/H426</f>
        <v>1.75612360238019</v>
      </c>
      <c r="J426" s="15" t="n">
        <f aca="false">SQRT(C426^2+D426^2-I426^2)</f>
        <v>68.1489656451683</v>
      </c>
      <c r="K426" s="15" t="n">
        <f aca="false">E426/H426</f>
        <v>394.145061774776</v>
      </c>
      <c r="L426" s="15" t="n">
        <f aca="false">J426/2-K426*ASINH(I426/(2*K426*SINH(J426/(2*K426))))</f>
        <v>23.931559915008</v>
      </c>
      <c r="M426" s="15" t="n">
        <f aca="false">-L426/K426</f>
        <v>-0.0607176449382564</v>
      </c>
      <c r="N426" s="15" t="n">
        <f aca="false">(J426-L426)/K426</f>
        <v>0.112185613923605</v>
      </c>
      <c r="O426" s="15" t="n">
        <f aca="false">K426*(SINH(N426)-SINH(M426))</f>
        <v>68.256481735373</v>
      </c>
      <c r="P426" s="15" t="n">
        <f aca="false">E426*COSH(M426)</f>
        <v>522.769912694482</v>
      </c>
      <c r="Q426" s="15" t="n">
        <f aca="false">E426*COSH(N426)</f>
        <v>525.094840780395</v>
      </c>
    </row>
    <row r="427" customFormat="false" ht="21" hidden="false" customHeight="true" outlineLevel="0" collapsed="false">
      <c r="A427" s="1" t="s">
        <v>394</v>
      </c>
      <c r="B427" s="1" t="s">
        <v>319</v>
      </c>
      <c r="C427" s="15" t="n">
        <v>58.6781126556883</v>
      </c>
      <c r="D427" s="15" t="n">
        <v>-0.680888293619864</v>
      </c>
      <c r="E427" s="15" t="n">
        <v>2204.99999999984</v>
      </c>
      <c r="F427" s="15" t="n">
        <v>1.32389775</v>
      </c>
      <c r="G427" s="15" t="n">
        <v>0</v>
      </c>
      <c r="H427" s="15" t="n">
        <f aca="false">SQRT(F427^2+G427^2)</f>
        <v>1.32389775</v>
      </c>
      <c r="I427" s="15" t="n">
        <f aca="false">D427*F427/H427</f>
        <v>-0.680888293619864</v>
      </c>
      <c r="J427" s="15" t="n">
        <f aca="false">SQRT(C427^2+D427^2-I427^2)</f>
        <v>58.6781126556883</v>
      </c>
      <c r="K427" s="15" t="n">
        <f aca="false">E427/H427</f>
        <v>1665.53648119716</v>
      </c>
      <c r="L427" s="15" t="n">
        <f aca="false">J427/2-K427*ASINH(I427/(2*K427*SINH(J427/(2*K427))))</f>
        <v>48.6641530326757</v>
      </c>
      <c r="M427" s="15" t="n">
        <f aca="false">-L427/K427</f>
        <v>-0.0292183050819138</v>
      </c>
      <c r="N427" s="15" t="n">
        <f aca="false">(J427-L427)/K427</f>
        <v>0.00601245288594023</v>
      </c>
      <c r="O427" s="15" t="n">
        <f aca="false">K427*(SINH(N427)-SINH(M427))</f>
        <v>58.6850974585443</v>
      </c>
      <c r="P427" s="15" t="n">
        <f aca="false">E427*COSH(M427)</f>
        <v>2205.94128152247</v>
      </c>
      <c r="Q427" s="15" t="n">
        <f aca="false">E427*COSH(N427)</f>
        <v>2205.03985504255</v>
      </c>
    </row>
    <row r="428" customFormat="false" ht="21" hidden="false" customHeight="true" outlineLevel="0" collapsed="false">
      <c r="A428" s="1" t="s">
        <v>394</v>
      </c>
      <c r="B428" s="1" t="s">
        <v>320</v>
      </c>
      <c r="C428" s="15" t="n">
        <v>58.6781126556883</v>
      </c>
      <c r="D428" s="15" t="n">
        <v>-0.680888293619864</v>
      </c>
      <c r="E428" s="15" t="n">
        <v>3301.00051134314</v>
      </c>
      <c r="F428" s="15" t="n">
        <v>1.32389775</v>
      </c>
      <c r="G428" s="15" t="n">
        <v>3.443895</v>
      </c>
      <c r="H428" s="15" t="n">
        <f aca="false">SQRT(F428^2+G428^2)</f>
        <v>3.68959591601574</v>
      </c>
      <c r="I428" s="15" t="n">
        <f aca="false">D428*F428/H428</f>
        <v>-0.244315773446024</v>
      </c>
      <c r="J428" s="15" t="n">
        <f aca="false">SQRT(C428^2+D428^2-I428^2)</f>
        <v>58.6815543719223</v>
      </c>
      <c r="K428" s="15" t="n">
        <f aca="false">E428/H428</f>
        <v>894.678058649786</v>
      </c>
      <c r="L428" s="15" t="n">
        <f aca="false">J428/2-K428*ASINH(I428/(2*K428*SINH(J428/(2*K428))))</f>
        <v>33.065016546803</v>
      </c>
      <c r="M428" s="15" t="n">
        <f aca="false">-L428/K428</f>
        <v>-0.0369574465665376</v>
      </c>
      <c r="N428" s="15" t="n">
        <f aca="false">(J428-L428)/K428</f>
        <v>0.0286321292642169</v>
      </c>
      <c r="O428" s="15" t="n">
        <f aca="false">K428*(SINH(N428)-SINH(M428))</f>
        <v>58.6925820886056</v>
      </c>
      <c r="P428" s="15" t="n">
        <f aca="false">E428*COSH(M428)</f>
        <v>3303.2551084355</v>
      </c>
      <c r="Q428" s="15" t="n">
        <f aca="false">E428*COSH(N428)</f>
        <v>3302.35368195558</v>
      </c>
    </row>
    <row r="429" customFormat="false" ht="21" hidden="false" customHeight="true" outlineLevel="0" collapsed="false">
      <c r="A429" s="1" t="s">
        <v>394</v>
      </c>
      <c r="B429" s="1" t="s">
        <v>321</v>
      </c>
      <c r="C429" s="15" t="n">
        <v>58.6781126556883</v>
      </c>
      <c r="D429" s="15" t="n">
        <v>-0.680888293619864</v>
      </c>
      <c r="E429" s="15" t="n">
        <v>3606.47923332735</v>
      </c>
      <c r="F429" s="15" t="n">
        <v>3.85543216183014</v>
      </c>
      <c r="G429" s="15" t="n">
        <v>0</v>
      </c>
      <c r="H429" s="15" t="n">
        <f aca="false">SQRT(F429^2+G429^2)</f>
        <v>3.85543216183014</v>
      </c>
      <c r="I429" s="15" t="n">
        <f aca="false">D429*F429/H429</f>
        <v>-0.680888293619864</v>
      </c>
      <c r="J429" s="15" t="n">
        <f aca="false">SQRT(C429^2+D429^2-I429^2)</f>
        <v>58.6781126556883</v>
      </c>
      <c r="K429" s="15" t="n">
        <f aca="false">E429/H429</f>
        <v>935.428009610053</v>
      </c>
      <c r="L429" s="15" t="n">
        <f aca="false">J429/2-K429*ASINH(I429/(2*K429*SINH(J429/(2*K429))))</f>
        <v>40.1915403882247</v>
      </c>
      <c r="M429" s="15" t="n">
        <f aca="false">-L429/K429</f>
        <v>-0.0429659364219585</v>
      </c>
      <c r="N429" s="15" t="n">
        <f aca="false">(J429-L429)/K429</f>
        <v>0.0197626883924183</v>
      </c>
      <c r="O429" s="15" t="n">
        <f aca="false">K429*(SINH(N429)-SINH(M429))</f>
        <v>58.6916832626511</v>
      </c>
      <c r="P429" s="15" t="n">
        <f aca="false">E429*COSH(M429)</f>
        <v>3609.80865508734</v>
      </c>
      <c r="Q429" s="15" t="n">
        <f aca="false">E429*COSH(N429)</f>
        <v>3607.1835364615</v>
      </c>
    </row>
    <row r="430" customFormat="false" ht="21" hidden="false" customHeight="true" outlineLevel="0" collapsed="false">
      <c r="A430" s="1" t="s">
        <v>394</v>
      </c>
      <c r="B430" s="1" t="s">
        <v>322</v>
      </c>
      <c r="C430" s="15" t="n">
        <v>58.6781126556883</v>
      </c>
      <c r="D430" s="15" t="n">
        <v>-0.680888293619864</v>
      </c>
      <c r="E430" s="15" t="n">
        <v>3391.71870311627</v>
      </c>
      <c r="F430" s="15" t="n">
        <v>2.33651151473205</v>
      </c>
      <c r="G430" s="15" t="n">
        <v>1.43495625</v>
      </c>
      <c r="H430" s="15" t="n">
        <f aca="false">SQRT(F430^2+G430^2)</f>
        <v>2.74196745018783</v>
      </c>
      <c r="I430" s="15" t="n">
        <f aca="false">D430*F430/H430</f>
        <v>-0.580205041522317</v>
      </c>
      <c r="J430" s="15" t="n">
        <f aca="false">SQRT(C430^2+D430^2-I430^2)</f>
        <v>58.6791945736462</v>
      </c>
      <c r="K430" s="15" t="n">
        <f aca="false">E430/H430</f>
        <v>1236.96534139526</v>
      </c>
      <c r="L430" s="15" t="n">
        <f aca="false">J430/2-K430*ASINH(I430/(2*K430*SINH(J430/(2*K430))))</f>
        <v>41.569051890863</v>
      </c>
      <c r="M430" s="15" t="n">
        <f aca="false">-L430/K430</f>
        <v>-0.0336056722850249</v>
      </c>
      <c r="N430" s="15" t="n">
        <f aca="false">(J430-L430)/K430</f>
        <v>0.0138323541575413</v>
      </c>
      <c r="O430" s="15" t="n">
        <f aca="false">K430*(SINH(N430)-SINH(M430))</f>
        <v>58.6875649199847</v>
      </c>
      <c r="P430" s="15" t="n">
        <f aca="false">E430*COSH(M430)</f>
        <v>3393.63408721789</v>
      </c>
      <c r="Q430" s="15" t="n">
        <f aca="false">E430*COSH(N430)</f>
        <v>3392.04318387961</v>
      </c>
    </row>
    <row r="431" customFormat="false" ht="21" hidden="false" customHeight="true" outlineLevel="0" collapsed="false">
      <c r="A431" s="1" t="s">
        <v>394</v>
      </c>
      <c r="B431" s="1" t="s">
        <v>323</v>
      </c>
      <c r="C431" s="15" t="n">
        <v>58.6781126556883</v>
      </c>
      <c r="D431" s="15" t="n">
        <v>-0.680888293619864</v>
      </c>
      <c r="E431" s="15" t="n">
        <v>3519.39030501533</v>
      </c>
      <c r="F431" s="15" t="n">
        <v>1.32389775</v>
      </c>
      <c r="G431" s="15" t="n">
        <v>0</v>
      </c>
      <c r="H431" s="15" t="n">
        <f aca="false">SQRT(F431^2+G431^2)</f>
        <v>1.32389775</v>
      </c>
      <c r="I431" s="15" t="n">
        <f aca="false">D431*F431/H431</f>
        <v>-0.680888293619864</v>
      </c>
      <c r="J431" s="15" t="n">
        <f aca="false">SQRT(C431^2+D431^2-I431^2)</f>
        <v>58.6781126556883</v>
      </c>
      <c r="K431" s="15" t="n">
        <f aca="false">E431/H431</f>
        <v>2658.35507690479</v>
      </c>
      <c r="L431" s="15" t="n">
        <f aca="false">J431/2-K431*ASINH(I431/(2*K431*SINH(J431/(2*K431))))</f>
        <v>60.1847228034269</v>
      </c>
      <c r="M431" s="15" t="n">
        <f aca="false">-L431/K431</f>
        <v>-0.0226398359370043</v>
      </c>
      <c r="N431" s="15" t="n">
        <f aca="false">(J431-L431)/K431</f>
        <v>-0.000566745263199686</v>
      </c>
      <c r="O431" s="15" t="n">
        <f aca="false">K431*(SINH(N431)-SINH(M431))</f>
        <v>58.6832541088331</v>
      </c>
      <c r="P431" s="15" t="n">
        <f aca="false">E431*COSH(M431)</f>
        <v>3520.2922967097</v>
      </c>
      <c r="Q431" s="15" t="n">
        <f aca="false">E431*COSH(N431)</f>
        <v>3519.39087022977</v>
      </c>
    </row>
    <row r="432" customFormat="false" ht="21" hidden="false" customHeight="true" outlineLevel="0" collapsed="false">
      <c r="A432" s="1" t="s">
        <v>394</v>
      </c>
      <c r="B432" s="1" t="s">
        <v>324</v>
      </c>
      <c r="C432" s="15" t="n">
        <v>58.6781126556883</v>
      </c>
      <c r="D432" s="15" t="n">
        <v>-0.680888293619864</v>
      </c>
      <c r="E432" s="15" t="n">
        <v>456.644470404632</v>
      </c>
      <c r="F432" s="15" t="n">
        <v>1.32389775</v>
      </c>
      <c r="G432" s="15" t="n">
        <v>0</v>
      </c>
      <c r="H432" s="15" t="n">
        <f aca="false">SQRT(F432^2+G432^2)</f>
        <v>1.32389775</v>
      </c>
      <c r="I432" s="15" t="n">
        <f aca="false">D432*F432/H432</f>
        <v>-0.680888293619864</v>
      </c>
      <c r="J432" s="15" t="n">
        <f aca="false">SQRT(C432^2+D432^2-I432^2)</f>
        <v>58.6781126556883</v>
      </c>
      <c r="K432" s="15" t="n">
        <f aca="false">E432/H432</f>
        <v>344.924274102462</v>
      </c>
      <c r="L432" s="15" t="n">
        <f aca="false">J432/2-K432*ASINH(I432/(2*K432*SINH(J432/(2*K432))))</f>
        <v>33.3365722266177</v>
      </c>
      <c r="M432" s="15" t="n">
        <f aca="false">-L432/K432</f>
        <v>-0.0966489595821107</v>
      </c>
      <c r="N432" s="15" t="n">
        <f aca="false">(J432-L432)/K432</f>
        <v>0.0734698666685973</v>
      </c>
      <c r="O432" s="15" t="n">
        <f aca="false">K432*(SINH(N432)-SINH(M432))</f>
        <v>58.752840844846</v>
      </c>
      <c r="P432" s="15" t="n">
        <f aca="false">E432*COSH(M432)</f>
        <v>458.778893986071</v>
      </c>
      <c r="Q432" s="15" t="n">
        <f aca="false">E432*COSH(N432)</f>
        <v>457.877467506146</v>
      </c>
    </row>
    <row r="433" customFormat="false" ht="21" hidden="false" customHeight="true" outlineLevel="0" collapsed="false">
      <c r="A433" s="1" t="s">
        <v>395</v>
      </c>
      <c r="B433" s="1" t="s">
        <v>319</v>
      </c>
      <c r="C433" s="15" t="n">
        <v>58.6781126542735</v>
      </c>
      <c r="D433" s="15" t="n">
        <v>11.444019408052</v>
      </c>
      <c r="E433" s="15" t="n">
        <v>2205.00000000257</v>
      </c>
      <c r="F433" s="15" t="n">
        <v>1.32389775</v>
      </c>
      <c r="G433" s="15" t="n">
        <v>0</v>
      </c>
      <c r="H433" s="15" t="n">
        <f aca="false">SQRT(F433^2+G433^2)</f>
        <v>1.32389775</v>
      </c>
      <c r="I433" s="15" t="n">
        <f aca="false">D433*F433/H433</f>
        <v>11.444019408052</v>
      </c>
      <c r="J433" s="15" t="n">
        <f aca="false">SQRT(C433^2+D433^2-I433^2)</f>
        <v>58.6781126542735</v>
      </c>
      <c r="K433" s="15" t="n">
        <f aca="false">E433/H433</f>
        <v>1665.53648119922</v>
      </c>
      <c r="L433" s="15" t="n">
        <f aca="false">J433/2-K433*ASINH(I433/(2*K433*SINH(J433/(2*K433))))</f>
        <v>-293.450018694241</v>
      </c>
      <c r="M433" s="15" t="n">
        <f aca="false">-L433/K433</f>
        <v>0.176189487295379</v>
      </c>
      <c r="N433" s="15" t="n">
        <f aca="false">(J433-L433)/K433</f>
        <v>0.21142024526234</v>
      </c>
      <c r="O433" s="15" t="n">
        <f aca="false">K433*(SINH(N433)-SINH(M433))</f>
        <v>59.7866426126795</v>
      </c>
      <c r="P433" s="15" t="n">
        <f aca="false">E433*COSH(M433)</f>
        <v>2239.31324295602</v>
      </c>
      <c r="Q433" s="15" t="n">
        <f aca="false">E433*COSH(N433)</f>
        <v>2254.4639545013</v>
      </c>
    </row>
    <row r="434" customFormat="false" ht="21" hidden="false" customHeight="true" outlineLevel="0" collapsed="false">
      <c r="A434" s="1" t="s">
        <v>395</v>
      </c>
      <c r="B434" s="1" t="s">
        <v>320</v>
      </c>
      <c r="C434" s="15" t="n">
        <v>58.6781126542735</v>
      </c>
      <c r="D434" s="15" t="n">
        <v>11.444019408052</v>
      </c>
      <c r="E434" s="15" t="n">
        <v>3341.98133172988</v>
      </c>
      <c r="F434" s="15" t="n">
        <v>1.32389775</v>
      </c>
      <c r="G434" s="15" t="n">
        <v>3.443895</v>
      </c>
      <c r="H434" s="15" t="n">
        <f aca="false">SQRT(F434^2+G434^2)</f>
        <v>3.68959591601574</v>
      </c>
      <c r="I434" s="15" t="n">
        <f aca="false">D434*F434/H434</f>
        <v>4.10633356338845</v>
      </c>
      <c r="J434" s="15" t="n">
        <f aca="false">SQRT(C434^2+D434^2-I434^2)</f>
        <v>59.6424723627859</v>
      </c>
      <c r="K434" s="15" t="n">
        <f aca="false">E434/H434</f>
        <v>905.785188351672</v>
      </c>
      <c r="L434" s="15" t="n">
        <f aca="false">J434/2-K434*ASINH(I434/(2*K434*SINH(J434/(2*K434))))</f>
        <v>-32.4809028697061</v>
      </c>
      <c r="M434" s="15" t="n">
        <f aca="false">-L434/K434</f>
        <v>0.0358593883929745</v>
      </c>
      <c r="N434" s="15" t="n">
        <f aca="false">(J434-L434)/K434</f>
        <v>0.101705543894062</v>
      </c>
      <c r="O434" s="15" t="n">
        <f aca="false">K434*(SINH(N434)-SINH(M434))</f>
        <v>59.7944138720664</v>
      </c>
      <c r="P434" s="15" t="n">
        <f aca="false">E434*COSH(M434)</f>
        <v>3344.13028176421</v>
      </c>
      <c r="Q434" s="15" t="n">
        <f aca="false">E434*COSH(N434)</f>
        <v>3359.28099330949</v>
      </c>
    </row>
    <row r="435" customFormat="false" ht="21" hidden="false" customHeight="true" outlineLevel="0" collapsed="false">
      <c r="A435" s="1" t="s">
        <v>395</v>
      </c>
      <c r="B435" s="1" t="s">
        <v>321</v>
      </c>
      <c r="C435" s="15" t="n">
        <v>58.6781126542735</v>
      </c>
      <c r="D435" s="15" t="n">
        <v>11.444019408052</v>
      </c>
      <c r="E435" s="15" t="n">
        <v>3576.32632390845</v>
      </c>
      <c r="F435" s="15" t="n">
        <v>3.85543216183014</v>
      </c>
      <c r="G435" s="15" t="n">
        <v>0</v>
      </c>
      <c r="H435" s="15" t="n">
        <f aca="false">SQRT(F435^2+G435^2)</f>
        <v>3.85543216183014</v>
      </c>
      <c r="I435" s="15" t="n">
        <f aca="false">D435*F435/H435</f>
        <v>11.444019408052</v>
      </c>
      <c r="J435" s="15" t="n">
        <f aca="false">SQRT(C435^2+D435^2-I435^2)</f>
        <v>58.6781126542735</v>
      </c>
      <c r="K435" s="15" t="n">
        <f aca="false">E435/H435</f>
        <v>927.607119978686</v>
      </c>
      <c r="L435" s="15" t="n">
        <f aca="false">J435/2-K435*ASINH(I435/(2*K435*SINH(J435/(2*K435))))</f>
        <v>-150.415298193551</v>
      </c>
      <c r="M435" s="15" t="n">
        <f aca="false">-L435/K435</f>
        <v>0.162154100538822</v>
      </c>
      <c r="N435" s="15" t="n">
        <f aca="false">(J435-L435)/K435</f>
        <v>0.225411606211721</v>
      </c>
      <c r="O435" s="15" t="n">
        <f aca="false">K435*(SINH(N435)-SINH(M435))</f>
        <v>59.7932670025821</v>
      </c>
      <c r="P435" s="15" t="n">
        <f aca="false">E435*COSH(M435)</f>
        <v>3623.44731498906</v>
      </c>
      <c r="Q435" s="15" t="n">
        <f aca="false">E435*COSH(N435)</f>
        <v>3667.56895547547</v>
      </c>
    </row>
    <row r="436" customFormat="false" ht="21" hidden="false" customHeight="true" outlineLevel="0" collapsed="false">
      <c r="A436" s="1" t="s">
        <v>395</v>
      </c>
      <c r="B436" s="1" t="s">
        <v>322</v>
      </c>
      <c r="C436" s="15" t="n">
        <v>58.6781126542735</v>
      </c>
      <c r="D436" s="15" t="n">
        <v>11.444019408052</v>
      </c>
      <c r="E436" s="15" t="n">
        <v>3388.80872113851</v>
      </c>
      <c r="F436" s="15" t="n">
        <v>2.33651151473205</v>
      </c>
      <c r="G436" s="15" t="n">
        <v>1.43495625</v>
      </c>
      <c r="H436" s="15" t="n">
        <f aca="false">SQRT(F436^2+G436^2)</f>
        <v>2.74196745018783</v>
      </c>
      <c r="I436" s="15" t="n">
        <f aca="false">D436*F436/H436</f>
        <v>9.75178721392151</v>
      </c>
      <c r="J436" s="15" t="n">
        <f aca="false">SQRT(C436^2+D436^2-I436^2)</f>
        <v>58.9829562756385</v>
      </c>
      <c r="K436" s="15" t="n">
        <f aca="false">E436/H436</f>
        <v>1235.9040662231</v>
      </c>
      <c r="L436" s="15" t="n">
        <f aca="false">J436/2-K436*ASINH(I436/(2*K436*SINH(J436/(2*K436))))</f>
        <v>-173.904600590353</v>
      </c>
      <c r="M436" s="15" t="n">
        <f aca="false">-L436/K436</f>
        <v>0.140710436467616</v>
      </c>
      <c r="N436" s="15" t="n">
        <f aca="false">(J436-L436)/K436</f>
        <v>0.188434979081906</v>
      </c>
      <c r="O436" s="15" t="n">
        <f aca="false">K436*(SINH(N436)-SINH(M436))</f>
        <v>59.7891867850605</v>
      </c>
      <c r="P436" s="15" t="n">
        <f aca="false">E436*COSH(M436)</f>
        <v>3422.41234599802</v>
      </c>
      <c r="Q436" s="15" t="n">
        <f aca="false">E436*COSH(N436)</f>
        <v>3449.15142911975</v>
      </c>
    </row>
    <row r="437" customFormat="false" ht="21" hidden="false" customHeight="true" outlineLevel="0" collapsed="false">
      <c r="A437" s="1" t="s">
        <v>395</v>
      </c>
      <c r="B437" s="1" t="s">
        <v>323</v>
      </c>
      <c r="C437" s="15" t="n">
        <v>58.6781126542735</v>
      </c>
      <c r="D437" s="15" t="n">
        <v>11.444019408052</v>
      </c>
      <c r="E437" s="15" t="n">
        <v>3499.28397894762</v>
      </c>
      <c r="F437" s="15" t="n">
        <v>1.32389775</v>
      </c>
      <c r="G437" s="15" t="n">
        <v>0</v>
      </c>
      <c r="H437" s="15" t="n">
        <f aca="false">SQRT(F437^2+G437^2)</f>
        <v>1.32389775</v>
      </c>
      <c r="I437" s="15" t="n">
        <f aca="false">D437*F437/H437</f>
        <v>11.444019408052</v>
      </c>
      <c r="J437" s="15" t="n">
        <f aca="false">SQRT(C437^2+D437^2-I437^2)</f>
        <v>58.6781126542735</v>
      </c>
      <c r="K437" s="15" t="n">
        <f aca="false">E437/H437</f>
        <v>2643.16785714578</v>
      </c>
      <c r="L437" s="15" t="n">
        <f aca="false">J437/2-K437*ASINH(I437/(2*K437*SINH(J437/(2*K437))))</f>
        <v>-482.935513055024</v>
      </c>
      <c r="M437" s="15" t="n">
        <f aca="false">-L437/K437</f>
        <v>0.182710875417697</v>
      </c>
      <c r="N437" s="15" t="n">
        <f aca="false">(J437-L437)/K437</f>
        <v>0.204910794539609</v>
      </c>
      <c r="O437" s="15" t="n">
        <f aca="false">K437*(SINH(N437)-SINH(M437))</f>
        <v>59.7848467017165</v>
      </c>
      <c r="P437" s="15" t="n">
        <f aca="false">E437*COSH(M437)</f>
        <v>3557.8554098919</v>
      </c>
      <c r="Q437" s="15" t="n">
        <f aca="false">E437*COSH(N437)</f>
        <v>3573.00612143718</v>
      </c>
    </row>
    <row r="438" customFormat="false" ht="21" hidden="false" customHeight="true" outlineLevel="0" collapsed="false">
      <c r="A438" s="1" t="s">
        <v>395</v>
      </c>
      <c r="B438" s="1" t="s">
        <v>324</v>
      </c>
      <c r="C438" s="15" t="n">
        <v>58.6781126542735</v>
      </c>
      <c r="D438" s="15" t="n">
        <v>11.444019408052</v>
      </c>
      <c r="E438" s="15" t="n">
        <v>450.954008332025</v>
      </c>
      <c r="F438" s="15" t="n">
        <v>1.32389775</v>
      </c>
      <c r="G438" s="15" t="n">
        <v>0</v>
      </c>
      <c r="H438" s="15" t="n">
        <f aca="false">SQRT(F438^2+G438^2)</f>
        <v>1.32389775</v>
      </c>
      <c r="I438" s="15" t="n">
        <f aca="false">D438*F438/H438</f>
        <v>11.444019408052</v>
      </c>
      <c r="J438" s="15" t="n">
        <f aca="false">SQRT(C438^2+D438^2-I438^2)</f>
        <v>58.6781126542735</v>
      </c>
      <c r="K438" s="15" t="n">
        <f aca="false">E438/H438</f>
        <v>340.626010076704</v>
      </c>
      <c r="L438" s="15" t="n">
        <f aca="false">J438/2-K438*ASINH(I438/(2*K438*SINH(J438/(2*K438))))</f>
        <v>-36.598738879839</v>
      </c>
      <c r="M438" s="15" t="n">
        <f aca="false">-L438/K438</f>
        <v>0.10744552029834</v>
      </c>
      <c r="N438" s="15" t="n">
        <f aca="false">(J438-L438)/K438</f>
        <v>0.279711028270148</v>
      </c>
      <c r="O438" s="15" t="n">
        <f aca="false">K438*(SINH(N438)-SINH(M438))</f>
        <v>59.8549043874277</v>
      </c>
      <c r="P438" s="15" t="n">
        <f aca="false">E438*COSH(M438)</f>
        <v>453.559541782014</v>
      </c>
      <c r="Q438" s="15" t="n">
        <f aca="false">E438*COSH(N438)</f>
        <v>468.710253327291</v>
      </c>
    </row>
    <row r="439" customFormat="false" ht="21" hidden="false" customHeight="true" outlineLevel="0" collapsed="false">
      <c r="A439" s="1" t="s">
        <v>396</v>
      </c>
      <c r="B439" s="1" t="s">
        <v>319</v>
      </c>
      <c r="C439" s="15" t="n">
        <v>71.734052511281</v>
      </c>
      <c r="D439" s="15" t="n">
        <v>10.6670091132606</v>
      </c>
      <c r="E439" s="15" t="n">
        <v>2204.99999999843</v>
      </c>
      <c r="F439" s="15" t="n">
        <v>1.32389775</v>
      </c>
      <c r="G439" s="15" t="n">
        <v>0</v>
      </c>
      <c r="H439" s="15" t="n">
        <f aca="false">SQRT(F439^2+G439^2)</f>
        <v>1.32389775</v>
      </c>
      <c r="I439" s="15" t="n">
        <f aca="false">D439*F439/H439</f>
        <v>10.6670091132606</v>
      </c>
      <c r="J439" s="15" t="n">
        <f aca="false">SQRT(C439^2+D439^2-I439^2)</f>
        <v>71.734052511281</v>
      </c>
      <c r="K439" s="15" t="n">
        <f aca="false">E439/H439</f>
        <v>1665.53648119609</v>
      </c>
      <c r="L439" s="15" t="n">
        <f aca="false">J439/2-K439*ASINH(I439/(2*K439*SINH(J439/(2*K439))))</f>
        <v>-210.87913401202</v>
      </c>
      <c r="M439" s="15" t="n">
        <f aca="false">-L439/K439</f>
        <v>0.126613338340436</v>
      </c>
      <c r="N439" s="15" t="n">
        <f aca="false">(J439-L439)/K439</f>
        <v>0.169682975854329</v>
      </c>
      <c r="O439" s="15" t="n">
        <f aca="false">K439*(SINH(N439)-SINH(M439))</f>
        <v>72.5283039270226</v>
      </c>
      <c r="P439" s="15" t="n">
        <f aca="false">E439*COSH(M439)</f>
        <v>2222.69773219685</v>
      </c>
      <c r="Q439" s="15" t="n">
        <f aca="false">E439*COSH(N439)</f>
        <v>2236.81976156113</v>
      </c>
    </row>
    <row r="440" customFormat="false" ht="21" hidden="false" customHeight="true" outlineLevel="0" collapsed="false">
      <c r="A440" s="1" t="s">
        <v>396</v>
      </c>
      <c r="B440" s="1" t="s">
        <v>320</v>
      </c>
      <c r="C440" s="15" t="n">
        <v>71.734052511281</v>
      </c>
      <c r="D440" s="15" t="n">
        <v>10.6670091132606</v>
      </c>
      <c r="E440" s="15" t="n">
        <v>3457.88859482647</v>
      </c>
      <c r="F440" s="15" t="n">
        <v>1.32389775</v>
      </c>
      <c r="G440" s="15" t="n">
        <v>3.443895</v>
      </c>
      <c r="H440" s="15" t="n">
        <f aca="false">SQRT(F440^2+G440^2)</f>
        <v>3.68959591601574</v>
      </c>
      <c r="I440" s="15" t="n">
        <f aca="false">D440*F440/H440</f>
        <v>3.82752737311274</v>
      </c>
      <c r="J440" s="15" t="n">
        <f aca="false">SQRT(C440^2+D440^2-I440^2)</f>
        <v>72.4217467845237</v>
      </c>
      <c r="K440" s="15" t="n">
        <f aca="false">E440/H440</f>
        <v>937.199810910598</v>
      </c>
      <c r="L440" s="15" t="n">
        <f aca="false">J440/2-K440*ASINH(I440/(2*K440*SINH(J440/(2*K440))))</f>
        <v>-13.285295172517</v>
      </c>
      <c r="M440" s="15" t="n">
        <f aca="false">-L440/K440</f>
        <v>0.014175520543062</v>
      </c>
      <c r="N440" s="15" t="n">
        <f aca="false">(J440-L440)/K440</f>
        <v>0.09145012723996</v>
      </c>
      <c r="O440" s="15" t="n">
        <f aca="false">K440*(SINH(N440)-SINH(M440))</f>
        <v>72.5408149363813</v>
      </c>
      <c r="P440" s="15" t="n">
        <f aca="false">E440*COSH(M440)</f>
        <v>3458.23602401772</v>
      </c>
      <c r="Q440" s="15" t="n">
        <f aca="false">E440*COSH(N440)</f>
        <v>3472.358053382</v>
      </c>
    </row>
    <row r="441" customFormat="false" ht="21" hidden="false" customHeight="true" outlineLevel="0" collapsed="false">
      <c r="A441" s="1" t="s">
        <v>396</v>
      </c>
      <c r="B441" s="1" t="s">
        <v>321</v>
      </c>
      <c r="C441" s="15" t="n">
        <v>71.734052511281</v>
      </c>
      <c r="D441" s="15" t="n">
        <v>10.6670091132606</v>
      </c>
      <c r="E441" s="15" t="n">
        <v>3708.83475111493</v>
      </c>
      <c r="F441" s="15" t="n">
        <v>3.85543216183014</v>
      </c>
      <c r="G441" s="15" t="n">
        <v>0</v>
      </c>
      <c r="H441" s="15" t="n">
        <f aca="false">SQRT(F441^2+G441^2)</f>
        <v>3.85543216183014</v>
      </c>
      <c r="I441" s="15" t="n">
        <f aca="false">D441*F441/H441</f>
        <v>10.6670091132606</v>
      </c>
      <c r="J441" s="15" t="n">
        <f aca="false">SQRT(C441^2+D441^2-I441^2)</f>
        <v>71.734052511281</v>
      </c>
      <c r="K441" s="15" t="n">
        <f aca="false">E441/H441</f>
        <v>961.976399904903</v>
      </c>
      <c r="L441" s="15" t="n">
        <f aca="false">J441/2-K441*ASINH(I441/(2*K441*SINH(J441/(2*K441))))</f>
        <v>-106.626162766458</v>
      </c>
      <c r="M441" s="15" t="n">
        <f aca="false">-L441/K441</f>
        <v>0.11084072621428</v>
      </c>
      <c r="N441" s="15" t="n">
        <f aca="false">(J441-L441)/K441</f>
        <v>0.185410177729278</v>
      </c>
      <c r="O441" s="15" t="n">
        <f aca="false">K441*(SINH(N441)-SINH(M441))</f>
        <v>72.5392602836468</v>
      </c>
      <c r="P441" s="15" t="n">
        <f aca="false">E441*COSH(M441)</f>
        <v>3731.64083936928</v>
      </c>
      <c r="Q441" s="15" t="n">
        <f aca="false">E441*COSH(N441)</f>
        <v>3772.76676937508</v>
      </c>
    </row>
    <row r="442" customFormat="false" ht="21" hidden="false" customHeight="true" outlineLevel="0" collapsed="false">
      <c r="A442" s="1" t="s">
        <v>396</v>
      </c>
      <c r="B442" s="1" t="s">
        <v>322</v>
      </c>
      <c r="C442" s="15" t="n">
        <v>71.734052511281</v>
      </c>
      <c r="D442" s="15" t="n">
        <v>10.6670091132606</v>
      </c>
      <c r="E442" s="15" t="n">
        <v>3441.07332333176</v>
      </c>
      <c r="F442" s="15" t="n">
        <v>2.33651151473205</v>
      </c>
      <c r="G442" s="15" t="n">
        <v>1.43495625</v>
      </c>
      <c r="H442" s="15" t="n">
        <f aca="false">SQRT(F442^2+G442^2)</f>
        <v>2.74196745018783</v>
      </c>
      <c r="I442" s="15" t="n">
        <f aca="false">D442*F442/H442</f>
        <v>9.08967377390927</v>
      </c>
      <c r="J442" s="15" t="n">
        <f aca="false">SQRT(C442^2+D442^2-I442^2)</f>
        <v>71.9509360870135</v>
      </c>
      <c r="K442" s="15" t="n">
        <f aca="false">E442/H442</f>
        <v>1254.96505186305</v>
      </c>
      <c r="L442" s="15" t="n">
        <f aca="false">J442/2-K442*ASINH(I442/(2*K442*SINH(J442/(2*K442))))</f>
        <v>-122.125968180561</v>
      </c>
      <c r="M442" s="15" t="n">
        <f aca="false">-L442/K442</f>
        <v>0.097314238352104</v>
      </c>
      <c r="N442" s="15" t="n">
        <f aca="false">(J442-L442)/K442</f>
        <v>0.154647258088549</v>
      </c>
      <c r="O442" s="15" t="n">
        <f aca="false">K442*(SINH(N442)-SINH(M442))</f>
        <v>72.5325968810207</v>
      </c>
      <c r="P442" s="15" t="n">
        <f aca="false">E442*COSH(M442)</f>
        <v>3457.37977294481</v>
      </c>
      <c r="Q442" s="15" t="n">
        <f aca="false">E442*COSH(N442)</f>
        <v>3482.30336256569</v>
      </c>
    </row>
    <row r="443" customFormat="false" ht="21" hidden="false" customHeight="true" outlineLevel="0" collapsed="false">
      <c r="A443" s="1" t="s">
        <v>396</v>
      </c>
      <c r="B443" s="1" t="s">
        <v>323</v>
      </c>
      <c r="C443" s="15" t="n">
        <v>71.734052511281</v>
      </c>
      <c r="D443" s="15" t="n">
        <v>10.6670091132606</v>
      </c>
      <c r="E443" s="15" t="n">
        <v>3464.0543159443</v>
      </c>
      <c r="F443" s="15" t="n">
        <v>1.32389775</v>
      </c>
      <c r="G443" s="15" t="n">
        <v>0</v>
      </c>
      <c r="H443" s="15" t="n">
        <f aca="false">SQRT(F443^2+G443^2)</f>
        <v>1.32389775</v>
      </c>
      <c r="I443" s="15" t="n">
        <f aca="false">D443*F443/H443</f>
        <v>10.6670091132606</v>
      </c>
      <c r="J443" s="15" t="n">
        <f aca="false">SQRT(C443^2+D443^2-I443^2)</f>
        <v>71.734052511281</v>
      </c>
      <c r="K443" s="15" t="n">
        <f aca="false">E443/H443</f>
        <v>2616.55729526264</v>
      </c>
      <c r="L443" s="15" t="n">
        <f aca="false">J443/2-K443*ASINH(I443/(2*K443*SINH(J443/(2*K443))))</f>
        <v>-351.788807208868</v>
      </c>
      <c r="M443" s="15" t="n">
        <f aca="false">-L443/K443</f>
        <v>0.134447201995459</v>
      </c>
      <c r="N443" s="15" t="n">
        <f aca="false">(J443-L443)/K443</f>
        <v>0.16186263548937</v>
      </c>
      <c r="O443" s="15" t="n">
        <f aca="false">K443*(SINH(N443)-SINH(M443))</f>
        <v>72.5250417494189</v>
      </c>
      <c r="P443" s="15" t="n">
        <f aca="false">E443*COSH(M443)</f>
        <v>3495.40971482449</v>
      </c>
      <c r="Q443" s="15" t="n">
        <f aca="false">E443*COSH(N443)</f>
        <v>3509.53174418877</v>
      </c>
    </row>
    <row r="444" customFormat="false" ht="21" hidden="false" customHeight="true" outlineLevel="0" collapsed="false">
      <c r="A444" s="1" t="s">
        <v>396</v>
      </c>
      <c r="B444" s="1" t="s">
        <v>324</v>
      </c>
      <c r="C444" s="15" t="n">
        <v>71.734052511281</v>
      </c>
      <c r="D444" s="15" t="n">
        <v>10.6670091132606</v>
      </c>
      <c r="E444" s="15" t="n">
        <v>542.008341248122</v>
      </c>
      <c r="F444" s="15" t="n">
        <v>1.32389775</v>
      </c>
      <c r="G444" s="15" t="n">
        <v>0</v>
      </c>
      <c r="H444" s="15" t="n">
        <f aca="false">SQRT(F444^2+G444^2)</f>
        <v>1.32389775</v>
      </c>
      <c r="I444" s="15" t="n">
        <f aca="false">D444*F444/H444</f>
        <v>10.6670091132606</v>
      </c>
      <c r="J444" s="15" t="n">
        <f aca="false">SQRT(C444^2+D444^2-I444^2)</f>
        <v>71.734052511281</v>
      </c>
      <c r="K444" s="15" t="n">
        <f aca="false">E444/H444</f>
        <v>409.403476399988</v>
      </c>
      <c r="L444" s="15" t="n">
        <f aca="false">J444/2-K444*ASINH(I444/(2*K444*SINH(J444/(2*K444))))</f>
        <v>-24.7130368507487</v>
      </c>
      <c r="M444" s="15" t="n">
        <f aca="false">-L444/K444</f>
        <v>0.060363524677558</v>
      </c>
      <c r="N444" s="15" t="n">
        <f aca="false">(J444-L444)/K444</f>
        <v>0.235579556407578</v>
      </c>
      <c r="O444" s="15" t="n">
        <f aca="false">K444*(SINH(N444)-SINH(M444))</f>
        <v>72.6136195270146</v>
      </c>
      <c r="P444" s="15" t="n">
        <f aca="false">E444*COSH(M444)</f>
        <v>542.996113958924</v>
      </c>
      <c r="Q444" s="15" t="n">
        <f aca="false">E444*COSH(N444)</f>
        <v>557.118143323199</v>
      </c>
    </row>
    <row r="445" customFormat="false" ht="21" hidden="false" customHeight="true" outlineLevel="0" collapsed="false">
      <c r="A445" s="1" t="s">
        <v>397</v>
      </c>
      <c r="B445" s="1" t="s">
        <v>319</v>
      </c>
      <c r="C445" s="15" t="n">
        <v>71.734052511281</v>
      </c>
      <c r="D445" s="15" t="n">
        <v>-5.04690635719972</v>
      </c>
      <c r="E445" s="15" t="n">
        <v>2205.0000000005</v>
      </c>
      <c r="F445" s="15" t="n">
        <v>1.32389775</v>
      </c>
      <c r="G445" s="15" t="n">
        <v>0</v>
      </c>
      <c r="H445" s="15" t="n">
        <f aca="false">SQRT(F445^2+G445^2)</f>
        <v>1.32389775</v>
      </c>
      <c r="I445" s="15" t="n">
        <f aca="false">D445*F445/H445</f>
        <v>-5.04690635719972</v>
      </c>
      <c r="J445" s="15" t="n">
        <f aca="false">SQRT(C445^2+D445^2-I445^2)</f>
        <v>71.734052511281</v>
      </c>
      <c r="K445" s="15" t="n">
        <f aca="false">E445/H445</f>
        <v>1665.53648119766</v>
      </c>
      <c r="L445" s="15" t="n">
        <f aca="false">J445/2-K445*ASINH(I445/(2*K445*SINH(J445/(2*K445))))</f>
        <v>152.941679078475</v>
      </c>
      <c r="M445" s="15" t="n">
        <f aca="false">-L445/K445</f>
        <v>-0.0918272765592605</v>
      </c>
      <c r="N445" s="15" t="n">
        <f aca="false">(J445-L445)/K445</f>
        <v>-0.0487576390454079</v>
      </c>
      <c r="O445" s="15" t="n">
        <f aca="false">K445*(SINH(N445)-SINH(M445))</f>
        <v>71.9169037910178</v>
      </c>
      <c r="P445" s="15" t="n">
        <f aca="false">E445*COSH(M445)</f>
        <v>2214.30308862249</v>
      </c>
      <c r="Q445" s="15" t="n">
        <f aca="false">E445*COSH(N445)</f>
        <v>2207.62150065173</v>
      </c>
    </row>
    <row r="446" customFormat="false" ht="21" hidden="false" customHeight="true" outlineLevel="0" collapsed="false">
      <c r="A446" s="1" t="s">
        <v>397</v>
      </c>
      <c r="B446" s="1" t="s">
        <v>320</v>
      </c>
      <c r="C446" s="15" t="n">
        <v>71.734052511281</v>
      </c>
      <c r="D446" s="15" t="n">
        <v>-5.04690635719972</v>
      </c>
      <c r="E446" s="15" t="n">
        <v>3438.03966687483</v>
      </c>
      <c r="F446" s="15" t="n">
        <v>1.32389775</v>
      </c>
      <c r="G446" s="15" t="n">
        <v>3.443895</v>
      </c>
      <c r="H446" s="15" t="n">
        <f aca="false">SQRT(F446^2+G446^2)</f>
        <v>3.68959591601574</v>
      </c>
      <c r="I446" s="15" t="n">
        <f aca="false">D446*F446/H446</f>
        <v>-1.81092675806423</v>
      </c>
      <c r="J446" s="15" t="n">
        <f aca="false">SQRT(C446^2+D446^2-I446^2)</f>
        <v>71.8885672255783</v>
      </c>
      <c r="K446" s="15" t="n">
        <f aca="false">E446/H446</f>
        <v>931.820108524902</v>
      </c>
      <c r="L446" s="15" t="n">
        <f aca="false">J446/2-K446*ASINH(I446/(2*K446*SINH(J446/(2*K446))))</f>
        <v>59.4092285646958</v>
      </c>
      <c r="M446" s="15" t="n">
        <f aca="false">-L446/K446</f>
        <v>-0.0637561134613657</v>
      </c>
      <c r="N446" s="15" t="n">
        <f aca="false">(J446-L446)/K446</f>
        <v>0.0133924333105857</v>
      </c>
      <c r="O446" s="15" t="n">
        <f aca="false">K446*(SINH(N446)-SINH(M446))</f>
        <v>71.9291966411401</v>
      </c>
      <c r="P446" s="15" t="n">
        <f aca="false">E446*COSH(M446)</f>
        <v>3445.02957815824</v>
      </c>
      <c r="Q446" s="15" t="n">
        <f aca="false">E446*COSH(N446)</f>
        <v>3438.34799018749</v>
      </c>
    </row>
    <row r="447" customFormat="false" ht="21" hidden="false" customHeight="true" outlineLevel="0" collapsed="false">
      <c r="A447" s="1" t="s">
        <v>397</v>
      </c>
      <c r="B447" s="1" t="s">
        <v>321</v>
      </c>
      <c r="C447" s="15" t="n">
        <v>71.734052511281</v>
      </c>
      <c r="D447" s="15" t="n">
        <v>-5.04690635719972</v>
      </c>
      <c r="E447" s="15" t="n">
        <v>3723.86026156158</v>
      </c>
      <c r="F447" s="15" t="n">
        <v>3.85543216183014</v>
      </c>
      <c r="G447" s="15" t="n">
        <v>0</v>
      </c>
      <c r="H447" s="15" t="n">
        <f aca="false">SQRT(F447^2+G447^2)</f>
        <v>3.85543216183014</v>
      </c>
      <c r="I447" s="15" t="n">
        <f aca="false">D447*F447/H447</f>
        <v>-5.04690635719972</v>
      </c>
      <c r="J447" s="15" t="n">
        <f aca="false">SQRT(C447^2+D447^2-I447^2)</f>
        <v>71.734052511281</v>
      </c>
      <c r="K447" s="15" t="n">
        <f aca="false">E447/H447</f>
        <v>965.873631088325</v>
      </c>
      <c r="L447" s="15" t="n">
        <f aca="false">J447/2-K447*ASINH(I447/(2*K447*SINH(J447/(2*K447))))</f>
        <v>103.750320036411</v>
      </c>
      <c r="M447" s="15" t="n">
        <f aca="false">-L447/K447</f>
        <v>-0.107416039424855</v>
      </c>
      <c r="N447" s="15" t="n">
        <f aca="false">(J447-L447)/K447</f>
        <v>-0.0331474703259626</v>
      </c>
      <c r="O447" s="15" t="n">
        <f aca="false">K447*(SINH(N447)-SINH(M447))</f>
        <v>71.9278197380723</v>
      </c>
      <c r="P447" s="15" t="n">
        <f aca="false">E447*COSH(M447)</f>
        <v>3745.36425862354</v>
      </c>
      <c r="Q447" s="15" t="n">
        <f aca="false">E447*COSH(N447)</f>
        <v>3725.90625353625</v>
      </c>
    </row>
    <row r="448" customFormat="false" ht="21" hidden="false" customHeight="true" outlineLevel="0" collapsed="false">
      <c r="A448" s="1" t="s">
        <v>397</v>
      </c>
      <c r="B448" s="1" t="s">
        <v>322</v>
      </c>
      <c r="C448" s="15" t="n">
        <v>71.734052511281</v>
      </c>
      <c r="D448" s="15" t="n">
        <v>-5.04690635719972</v>
      </c>
      <c r="E448" s="15" t="n">
        <v>3442.3435350447</v>
      </c>
      <c r="F448" s="15" t="n">
        <v>2.33651151473205</v>
      </c>
      <c r="G448" s="15" t="n">
        <v>1.43495625</v>
      </c>
      <c r="H448" s="15" t="n">
        <f aca="false">SQRT(F448^2+G448^2)</f>
        <v>2.74196745018783</v>
      </c>
      <c r="I448" s="15" t="n">
        <f aca="false">D448*F448/H448</f>
        <v>-4.30061808959977</v>
      </c>
      <c r="J448" s="15" t="n">
        <f aca="false">SQRT(C448^2+D448^2-I448^2)</f>
        <v>71.7826597272417</v>
      </c>
      <c r="K448" s="15" t="n">
        <f aca="false">E448/H448</f>
        <v>1255.4283001459</v>
      </c>
      <c r="L448" s="15" t="n">
        <f aca="false">J448/2-K448*ASINH(I448/(2*K448*SINH(J448/(2*K448))))</f>
        <v>111.050969521043</v>
      </c>
      <c r="M448" s="15" t="n">
        <f aca="false">-L448/K448</f>
        <v>-0.0884566402622412</v>
      </c>
      <c r="N448" s="15" t="n">
        <f aca="false">(J448-L448)/K448</f>
        <v>-0.0312788151973614</v>
      </c>
      <c r="O448" s="15" t="n">
        <f aca="false">K448*(SINH(N448)-SINH(M448))</f>
        <v>71.9211341116456</v>
      </c>
      <c r="P448" s="15" t="n">
        <f aca="false">E448*COSH(M448)</f>
        <v>3455.81976013555</v>
      </c>
      <c r="Q448" s="15" t="n">
        <f aca="false">E448*COSH(N448)</f>
        <v>3444.02760531818</v>
      </c>
    </row>
    <row r="449" customFormat="false" ht="21" hidden="false" customHeight="true" outlineLevel="0" collapsed="false">
      <c r="A449" s="1" t="s">
        <v>397</v>
      </c>
      <c r="B449" s="1" t="s">
        <v>323</v>
      </c>
      <c r="C449" s="15" t="n">
        <v>71.734052511281</v>
      </c>
      <c r="D449" s="15" t="n">
        <v>-5.04690635719972</v>
      </c>
      <c r="E449" s="15" t="n">
        <v>3471.98281899</v>
      </c>
      <c r="F449" s="15" t="n">
        <v>1.32389775</v>
      </c>
      <c r="G449" s="15" t="n">
        <v>0</v>
      </c>
      <c r="H449" s="15" t="n">
        <f aca="false">SQRT(F449^2+G449^2)</f>
        <v>1.32389775</v>
      </c>
      <c r="I449" s="15" t="n">
        <f aca="false">D449*F449/H449</f>
        <v>-5.04690635719972</v>
      </c>
      <c r="J449" s="15" t="n">
        <f aca="false">SQRT(C449^2+D449^2-I449^2)</f>
        <v>71.734052511281</v>
      </c>
      <c r="K449" s="15" t="n">
        <f aca="false">E449/H449</f>
        <v>2622.54605311475</v>
      </c>
      <c r="L449" s="15" t="n">
        <f aca="false">J449/2-K449*ASINH(I449/(2*K449*SINH(J449/(2*K449))))</f>
        <v>220.220721577884</v>
      </c>
      <c r="M449" s="15" t="n">
        <f aca="false">-L449/K449</f>
        <v>-0.0839721084464208</v>
      </c>
      <c r="N449" s="15" t="n">
        <f aca="false">(J449-L449)/K449</f>
        <v>-0.0566192799132159</v>
      </c>
      <c r="O449" s="15" t="n">
        <f aca="false">K449*(SINH(N449)-SINH(M449))</f>
        <v>71.9136036555896</v>
      </c>
      <c r="P449" s="15" t="n">
        <f aca="false">E449*COSH(M449)</f>
        <v>3484.23103588318</v>
      </c>
      <c r="Q449" s="15" t="n">
        <f aca="false">E449*COSH(N449)</f>
        <v>3477.54944791242</v>
      </c>
    </row>
    <row r="450" customFormat="false" ht="21" hidden="false" customHeight="true" outlineLevel="0" collapsed="false">
      <c r="A450" s="1" t="s">
        <v>397</v>
      </c>
      <c r="B450" s="1" t="s">
        <v>324</v>
      </c>
      <c r="C450" s="15" t="n">
        <v>71.734052511281</v>
      </c>
      <c r="D450" s="15" t="n">
        <v>-5.04690635719972</v>
      </c>
      <c r="E450" s="15" t="n">
        <v>545.106405698406</v>
      </c>
      <c r="F450" s="15" t="n">
        <v>1.32389775</v>
      </c>
      <c r="G450" s="15" t="n">
        <v>0</v>
      </c>
      <c r="H450" s="15" t="n">
        <f aca="false">SQRT(F450^2+G450^2)</f>
        <v>1.32389775</v>
      </c>
      <c r="I450" s="15" t="n">
        <f aca="false">D450*F450/H450</f>
        <v>-5.04690635719972</v>
      </c>
      <c r="J450" s="15" t="n">
        <f aca="false">SQRT(C450^2+D450^2-I450^2)</f>
        <v>71.734052511281</v>
      </c>
      <c r="K450" s="15" t="n">
        <f aca="false">E450/H450</f>
        <v>411.743584954659</v>
      </c>
      <c r="L450" s="15" t="n">
        <f aca="false">J450/2-K450*ASINH(I450/(2*K450*SINH(J450/(2*K450))))</f>
        <v>64.7752143797616</v>
      </c>
      <c r="M450" s="15" t="n">
        <f aca="false">-L450/K450</f>
        <v>-0.157319304408579</v>
      </c>
      <c r="N450" s="15" t="n">
        <f aca="false">(J450-L450)/K450</f>
        <v>0.0169009023717655</v>
      </c>
      <c r="O450" s="15" t="n">
        <f aca="false">K450*(SINH(N450)-SINH(M450))</f>
        <v>72.001905526979</v>
      </c>
      <c r="P450" s="15" t="n">
        <f aca="false">E450*COSH(M450)</f>
        <v>551.865847755733</v>
      </c>
      <c r="Q450" s="15" t="n">
        <f aca="false">E450*COSH(N450)</f>
        <v>545.184259784975</v>
      </c>
    </row>
    <row r="451" customFormat="false" ht="21" hidden="false" customHeight="true" outlineLevel="0" collapsed="false">
      <c r="A451" s="1" t="s">
        <v>398</v>
      </c>
      <c r="B451" s="1" t="s">
        <v>319</v>
      </c>
      <c r="C451" s="15" t="n">
        <v>48.4773187709945</v>
      </c>
      <c r="D451" s="15" t="n">
        <v>3.48354053014336</v>
      </c>
      <c r="E451" s="15" t="n">
        <v>2205.00000000045</v>
      </c>
      <c r="F451" s="15" t="n">
        <v>1.32389775</v>
      </c>
      <c r="G451" s="15" t="n">
        <v>0</v>
      </c>
      <c r="H451" s="15" t="n">
        <f aca="false">SQRT(F451^2+G451^2)</f>
        <v>1.32389775</v>
      </c>
      <c r="I451" s="15" t="n">
        <f aca="false">D451*F451/H451</f>
        <v>3.48354053014336</v>
      </c>
      <c r="J451" s="15" t="n">
        <f aca="false">SQRT(C451^2+D451^2-I451^2)</f>
        <v>48.4773187709945</v>
      </c>
      <c r="K451" s="15" t="n">
        <f aca="false">E451/H451</f>
        <v>1665.53648119762</v>
      </c>
      <c r="L451" s="15" t="n">
        <f aca="false">J451/2-K451*ASINH(I451/(2*K451*SINH(J451/(2*K451))))</f>
        <v>-95.3384536617293</v>
      </c>
      <c r="M451" s="15" t="n">
        <f aca="false">-L451/K451</f>
        <v>0.0572418885674453</v>
      </c>
      <c r="N451" s="15" t="n">
        <f aca="false">(J451-L451)/K451</f>
        <v>0.0863480170241071</v>
      </c>
      <c r="O451" s="15" t="n">
        <f aca="false">K451*(SINH(N451)-SINH(M451))</f>
        <v>48.604026598389</v>
      </c>
      <c r="P451" s="15" t="n">
        <f aca="false">E451*COSH(M451)</f>
        <v>2208.61347528039</v>
      </c>
      <c r="Q451" s="15" t="n">
        <f aca="false">E451*COSH(N451)</f>
        <v>2213.22532675028</v>
      </c>
    </row>
    <row r="452" customFormat="false" ht="21" hidden="false" customHeight="true" outlineLevel="0" collapsed="false">
      <c r="A452" s="1" t="s">
        <v>398</v>
      </c>
      <c r="B452" s="1" t="s">
        <v>320</v>
      </c>
      <c r="C452" s="15" t="n">
        <v>48.4773187709945</v>
      </c>
      <c r="D452" s="15" t="n">
        <v>3.48354053014336</v>
      </c>
      <c r="E452" s="15" t="n">
        <v>3206.08546566871</v>
      </c>
      <c r="F452" s="15" t="n">
        <v>1.32389775</v>
      </c>
      <c r="G452" s="15" t="n">
        <v>3.443895</v>
      </c>
      <c r="H452" s="15" t="n">
        <f aca="false">SQRT(F452^2+G452^2)</f>
        <v>3.68959591601574</v>
      </c>
      <c r="I452" s="15" t="n">
        <f aca="false">D452*F452/H452</f>
        <v>1.24996112714445</v>
      </c>
      <c r="J452" s="15" t="n">
        <f aca="false">SQRT(C452^2+D452^2-I452^2)</f>
        <v>48.5862438045009</v>
      </c>
      <c r="K452" s="15" t="n">
        <f aca="false">E452/H452</f>
        <v>868.953006954441</v>
      </c>
      <c r="L452" s="15" t="n">
        <f aca="false">J452/2-K452*ASINH(I452/(2*K452*SINH(J452/(2*K452))))</f>
        <v>1.94325104290914</v>
      </c>
      <c r="M452" s="15" t="n">
        <f aca="false">-L452/K452</f>
        <v>-0.00223631315773907</v>
      </c>
      <c r="N452" s="15" t="n">
        <f aca="false">(J452-L452)/K452</f>
        <v>0.0536772327022251</v>
      </c>
      <c r="O452" s="15" t="n">
        <f aca="false">K452*(SINH(N452)-SINH(M452))</f>
        <v>48.6086469685669</v>
      </c>
      <c r="P452" s="15" t="n">
        <f aca="false">E452*COSH(M452)</f>
        <v>3206.09348264351</v>
      </c>
      <c r="Q452" s="15" t="n">
        <f aca="false">E452*COSH(N452)</f>
        <v>3210.7053341134</v>
      </c>
    </row>
    <row r="453" customFormat="false" ht="21" hidden="false" customHeight="true" outlineLevel="0" collapsed="false">
      <c r="A453" s="1" t="s">
        <v>398</v>
      </c>
      <c r="B453" s="1" t="s">
        <v>321</v>
      </c>
      <c r="C453" s="15" t="n">
        <v>48.4773187709945</v>
      </c>
      <c r="D453" s="15" t="n">
        <v>3.48354053014336</v>
      </c>
      <c r="E453" s="15" t="n">
        <v>3511.64398327326</v>
      </c>
      <c r="F453" s="15" t="n">
        <v>3.85543216183014</v>
      </c>
      <c r="G453" s="15" t="n">
        <v>0</v>
      </c>
      <c r="H453" s="15" t="n">
        <f aca="false">SQRT(F453^2+G453^2)</f>
        <v>3.85543216183014</v>
      </c>
      <c r="I453" s="15" t="n">
        <f aca="false">D453*F453/H453</f>
        <v>3.48354053014336</v>
      </c>
      <c r="J453" s="15" t="n">
        <f aca="false">SQRT(C453^2+D453^2-I453^2)</f>
        <v>48.4773187709945</v>
      </c>
      <c r="K453" s="15" t="n">
        <f aca="false">E453/H453</f>
        <v>910.830183458945</v>
      </c>
      <c r="L453" s="15" t="n">
        <f aca="false">J453/2-K453*ASINH(I453/(2*K453*SINH(J453/(2*K453))))</f>
        <v>-41.1489502735723</v>
      </c>
      <c r="M453" s="15" t="n">
        <f aca="false">-L453/K453</f>
        <v>0.0451774117951451</v>
      </c>
      <c r="N453" s="15" t="n">
        <f aca="false">(J453-L453)/K453</f>
        <v>0.0984006356752523</v>
      </c>
      <c r="O453" s="15" t="n">
        <f aca="false">K453*(SINH(N453)-SINH(M453))</f>
        <v>48.6080270478756</v>
      </c>
      <c r="P453" s="15" t="n">
        <f aca="false">E453*COSH(M453)</f>
        <v>3515.22822294535</v>
      </c>
      <c r="Q453" s="15" t="n">
        <f aca="false">E453*COSH(N453)</f>
        <v>3528.6587771423</v>
      </c>
    </row>
    <row r="454" customFormat="false" ht="21" hidden="false" customHeight="true" outlineLevel="0" collapsed="false">
      <c r="A454" s="1" t="s">
        <v>398</v>
      </c>
      <c r="B454" s="1" t="s">
        <v>322</v>
      </c>
      <c r="C454" s="15" t="n">
        <v>48.4773187709945</v>
      </c>
      <c r="D454" s="15" t="n">
        <v>3.48354053014336</v>
      </c>
      <c r="E454" s="15" t="n">
        <v>3354.72631429064</v>
      </c>
      <c r="F454" s="15" t="n">
        <v>2.33651151473205</v>
      </c>
      <c r="G454" s="15" t="n">
        <v>1.43495625</v>
      </c>
      <c r="H454" s="15" t="n">
        <f aca="false">SQRT(F454^2+G454^2)</f>
        <v>2.74196745018783</v>
      </c>
      <c r="I454" s="15" t="n">
        <f aca="false">D454*F454/H454</f>
        <v>2.96842785648612</v>
      </c>
      <c r="J454" s="15" t="n">
        <f aca="false">SQRT(C454^2+D454^2-I454^2)</f>
        <v>48.5115854813117</v>
      </c>
      <c r="K454" s="15" t="n">
        <f aca="false">E454/H454</f>
        <v>1223.47415687259</v>
      </c>
      <c r="L454" s="15" t="n">
        <f aca="false">J454/2-K454*ASINH(I454/(2*K454*SINH(J454/(2*K454))))</f>
        <v>-50.5571557960131</v>
      </c>
      <c r="M454" s="15" t="n">
        <f aca="false">-L454/K454</f>
        <v>0.0413226184729932</v>
      </c>
      <c r="N454" s="15" t="n">
        <f aca="false">(J454-L454)/K454</f>
        <v>0.0809733010875861</v>
      </c>
      <c r="O454" s="15" t="n">
        <f aca="false">K454*(SINH(N454)-SINH(M454))</f>
        <v>48.6054917949887</v>
      </c>
      <c r="P454" s="15" t="n">
        <f aca="false">E454*COSH(M454)</f>
        <v>3357.59091809465</v>
      </c>
      <c r="Q454" s="15" t="n">
        <f aca="false">E454*COSH(N454)</f>
        <v>3365.73025065537</v>
      </c>
    </row>
    <row r="455" customFormat="false" ht="21" hidden="false" customHeight="true" outlineLevel="0" collapsed="false">
      <c r="A455" s="1" t="s">
        <v>398</v>
      </c>
      <c r="B455" s="1" t="s">
        <v>323</v>
      </c>
      <c r="C455" s="15" t="n">
        <v>48.4773187709945</v>
      </c>
      <c r="D455" s="15" t="n">
        <v>3.48354053014336</v>
      </c>
      <c r="E455" s="15" t="n">
        <v>3546.26425583457</v>
      </c>
      <c r="F455" s="15" t="n">
        <v>1.32389775</v>
      </c>
      <c r="G455" s="15" t="n">
        <v>0</v>
      </c>
      <c r="H455" s="15" t="n">
        <f aca="false">SQRT(F455^2+G455^2)</f>
        <v>1.32389775</v>
      </c>
      <c r="I455" s="15" t="n">
        <f aca="false">D455*F455/H455</f>
        <v>3.48354053014336</v>
      </c>
      <c r="J455" s="15" t="n">
        <f aca="false">SQRT(C455^2+D455^2-I455^2)</f>
        <v>48.4773187709945</v>
      </c>
      <c r="K455" s="15" t="n">
        <f aca="false">E455/H455</f>
        <v>2678.65419050268</v>
      </c>
      <c r="L455" s="15" t="n">
        <f aca="false">J455/2-K455*ASINH(I455/(2*K455*SINH(J455/(2*K455))))</f>
        <v>-168.079348574897</v>
      </c>
      <c r="M455" s="15" t="n">
        <f aca="false">-L455/K455</f>
        <v>0.0627476847033231</v>
      </c>
      <c r="N455" s="15" t="n">
        <f aca="false">(J455-L455)/K455</f>
        <v>0.0808453245341283</v>
      </c>
      <c r="O455" s="15" t="n">
        <f aca="false">K455*(SINH(N455)-SINH(M455))</f>
        <v>48.6029796633333</v>
      </c>
      <c r="P455" s="15" t="n">
        <f aca="false">E455*COSH(M455)</f>
        <v>3553.24785010811</v>
      </c>
      <c r="Q455" s="15" t="n">
        <f aca="false">E455*COSH(N455)</f>
        <v>3557.859701578</v>
      </c>
    </row>
    <row r="456" customFormat="false" ht="21" hidden="false" customHeight="true" outlineLevel="0" collapsed="false">
      <c r="A456" s="1" t="s">
        <v>398</v>
      </c>
      <c r="B456" s="1" t="s">
        <v>324</v>
      </c>
      <c r="C456" s="15" t="n">
        <v>48.4773187709945</v>
      </c>
      <c r="D456" s="15" t="n">
        <v>3.48354053014336</v>
      </c>
      <c r="E456" s="15" t="n">
        <v>383.064028590609</v>
      </c>
      <c r="F456" s="15" t="n">
        <v>1.32389775</v>
      </c>
      <c r="G456" s="15" t="n">
        <v>0</v>
      </c>
      <c r="H456" s="15" t="n">
        <f aca="false">SQRT(F456^2+G456^2)</f>
        <v>1.32389775</v>
      </c>
      <c r="I456" s="15" t="n">
        <f aca="false">D456*F456/H456</f>
        <v>3.48354053014336</v>
      </c>
      <c r="J456" s="15" t="n">
        <f aca="false">SQRT(C456^2+D456^2-I456^2)</f>
        <v>48.4773187709945</v>
      </c>
      <c r="K456" s="15" t="n">
        <f aca="false">E456/H456</f>
        <v>289.345630046285</v>
      </c>
      <c r="L456" s="15" t="n">
        <f aca="false">J456/2-K456*ASINH(I456/(2*K456*SINH(J456/(2*K456))))</f>
        <v>3.48860738369627</v>
      </c>
      <c r="M456" s="15" t="n">
        <f aca="false">-L456/K456</f>
        <v>-0.0120568863719774</v>
      </c>
      <c r="N456" s="15" t="n">
        <f aca="false">(J456-L456)/K456</f>
        <v>0.155484329865641</v>
      </c>
      <c r="O456" s="15" t="n">
        <f aca="false">K456*(SINH(N456)-SINH(M456))</f>
        <v>48.6588923752285</v>
      </c>
      <c r="P456" s="15" t="n">
        <f aca="false">E456*COSH(M456)</f>
        <v>383.09187165124</v>
      </c>
      <c r="Q456" s="15" t="n">
        <f aca="false">E456*COSH(N456)</f>
        <v>387.70372312113</v>
      </c>
    </row>
    <row r="457" customFormat="false" ht="21" hidden="false" customHeight="true" outlineLevel="0" collapsed="false">
      <c r="A457" s="1" t="s">
        <v>399</v>
      </c>
      <c r="B457" s="1" t="s">
        <v>319</v>
      </c>
      <c r="C457" s="15" t="n">
        <v>53.0778727659438</v>
      </c>
      <c r="D457" s="15" t="n">
        <v>-0.933985035961632</v>
      </c>
      <c r="E457" s="15" t="n">
        <v>2204.99999999991</v>
      </c>
      <c r="F457" s="15" t="n">
        <v>1.32389775</v>
      </c>
      <c r="G457" s="15" t="n">
        <v>0</v>
      </c>
      <c r="H457" s="15" t="n">
        <f aca="false">SQRT(F457^2+G457^2)</f>
        <v>1.32389775</v>
      </c>
      <c r="I457" s="15" t="n">
        <f aca="false">D457*F457/H457</f>
        <v>-0.933985035961632</v>
      </c>
      <c r="J457" s="15" t="n">
        <f aca="false">SQRT(C457^2+D457^2-I457^2)</f>
        <v>53.0778727659438</v>
      </c>
      <c r="K457" s="15" t="n">
        <f aca="false">E457/H457</f>
        <v>1665.53648119721</v>
      </c>
      <c r="L457" s="15" t="n">
        <f aca="false">J457/2-K457*ASINH(I457/(2*K457*SINH(J457/(2*K457))))</f>
        <v>55.843804647314</v>
      </c>
      <c r="M457" s="15" t="n">
        <f aca="false">-L457/K457</f>
        <v>-0.0335290191945677</v>
      </c>
      <c r="N457" s="15" t="n">
        <f aca="false">(J457-L457)/K457</f>
        <v>-0.00166068525823104</v>
      </c>
      <c r="O457" s="15" t="n">
        <f aca="false">K457*(SINH(N457)-SINH(M457))</f>
        <v>53.0883353049322</v>
      </c>
      <c r="P457" s="15" t="n">
        <f aca="false">E457*COSH(M457)</f>
        <v>2206.23954124602</v>
      </c>
      <c r="Q457" s="15" t="n">
        <f aca="false">E457*COSH(N457)</f>
        <v>2205.00304055838</v>
      </c>
    </row>
    <row r="458" customFormat="false" ht="21" hidden="false" customHeight="true" outlineLevel="0" collapsed="false">
      <c r="A458" s="1" t="s">
        <v>399</v>
      </c>
      <c r="B458" s="1" t="s">
        <v>320</v>
      </c>
      <c r="C458" s="15" t="n">
        <v>53.0778727659438</v>
      </c>
      <c r="D458" s="15" t="n">
        <v>-0.933985035961632</v>
      </c>
      <c r="E458" s="15" t="n">
        <v>3245.70400668685</v>
      </c>
      <c r="F458" s="15" t="n">
        <v>1.32389775</v>
      </c>
      <c r="G458" s="15" t="n">
        <v>3.443895</v>
      </c>
      <c r="H458" s="15" t="n">
        <f aca="false">SQRT(F458^2+G458^2)</f>
        <v>3.68959591601574</v>
      </c>
      <c r="I458" s="15" t="n">
        <f aca="false">D458*F458/H458</f>
        <v>-0.335131736859283</v>
      </c>
      <c r="J458" s="15" t="n">
        <f aca="false">SQRT(C458^2+D458^2-I458^2)</f>
        <v>53.0850317144491</v>
      </c>
      <c r="K458" s="15" t="n">
        <f aca="false">E458/H458</f>
        <v>879.690914822934</v>
      </c>
      <c r="L458" s="15" t="n">
        <f aca="false">J458/2-K458*ASINH(I458/(2*K458*SINH(J458/(2*K458))))</f>
        <v>32.0952234666136</v>
      </c>
      <c r="M458" s="15" t="n">
        <f aca="false">-L458/K458</f>
        <v>-0.0364846594705071</v>
      </c>
      <c r="N458" s="15" t="n">
        <f aca="false">(J458-L458)/K458</f>
        <v>0.0238604354031102</v>
      </c>
      <c r="O458" s="15" t="n">
        <f aca="false">K458*(SINH(N458)-SINH(M458))</f>
        <v>53.0941443871511</v>
      </c>
      <c r="P458" s="15" t="n">
        <f aca="false">E458*COSH(M458)</f>
        <v>3247.8644739247</v>
      </c>
      <c r="Q458" s="15" t="n">
        <f aca="false">E458*COSH(N458)</f>
        <v>3246.62797323706</v>
      </c>
    </row>
    <row r="459" customFormat="false" ht="21" hidden="false" customHeight="true" outlineLevel="0" collapsed="false">
      <c r="A459" s="1" t="s">
        <v>399</v>
      </c>
      <c r="B459" s="1" t="s">
        <v>321</v>
      </c>
      <c r="C459" s="15" t="n">
        <v>53.0778727659438</v>
      </c>
      <c r="D459" s="15" t="n">
        <v>-0.933985035961632</v>
      </c>
      <c r="E459" s="15" t="n">
        <v>3555.69579333041</v>
      </c>
      <c r="F459" s="15" t="n">
        <v>3.85543216183014</v>
      </c>
      <c r="G459" s="15" t="n">
        <v>0</v>
      </c>
      <c r="H459" s="15" t="n">
        <f aca="false">SQRT(F459^2+G459^2)</f>
        <v>3.85543216183014</v>
      </c>
      <c r="I459" s="15" t="n">
        <f aca="false">D459*F459/H459</f>
        <v>-0.933985035961632</v>
      </c>
      <c r="J459" s="15" t="n">
        <f aca="false">SQRT(C459^2+D459^2-I459^2)</f>
        <v>53.0778727659438</v>
      </c>
      <c r="K459" s="15" t="n">
        <f aca="false">E459/H459</f>
        <v>922.256090648618</v>
      </c>
      <c r="L459" s="15" t="n">
        <f aca="false">J459/2-K459*ASINH(I459/(2*K459*SINH(J459/(2*K459))))</f>
        <v>42.7643434740473</v>
      </c>
      <c r="M459" s="15" t="n">
        <f aca="false">-L459/K459</f>
        <v>-0.0463692719491517</v>
      </c>
      <c r="N459" s="15" t="n">
        <f aca="false">(J459-L459)/K459</f>
        <v>0.0111829343242863</v>
      </c>
      <c r="O459" s="15" t="n">
        <f aca="false">K459*(SINH(N459)-SINH(M459))</f>
        <v>53.0934140491303</v>
      </c>
      <c r="P459" s="15" t="n">
        <f aca="false">E459*COSH(M459)</f>
        <v>3559.51904573179</v>
      </c>
      <c r="Q459" s="15" t="n">
        <f aca="false">E459*COSH(N459)</f>
        <v>3555.91812978547</v>
      </c>
    </row>
    <row r="460" customFormat="false" ht="21" hidden="false" customHeight="true" outlineLevel="0" collapsed="false">
      <c r="A460" s="1" t="s">
        <v>399</v>
      </c>
      <c r="B460" s="1" t="s">
        <v>322</v>
      </c>
      <c r="C460" s="15" t="n">
        <v>53.0778727659438</v>
      </c>
      <c r="D460" s="15" t="n">
        <v>-0.933985035961632</v>
      </c>
      <c r="E460" s="15" t="n">
        <v>3371.18295343263</v>
      </c>
      <c r="F460" s="15" t="n">
        <v>2.33651151473205</v>
      </c>
      <c r="G460" s="15" t="n">
        <v>1.43495625</v>
      </c>
      <c r="H460" s="15" t="n">
        <f aca="false">SQRT(F460^2+G460^2)</f>
        <v>2.74196745018783</v>
      </c>
      <c r="I460" s="15" t="n">
        <f aca="false">D460*F460/H460</f>
        <v>-0.795876257014757</v>
      </c>
      <c r="J460" s="15" t="n">
        <f aca="false">SQRT(C460^2+D460^2-I460^2)</f>
        <v>53.0801232702849</v>
      </c>
      <c r="K460" s="15" t="n">
        <f aca="false">E460/H460</f>
        <v>1229.47592000106</v>
      </c>
      <c r="L460" s="15" t="n">
        <f aca="false">J460/2-K460*ASINH(I460/(2*K460*SINH(J460/(2*K460))))</f>
        <v>44.9725367587918</v>
      </c>
      <c r="M460" s="15" t="n">
        <f aca="false">-L460/K460</f>
        <v>-0.036578623482722</v>
      </c>
      <c r="N460" s="15" t="n">
        <f aca="false">(J460-L460)/K460</f>
        <v>0.00659434347562181</v>
      </c>
      <c r="O460" s="15" t="n">
        <f aca="false">K460*(SINH(N460)-SINH(M460))</f>
        <v>53.0902115450253</v>
      </c>
      <c r="P460" s="15" t="n">
        <f aca="false">E460*COSH(M460)</f>
        <v>3373.43851905144</v>
      </c>
      <c r="Q460" s="15" t="n">
        <f aca="false">E460*COSH(N460)</f>
        <v>3371.25625226033</v>
      </c>
    </row>
    <row r="461" customFormat="false" ht="21" hidden="false" customHeight="true" outlineLevel="0" collapsed="false">
      <c r="A461" s="1" t="s">
        <v>399</v>
      </c>
      <c r="B461" s="1" t="s">
        <v>323</v>
      </c>
      <c r="C461" s="15" t="n">
        <v>53.0778727659438</v>
      </c>
      <c r="D461" s="15" t="n">
        <v>-0.933985035961632</v>
      </c>
      <c r="E461" s="15" t="n">
        <v>3536.29606928447</v>
      </c>
      <c r="F461" s="15" t="n">
        <v>1.32389775</v>
      </c>
      <c r="G461" s="15" t="n">
        <v>0</v>
      </c>
      <c r="H461" s="15" t="n">
        <f aca="false">SQRT(F461^2+G461^2)</f>
        <v>1.32389775</v>
      </c>
      <c r="I461" s="15" t="n">
        <f aca="false">D461*F461/H461</f>
        <v>-0.933985035961632</v>
      </c>
      <c r="J461" s="15" t="n">
        <f aca="false">SQRT(C461^2+D461^2-I461^2)</f>
        <v>53.0778727659438</v>
      </c>
      <c r="K461" s="15" t="n">
        <f aca="false">E461/H461</f>
        <v>2671.12476721444</v>
      </c>
      <c r="L461" s="15" t="n">
        <f aca="false">J461/2-K461*ASINH(I461/(2*K461*SINH(J461/(2*K461))))</f>
        <v>73.5381973714396</v>
      </c>
      <c r="M461" s="15" t="n">
        <f aca="false">-L461/K461</f>
        <v>-0.0275307983640646</v>
      </c>
      <c r="N461" s="15" t="n">
        <f aca="false">(J461-L461)/K461</f>
        <v>-0.00765981614061131</v>
      </c>
      <c r="O461" s="15" t="n">
        <f aca="false">K461*(SINH(N461)-SINH(M461))</f>
        <v>53.0869626898176</v>
      </c>
      <c r="P461" s="15" t="n">
        <f aca="false">E461*COSH(M461)</f>
        <v>3537.63631264584</v>
      </c>
      <c r="Q461" s="15" t="n">
        <f aca="false">E461*COSH(N461)</f>
        <v>3536.3998119582</v>
      </c>
    </row>
    <row r="462" customFormat="false" ht="21" hidden="false" customHeight="true" outlineLevel="0" collapsed="false">
      <c r="A462" s="1" t="s">
        <v>399</v>
      </c>
      <c r="B462" s="1" t="s">
        <v>324</v>
      </c>
      <c r="C462" s="15" t="n">
        <v>53.0778727659438</v>
      </c>
      <c r="D462" s="15" t="n">
        <v>-0.933985035961632</v>
      </c>
      <c r="E462" s="15" t="n">
        <v>416.921841815463</v>
      </c>
      <c r="F462" s="15" t="n">
        <v>1.32389775</v>
      </c>
      <c r="G462" s="15" t="n">
        <v>0</v>
      </c>
      <c r="H462" s="15" t="n">
        <f aca="false">SQRT(F462^2+G462^2)</f>
        <v>1.32389775</v>
      </c>
      <c r="I462" s="15" t="n">
        <f aca="false">D462*F462/H462</f>
        <v>-0.933985035961632</v>
      </c>
      <c r="J462" s="15" t="n">
        <f aca="false">SQRT(C462^2+D462^2-I462^2)</f>
        <v>53.0778727659438</v>
      </c>
      <c r="K462" s="15" t="n">
        <f aca="false">E462/H462</f>
        <v>314.919971588035</v>
      </c>
      <c r="L462" s="15" t="n">
        <f aca="false">J462/2-K462*ASINH(I462/(2*K462*SINH(J462/(2*K462))))</f>
        <v>32.073588576096</v>
      </c>
      <c r="M462" s="15" t="n">
        <f aca="false">-L462/K462</f>
        <v>-0.101846791152558</v>
      </c>
      <c r="N462" s="15" t="n">
        <f aca="false">(J462-L462)/K462</f>
        <v>0.0666972122597698</v>
      </c>
      <c r="O462" s="15" t="n">
        <f aca="false">K462*(SINH(N462)-SINH(M462))</f>
        <v>53.1489266383794</v>
      </c>
      <c r="P462" s="15" t="n">
        <f aca="false">E462*COSH(M462)</f>
        <v>419.086028513605</v>
      </c>
      <c r="Q462" s="15" t="n">
        <f aca="false">E462*COSH(N462)</f>
        <v>417.849527825962</v>
      </c>
    </row>
    <row r="463" customFormat="false" ht="21" hidden="false" customHeight="true" outlineLevel="0" collapsed="false">
      <c r="A463" s="1" t="s">
        <v>400</v>
      </c>
      <c r="B463" s="1" t="s">
        <v>319</v>
      </c>
      <c r="C463" s="15" t="n">
        <v>53.0778727659167</v>
      </c>
      <c r="D463" s="15" t="n">
        <v>6.06099781805542</v>
      </c>
      <c r="E463" s="15" t="n">
        <v>2204.99999999943</v>
      </c>
      <c r="F463" s="15" t="n">
        <v>1.32389775</v>
      </c>
      <c r="G463" s="15" t="n">
        <v>0</v>
      </c>
      <c r="H463" s="15" t="n">
        <f aca="false">SQRT(F463^2+G463^2)</f>
        <v>1.32389775</v>
      </c>
      <c r="I463" s="15" t="n">
        <f aca="false">D463*F463/H463</f>
        <v>6.06099781805542</v>
      </c>
      <c r="J463" s="15" t="n">
        <f aca="false">SQRT(C463^2+D463^2-I463^2)</f>
        <v>53.0778727659167</v>
      </c>
      <c r="K463" s="15" t="n">
        <f aca="false">E463/H463</f>
        <v>1665.53648119686</v>
      </c>
      <c r="L463" s="15" t="n">
        <f aca="false">J463/2-K463*ASINH(I463/(2*K463*SINH(J463/(2*K463))))</f>
        <v>-163.230872053264</v>
      </c>
      <c r="M463" s="15" t="n">
        <f aca="false">-L463/K463</f>
        <v>0.0980049815156053</v>
      </c>
      <c r="N463" s="15" t="n">
        <f aca="false">(J463-L463)/K463</f>
        <v>0.129873315451933</v>
      </c>
      <c r="O463" s="15" t="n">
        <f aca="false">K463*(SINH(N463)-SINH(M463))</f>
        <v>53.4250382493931</v>
      </c>
      <c r="P463" s="15" t="n">
        <f aca="false">E463*COSH(M463)</f>
        <v>2215.59796517733</v>
      </c>
      <c r="Q463" s="15" t="n">
        <f aca="false">E463*COSH(N463)</f>
        <v>2223.62210655141</v>
      </c>
    </row>
    <row r="464" customFormat="false" ht="21" hidden="false" customHeight="true" outlineLevel="0" collapsed="false">
      <c r="A464" s="1" t="s">
        <v>400</v>
      </c>
      <c r="B464" s="1" t="s">
        <v>320</v>
      </c>
      <c r="C464" s="15" t="n">
        <v>53.0778727659167</v>
      </c>
      <c r="D464" s="15" t="n">
        <v>6.06099781805542</v>
      </c>
      <c r="E464" s="15" t="n">
        <v>3259.19309652601</v>
      </c>
      <c r="F464" s="15" t="n">
        <v>1.32389775</v>
      </c>
      <c r="G464" s="15" t="n">
        <v>3.443895</v>
      </c>
      <c r="H464" s="15" t="n">
        <f aca="false">SQRT(F464^2+G464^2)</f>
        <v>3.68959591601574</v>
      </c>
      <c r="I464" s="15" t="n">
        <f aca="false">D464*F464/H464</f>
        <v>2.17480221594116</v>
      </c>
      <c r="J464" s="15" t="n">
        <f aca="false">SQRT(C464^2+D464^2-I464^2)</f>
        <v>53.3785210288451</v>
      </c>
      <c r="K464" s="15" t="n">
        <f aca="false">E464/H464</f>
        <v>883.3468950837</v>
      </c>
      <c r="L464" s="15" t="n">
        <f aca="false">J464/2-K464*ASINH(I464/(2*K464*SINH(J464/(2*K464))))</f>
        <v>-9.28554033521125</v>
      </c>
      <c r="M464" s="15" t="n">
        <f aca="false">-L464/K464</f>
        <v>0.0105117710685239</v>
      </c>
      <c r="N464" s="15" t="n">
        <f aca="false">(J464-L464)/K464</f>
        <v>0.0709393577005992</v>
      </c>
      <c r="O464" s="15" t="n">
        <f aca="false">K464*(SINH(N464)-SINH(M464))</f>
        <v>53.4309216080635</v>
      </c>
      <c r="P464" s="15" t="n">
        <f aca="false">E464*COSH(M464)</f>
        <v>3259.37316425327</v>
      </c>
      <c r="Q464" s="15" t="n">
        <f aca="false">E464*COSH(N464)</f>
        <v>3267.39730562735</v>
      </c>
    </row>
    <row r="465" customFormat="false" ht="21" hidden="false" customHeight="true" outlineLevel="0" collapsed="false">
      <c r="A465" s="1" t="s">
        <v>400</v>
      </c>
      <c r="B465" s="1" t="s">
        <v>321</v>
      </c>
      <c r="C465" s="15" t="n">
        <v>53.0778727659167</v>
      </c>
      <c r="D465" s="15" t="n">
        <v>6.06099781805542</v>
      </c>
      <c r="E465" s="15" t="n">
        <v>3545.82116222078</v>
      </c>
      <c r="F465" s="15" t="n">
        <v>3.85543216183014</v>
      </c>
      <c r="G465" s="15" t="n">
        <v>0</v>
      </c>
      <c r="H465" s="15" t="n">
        <f aca="false">SQRT(F465^2+G465^2)</f>
        <v>3.85543216183014</v>
      </c>
      <c r="I465" s="15" t="n">
        <f aca="false">D465*F465/H465</f>
        <v>6.06099781805542</v>
      </c>
      <c r="J465" s="15" t="n">
        <f aca="false">SQRT(C465^2+D465^2-I465^2)</f>
        <v>53.0778727659167</v>
      </c>
      <c r="K465" s="15" t="n">
        <f aca="false">E465/H465</f>
        <v>919.694865163343</v>
      </c>
      <c r="L465" s="15" t="n">
        <f aca="false">J465/2-K465*ASINH(I465/(2*K465*SINH(J465/(2*K465))))</f>
        <v>-78.2402493724702</v>
      </c>
      <c r="M465" s="15" t="n">
        <f aca="false">-L465/K465</f>
        <v>0.0850719649919697</v>
      </c>
      <c r="N465" s="15" t="n">
        <f aca="false">(J465-L465)/K465</f>
        <v>0.142784446355547</v>
      </c>
      <c r="O465" s="15" t="n">
        <f aca="false">K465*(SINH(N465)-SINH(M465))</f>
        <v>53.4301255850984</v>
      </c>
      <c r="P465" s="15" t="n">
        <f aca="false">E465*COSH(M465)</f>
        <v>3558.65988049725</v>
      </c>
      <c r="Q465" s="15" t="n">
        <f aca="false">E465*COSH(N465)</f>
        <v>3582.02764641777</v>
      </c>
    </row>
    <row r="466" customFormat="false" ht="21" hidden="false" customHeight="true" outlineLevel="0" collapsed="false">
      <c r="A466" s="1" t="s">
        <v>400</v>
      </c>
      <c r="B466" s="1" t="s">
        <v>322</v>
      </c>
      <c r="C466" s="15" t="n">
        <v>53.0778727659167</v>
      </c>
      <c r="D466" s="15" t="n">
        <v>6.06099781805542</v>
      </c>
      <c r="E466" s="15" t="n">
        <v>3370.11199971306</v>
      </c>
      <c r="F466" s="15" t="n">
        <v>2.33651151473205</v>
      </c>
      <c r="G466" s="15" t="n">
        <v>1.43495625</v>
      </c>
      <c r="H466" s="15" t="n">
        <f aca="false">SQRT(F466^2+G466^2)</f>
        <v>2.74196745018783</v>
      </c>
      <c r="I466" s="15" t="n">
        <f aca="false">D466*F466/H466</f>
        <v>5.16475539915044</v>
      </c>
      <c r="J466" s="15" t="n">
        <f aca="false">SQRT(C466^2+D466^2-I466^2)</f>
        <v>53.1725641056764</v>
      </c>
      <c r="K466" s="15" t="n">
        <f aca="false">E466/H466</f>
        <v>1229.08534143328</v>
      </c>
      <c r="L466" s="15" t="n">
        <f aca="false">J466/2-K466*ASINH(I466/(2*K466*SINH(J466/(2*K466))))</f>
        <v>-92.6009907234003</v>
      </c>
      <c r="M466" s="15" t="n">
        <f aca="false">-L466/K466</f>
        <v>0.0753413840371856</v>
      </c>
      <c r="N466" s="15" t="n">
        <f aca="false">(J466-L466)/K466</f>
        <v>0.118603281574479</v>
      </c>
      <c r="O466" s="15" t="n">
        <f aca="false">K466*(SINH(N466)-SINH(M466))</f>
        <v>53.4269338948145</v>
      </c>
      <c r="P466" s="15" t="n">
        <f aca="false">E466*COSH(M466)</f>
        <v>3379.68144910047</v>
      </c>
      <c r="Q466" s="15" t="n">
        <f aca="false">E466*COSH(N466)</f>
        <v>3393.84304029312</v>
      </c>
    </row>
    <row r="467" customFormat="false" ht="21" hidden="false" customHeight="true" outlineLevel="0" collapsed="false">
      <c r="A467" s="1" t="s">
        <v>400</v>
      </c>
      <c r="B467" s="1" t="s">
        <v>323</v>
      </c>
      <c r="C467" s="15" t="n">
        <v>53.0778727659167</v>
      </c>
      <c r="D467" s="15" t="n">
        <v>6.06099781805542</v>
      </c>
      <c r="E467" s="15" t="n">
        <v>3529.09124048876</v>
      </c>
      <c r="F467" s="15" t="n">
        <v>1.32389775</v>
      </c>
      <c r="G467" s="15" t="n">
        <v>0</v>
      </c>
      <c r="H467" s="15" t="n">
        <f aca="false">SQRT(F467^2+G467^2)</f>
        <v>1.32389775</v>
      </c>
      <c r="I467" s="15" t="n">
        <f aca="false">D467*F467/H467</f>
        <v>6.06099781805542</v>
      </c>
      <c r="J467" s="15" t="n">
        <f aca="false">SQRT(C467^2+D467^2-I467^2)</f>
        <v>53.0778727659167</v>
      </c>
      <c r="K467" s="15" t="n">
        <f aca="false">E467/H467</f>
        <v>2665.68263333687</v>
      </c>
      <c r="L467" s="15" t="n">
        <f aca="false">J467/2-K467*ASINH(I467/(2*K467*SINH(J467/(2*K467))))</f>
        <v>-277.194474384127</v>
      </c>
      <c r="M467" s="15" t="n">
        <f aca="false">-L467/K467</f>
        <v>0.103986300138489</v>
      </c>
      <c r="N467" s="15" t="n">
        <f aca="false">(J467-L467)/K467</f>
        <v>0.123897850036488</v>
      </c>
      <c r="O467" s="15" t="n">
        <f aca="false">K467*(SINH(N467)-SINH(M467))</f>
        <v>53.4236778314147</v>
      </c>
      <c r="P467" s="15" t="n">
        <f aca="false">E467*COSH(M467)</f>
        <v>3548.18873742602</v>
      </c>
      <c r="Q467" s="15" t="n">
        <f aca="false">E467*COSH(N467)</f>
        <v>3556.2128788001</v>
      </c>
    </row>
    <row r="468" customFormat="false" ht="21" hidden="false" customHeight="true" outlineLevel="0" collapsed="false">
      <c r="A468" s="1" t="s">
        <v>400</v>
      </c>
      <c r="B468" s="1" t="s">
        <v>324</v>
      </c>
      <c r="C468" s="15" t="n">
        <v>53.0778727659167</v>
      </c>
      <c r="D468" s="15" t="n">
        <v>6.06099781805542</v>
      </c>
      <c r="E468" s="15" t="n">
        <v>415.141821753141</v>
      </c>
      <c r="F468" s="15" t="n">
        <v>1.32389775</v>
      </c>
      <c r="G468" s="15" t="n">
        <v>0</v>
      </c>
      <c r="H468" s="15" t="n">
        <f aca="false">SQRT(F468^2+G468^2)</f>
        <v>1.32389775</v>
      </c>
      <c r="I468" s="15" t="n">
        <f aca="false">D468*F468/H468</f>
        <v>6.06099781805542</v>
      </c>
      <c r="J468" s="15" t="n">
        <f aca="false">SQRT(C468^2+D468^2-I468^2)</f>
        <v>53.0778727659167</v>
      </c>
      <c r="K468" s="15" t="n">
        <f aca="false">E468/H468</f>
        <v>313.575441723608</v>
      </c>
      <c r="L468" s="15" t="n">
        <f aca="false">J468/2-K468*ASINH(I468/(2*K468*SINH(J468/(2*K468))))</f>
        <v>-9.14865210886796</v>
      </c>
      <c r="M468" s="15" t="n">
        <f aca="false">-L468/K468</f>
        <v>0.0291752825367357</v>
      </c>
      <c r="N468" s="15" t="n">
        <f aca="false">(J468-L468)/K468</f>
        <v>0.198441958760382</v>
      </c>
      <c r="O468" s="15" t="n">
        <f aca="false">K468*(SINH(N468)-SINH(M468))</f>
        <v>53.4857849565877</v>
      </c>
      <c r="P468" s="15" t="n">
        <f aca="false">E468*COSH(M468)</f>
        <v>415.318518045908</v>
      </c>
      <c r="Q468" s="15" t="n">
        <f aca="false">E468*COSH(N468)</f>
        <v>423.342659419986</v>
      </c>
    </row>
    <row r="469" customFormat="false" ht="21" hidden="false" customHeight="true" outlineLevel="0" collapsed="false">
      <c r="A469" s="1" t="s">
        <v>401</v>
      </c>
      <c r="B469" s="1" t="s">
        <v>319</v>
      </c>
      <c r="C469" s="15" t="n">
        <v>71.7695895661259</v>
      </c>
      <c r="D469" s="15" t="n">
        <v>-0.867761760771918</v>
      </c>
      <c r="E469" s="15" t="n">
        <v>2204.99999999968</v>
      </c>
      <c r="F469" s="15" t="n">
        <v>1.32389775</v>
      </c>
      <c r="G469" s="15" t="n">
        <v>0</v>
      </c>
      <c r="H469" s="15" t="n">
        <f aca="false">SQRT(F469^2+G469^2)</f>
        <v>1.32389775</v>
      </c>
      <c r="I469" s="15" t="n">
        <f aca="false">D469*F469/H469</f>
        <v>-0.867761760771918</v>
      </c>
      <c r="J469" s="15" t="n">
        <f aca="false">SQRT(C469^2+D469^2-I469^2)</f>
        <v>71.7695895661259</v>
      </c>
      <c r="K469" s="15" t="n">
        <f aca="false">E469/H469</f>
        <v>1665.53648119704</v>
      </c>
      <c r="L469" s="15" t="n">
        <f aca="false">J469/2-K469*ASINH(I469/(2*K469*SINH(J469/(2*K469))))</f>
        <v>56.0206470438956</v>
      </c>
      <c r="M469" s="15" t="n">
        <f aca="false">-L469/K469</f>
        <v>-0.0336351966326388</v>
      </c>
      <c r="N469" s="15" t="n">
        <f aca="false">(J469-L469)/K469</f>
        <v>0.00945577758279503</v>
      </c>
      <c r="O469" s="15" t="n">
        <f aca="false">K469*(SINH(N469)-SINH(M469))</f>
        <v>71.7803877947111</v>
      </c>
      <c r="P469" s="15" t="n">
        <f aca="false">E469*COSH(M469)</f>
        <v>2206.24740500878</v>
      </c>
      <c r="Q469" s="15" t="n">
        <f aca="false">E469*COSH(N469)</f>
        <v>2205.09857716616</v>
      </c>
    </row>
    <row r="470" customFormat="false" ht="21" hidden="false" customHeight="true" outlineLevel="0" collapsed="false">
      <c r="A470" s="1" t="s">
        <v>401</v>
      </c>
      <c r="B470" s="1" t="s">
        <v>320</v>
      </c>
      <c r="C470" s="15" t="n">
        <v>71.7695895661259</v>
      </c>
      <c r="D470" s="15" t="n">
        <v>-0.867761760771918</v>
      </c>
      <c r="E470" s="15" t="n">
        <v>3432.80680169546</v>
      </c>
      <c r="F470" s="15" t="n">
        <v>1.32389775</v>
      </c>
      <c r="G470" s="15" t="n">
        <v>3.443895</v>
      </c>
      <c r="H470" s="15" t="n">
        <f aca="false">SQRT(F470^2+G470^2)</f>
        <v>3.68959591601574</v>
      </c>
      <c r="I470" s="15" t="n">
        <f aca="false">D470*F470/H470</f>
        <v>-0.311369556117288</v>
      </c>
      <c r="J470" s="15" t="n">
        <f aca="false">SQRT(C470^2+D470^2-I470^2)</f>
        <v>71.7741600157267</v>
      </c>
      <c r="K470" s="15" t="n">
        <f aca="false">E470/H470</f>
        <v>930.401832567728</v>
      </c>
      <c r="L470" s="15" t="n">
        <f aca="false">J470/2-K470*ASINH(I470/(2*K470*SINH(J470/(2*K470))))</f>
        <v>39.922321603641</v>
      </c>
      <c r="M470" s="15" t="n">
        <f aca="false">-L470/K470</f>
        <v>-0.0429086876295838</v>
      </c>
      <c r="N470" s="15" t="n">
        <f aca="false">(J470-L470)/K470</f>
        <v>0.0342344966412855</v>
      </c>
      <c r="O470" s="15" t="n">
        <f aca="false">K470*(SINH(N470)-SINH(M470))</f>
        <v>71.7926337714358</v>
      </c>
      <c r="P470" s="15" t="n">
        <f aca="false">E470*COSH(M470)</f>
        <v>3435.96745210544</v>
      </c>
      <c r="Q470" s="15" t="n">
        <f aca="false">E470*COSH(N470)</f>
        <v>3434.81862426282</v>
      </c>
    </row>
    <row r="471" customFormat="false" ht="21" hidden="false" customHeight="true" outlineLevel="0" collapsed="false">
      <c r="A471" s="1" t="s">
        <v>401</v>
      </c>
      <c r="B471" s="1" t="s">
        <v>321</v>
      </c>
      <c r="C471" s="15" t="n">
        <v>71.7695895661259</v>
      </c>
      <c r="D471" s="15" t="n">
        <v>-0.867761760771918</v>
      </c>
      <c r="E471" s="15" t="n">
        <v>3728.46723606945</v>
      </c>
      <c r="F471" s="15" t="n">
        <v>3.85543216183014</v>
      </c>
      <c r="G471" s="15" t="n">
        <v>0</v>
      </c>
      <c r="H471" s="15" t="n">
        <f aca="false">SQRT(F471^2+G471^2)</f>
        <v>3.85543216183014</v>
      </c>
      <c r="I471" s="15" t="n">
        <f aca="false">D471*F471/H471</f>
        <v>-0.867761760771918</v>
      </c>
      <c r="J471" s="15" t="n">
        <f aca="false">SQRT(C471^2+D471^2-I471^2)</f>
        <v>71.7695895661259</v>
      </c>
      <c r="K471" s="15" t="n">
        <f aca="false">E471/H471</f>
        <v>967.068561854707</v>
      </c>
      <c r="L471" s="15" t="n">
        <f aca="false">J471/2-K471*ASINH(I471/(2*K471*SINH(J471/(2*K471))))</f>
        <v>47.5745946245753</v>
      </c>
      <c r="M471" s="15" t="n">
        <f aca="false">-L471/K471</f>
        <v>-0.0491946450346122</v>
      </c>
      <c r="N471" s="15" t="n">
        <f aca="false">(J471-L471)/K471</f>
        <v>0.0250189034117166</v>
      </c>
      <c r="O471" s="15" t="n">
        <f aca="false">K471*(SINH(N471)-SINH(M471))</f>
        <v>71.7913054087022</v>
      </c>
      <c r="P471" s="15" t="n">
        <f aca="false">E471*COSH(M471)</f>
        <v>3732.97980223667</v>
      </c>
      <c r="Q471" s="15" t="n">
        <f aca="false">E471*COSH(N471)</f>
        <v>3729.63420563538</v>
      </c>
    </row>
    <row r="472" customFormat="false" ht="21" hidden="false" customHeight="true" outlineLevel="0" collapsed="false">
      <c r="A472" s="1" t="s">
        <v>401</v>
      </c>
      <c r="B472" s="1" t="s">
        <v>322</v>
      </c>
      <c r="C472" s="15" t="n">
        <v>71.7695895661259</v>
      </c>
      <c r="D472" s="15" t="n">
        <v>-0.867761760771918</v>
      </c>
      <c r="E472" s="15" t="n">
        <v>3442.86721167572</v>
      </c>
      <c r="F472" s="15" t="n">
        <v>2.33651151473205</v>
      </c>
      <c r="G472" s="15" t="n">
        <v>1.43495625</v>
      </c>
      <c r="H472" s="15" t="n">
        <f aca="false">SQRT(F472^2+G472^2)</f>
        <v>2.74196745018783</v>
      </c>
      <c r="I472" s="15" t="n">
        <f aca="false">D472*F472/H472</f>
        <v>-0.73944544671705</v>
      </c>
      <c r="J472" s="15" t="n">
        <f aca="false">SQRT(C472^2+D472^2-I472^2)</f>
        <v>71.7710263086362</v>
      </c>
      <c r="K472" s="15" t="n">
        <f aca="false">E472/H472</f>
        <v>1255.61928586712</v>
      </c>
      <c r="L472" s="15" t="n">
        <f aca="false">J472/2-K472*ASINH(I472/(2*K472*SINH(J472/(2*K472))))</f>
        <v>48.8199688624223</v>
      </c>
      <c r="M472" s="15" t="n">
        <f aca="false">-L472/K472</f>
        <v>-0.0388811874840771</v>
      </c>
      <c r="N472" s="15" t="n">
        <f aca="false">(J472-L472)/K472</f>
        <v>0.0182786754747592</v>
      </c>
      <c r="O472" s="15" t="n">
        <f aca="false">K472*(SINH(N472)-SINH(M472))</f>
        <v>71.7846058607976</v>
      </c>
      <c r="P472" s="15" t="n">
        <f aca="false">E472*COSH(M472)</f>
        <v>3445.46991117819</v>
      </c>
      <c r="Q472" s="15" t="n">
        <f aca="false">E472*COSH(N472)</f>
        <v>3443.4423758321</v>
      </c>
    </row>
    <row r="473" customFormat="false" ht="21" hidden="false" customHeight="true" outlineLevel="0" collapsed="false">
      <c r="A473" s="1" t="s">
        <v>401</v>
      </c>
      <c r="B473" s="1" t="s">
        <v>323</v>
      </c>
      <c r="C473" s="15" t="n">
        <v>71.7695895661259</v>
      </c>
      <c r="D473" s="15" t="n">
        <v>-0.867761760771918</v>
      </c>
      <c r="E473" s="15" t="n">
        <v>3474.0920259535</v>
      </c>
      <c r="F473" s="15" t="n">
        <v>1.32389775</v>
      </c>
      <c r="G473" s="15" t="n">
        <v>0</v>
      </c>
      <c r="H473" s="15" t="n">
        <f aca="false">SQRT(F473^2+G473^2)</f>
        <v>1.32389775</v>
      </c>
      <c r="I473" s="15" t="n">
        <f aca="false">D473*F473/H473</f>
        <v>-0.867761760771918</v>
      </c>
      <c r="J473" s="15" t="n">
        <f aca="false">SQRT(C473^2+D473^2-I473^2)</f>
        <v>71.7695895661259</v>
      </c>
      <c r="K473" s="15" t="n">
        <f aca="false">E473/H473</f>
        <v>2624.13923277194</v>
      </c>
      <c r="L473" s="15" t="n">
        <f aca="false">J473/2-K473*ASINH(I473/(2*K473*SINH(J473/(2*K473))))</f>
        <v>67.6113415192802</v>
      </c>
      <c r="M473" s="15" t="n">
        <f aca="false">-L473/K473</f>
        <v>-0.0257651502156998</v>
      </c>
      <c r="N473" s="15" t="n">
        <f aca="false">(J473-L473)/K473</f>
        <v>0.00158461410694781</v>
      </c>
      <c r="O473" s="15" t="n">
        <f aca="false">K473*(SINH(N473)-SINH(M473))</f>
        <v>71.7770721068979</v>
      </c>
      <c r="P473" s="15" t="n">
        <f aca="false">E473*COSH(M473)</f>
        <v>3475.24521552282</v>
      </c>
      <c r="Q473" s="15" t="n">
        <f aca="false">E473*COSH(N473)</f>
        <v>3474.0963876802</v>
      </c>
    </row>
    <row r="474" customFormat="false" ht="21" hidden="false" customHeight="true" outlineLevel="0" collapsed="false">
      <c r="A474" s="1" t="s">
        <v>401</v>
      </c>
      <c r="B474" s="1" t="s">
        <v>324</v>
      </c>
      <c r="C474" s="15" t="n">
        <v>71.7695895661259</v>
      </c>
      <c r="D474" s="15" t="n">
        <v>-0.867761760771918</v>
      </c>
      <c r="E474" s="15" t="n">
        <v>546.225807283602</v>
      </c>
      <c r="F474" s="15" t="n">
        <v>1.32389775</v>
      </c>
      <c r="G474" s="15" t="n">
        <v>0</v>
      </c>
      <c r="H474" s="15" t="n">
        <f aca="false">SQRT(F474^2+G474^2)</f>
        <v>1.32389775</v>
      </c>
      <c r="I474" s="15" t="n">
        <f aca="false">D474*F474/H474</f>
        <v>-0.867761760771918</v>
      </c>
      <c r="J474" s="15" t="n">
        <f aca="false">SQRT(C474^2+D474^2-I474^2)</f>
        <v>71.7695895661259</v>
      </c>
      <c r="K474" s="15" t="n">
        <f aca="false">E474/H474</f>
        <v>412.589119728923</v>
      </c>
      <c r="L474" s="15" t="n">
        <f aca="false">J474/2-K474*ASINH(I474/(2*K474*SINH(J474/(2*K474))))</f>
        <v>40.8669798670887</v>
      </c>
      <c r="M474" s="15" t="n">
        <f aca="false">-L474/K474</f>
        <v>-0.0990500667926941</v>
      </c>
      <c r="N474" s="15" t="n">
        <f aca="false">(J474-L474)/K474</f>
        <v>0.0748992356350566</v>
      </c>
      <c r="O474" s="15" t="n">
        <f aca="false">K474*(SINH(N474)-SINH(M474))</f>
        <v>71.8653476105456</v>
      </c>
      <c r="P474" s="15" t="n">
        <f aca="false">E474*COSH(M474)</f>
        <v>548.907486368656</v>
      </c>
      <c r="Q474" s="15" t="n">
        <f aca="false">E474*COSH(N474)</f>
        <v>547.758658526034</v>
      </c>
    </row>
    <row r="475" customFormat="false" ht="21" hidden="false" customHeight="true" outlineLevel="0" collapsed="false">
      <c r="A475" s="1" t="s">
        <v>402</v>
      </c>
      <c r="B475" s="1" t="s">
        <v>319</v>
      </c>
      <c r="C475" s="15" t="n">
        <v>67.9896031431737</v>
      </c>
      <c r="D475" s="15" t="n">
        <v>3.56285493487476</v>
      </c>
      <c r="E475" s="15" t="n">
        <v>2205.00000000024</v>
      </c>
      <c r="F475" s="15" t="n">
        <v>1.32389775</v>
      </c>
      <c r="G475" s="15" t="n">
        <v>0</v>
      </c>
      <c r="H475" s="15" t="n">
        <f aca="false">SQRT(F475^2+G475^2)</f>
        <v>1.32389775</v>
      </c>
      <c r="I475" s="15" t="n">
        <f aca="false">D475*F475/H475</f>
        <v>3.56285493487476</v>
      </c>
      <c r="J475" s="15" t="n">
        <f aca="false">SQRT(C475^2+D475^2-I475^2)</f>
        <v>67.9896031431737</v>
      </c>
      <c r="K475" s="15" t="n">
        <f aca="false">E475/H475</f>
        <v>1665.53648119746</v>
      </c>
      <c r="L475" s="15" t="n">
        <f aca="false">J475/2-K475*ASINH(I475/(2*K475*SINH(J475/(2*K475))))</f>
        <v>-53.2382549825961</v>
      </c>
      <c r="M475" s="15" t="n">
        <f aca="false">-L475/K475</f>
        <v>0.0319646285647971</v>
      </c>
      <c r="N475" s="15" t="n">
        <f aca="false">(J475-L475)/K475</f>
        <v>0.0727860719319766</v>
      </c>
      <c r="O475" s="15" t="n">
        <f aca="false">K475*(SINH(N475)-SINH(M475))</f>
        <v>68.0876055231665</v>
      </c>
      <c r="P475" s="15" t="n">
        <f aca="false">E475*COSH(M475)</f>
        <v>2206.12656148709</v>
      </c>
      <c r="Q475" s="15" t="n">
        <f aca="false">E475*COSH(N475)</f>
        <v>2210.84341711895</v>
      </c>
    </row>
    <row r="476" customFormat="false" ht="21" hidden="false" customHeight="true" outlineLevel="0" collapsed="false">
      <c r="A476" s="1" t="s">
        <v>402</v>
      </c>
      <c r="B476" s="1" t="s">
        <v>320</v>
      </c>
      <c r="C476" s="15" t="n">
        <v>67.9896031431737</v>
      </c>
      <c r="D476" s="15" t="n">
        <v>3.56285493487476</v>
      </c>
      <c r="E476" s="15" t="n">
        <v>3397.62590391897</v>
      </c>
      <c r="F476" s="15" t="n">
        <v>1.32389775</v>
      </c>
      <c r="G476" s="15" t="n">
        <v>3.443895</v>
      </c>
      <c r="H476" s="15" t="n">
        <f aca="false">SQRT(F476^2+G476^2)</f>
        <v>3.68959591601574</v>
      </c>
      <c r="I476" s="15" t="n">
        <f aca="false">D476*F476/H476</f>
        <v>1.27842065614346</v>
      </c>
      <c r="J476" s="15" t="n">
        <f aca="false">SQRT(C476^2+D476^2-I476^2)</f>
        <v>68.070887400409</v>
      </c>
      <c r="K476" s="15" t="n">
        <f aca="false">E476/H476</f>
        <v>920.866669753891</v>
      </c>
      <c r="L476" s="15" t="n">
        <f aca="false">J476/2-K476*ASINH(I476/(2*K476*SINH(J476/(2*K476))))</f>
        <v>16.7458522347073</v>
      </c>
      <c r="M476" s="15" t="n">
        <f aca="false">-L476/K476</f>
        <v>-0.0181848825511111</v>
      </c>
      <c r="N476" s="15" t="n">
        <f aca="false">(J476-L476)/K476</f>
        <v>0.0557355769857745</v>
      </c>
      <c r="O476" s="15" t="n">
        <f aca="false">K476*(SINH(N476)-SINH(M476))</f>
        <v>68.0983876390055</v>
      </c>
      <c r="P476" s="15" t="n">
        <f aca="false">E476*COSH(M476)</f>
        <v>3398.18769977632</v>
      </c>
      <c r="Q476" s="15" t="n">
        <f aca="false">E476*COSH(N476)</f>
        <v>3402.90455540818</v>
      </c>
    </row>
    <row r="477" customFormat="false" ht="21" hidden="false" customHeight="true" outlineLevel="0" collapsed="false">
      <c r="A477" s="1" t="s">
        <v>402</v>
      </c>
      <c r="B477" s="1" t="s">
        <v>321</v>
      </c>
      <c r="C477" s="15" t="n">
        <v>67.9896031431737</v>
      </c>
      <c r="D477" s="15" t="n">
        <v>3.56285493487476</v>
      </c>
      <c r="E477" s="15" t="n">
        <v>3690.66522345135</v>
      </c>
      <c r="F477" s="15" t="n">
        <v>3.85543216183014</v>
      </c>
      <c r="G477" s="15" t="n">
        <v>0</v>
      </c>
      <c r="H477" s="15" t="n">
        <f aca="false">SQRT(F477^2+G477^2)</f>
        <v>3.85543216183014</v>
      </c>
      <c r="I477" s="15" t="n">
        <f aca="false">D477*F477/H477</f>
        <v>3.56285493487476</v>
      </c>
      <c r="J477" s="15" t="n">
        <f aca="false">SQRT(C477^2+D477^2-I477^2)</f>
        <v>67.9896031431737</v>
      </c>
      <c r="K477" s="15" t="n">
        <f aca="false">E477/H477</f>
        <v>957.263691471472</v>
      </c>
      <c r="L477" s="15" t="n">
        <f aca="false">J477/2-K477*ASINH(I477/(2*K477*SINH(J477/(2*K477))))</f>
        <v>-16.135169779123</v>
      </c>
      <c r="M477" s="15" t="n">
        <f aca="false">-L477/K477</f>
        <v>0.0168555121466276</v>
      </c>
      <c r="N477" s="15" t="n">
        <f aca="false">(J477-L477)/K477</f>
        <v>0.0878804593465601</v>
      </c>
      <c r="O477" s="15" t="n">
        <f aca="false">K477*(SINH(N477)-SINH(M477))</f>
        <v>68.0971631854051</v>
      </c>
      <c r="P477" s="15" t="n">
        <f aca="false">E477*COSH(M477)</f>
        <v>3691.18951015632</v>
      </c>
      <c r="Q477" s="15" t="n">
        <f aca="false">E477*COSH(N477)</f>
        <v>3704.92585566017</v>
      </c>
    </row>
    <row r="478" customFormat="false" ht="21" hidden="false" customHeight="true" outlineLevel="0" collapsed="false">
      <c r="A478" s="1" t="s">
        <v>402</v>
      </c>
      <c r="B478" s="1" t="s">
        <v>322</v>
      </c>
      <c r="C478" s="15" t="n">
        <v>67.9896031431737</v>
      </c>
      <c r="D478" s="15" t="n">
        <v>3.56285493487476</v>
      </c>
      <c r="E478" s="15" t="n">
        <v>3427.52265443209</v>
      </c>
      <c r="F478" s="15" t="n">
        <v>2.33651151473205</v>
      </c>
      <c r="G478" s="15" t="n">
        <v>1.43495625</v>
      </c>
      <c r="H478" s="15" t="n">
        <f aca="false">SQRT(F478^2+G478^2)</f>
        <v>2.74196745018783</v>
      </c>
      <c r="I478" s="15" t="n">
        <f aca="false">D478*F478/H478</f>
        <v>3.03601400522991</v>
      </c>
      <c r="J478" s="15" t="n">
        <f aca="false">SQRT(C478^2+D478^2-I478^2)</f>
        <v>68.0151651458207</v>
      </c>
      <c r="K478" s="15" t="n">
        <f aca="false">E478/H478</f>
        <v>1250.02310082029</v>
      </c>
      <c r="L478" s="15" t="n">
        <f aca="false">J478/2-K478*ASINH(I478/(2*K478*SINH(J478/(2*K478))))</f>
        <v>-21.7646975909113</v>
      </c>
      <c r="M478" s="15" t="n">
        <f aca="false">-L478/K478</f>
        <v>0.0174114362979603</v>
      </c>
      <c r="N478" s="15" t="n">
        <f aca="false">(J478-L478)/K478</f>
        <v>0.0718225628612916</v>
      </c>
      <c r="O478" s="15" t="n">
        <f aca="false">K478*(SINH(N478)-SINH(M478))</f>
        <v>68.0912732951855</v>
      </c>
      <c r="P478" s="15" t="n">
        <f aca="false">E478*COSH(M478)</f>
        <v>3428.04220820921</v>
      </c>
      <c r="Q478" s="15" t="n">
        <f aca="false">E478*COSH(N478)</f>
        <v>3436.36685978986</v>
      </c>
    </row>
    <row r="479" customFormat="false" ht="21" hidden="false" customHeight="true" outlineLevel="0" collapsed="false">
      <c r="A479" s="1" t="s">
        <v>402</v>
      </c>
      <c r="B479" s="1" t="s">
        <v>323</v>
      </c>
      <c r="C479" s="15" t="n">
        <v>67.9896031431737</v>
      </c>
      <c r="D479" s="15" t="n">
        <v>3.56285493487476</v>
      </c>
      <c r="E479" s="15" t="n">
        <v>3486.65673120335</v>
      </c>
      <c r="F479" s="15" t="n">
        <v>1.32389775</v>
      </c>
      <c r="G479" s="15" t="n">
        <v>0</v>
      </c>
      <c r="H479" s="15" t="n">
        <f aca="false">SQRT(F479^2+G479^2)</f>
        <v>1.32389775</v>
      </c>
      <c r="I479" s="15" t="n">
        <f aca="false">D479*F479/H479</f>
        <v>3.56285493487476</v>
      </c>
      <c r="J479" s="15" t="n">
        <f aca="false">SQRT(C479^2+D479^2-I479^2)</f>
        <v>67.9896031431737</v>
      </c>
      <c r="K479" s="15" t="n">
        <f aca="false">E479/H479</f>
        <v>2633.62992436791</v>
      </c>
      <c r="L479" s="15" t="n">
        <f aca="false">J479/2-K479*ASINH(I479/(2*K479*SINH(J479/(2*K479))))</f>
        <v>-103.948229873785</v>
      </c>
      <c r="M479" s="15" t="n">
        <f aca="false">-L479/K479</f>
        <v>0.0394695659067336</v>
      </c>
      <c r="N479" s="15" t="n">
        <f aca="false">(J479-L479)/K479</f>
        <v>0.0652854949080308</v>
      </c>
      <c r="O479" s="15" t="n">
        <f aca="false">K479*(SINH(N479)-SINH(M479))</f>
        <v>68.0847766253958</v>
      </c>
      <c r="P479" s="15" t="n">
        <f aca="false">E479*COSH(M479)</f>
        <v>3489.37292201761</v>
      </c>
      <c r="Q479" s="15" t="n">
        <f aca="false">E479*COSH(N479)</f>
        <v>3494.08977764947</v>
      </c>
    </row>
    <row r="480" customFormat="false" ht="21" hidden="false" customHeight="true" outlineLevel="0" collapsed="false">
      <c r="A480" s="1" t="s">
        <v>402</v>
      </c>
      <c r="B480" s="1" t="s">
        <v>324</v>
      </c>
      <c r="C480" s="15" t="n">
        <v>67.9896031431737</v>
      </c>
      <c r="D480" s="15" t="n">
        <v>3.56285493487476</v>
      </c>
      <c r="E480" s="15" t="n">
        <v>520.363548196862</v>
      </c>
      <c r="F480" s="15" t="n">
        <v>1.32389775</v>
      </c>
      <c r="G480" s="15" t="n">
        <v>0</v>
      </c>
      <c r="H480" s="15" t="n">
        <f aca="false">SQRT(F480^2+G480^2)</f>
        <v>1.32389775</v>
      </c>
      <c r="I480" s="15" t="n">
        <f aca="false">D480*F480/H480</f>
        <v>3.56285493487476</v>
      </c>
      <c r="J480" s="15" t="n">
        <f aca="false">SQRT(C480^2+D480^2-I480^2)</f>
        <v>67.9896031431737</v>
      </c>
      <c r="K480" s="15" t="n">
        <f aca="false">E480/H480</f>
        <v>393.054182769676</v>
      </c>
      <c r="L480" s="15" t="n">
        <f aca="false">J480/2-K480*ASINH(I480/(2*K480*SINH(J480/(2*K480))))</f>
        <v>13.4326444176284</v>
      </c>
      <c r="M480" s="15" t="n">
        <f aca="false">-L480/K480</f>
        <v>-0.0341750450865949</v>
      </c>
      <c r="N480" s="15" t="n">
        <f aca="false">(J480-L480)/K480</f>
        <v>0.138802641257007</v>
      </c>
      <c r="O480" s="15" t="n">
        <f aca="false">K480*(SINH(N480)-SINH(M480))</f>
        <v>68.1675708387614</v>
      </c>
      <c r="P480" s="15" t="n">
        <f aca="false">E480*COSH(M480)</f>
        <v>520.667452837339</v>
      </c>
      <c r="Q480" s="15" t="n">
        <f aca="false">E480*COSH(N480)</f>
        <v>525.384308469196</v>
      </c>
    </row>
    <row r="481" customFormat="false" ht="21" hidden="false" customHeight="true" outlineLevel="0" collapsed="false">
      <c r="A481" s="1" t="s">
        <v>403</v>
      </c>
      <c r="B481" s="1" t="s">
        <v>319</v>
      </c>
      <c r="C481" s="15" t="n">
        <v>80.0092616354174</v>
      </c>
      <c r="D481" s="15" t="n">
        <v>10.2128188841906</v>
      </c>
      <c r="E481" s="15" t="n">
        <v>2204.99999999799</v>
      </c>
      <c r="F481" s="15" t="n">
        <v>1.32389775</v>
      </c>
      <c r="G481" s="15" t="n">
        <v>0</v>
      </c>
      <c r="H481" s="15" t="n">
        <f aca="false">SQRT(F481^2+G481^2)</f>
        <v>1.32389775</v>
      </c>
      <c r="I481" s="15" t="n">
        <f aca="false">D481*F481/H481</f>
        <v>10.2128188841906</v>
      </c>
      <c r="J481" s="15" t="n">
        <f aca="false">SQRT(C481^2+D481^2-I481^2)</f>
        <v>80.0092616354174</v>
      </c>
      <c r="K481" s="15" t="n">
        <f aca="false">E481/H481</f>
        <v>1665.53648119576</v>
      </c>
      <c r="L481" s="15" t="n">
        <f aca="false">J481/2-K481*ASINH(I481/(2*K481*SINH(J481/(2*K481))))</f>
        <v>-172.000130100972</v>
      </c>
      <c r="M481" s="15" t="n">
        <f aca="false">-L481/K481</f>
        <v>0.103270106685075</v>
      </c>
      <c r="N481" s="15" t="n">
        <f aca="false">(J481-L481)/K481</f>
        <v>0.15130823886575</v>
      </c>
      <c r="O481" s="15" t="n">
        <f aca="false">K481*(SINH(N481)-SINH(M481))</f>
        <v>80.666069383807</v>
      </c>
      <c r="P481" s="15" t="n">
        <f aca="false">E481*COSH(M481)</f>
        <v>2216.76830143723</v>
      </c>
      <c r="Q481" s="15" t="n">
        <f aca="false">E481*COSH(N481)</f>
        <v>2230.28902937917</v>
      </c>
    </row>
    <row r="482" customFormat="false" ht="21" hidden="false" customHeight="true" outlineLevel="0" collapsed="false">
      <c r="A482" s="1" t="s">
        <v>403</v>
      </c>
      <c r="B482" s="1" t="s">
        <v>320</v>
      </c>
      <c r="C482" s="15" t="n">
        <v>80.0092616354174</v>
      </c>
      <c r="D482" s="15" t="n">
        <v>10.2128188841906</v>
      </c>
      <c r="E482" s="15" t="n">
        <v>3535.1716351298</v>
      </c>
      <c r="F482" s="15" t="n">
        <v>1.32389775</v>
      </c>
      <c r="G482" s="15" t="n">
        <v>3.443895</v>
      </c>
      <c r="H482" s="15" t="n">
        <f aca="false">SQRT(F482^2+G482^2)</f>
        <v>3.68959591601574</v>
      </c>
      <c r="I482" s="15" t="n">
        <f aca="false">D482*F482/H482</f>
        <v>3.66455521138423</v>
      </c>
      <c r="J482" s="15" t="n">
        <f aca="false">SQRT(C482^2+D482^2-I482^2)</f>
        <v>80.5751490976508</v>
      </c>
      <c r="K482" s="15" t="n">
        <f aca="false">E482/H482</f>
        <v>958.146018046145</v>
      </c>
      <c r="L482" s="15" t="n">
        <f aca="false">J482/2-K482*ASINH(I482/(2*K482*SINH(J482/(2*K482))))</f>
        <v>-3.26104278127771</v>
      </c>
      <c r="M482" s="15" t="n">
        <f aca="false">-L482/K482</f>
        <v>0.00340349249473232</v>
      </c>
      <c r="N482" s="15" t="n">
        <f aca="false">(J482-L482)/K482</f>
        <v>0.0874983460766112</v>
      </c>
      <c r="O482" s="15" t="n">
        <f aca="false">K482*(SINH(N482)-SINH(M482))</f>
        <v>80.6821581886966</v>
      </c>
      <c r="P482" s="15" t="n">
        <f aca="false">E482*COSH(M482)</f>
        <v>3535.19211044151</v>
      </c>
      <c r="Q482" s="15" t="n">
        <f aca="false">E482*COSH(N482)</f>
        <v>3548.71283838345</v>
      </c>
    </row>
    <row r="483" customFormat="false" ht="21" hidden="false" customHeight="true" outlineLevel="0" collapsed="false">
      <c r="A483" s="1" t="s">
        <v>403</v>
      </c>
      <c r="B483" s="1" t="s">
        <v>321</v>
      </c>
      <c r="C483" s="15" t="n">
        <v>80.0092616354174</v>
      </c>
      <c r="D483" s="15" t="n">
        <v>10.2128188841906</v>
      </c>
      <c r="E483" s="15" t="n">
        <v>3791.25342245145</v>
      </c>
      <c r="F483" s="15" t="n">
        <v>3.85543216183014</v>
      </c>
      <c r="G483" s="15" t="n">
        <v>0</v>
      </c>
      <c r="H483" s="15" t="n">
        <f aca="false">SQRT(F483^2+G483^2)</f>
        <v>3.85543216183014</v>
      </c>
      <c r="I483" s="15" t="n">
        <f aca="false">D483*F483/H483</f>
        <v>10.2128188841906</v>
      </c>
      <c r="J483" s="15" t="n">
        <f aca="false">SQRT(C483^2+D483^2-I483^2)</f>
        <v>80.0092616354174</v>
      </c>
      <c r="K483" s="15" t="n">
        <f aca="false">E483/H483</f>
        <v>983.353684701271</v>
      </c>
      <c r="L483" s="15" t="n">
        <f aca="false">J483/2-K483*ASINH(I483/(2*K483*SINH(J483/(2*K483))))</f>
        <v>-85.1432796527837</v>
      </c>
      <c r="M483" s="15" t="n">
        <f aca="false">-L483/K483</f>
        <v>0.0865845941062895</v>
      </c>
      <c r="N483" s="15" t="n">
        <f aca="false">(J483-L483)/K483</f>
        <v>0.16794826099459</v>
      </c>
      <c r="O483" s="15" t="n">
        <f aca="false">K483*(SINH(N483)-SINH(M483))</f>
        <v>80.6803315888758</v>
      </c>
      <c r="P483" s="15" t="n">
        <f aca="false">E483*COSH(M483)</f>
        <v>3805.4736116636</v>
      </c>
      <c r="Q483" s="15" t="n">
        <f aca="false">E483*COSH(N483)</f>
        <v>3844.84844205265</v>
      </c>
    </row>
    <row r="484" customFormat="false" ht="21" hidden="false" customHeight="true" outlineLevel="0" collapsed="false">
      <c r="A484" s="1" t="s">
        <v>403</v>
      </c>
      <c r="B484" s="1" t="s">
        <v>322</v>
      </c>
      <c r="C484" s="15" t="n">
        <v>80.0092616354174</v>
      </c>
      <c r="D484" s="15" t="n">
        <v>10.2128188841906</v>
      </c>
      <c r="E484" s="15" t="n">
        <v>3475.39811452987</v>
      </c>
      <c r="F484" s="15" t="n">
        <v>2.33651151473205</v>
      </c>
      <c r="G484" s="15" t="n">
        <v>1.43495625</v>
      </c>
      <c r="H484" s="15" t="n">
        <f aca="false">SQRT(F484^2+G484^2)</f>
        <v>2.74196745018783</v>
      </c>
      <c r="I484" s="15" t="n">
        <f aca="false">D484*F484/H484</f>
        <v>8.70264485420852</v>
      </c>
      <c r="J484" s="15" t="n">
        <f aca="false">SQRT(C484^2+D484^2-I484^2)</f>
        <v>80.1875775263692</v>
      </c>
      <c r="K484" s="15" t="n">
        <f aca="false">E484/H484</f>
        <v>1267.48335918131</v>
      </c>
      <c r="L484" s="15" t="n">
        <f aca="false">J484/2-K484*ASINH(I484/(2*K484*SINH(J484/(2*K484))))</f>
        <v>-97.1729752381772</v>
      </c>
      <c r="M484" s="15" t="n">
        <f aca="false">-L484/K484</f>
        <v>0.0766660757589301</v>
      </c>
      <c r="N484" s="15" t="n">
        <f aca="false">(J484-L484)/K484</f>
        <v>0.139931267325756</v>
      </c>
      <c r="O484" s="15" t="n">
        <f aca="false">K484*(SINH(N484)-SINH(M484))</f>
        <v>80.6717334859392</v>
      </c>
      <c r="P484" s="15" t="n">
        <f aca="false">E484*COSH(M484)</f>
        <v>3485.61676968896</v>
      </c>
      <c r="Q484" s="15" t="n">
        <f aca="false">E484*COSH(N484)</f>
        <v>3509.47913860974</v>
      </c>
    </row>
    <row r="485" customFormat="false" ht="21" hidden="false" customHeight="true" outlineLevel="0" collapsed="false">
      <c r="A485" s="1" t="s">
        <v>403</v>
      </c>
      <c r="B485" s="1" t="s">
        <v>323</v>
      </c>
      <c r="C485" s="15" t="n">
        <v>80.0092616354174</v>
      </c>
      <c r="D485" s="15" t="n">
        <v>10.2128188841906</v>
      </c>
      <c r="E485" s="15" t="n">
        <v>3435.28090598026</v>
      </c>
      <c r="F485" s="15" t="n">
        <v>1.32389775</v>
      </c>
      <c r="G485" s="15" t="n">
        <v>0</v>
      </c>
      <c r="H485" s="15" t="n">
        <f aca="false">SQRT(F485^2+G485^2)</f>
        <v>1.32389775</v>
      </c>
      <c r="I485" s="15" t="n">
        <f aca="false">D485*F485/H485</f>
        <v>10.2128188841906</v>
      </c>
      <c r="J485" s="15" t="n">
        <f aca="false">SQRT(C485^2+D485^2-I485^2)</f>
        <v>80.0092616354174</v>
      </c>
      <c r="K485" s="15" t="n">
        <f aca="false">E485/H485</f>
        <v>2594.82343404561</v>
      </c>
      <c r="L485" s="15" t="n">
        <f aca="false">J485/2-K485*ASINH(I485/(2*K485*SINH(J485/(2*K485))))</f>
        <v>-290.306871552448</v>
      </c>
      <c r="M485" s="15" t="n">
        <f aca="false">-L485/K485</f>
        <v>0.1118792391588</v>
      </c>
      <c r="N485" s="15" t="n">
        <f aca="false">(J485-L485)/K485</f>
        <v>0.142713422550876</v>
      </c>
      <c r="O485" s="15" t="n">
        <f aca="false">K485*(SINH(N485)-SINH(M485))</f>
        <v>80.6615820294123</v>
      </c>
      <c r="P485" s="15" t="n">
        <f aca="false">E485*COSH(M485)</f>
        <v>3456.80298517605</v>
      </c>
      <c r="Q485" s="15" t="n">
        <f aca="false">E485*COSH(N485)</f>
        <v>3470.32371311799</v>
      </c>
    </row>
    <row r="486" customFormat="false" ht="21" hidden="false" customHeight="true" outlineLevel="0" collapsed="false">
      <c r="A486" s="1" t="s">
        <v>403</v>
      </c>
      <c r="B486" s="1" t="s">
        <v>324</v>
      </c>
      <c r="C486" s="15" t="n">
        <v>80.0092616354174</v>
      </c>
      <c r="D486" s="15" t="n">
        <v>10.2128188841906</v>
      </c>
      <c r="E486" s="15" t="n">
        <v>597.101918789505</v>
      </c>
      <c r="F486" s="15" t="n">
        <v>1.32389775</v>
      </c>
      <c r="G486" s="15" t="n">
        <v>0</v>
      </c>
      <c r="H486" s="15" t="n">
        <f aca="false">SQRT(F486^2+G486^2)</f>
        <v>1.32389775</v>
      </c>
      <c r="I486" s="15" t="n">
        <f aca="false">D486*F486/H486</f>
        <v>10.2128188841906</v>
      </c>
      <c r="J486" s="15" t="n">
        <f aca="false">SQRT(C486^2+D486^2-I486^2)</f>
        <v>80.0092616354174</v>
      </c>
      <c r="K486" s="15" t="n">
        <f aca="false">E486/H486</f>
        <v>451.018153622139</v>
      </c>
      <c r="L486" s="15" t="n">
        <f aca="false">J486/2-K486*ASINH(I486/(2*K486*SINH(J486/(2*K486))))</f>
        <v>-17.3357744739997</v>
      </c>
      <c r="M486" s="15" t="n">
        <f aca="false">-L486/K486</f>
        <v>0.0384369771699335</v>
      </c>
      <c r="N486" s="15" t="n">
        <f aca="false">(J486-L486)/K486</f>
        <v>0.215833964392866</v>
      </c>
      <c r="O486" s="15" t="n">
        <f aca="false">K486*(SINH(N486)-SINH(M486))</f>
        <v>80.7625467569103</v>
      </c>
      <c r="P486" s="15" t="n">
        <f aca="false">E486*COSH(M486)</f>
        <v>597.543052646307</v>
      </c>
      <c r="Q486" s="15" t="n">
        <f aca="false">E486*COSH(N486)</f>
        <v>611.063780588244</v>
      </c>
    </row>
    <row r="487" customFormat="false" ht="21" hidden="false" customHeight="true" outlineLevel="0" collapsed="false">
      <c r="A487" s="1" t="s">
        <v>404</v>
      </c>
      <c r="B487" s="1" t="s">
        <v>319</v>
      </c>
      <c r="C487" s="15" t="n">
        <v>80.009261636514</v>
      </c>
      <c r="D487" s="15" t="n">
        <v>4.27041023425991</v>
      </c>
      <c r="E487" s="15" t="n">
        <v>2204.99999999996</v>
      </c>
      <c r="F487" s="15" t="n">
        <v>1.32389775</v>
      </c>
      <c r="G487" s="15" t="n">
        <v>0</v>
      </c>
      <c r="H487" s="15" t="n">
        <f aca="false">SQRT(F487^2+G487^2)</f>
        <v>1.32389775</v>
      </c>
      <c r="I487" s="15" t="n">
        <f aca="false">D487*F487/H487</f>
        <v>4.27041023425991</v>
      </c>
      <c r="J487" s="15" t="n">
        <f aca="false">SQRT(C487^2+D487^2-I487^2)</f>
        <v>80.009261636514</v>
      </c>
      <c r="K487" s="15" t="n">
        <f aca="false">E487/H487</f>
        <v>1665.53648119725</v>
      </c>
      <c r="L487" s="15" t="n">
        <f aca="false">J487/2-K487*ASINH(I487/(2*K487*SINH(J487/(2*K487))))</f>
        <v>-48.8409395663976</v>
      </c>
      <c r="M487" s="15" t="n">
        <f aca="false">-L487/K487</f>
        <v>0.0293244489795197</v>
      </c>
      <c r="N487" s="15" t="n">
        <f aca="false">(J487-L487)/K487</f>
        <v>0.0773625811608096</v>
      </c>
      <c r="O487" s="15" t="n">
        <f aca="false">K487*(SINH(N487)-SINH(M487))</f>
        <v>80.1308273014594</v>
      </c>
      <c r="P487" s="15" t="n">
        <f aca="false">E487*COSH(M487)</f>
        <v>2205.94813338756</v>
      </c>
      <c r="Q487" s="15" t="n">
        <f aca="false">E487*COSH(N487)</f>
        <v>2211.60171988827</v>
      </c>
    </row>
    <row r="488" customFormat="false" ht="21" hidden="false" customHeight="true" outlineLevel="0" collapsed="false">
      <c r="A488" s="1" t="s">
        <v>404</v>
      </c>
      <c r="B488" s="1" t="s">
        <v>320</v>
      </c>
      <c r="C488" s="15" t="n">
        <v>80.009261636514</v>
      </c>
      <c r="D488" s="15" t="n">
        <v>4.27041023425991</v>
      </c>
      <c r="E488" s="15" t="n">
        <v>3518.92148714579</v>
      </c>
      <c r="F488" s="15" t="n">
        <v>1.32389775</v>
      </c>
      <c r="G488" s="15" t="n">
        <v>3.443895</v>
      </c>
      <c r="H488" s="15" t="n">
        <f aca="false">SQRT(F488^2+G488^2)</f>
        <v>3.68959591601574</v>
      </c>
      <c r="I488" s="15" t="n">
        <f aca="false">D488*F488/H488</f>
        <v>1.53230506250635</v>
      </c>
      <c r="J488" s="15" t="n">
        <f aca="false">SQRT(C488^2+D488^2-I488^2)</f>
        <v>80.1084913875205</v>
      </c>
      <c r="K488" s="15" t="n">
        <f aca="false">E488/H488</f>
        <v>953.741701596889</v>
      </c>
      <c r="L488" s="15" t="n">
        <f aca="false">J488/2-K488*ASINH(I488/(2*K488*SINH(J488/(2*K488))))</f>
        <v>21.8176682553792</v>
      </c>
      <c r="M488" s="15" t="n">
        <f aca="false">-L488/K488</f>
        <v>-0.0228758669342537</v>
      </c>
      <c r="N488" s="15" t="n">
        <f aca="false">(J488-L488)/K488</f>
        <v>0.0611180396479913</v>
      </c>
      <c r="O488" s="15" t="n">
        <f aca="false">K488*(SINH(N488)-SINH(M488))</f>
        <v>80.1466911663155</v>
      </c>
      <c r="P488" s="15" t="n">
        <f aca="false">E488*COSH(M488)</f>
        <v>3519.84226240975</v>
      </c>
      <c r="Q488" s="15" t="n">
        <f aca="false">E488*COSH(N488)</f>
        <v>3525.49584891046</v>
      </c>
    </row>
    <row r="489" customFormat="false" ht="21" hidden="false" customHeight="true" outlineLevel="0" collapsed="false">
      <c r="A489" s="1" t="s">
        <v>404</v>
      </c>
      <c r="B489" s="1" t="s">
        <v>321</v>
      </c>
      <c r="C489" s="15" t="n">
        <v>80.009261636514</v>
      </c>
      <c r="D489" s="15" t="n">
        <v>4.27041023425991</v>
      </c>
      <c r="E489" s="15" t="n">
        <v>3803.65172496725</v>
      </c>
      <c r="F489" s="15" t="n">
        <v>3.85543216183014</v>
      </c>
      <c r="G489" s="15" t="n">
        <v>0</v>
      </c>
      <c r="H489" s="15" t="n">
        <f aca="false">SQRT(F489^2+G489^2)</f>
        <v>3.85543216183014</v>
      </c>
      <c r="I489" s="15" t="n">
        <f aca="false">D489*F489/H489</f>
        <v>4.27041023425991</v>
      </c>
      <c r="J489" s="15" t="n">
        <f aca="false">SQRT(C489^2+D489^2-I489^2)</f>
        <v>80.009261636514</v>
      </c>
      <c r="K489" s="15" t="n">
        <f aca="false">E489/H489</f>
        <v>986.569485679058</v>
      </c>
      <c r="L489" s="15" t="n">
        <f aca="false">J489/2-K489*ASINH(I489/(2*K489*SINH(J489/(2*K489))))</f>
        <v>-12.6131021054744</v>
      </c>
      <c r="M489" s="15" t="n">
        <f aca="false">-L489/K489</f>
        <v>0.0127848086612904</v>
      </c>
      <c r="N489" s="15" t="n">
        <f aca="false">(J489-L489)/K489</f>
        <v>0.0938832642672263</v>
      </c>
      <c r="O489" s="15" t="n">
        <f aca="false">K489*(SINH(N489)-SINH(M489))</f>
        <v>80.1450412965147</v>
      </c>
      <c r="P489" s="15" t="n">
        <f aca="false">E489*COSH(M489)</f>
        <v>3803.96258517284</v>
      </c>
      <c r="Q489" s="15" t="n">
        <f aca="false">E489*COSH(N489)</f>
        <v>3820.42686213422</v>
      </c>
    </row>
    <row r="490" customFormat="false" ht="21" hidden="false" customHeight="true" outlineLevel="0" collapsed="false">
      <c r="A490" s="1" t="s">
        <v>404</v>
      </c>
      <c r="B490" s="1" t="s">
        <v>322</v>
      </c>
      <c r="C490" s="15" t="n">
        <v>80.009261636514</v>
      </c>
      <c r="D490" s="15" t="n">
        <v>4.27041023425991</v>
      </c>
      <c r="E490" s="15" t="n">
        <v>3476.33819575455</v>
      </c>
      <c r="F490" s="15" t="n">
        <v>2.33651151473205</v>
      </c>
      <c r="G490" s="15" t="n">
        <v>1.43495625</v>
      </c>
      <c r="H490" s="15" t="n">
        <f aca="false">SQRT(F490^2+G490^2)</f>
        <v>2.74196745018783</v>
      </c>
      <c r="I490" s="15" t="n">
        <f aca="false">D490*F490/H490</f>
        <v>3.6389427906208</v>
      </c>
      <c r="J490" s="15" t="n">
        <f aca="false">SQRT(C490^2+D490^2-I490^2)</f>
        <v>80.0404675558284</v>
      </c>
      <c r="K490" s="15" t="n">
        <f aca="false">E490/H490</f>
        <v>1267.8262083368</v>
      </c>
      <c r="L490" s="15" t="n">
        <f aca="false">J490/2-K490*ASINH(I490/(2*K490*SINH(J490/(2*K490))))</f>
        <v>-17.5905478318557</v>
      </c>
      <c r="M490" s="15" t="n">
        <f aca="false">-L490/K490</f>
        <v>0.0138745734361588</v>
      </c>
      <c r="N490" s="15" t="n">
        <f aca="false">(J490-L490)/K490</f>
        <v>0.0770066234202255</v>
      </c>
      <c r="O490" s="15" t="n">
        <f aca="false">K490*(SINH(N490)-SINH(M490))</f>
        <v>80.136424103123</v>
      </c>
      <c r="P490" s="15" t="n">
        <f aca="false">E490*COSH(M490)</f>
        <v>3476.67280525788</v>
      </c>
      <c r="Q490" s="15" t="n">
        <f aca="false">E490*COSH(N490)</f>
        <v>3486.65066794286</v>
      </c>
    </row>
    <row r="491" customFormat="false" ht="21" hidden="false" customHeight="true" outlineLevel="0" collapsed="false">
      <c r="A491" s="1" t="s">
        <v>404</v>
      </c>
      <c r="B491" s="1" t="s">
        <v>323</v>
      </c>
      <c r="C491" s="15" t="n">
        <v>80.009261636514</v>
      </c>
      <c r="D491" s="15" t="n">
        <v>4.27041023425991</v>
      </c>
      <c r="E491" s="15" t="n">
        <v>3440.83231853806</v>
      </c>
      <c r="F491" s="15" t="n">
        <v>1.32389775</v>
      </c>
      <c r="G491" s="15" t="n">
        <v>0</v>
      </c>
      <c r="H491" s="15" t="n">
        <f aca="false">SQRT(F491^2+G491^2)</f>
        <v>1.32389775</v>
      </c>
      <c r="I491" s="15" t="n">
        <f aca="false">D491*F491/H491</f>
        <v>4.27041023425991</v>
      </c>
      <c r="J491" s="15" t="n">
        <f aca="false">SQRT(C491^2+D491^2-I491^2)</f>
        <v>80.009261636514</v>
      </c>
      <c r="K491" s="15" t="n">
        <f aca="false">E491/H491</f>
        <v>2599.01666766792</v>
      </c>
      <c r="L491" s="15" t="n">
        <f aca="false">J491/2-K491*ASINH(I491/(2*K491*SINH(J491/(2*K491))))</f>
        <v>-98.6439027204568</v>
      </c>
      <c r="M491" s="15" t="n">
        <f aca="false">-L491/K491</f>
        <v>0.037954317087535</v>
      </c>
      <c r="N491" s="15" t="n">
        <f aca="false">(J491-L491)/K491</f>
        <v>0.0687387528442729</v>
      </c>
      <c r="O491" s="15" t="n">
        <f aca="false">K491*(SINH(N491)-SINH(M491))</f>
        <v>80.1262997667995</v>
      </c>
      <c r="P491" s="15" t="n">
        <f aca="false">E491*COSH(M491)</f>
        <v>3443.3109274684</v>
      </c>
      <c r="Q491" s="15" t="n">
        <f aca="false">E491*COSH(N491)</f>
        <v>3448.96451396911</v>
      </c>
    </row>
    <row r="492" customFormat="false" ht="21" hidden="false" customHeight="true" outlineLevel="0" collapsed="false">
      <c r="A492" s="1" t="s">
        <v>404</v>
      </c>
      <c r="B492" s="1" t="s">
        <v>324</v>
      </c>
      <c r="C492" s="15" t="n">
        <v>80.009261636514</v>
      </c>
      <c r="D492" s="15" t="n">
        <v>4.27041023425991</v>
      </c>
      <c r="E492" s="15" t="n">
        <v>599.775743337506</v>
      </c>
      <c r="F492" s="15" t="n">
        <v>1.32389775</v>
      </c>
      <c r="G492" s="15" t="n">
        <v>0</v>
      </c>
      <c r="H492" s="15" t="n">
        <f aca="false">SQRT(F492^2+G492^2)</f>
        <v>1.32389775</v>
      </c>
      <c r="I492" s="15" t="n">
        <f aca="false">D492*F492/H492</f>
        <v>4.27041023425991</v>
      </c>
      <c r="J492" s="15" t="n">
        <f aca="false">SQRT(C492^2+D492^2-I492^2)</f>
        <v>80.009261636514</v>
      </c>
      <c r="K492" s="15" t="n">
        <f aca="false">E492/H492</f>
        <v>453.037814542328</v>
      </c>
      <c r="L492" s="15" t="n">
        <f aca="false">J492/2-K492*ASINH(I492/(2*K492*SINH(J492/(2*K492))))</f>
        <v>15.867030847387</v>
      </c>
      <c r="M492" s="15" t="n">
        <f aca="false">-L492/K492</f>
        <v>-0.0350236345357093</v>
      </c>
      <c r="N492" s="15" t="n">
        <f aca="false">(J492-L492)/K492</f>
        <v>0.141582509738012</v>
      </c>
      <c r="O492" s="15" t="n">
        <f aca="false">K492*(SINH(N492)-SINH(M492))</f>
        <v>80.2270156094996</v>
      </c>
      <c r="P492" s="15" t="n">
        <f aca="false">E492*COSH(M492)</f>
        <v>600.143639892096</v>
      </c>
      <c r="Q492" s="15" t="n">
        <f aca="false">E492*COSH(N492)</f>
        <v>605.79722639281</v>
      </c>
    </row>
    <row r="493" customFormat="false" ht="21" hidden="false" customHeight="true" outlineLevel="0" collapsed="false">
      <c r="A493" s="1" t="s">
        <v>405</v>
      </c>
      <c r="B493" s="1" t="s">
        <v>319</v>
      </c>
      <c r="C493" s="15" t="n">
        <v>80.0092616354174</v>
      </c>
      <c r="D493" s="15" t="n">
        <v>10.4741965545153</v>
      </c>
      <c r="E493" s="15" t="n">
        <v>2205.00000000081</v>
      </c>
      <c r="F493" s="15" t="n">
        <v>1.32389775</v>
      </c>
      <c r="G493" s="15" t="n">
        <v>0</v>
      </c>
      <c r="H493" s="15" t="n">
        <f aca="false">SQRT(F493^2+G493^2)</f>
        <v>1.32389775</v>
      </c>
      <c r="I493" s="15" t="n">
        <f aca="false">D493*F493/H493</f>
        <v>10.4741965545153</v>
      </c>
      <c r="J493" s="15" t="n">
        <f aca="false">SQRT(C493^2+D493^2-I493^2)</f>
        <v>80.0092616354174</v>
      </c>
      <c r="K493" s="15" t="n">
        <f aca="false">E493/H493</f>
        <v>1665.5364811979</v>
      </c>
      <c r="L493" s="15" t="n">
        <f aca="false">J493/2-K493*ASINH(I493/(2*K493*SINH(J493/(2*K493))))</f>
        <v>-177.395757155025</v>
      </c>
      <c r="M493" s="15" t="n">
        <f aca="false">-L493/K493</f>
        <v>0.106509679708389</v>
      </c>
      <c r="N493" s="15" t="n">
        <f aca="false">(J493-L493)/K493</f>
        <v>0.154547811889002</v>
      </c>
      <c r="O493" s="15" t="n">
        <f aca="false">K493*(SINH(N493)-SINH(M493))</f>
        <v>80.6995779030752</v>
      </c>
      <c r="P493" s="15" t="n">
        <f aca="false">E493*COSH(M493)</f>
        <v>2217.51893201842</v>
      </c>
      <c r="Q493" s="15" t="n">
        <f aca="false">E493*COSH(N493)</f>
        <v>2231.38569727</v>
      </c>
    </row>
    <row r="494" customFormat="false" ht="21" hidden="false" customHeight="true" outlineLevel="0" collapsed="false">
      <c r="A494" s="1" t="s">
        <v>405</v>
      </c>
      <c r="B494" s="1" t="s">
        <v>320</v>
      </c>
      <c r="C494" s="15" t="n">
        <v>80.0092616354174</v>
      </c>
      <c r="D494" s="15" t="n">
        <v>10.4741965545153</v>
      </c>
      <c r="E494" s="15" t="n">
        <v>3536.18812657498</v>
      </c>
      <c r="F494" s="15" t="n">
        <v>1.32389775</v>
      </c>
      <c r="G494" s="15" t="n">
        <v>3.443895</v>
      </c>
      <c r="H494" s="15" t="n">
        <f aca="false">SQRT(F494^2+G494^2)</f>
        <v>3.68959591601574</v>
      </c>
      <c r="I494" s="15" t="n">
        <f aca="false">D494*F494/H494</f>
        <v>3.75834253051612</v>
      </c>
      <c r="J494" s="15" t="n">
        <f aca="false">SQRT(C494^2+D494^2-I494^2)</f>
        <v>80.6043770668231</v>
      </c>
      <c r="K494" s="15" t="n">
        <f aca="false">E494/H494</f>
        <v>958.421520152152</v>
      </c>
      <c r="L494" s="15" t="n">
        <f aca="false">J494/2-K494*ASINH(I494/(2*K494*SINH(J494/(2*K494))))</f>
        <v>-4.35682844293532</v>
      </c>
      <c r="M494" s="15" t="n">
        <f aca="false">-L494/K494</f>
        <v>0.00454583745390406</v>
      </c>
      <c r="N494" s="15" t="n">
        <f aca="false">(J494-L494)/K494</f>
        <v>0.0886470135773564</v>
      </c>
      <c r="O494" s="15" t="n">
        <f aca="false">K494*(SINH(N494)-SINH(M494))</f>
        <v>80.7156807991732</v>
      </c>
      <c r="P494" s="15" t="n">
        <f aca="false">E494*COSH(M494)</f>
        <v>3536.22466366195</v>
      </c>
      <c r="Q494" s="15" t="n">
        <f aca="false">E494*COSH(N494)</f>
        <v>3550.09142891353</v>
      </c>
    </row>
    <row r="495" customFormat="false" ht="21" hidden="false" customHeight="true" outlineLevel="0" collapsed="false">
      <c r="A495" s="1" t="s">
        <v>405</v>
      </c>
      <c r="B495" s="1" t="s">
        <v>321</v>
      </c>
      <c r="C495" s="15" t="n">
        <v>80.0092616354174</v>
      </c>
      <c r="D495" s="15" t="n">
        <v>10.4741965545153</v>
      </c>
      <c r="E495" s="15" t="n">
        <v>3790.48225069027</v>
      </c>
      <c r="F495" s="15" t="n">
        <v>3.85543216183014</v>
      </c>
      <c r="G495" s="15" t="n">
        <v>0</v>
      </c>
      <c r="H495" s="15" t="n">
        <f aca="false">SQRT(F495^2+G495^2)</f>
        <v>3.85543216183014</v>
      </c>
      <c r="I495" s="15" t="n">
        <f aca="false">D495*F495/H495</f>
        <v>10.4741965545153</v>
      </c>
      <c r="J495" s="15" t="n">
        <f aca="false">SQRT(C495^2+D495^2-I495^2)</f>
        <v>80.0092616354174</v>
      </c>
      <c r="K495" s="15" t="n">
        <f aca="false">E495/H495</f>
        <v>983.153662569169</v>
      </c>
      <c r="L495" s="15" t="n">
        <f aca="false">J495/2-K495*ASINH(I495/(2*K495*SINH(J495/(2*K495))))</f>
        <v>-88.3022445212261</v>
      </c>
      <c r="M495" s="15" t="n">
        <f aca="false">-L495/K495</f>
        <v>0.0898153034292478</v>
      </c>
      <c r="N495" s="15" t="n">
        <f aca="false">(J495-L495)/K495</f>
        <v>0.171195523715808</v>
      </c>
      <c r="O495" s="15" t="n">
        <f aca="false">K495*(SINH(N495)-SINH(M495))</f>
        <v>80.7138430936136</v>
      </c>
      <c r="P495" s="15" t="n">
        <f aca="false">E495*COSH(M495)</f>
        <v>3805.78104063644</v>
      </c>
      <c r="Q495" s="15" t="n">
        <f aca="false">E495*COSH(N495)</f>
        <v>3846.16359490205</v>
      </c>
    </row>
    <row r="496" customFormat="false" ht="21" hidden="false" customHeight="true" outlineLevel="0" collapsed="false">
      <c r="A496" s="1" t="s">
        <v>405</v>
      </c>
      <c r="B496" s="1" t="s">
        <v>322</v>
      </c>
      <c r="C496" s="15" t="n">
        <v>80.0092616354174</v>
      </c>
      <c r="D496" s="15" t="n">
        <v>10.4741965545153</v>
      </c>
      <c r="E496" s="15" t="n">
        <v>3475.3417008799</v>
      </c>
      <c r="F496" s="15" t="n">
        <v>2.33651151473205</v>
      </c>
      <c r="G496" s="15" t="n">
        <v>1.43495625</v>
      </c>
      <c r="H496" s="15" t="n">
        <f aca="false">SQRT(F496^2+G496^2)</f>
        <v>2.74196745018783</v>
      </c>
      <c r="I496" s="15" t="n">
        <f aca="false">D496*F496/H496</f>
        <v>8.925372493213</v>
      </c>
      <c r="J496" s="15" t="n">
        <f aca="false">SQRT(C496^2+D496^2-I496^2)</f>
        <v>80.196810826645</v>
      </c>
      <c r="K496" s="15" t="n">
        <f aca="false">E496/H496</f>
        <v>1267.46278503118</v>
      </c>
      <c r="L496" s="15" t="n">
        <f aca="false">J496/2-K496*ASINH(I496/(2*K496*SINH(J496/(2*K496))))</f>
        <v>-100.648813164701</v>
      </c>
      <c r="M496" s="15" t="n">
        <f aca="false">-L496/K496</f>
        <v>0.0794096792058673</v>
      </c>
      <c r="N496" s="15" t="n">
        <f aca="false">(J496-L496)/K496</f>
        <v>0.142683182596874</v>
      </c>
      <c r="O496" s="15" t="n">
        <f aca="false">K496*(SINH(N496)-SINH(M496))</f>
        <v>80.7052462073093</v>
      </c>
      <c r="P496" s="15" t="n">
        <f aca="false">E496*COSH(M496)</f>
        <v>3486.30503386759</v>
      </c>
      <c r="Q496" s="15" t="n">
        <f aca="false">E496*COSH(N496)</f>
        <v>3510.77811472478</v>
      </c>
    </row>
    <row r="497" customFormat="false" ht="21" hidden="false" customHeight="true" outlineLevel="0" collapsed="false">
      <c r="A497" s="1" t="s">
        <v>405</v>
      </c>
      <c r="B497" s="1" t="s">
        <v>323</v>
      </c>
      <c r="C497" s="15" t="n">
        <v>80.0092616354174</v>
      </c>
      <c r="D497" s="15" t="n">
        <v>10.4741965545153</v>
      </c>
      <c r="E497" s="15" t="n">
        <v>3434.93399124656</v>
      </c>
      <c r="F497" s="15" t="n">
        <v>1.32389775</v>
      </c>
      <c r="G497" s="15" t="n">
        <v>0</v>
      </c>
      <c r="H497" s="15" t="n">
        <f aca="false">SQRT(F497^2+G497^2)</f>
        <v>1.32389775</v>
      </c>
      <c r="I497" s="15" t="n">
        <f aca="false">D497*F497/H497</f>
        <v>10.4741965545153</v>
      </c>
      <c r="J497" s="15" t="n">
        <f aca="false">SQRT(C497^2+D497^2-I497^2)</f>
        <v>80.0092616354174</v>
      </c>
      <c r="K497" s="15" t="n">
        <f aca="false">E497/H497</f>
        <v>2594.56139361711</v>
      </c>
      <c r="L497" s="15" t="n">
        <f aca="false">J497/2-K497*ASINH(I497/(2*K497*SINH(J497/(2*K497))))</f>
        <v>-298.679250578055</v>
      </c>
      <c r="M497" s="15" t="n">
        <f aca="false">-L497/K497</f>
        <v>0.115117434227163</v>
      </c>
      <c r="N497" s="15" t="n">
        <f aca="false">(J497-L497)/K497</f>
        <v>0.145954731749684</v>
      </c>
      <c r="O497" s="15" t="n">
        <f aca="false">K497*(SINH(N497)-SINH(M497))</f>
        <v>80.6950930468975</v>
      </c>
      <c r="P497" s="15" t="n">
        <f aca="false">E497*COSH(M497)</f>
        <v>3457.71905019425</v>
      </c>
      <c r="Q497" s="15" t="n">
        <f aca="false">E497*COSH(N497)</f>
        <v>3471.58581544583</v>
      </c>
    </row>
    <row r="498" customFormat="false" ht="21" hidden="false" customHeight="true" outlineLevel="0" collapsed="false">
      <c r="A498" s="1" t="s">
        <v>405</v>
      </c>
      <c r="B498" s="1" t="s">
        <v>324</v>
      </c>
      <c r="C498" s="15" t="n">
        <v>80.0092616354174</v>
      </c>
      <c r="D498" s="15" t="n">
        <v>10.4741965545153</v>
      </c>
      <c r="E498" s="15" t="n">
        <v>596.93578965356</v>
      </c>
      <c r="F498" s="15" t="n">
        <v>1.32389775</v>
      </c>
      <c r="G498" s="15" t="n">
        <v>0</v>
      </c>
      <c r="H498" s="15" t="n">
        <f aca="false">SQRT(F498^2+G498^2)</f>
        <v>1.32389775</v>
      </c>
      <c r="I498" s="15" t="n">
        <f aca="false">D498*F498/H498</f>
        <v>10.4741965545153</v>
      </c>
      <c r="J498" s="15" t="n">
        <f aca="false">SQRT(C498^2+D498^2-I498^2)</f>
        <v>80.0092616354174</v>
      </c>
      <c r="K498" s="15" t="n">
        <f aca="false">E498/H498</f>
        <v>450.892668752976</v>
      </c>
      <c r="L498" s="15" t="n">
        <f aca="false">J498/2-K498*ASINH(I498/(2*K498*SINH(J498/(2*K498))))</f>
        <v>-18.7787337739991</v>
      </c>
      <c r="M498" s="15" t="n">
        <f aca="false">-L498/K498</f>
        <v>0.0416479022068269</v>
      </c>
      <c r="N498" s="15" t="n">
        <f aca="false">(J498-L498)/K498</f>
        <v>0.219094259577634</v>
      </c>
      <c r="O498" s="15" t="n">
        <f aca="false">K498*(SINH(N498)-SINH(M498))</f>
        <v>80.7960732192185</v>
      </c>
      <c r="P498" s="15" t="n">
        <f aca="false">E498*COSH(M498)</f>
        <v>597.453571308029</v>
      </c>
      <c r="Q498" s="15" t="n">
        <f aca="false">E498*COSH(N498)</f>
        <v>611.32033655961</v>
      </c>
    </row>
    <row r="499" customFormat="false" ht="21" hidden="false" customHeight="true" outlineLevel="0" collapsed="false">
      <c r="A499" s="1" t="s">
        <v>406</v>
      </c>
      <c r="B499" s="1" t="s">
        <v>319</v>
      </c>
      <c r="C499" s="15" t="n">
        <v>74.2630033422497</v>
      </c>
      <c r="D499" s="15" t="n">
        <v>8.40828580615826</v>
      </c>
      <c r="E499" s="15" t="n">
        <v>2204.99999999881</v>
      </c>
      <c r="F499" s="15" t="n">
        <v>1.32389775</v>
      </c>
      <c r="G499" s="15" t="n">
        <v>0</v>
      </c>
      <c r="H499" s="15" t="n">
        <f aca="false">SQRT(F499^2+G499^2)</f>
        <v>1.32389775</v>
      </c>
      <c r="I499" s="15" t="n">
        <f aca="false">D499*F499/H499</f>
        <v>8.40828580615826</v>
      </c>
      <c r="J499" s="15" t="n">
        <f aca="false">SQRT(C499^2+D499^2-I499^2)</f>
        <v>74.2630033422497</v>
      </c>
      <c r="K499" s="15" t="n">
        <f aca="false">E499/H499</f>
        <v>1665.53648119638</v>
      </c>
      <c r="L499" s="15" t="n">
        <f aca="false">J499/2-K499*ASINH(I499/(2*K499*SINH(J499/(2*K499))))</f>
        <v>-151.029540767204</v>
      </c>
      <c r="M499" s="15" t="n">
        <f aca="false">-L499/K499</f>
        <v>0.0906792150591127</v>
      </c>
      <c r="N499" s="15" t="n">
        <f aca="false">(J499-L499)/K499</f>
        <v>0.135267252715847</v>
      </c>
      <c r="O499" s="15" t="n">
        <f aca="false">K499*(SINH(N499)-SINH(M499))</f>
        <v>74.7436063457389</v>
      </c>
      <c r="P499" s="15" t="n">
        <f aca="false">E499*COSH(M499)</f>
        <v>2214.07176250576</v>
      </c>
      <c r="Q499" s="15" t="n">
        <f aca="false">E499*COSH(N499)</f>
        <v>2225.20347316589</v>
      </c>
    </row>
    <row r="500" customFormat="false" ht="21" hidden="false" customHeight="true" outlineLevel="0" collapsed="false">
      <c r="A500" s="1" t="s">
        <v>406</v>
      </c>
      <c r="B500" s="1" t="s">
        <v>320</v>
      </c>
      <c r="C500" s="15" t="n">
        <v>74.2630033422497</v>
      </c>
      <c r="D500" s="15" t="n">
        <v>8.40828580615826</v>
      </c>
      <c r="E500" s="15" t="n">
        <v>3472.84903833479</v>
      </c>
      <c r="F500" s="15" t="n">
        <v>1.32389775</v>
      </c>
      <c r="G500" s="15" t="n">
        <v>3.443895</v>
      </c>
      <c r="H500" s="15" t="n">
        <f aca="false">SQRT(F500^2+G500^2)</f>
        <v>3.68959591601574</v>
      </c>
      <c r="I500" s="15" t="n">
        <f aca="false">D500*F500/H500</f>
        <v>3.01705414726027</v>
      </c>
      <c r="J500" s="15" t="n">
        <f aca="false">SQRT(C500^2+D500^2-I500^2)</f>
        <v>74.6765714255919</v>
      </c>
      <c r="K500" s="15" t="n">
        <f aca="false">E500/H500</f>
        <v>941.25457567315</v>
      </c>
      <c r="L500" s="15" t="n">
        <f aca="false">J500/2-K500*ASINH(I500/(2*K500*SINH(J500/(2*K500))))</f>
        <v>-0.66961851404443</v>
      </c>
      <c r="M500" s="15" t="n">
        <f aca="false">-L500/K500</f>
        <v>0.000711410633585015</v>
      </c>
      <c r="N500" s="15" t="n">
        <f aca="false">(J500-L500)/K500</f>
        <v>0.0800486838385371</v>
      </c>
      <c r="O500" s="15" t="n">
        <f aca="false">K500*(SINH(N500)-SINH(M500))</f>
        <v>74.7570642700143</v>
      </c>
      <c r="P500" s="15" t="n">
        <f aca="false">E500*COSH(M500)</f>
        <v>3472.84991714811</v>
      </c>
      <c r="Q500" s="15" t="n">
        <f aca="false">E500*COSH(N500)</f>
        <v>3483.98162780824</v>
      </c>
    </row>
    <row r="501" customFormat="false" ht="21" hidden="false" customHeight="true" outlineLevel="0" collapsed="false">
      <c r="A501" s="1" t="s">
        <v>406</v>
      </c>
      <c r="B501" s="1" t="s">
        <v>321</v>
      </c>
      <c r="C501" s="15" t="n">
        <v>74.2630033422497</v>
      </c>
      <c r="D501" s="15" t="n">
        <v>8.40828580615826</v>
      </c>
      <c r="E501" s="15" t="n">
        <v>3740.5958877521</v>
      </c>
      <c r="F501" s="15" t="n">
        <v>3.85543216183014</v>
      </c>
      <c r="G501" s="15" t="n">
        <v>0</v>
      </c>
      <c r="H501" s="15" t="n">
        <f aca="false">SQRT(F501^2+G501^2)</f>
        <v>3.85543216183014</v>
      </c>
      <c r="I501" s="15" t="n">
        <f aca="false">D501*F501/H501</f>
        <v>8.40828580615826</v>
      </c>
      <c r="J501" s="15" t="n">
        <f aca="false">SQRT(C501^2+D501^2-I501^2)</f>
        <v>74.2630033422497</v>
      </c>
      <c r="K501" s="15" t="n">
        <f aca="false">E501/H501</f>
        <v>970.214422337669</v>
      </c>
      <c r="L501" s="15" t="n">
        <f aca="false">J501/2-K501*ASINH(I501/(2*K501*SINH(J501/(2*K501))))</f>
        <v>-72.4591589455911</v>
      </c>
      <c r="M501" s="15" t="n">
        <f aca="false">-L501/K501</f>
        <v>0.0746836547440776</v>
      </c>
      <c r="N501" s="15" t="n">
        <f aca="false">(J501-L501)/K501</f>
        <v>0.151226531898303</v>
      </c>
      <c r="O501" s="15" t="n">
        <f aca="false">K501*(SINH(N501)-SINH(M501))</f>
        <v>74.7555086317331</v>
      </c>
      <c r="P501" s="15" t="n">
        <f aca="false">E501*COSH(M501)</f>
        <v>3751.03260154694</v>
      </c>
      <c r="Q501" s="15" t="n">
        <f aca="false">E501*COSH(N501)</f>
        <v>3783.45017706986</v>
      </c>
    </row>
    <row r="502" customFormat="false" ht="21" hidden="false" customHeight="true" outlineLevel="0" collapsed="false">
      <c r="A502" s="1" t="s">
        <v>406</v>
      </c>
      <c r="B502" s="1" t="s">
        <v>322</v>
      </c>
      <c r="C502" s="15" t="n">
        <v>74.2630033422497</v>
      </c>
      <c r="D502" s="15" t="n">
        <v>8.40828580615826</v>
      </c>
      <c r="E502" s="15" t="n">
        <v>3452.01106393614</v>
      </c>
      <c r="F502" s="15" t="n">
        <v>2.33651151473205</v>
      </c>
      <c r="G502" s="15" t="n">
        <v>1.43495625</v>
      </c>
      <c r="H502" s="15" t="n">
        <f aca="false">SQRT(F502^2+G502^2)</f>
        <v>2.74196745018783</v>
      </c>
      <c r="I502" s="15" t="n">
        <f aca="false">D502*F502/H502</f>
        <v>7.16494887782168</v>
      </c>
      <c r="J502" s="15" t="n">
        <f aca="false">SQRT(C502^2+D502^2-I502^2)</f>
        <v>74.3932553608675</v>
      </c>
      <c r="K502" s="15" t="n">
        <f aca="false">E502/H502</f>
        <v>1258.95406369601</v>
      </c>
      <c r="L502" s="15" t="n">
        <f aca="false">J502/2-K502*ASINH(I502/(2*K502*SINH(J502/(2*K502))))</f>
        <v>-83.8512785811297</v>
      </c>
      <c r="M502" s="15" t="n">
        <f aca="false">-L502/K502</f>
        <v>0.0666039222550831</v>
      </c>
      <c r="N502" s="15" t="n">
        <f aca="false">(J502-L502)/K502</f>
        <v>0.125695240601096</v>
      </c>
      <c r="O502" s="15" t="n">
        <f aca="false">K502*(SINH(N502)-SINH(M502))</f>
        <v>74.7482676797374</v>
      </c>
      <c r="P502" s="15" t="n">
        <f aca="false">E502*COSH(M502)</f>
        <v>3459.67059770097</v>
      </c>
      <c r="Q502" s="15" t="n">
        <f aca="false">E502*COSH(N502)</f>
        <v>3479.31665430622</v>
      </c>
    </row>
    <row r="503" customFormat="false" ht="21" hidden="false" customHeight="true" outlineLevel="0" collapsed="false">
      <c r="A503" s="1" t="s">
        <v>406</v>
      </c>
      <c r="B503" s="1" t="s">
        <v>323</v>
      </c>
      <c r="C503" s="15" t="n">
        <v>74.2630033422497</v>
      </c>
      <c r="D503" s="15" t="n">
        <v>8.40828580615826</v>
      </c>
      <c r="E503" s="15" t="n">
        <v>3458.94571050986</v>
      </c>
      <c r="F503" s="15" t="n">
        <v>1.32389775</v>
      </c>
      <c r="G503" s="15" t="n">
        <v>0</v>
      </c>
      <c r="H503" s="15" t="n">
        <f aca="false">SQRT(F503^2+G503^2)</f>
        <v>1.32389775</v>
      </c>
      <c r="I503" s="15" t="n">
        <f aca="false">D503*F503/H503</f>
        <v>8.40828580615826</v>
      </c>
      <c r="J503" s="15" t="n">
        <f aca="false">SQRT(C503^2+D503^2-I503^2)</f>
        <v>74.2630033422497</v>
      </c>
      <c r="K503" s="15" t="n">
        <f aca="false">E503/H503</f>
        <v>2612.69853393879</v>
      </c>
      <c r="L503" s="15" t="n">
        <f aca="false">J503/2-K503*ASINH(I503/(2*K503*SINH(J503/(2*K503))))</f>
        <v>-258.047953912338</v>
      </c>
      <c r="M503" s="15" t="n">
        <f aca="false">-L503/K503</f>
        <v>0.0987668307538399</v>
      </c>
      <c r="N503" s="15" t="n">
        <f aca="false">(J503-L503)/K503</f>
        <v>0.127190700701933</v>
      </c>
      <c r="O503" s="15" t="n">
        <f aca="false">K503*(SINH(N503)-SINH(M503))</f>
        <v>74.7399775895497</v>
      </c>
      <c r="P503" s="15" t="n">
        <f aca="false">E503*COSH(M503)</f>
        <v>3475.8302414008</v>
      </c>
      <c r="Q503" s="15" t="n">
        <f aca="false">E503*COSH(N503)</f>
        <v>3486.96195206093</v>
      </c>
    </row>
    <row r="504" customFormat="false" ht="21" hidden="false" customHeight="true" outlineLevel="0" collapsed="false">
      <c r="A504" s="1" t="s">
        <v>406</v>
      </c>
      <c r="B504" s="1" t="s">
        <v>324</v>
      </c>
      <c r="C504" s="15" t="n">
        <v>74.2630033422497</v>
      </c>
      <c r="D504" s="15" t="n">
        <v>8.40828580615826</v>
      </c>
      <c r="E504" s="15" t="n">
        <v>560.398928436149</v>
      </c>
      <c r="F504" s="15" t="n">
        <v>1.32389775</v>
      </c>
      <c r="G504" s="15" t="n">
        <v>0</v>
      </c>
      <c r="H504" s="15" t="n">
        <f aca="false">SQRT(F504^2+G504^2)</f>
        <v>1.32389775</v>
      </c>
      <c r="I504" s="15" t="n">
        <f aca="false">D504*F504/H504</f>
        <v>8.40828580615826</v>
      </c>
      <c r="J504" s="15" t="n">
        <f aca="false">SQRT(C504^2+D504^2-I504^2)</f>
        <v>74.2630033422497</v>
      </c>
      <c r="K504" s="15" t="n">
        <f aca="false">E504/H504</f>
        <v>423.294720786518</v>
      </c>
      <c r="L504" s="15" t="n">
        <f aca="false">J504/2-K504*ASINH(I504/(2*K504*SINH(J504/(2*K504))))</f>
        <v>-10.6323963062134</v>
      </c>
      <c r="M504" s="15" t="n">
        <f aca="false">-L504/K504</f>
        <v>0.0251181878348434</v>
      </c>
      <c r="N504" s="15" t="n">
        <f aca="false">(J504-L504)/K504</f>
        <v>0.200558607229309</v>
      </c>
      <c r="O504" s="15" t="n">
        <f aca="false">K504*(SINH(N504)-SINH(M504))</f>
        <v>74.832166295623</v>
      </c>
      <c r="P504" s="15" t="n">
        <f aca="false">E504*COSH(M504)</f>
        <v>560.575722118593</v>
      </c>
      <c r="Q504" s="15" t="n">
        <f aca="false">E504*COSH(N504)</f>
        <v>571.707432778722</v>
      </c>
    </row>
    <row r="505" customFormat="false" ht="21" hidden="false" customHeight="true" outlineLevel="0" collapsed="false">
      <c r="A505" s="1" t="s">
        <v>407</v>
      </c>
      <c r="B505" s="1" t="s">
        <v>319</v>
      </c>
      <c r="C505" s="15" t="n">
        <v>74.2630033436845</v>
      </c>
      <c r="D505" s="15" t="n">
        <v>7.32352600137019</v>
      </c>
      <c r="E505" s="15" t="n">
        <v>2204.99999999849</v>
      </c>
      <c r="F505" s="15" t="n">
        <v>1.32389775</v>
      </c>
      <c r="G505" s="15" t="n">
        <v>0</v>
      </c>
      <c r="H505" s="15" t="n">
        <f aca="false">SQRT(F505^2+G505^2)</f>
        <v>1.32389775</v>
      </c>
      <c r="I505" s="15" t="n">
        <f aca="false">D505*F505/H505</f>
        <v>7.32352600137019</v>
      </c>
      <c r="J505" s="15" t="n">
        <f aca="false">SQRT(C505^2+D505^2-I505^2)</f>
        <v>74.2630033436845</v>
      </c>
      <c r="K505" s="15" t="n">
        <f aca="false">E505/H505</f>
        <v>1665.53648119614</v>
      </c>
      <c r="L505" s="15" t="n">
        <f aca="false">J505/2-K505*ASINH(I505/(2*K505*SINH(J505/(2*K505))))</f>
        <v>-126.838566616832</v>
      </c>
      <c r="M505" s="15" t="n">
        <f aca="false">-L505/K505</f>
        <v>0.0761547813865595</v>
      </c>
      <c r="N505" s="15" t="n">
        <f aca="false">(J505-L505)/K505</f>
        <v>0.120742819044162</v>
      </c>
      <c r="O505" s="15" t="n">
        <f aca="false">K505*(SINH(N505)-SINH(M505))</f>
        <v>74.6293605270383</v>
      </c>
      <c r="P505" s="15" t="n">
        <f aca="false">E505*COSH(M505)</f>
        <v>2211.39709546981</v>
      </c>
      <c r="Q505" s="15" t="n">
        <f aca="false">E505*COSH(N505)</f>
        <v>2221.09269506509</v>
      </c>
    </row>
    <row r="506" customFormat="false" ht="21" hidden="false" customHeight="true" outlineLevel="0" collapsed="false">
      <c r="A506" s="1" t="s">
        <v>407</v>
      </c>
      <c r="B506" s="1" t="s">
        <v>320</v>
      </c>
      <c r="C506" s="15" t="n">
        <v>74.2630033436845</v>
      </c>
      <c r="D506" s="15" t="n">
        <v>7.32352600137019</v>
      </c>
      <c r="E506" s="15" t="n">
        <v>3469.21977543664</v>
      </c>
      <c r="F506" s="15" t="n">
        <v>1.32389775</v>
      </c>
      <c r="G506" s="15" t="n">
        <v>3.443895</v>
      </c>
      <c r="H506" s="15" t="n">
        <f aca="false">SQRT(F506^2+G506^2)</f>
        <v>3.68959591601574</v>
      </c>
      <c r="I506" s="15" t="n">
        <f aca="false">D506*F506/H506</f>
        <v>2.62782153275755</v>
      </c>
      <c r="J506" s="15" t="n">
        <f aca="false">SQRT(C506^2+D506^2-I506^2)</f>
        <v>74.5769552389263</v>
      </c>
      <c r="K506" s="15" t="n">
        <f aca="false">E506/H506</f>
        <v>940.27092787519</v>
      </c>
      <c r="L506" s="15" t="n">
        <f aca="false">J506/2-K506*ASINH(I506/(2*K506*SINH(J506/(2*K506))))</f>
        <v>4.17226855818531</v>
      </c>
      <c r="M506" s="15" t="n">
        <f aca="false">-L506/K506</f>
        <v>-0.00443730464751658</v>
      </c>
      <c r="N506" s="15" t="n">
        <f aca="false">(J506-L506)/K506</f>
        <v>0.0748770217110089</v>
      </c>
      <c r="O506" s="15" t="n">
        <f aca="false">K506*(SINH(N506)-SINH(M506))</f>
        <v>74.6427754904754</v>
      </c>
      <c r="P506" s="15" t="n">
        <f aca="false">E506*COSH(M506)</f>
        <v>3469.25392939334</v>
      </c>
      <c r="Q506" s="15" t="n">
        <f aca="false">E506*COSH(N506)</f>
        <v>3478.94952898862</v>
      </c>
    </row>
    <row r="507" customFormat="false" ht="21" hidden="false" customHeight="true" outlineLevel="0" collapsed="false">
      <c r="A507" s="1" t="s">
        <v>407</v>
      </c>
      <c r="B507" s="1" t="s">
        <v>321</v>
      </c>
      <c r="C507" s="15" t="n">
        <v>74.2630033436845</v>
      </c>
      <c r="D507" s="15" t="n">
        <v>7.32352600137019</v>
      </c>
      <c r="E507" s="15" t="n">
        <v>3743.35435735753</v>
      </c>
      <c r="F507" s="15" t="n">
        <v>3.85543216183014</v>
      </c>
      <c r="G507" s="15" t="n">
        <v>0</v>
      </c>
      <c r="H507" s="15" t="n">
        <f aca="false">SQRT(F507^2+G507^2)</f>
        <v>3.85543216183014</v>
      </c>
      <c r="I507" s="15" t="n">
        <f aca="false">D507*F507/H507</f>
        <v>7.32352600137019</v>
      </c>
      <c r="J507" s="15" t="n">
        <f aca="false">SQRT(C507^2+D507^2-I507^2)</f>
        <v>74.2630033436845</v>
      </c>
      <c r="K507" s="15" t="n">
        <f aca="false">E507/H507</f>
        <v>970.929898447649</v>
      </c>
      <c r="L507" s="15" t="n">
        <f aca="false">J507/2-K507*ASINH(I507/(2*K507*SINH(J507/(2*K507))))</f>
        <v>-58.4400517782248</v>
      </c>
      <c r="M507" s="15" t="n">
        <f aca="false">-L507/K507</f>
        <v>0.0601897746394054</v>
      </c>
      <c r="N507" s="15" t="n">
        <f aca="false">(J507-L507)/K507</f>
        <v>0.136676247517023</v>
      </c>
      <c r="O507" s="15" t="n">
        <f aca="false">K507*(SINH(N507)-SINH(M507))</f>
        <v>74.6412544472227</v>
      </c>
      <c r="P507" s="15" t="n">
        <f aca="false">E507*COSH(M507)</f>
        <v>3750.13713358587</v>
      </c>
      <c r="Q507" s="15" t="n">
        <f aca="false">E507*COSH(N507)</f>
        <v>3778.37249126956</v>
      </c>
    </row>
    <row r="508" customFormat="false" ht="21" hidden="false" customHeight="true" outlineLevel="0" collapsed="false">
      <c r="A508" s="1" t="s">
        <v>407</v>
      </c>
      <c r="B508" s="1" t="s">
        <v>322</v>
      </c>
      <c r="C508" s="15" t="n">
        <v>74.2630033436845</v>
      </c>
      <c r="D508" s="15" t="n">
        <v>7.32352600137019</v>
      </c>
      <c r="E508" s="15" t="n">
        <v>3452.23835176369</v>
      </c>
      <c r="F508" s="15" t="n">
        <v>2.33651151473205</v>
      </c>
      <c r="G508" s="15" t="n">
        <v>1.43495625</v>
      </c>
      <c r="H508" s="15" t="n">
        <f aca="false">SQRT(F508^2+G508^2)</f>
        <v>2.74196745018783</v>
      </c>
      <c r="I508" s="15" t="n">
        <f aca="false">D508*F508/H508</f>
        <v>6.24059298350493</v>
      </c>
      <c r="J508" s="15" t="n">
        <f aca="false">SQRT(C508^2+D508^2-I508^2)</f>
        <v>74.3618363001552</v>
      </c>
      <c r="K508" s="15" t="n">
        <f aca="false">E508/H508</f>
        <v>1259.03695593732</v>
      </c>
      <c r="L508" s="15" t="n">
        <f aca="false">J508/2-K508*ASINH(I508/(2*K508*SINH(J508/(2*K508))))</f>
        <v>-68.341026198429</v>
      </c>
      <c r="M508" s="15" t="n">
        <f aca="false">-L508/K508</f>
        <v>0.0542803973117303</v>
      </c>
      <c r="N508" s="15" t="n">
        <f aca="false">(J508-L508)/K508</f>
        <v>0.113342870378531</v>
      </c>
      <c r="O508" s="15" t="n">
        <f aca="false">K508*(SINH(N508)-SINH(M508))</f>
        <v>74.6340093604625</v>
      </c>
      <c r="P508" s="15" t="n">
        <f aca="false">E508*COSH(M508)</f>
        <v>3457.32537173639</v>
      </c>
      <c r="Q508" s="15" t="n">
        <f aca="false">E508*COSH(N508)</f>
        <v>3474.43687456703</v>
      </c>
    </row>
    <row r="509" customFormat="false" ht="21" hidden="false" customHeight="true" outlineLevel="0" collapsed="false">
      <c r="A509" s="1" t="s">
        <v>407</v>
      </c>
      <c r="B509" s="1" t="s">
        <v>323</v>
      </c>
      <c r="C509" s="15" t="n">
        <v>74.2630033436845</v>
      </c>
      <c r="D509" s="15" t="n">
        <v>7.32352600137019</v>
      </c>
      <c r="E509" s="15" t="n">
        <v>3460.33145977541</v>
      </c>
      <c r="F509" s="15" t="n">
        <v>1.32389775</v>
      </c>
      <c r="G509" s="15" t="n">
        <v>0</v>
      </c>
      <c r="H509" s="15" t="n">
        <f aca="false">SQRT(F509^2+G509^2)</f>
        <v>1.32389775</v>
      </c>
      <c r="I509" s="15" t="n">
        <f aca="false">D509*F509/H509</f>
        <v>7.32352600137019</v>
      </c>
      <c r="J509" s="15" t="n">
        <f aca="false">SQRT(C509^2+D509^2-I509^2)</f>
        <v>74.2630033436845</v>
      </c>
      <c r="K509" s="15" t="n">
        <f aca="false">E509/H509</f>
        <v>2613.74525319301</v>
      </c>
      <c r="L509" s="15" t="n">
        <f aca="false">J509/2-K509*ASINH(I509/(2*K509*SINH(J509/(2*K509))))</f>
        <v>-220.201202244817</v>
      </c>
      <c r="M509" s="15" t="n">
        <f aca="false">-L509/K509</f>
        <v>0.0842473848496956</v>
      </c>
      <c r="N509" s="15" t="n">
        <f aca="false">(J509-L509)/K509</f>
        <v>0.112659871970605</v>
      </c>
      <c r="O509" s="15" t="n">
        <f aca="false">K509*(SINH(N509)-SINH(M509))</f>
        <v>74.625724223268</v>
      </c>
      <c r="P509" s="15" t="n">
        <f aca="false">E509*COSH(M509)</f>
        <v>3472.61878685929</v>
      </c>
      <c r="Q509" s="15" t="n">
        <f aca="false">E509*COSH(N509)</f>
        <v>3482.31438645458</v>
      </c>
    </row>
    <row r="510" customFormat="false" ht="21" hidden="false" customHeight="true" outlineLevel="0" collapsed="false">
      <c r="A510" s="1" t="s">
        <v>407</v>
      </c>
      <c r="B510" s="1" t="s">
        <v>324</v>
      </c>
      <c r="C510" s="15" t="n">
        <v>74.2630033436845</v>
      </c>
      <c r="D510" s="15" t="n">
        <v>7.32352600137019</v>
      </c>
      <c r="E510" s="15" t="n">
        <v>560.976064967863</v>
      </c>
      <c r="F510" s="15" t="n">
        <v>1.32389775</v>
      </c>
      <c r="G510" s="15" t="n">
        <v>0</v>
      </c>
      <c r="H510" s="15" t="n">
        <f aca="false">SQRT(F510^2+G510^2)</f>
        <v>1.32389775</v>
      </c>
      <c r="I510" s="15" t="n">
        <f aca="false">D510*F510/H510</f>
        <v>7.32352600137019</v>
      </c>
      <c r="J510" s="15" t="n">
        <f aca="false">SQRT(C510^2+D510^2-I510^2)</f>
        <v>74.2630033436845</v>
      </c>
      <c r="K510" s="15" t="n">
        <f aca="false">E510/H510</f>
        <v>423.730658177992</v>
      </c>
      <c r="L510" s="15" t="n">
        <f aca="false">J510/2-K510*ASINH(I510/(2*K510*SINH(J510/(2*K510))))</f>
        <v>-4.53454327959067</v>
      </c>
      <c r="M510" s="15" t="n">
        <f aca="false">-L510/K510</f>
        <v>0.0107014755530998</v>
      </c>
      <c r="N510" s="15" t="n">
        <f aca="false">(J510-L510)/K510</f>
        <v>0.185961400485153</v>
      </c>
      <c r="O510" s="15" t="n">
        <f aca="false">K510*(SINH(N510)-SINH(M510))</f>
        <v>74.7178608136914</v>
      </c>
      <c r="P510" s="15" t="n">
        <f aca="false">E510*COSH(M510)</f>
        <v>561.008187206793</v>
      </c>
      <c r="Q510" s="15" t="n">
        <f aca="false">E510*COSH(N510)</f>
        <v>570.703786802074</v>
      </c>
    </row>
    <row r="511" customFormat="false" ht="21" hidden="false" customHeight="true" outlineLevel="0" collapsed="false">
      <c r="A511" s="1" t="s">
        <v>408</v>
      </c>
      <c r="B511" s="1" t="s">
        <v>319</v>
      </c>
      <c r="C511" s="15" t="n">
        <v>74.2630033422497</v>
      </c>
      <c r="D511" s="15" t="n">
        <v>12.2541595334987</v>
      </c>
      <c r="E511" s="15" t="n">
        <v>2205.0000000006</v>
      </c>
      <c r="F511" s="15" t="n">
        <v>1.32389775</v>
      </c>
      <c r="G511" s="15" t="n">
        <v>0</v>
      </c>
      <c r="H511" s="15" t="n">
        <f aca="false">SQRT(F511^2+G511^2)</f>
        <v>1.32389775</v>
      </c>
      <c r="I511" s="15" t="n">
        <f aca="false">D511*F511/H511</f>
        <v>12.2541595334987</v>
      </c>
      <c r="J511" s="15" t="n">
        <f aca="false">SQRT(C511^2+D511^2-I511^2)</f>
        <v>74.2630033422497</v>
      </c>
      <c r="K511" s="15" t="n">
        <f aca="false">E511/H511</f>
        <v>1665.53648119773</v>
      </c>
      <c r="L511" s="15" t="n">
        <f aca="false">J511/2-K511*ASINH(I511/(2*K511*SINH(J511/(2*K511))))</f>
        <v>-236.444529675614</v>
      </c>
      <c r="M511" s="15" t="n">
        <f aca="false">-L511/K511</f>
        <v>0.141962984506698</v>
      </c>
      <c r="N511" s="15" t="n">
        <f aca="false">(J511-L511)/K511</f>
        <v>0.186551022163396</v>
      </c>
      <c r="O511" s="15" t="n">
        <f aca="false">K511*(SINH(N511)-SINH(M511))</f>
        <v>75.2733142969086</v>
      </c>
      <c r="P511" s="15" t="n">
        <f aca="false">E511*COSH(M511)</f>
        <v>2227.25656290395</v>
      </c>
      <c r="Q511" s="15" t="n">
        <f aca="false">E511*COSH(N511)</f>
        <v>2243.47981713849</v>
      </c>
    </row>
    <row r="512" customFormat="false" ht="21" hidden="false" customHeight="true" outlineLevel="0" collapsed="false">
      <c r="A512" s="1" t="s">
        <v>408</v>
      </c>
      <c r="B512" s="1" t="s">
        <v>320</v>
      </c>
      <c r="C512" s="15" t="n">
        <v>74.2630033422497</v>
      </c>
      <c r="D512" s="15" t="n">
        <v>12.2541595334987</v>
      </c>
      <c r="E512" s="15" t="n">
        <v>3489.66238744096</v>
      </c>
      <c r="F512" s="15" t="n">
        <v>1.32389775</v>
      </c>
      <c r="G512" s="15" t="n">
        <v>3.443895</v>
      </c>
      <c r="H512" s="15" t="n">
        <f aca="false">SQRT(F512^2+G512^2)</f>
        <v>3.68959591601574</v>
      </c>
      <c r="I512" s="15" t="n">
        <f aca="false">D512*F512/H512</f>
        <v>4.39702737205401</v>
      </c>
      <c r="J512" s="15" t="n">
        <f aca="false">SQRT(C512^2+D512^2-I512^2)</f>
        <v>75.1387000258378</v>
      </c>
      <c r="K512" s="15" t="n">
        <f aca="false">E512/H512</f>
        <v>945.811537868708</v>
      </c>
      <c r="L512" s="15" t="n">
        <f aca="false">J512/2-K512*ASINH(I512/(2*K512*SINH(J512/(2*K512))))</f>
        <v>-17.7323484349554</v>
      </c>
      <c r="M512" s="15" t="n">
        <f aca="false">-L512/K512</f>
        <v>0.018748289405428</v>
      </c>
      <c r="N512" s="15" t="n">
        <f aca="false">(J512-L512)/K512</f>
        <v>0.0981919174617692</v>
      </c>
      <c r="O512" s="15" t="n">
        <f aca="false">K512*(SINH(N512)-SINH(M512))</f>
        <v>75.2869715526107</v>
      </c>
      <c r="P512" s="15" t="n">
        <f aca="false">E512*COSH(M512)</f>
        <v>3490.27571070126</v>
      </c>
      <c r="Q512" s="15" t="n">
        <f aca="false">E512*COSH(N512)</f>
        <v>3506.4989649358</v>
      </c>
    </row>
    <row r="513" customFormat="false" ht="21" hidden="false" customHeight="true" outlineLevel="0" collapsed="false">
      <c r="A513" s="1" t="s">
        <v>408</v>
      </c>
      <c r="B513" s="1" t="s">
        <v>321</v>
      </c>
      <c r="C513" s="15" t="n">
        <v>74.2630033422497</v>
      </c>
      <c r="D513" s="15" t="n">
        <v>12.2541595334987</v>
      </c>
      <c r="E513" s="15" t="n">
        <v>3727.90882948852</v>
      </c>
      <c r="F513" s="15" t="n">
        <v>3.85543216183014</v>
      </c>
      <c r="G513" s="15" t="n">
        <v>0</v>
      </c>
      <c r="H513" s="15" t="n">
        <f aca="false">SQRT(F513^2+G513^2)</f>
        <v>3.85543216183014</v>
      </c>
      <c r="I513" s="15" t="n">
        <f aca="false">D513*F513/H513</f>
        <v>12.2541595334987</v>
      </c>
      <c r="J513" s="15" t="n">
        <f aca="false">SQRT(C513^2+D513^2-I513^2)</f>
        <v>74.2630033422497</v>
      </c>
      <c r="K513" s="15" t="n">
        <f aca="false">E513/H513</f>
        <v>966.923725541294</v>
      </c>
      <c r="L513" s="15" t="n">
        <f aca="false">J513/2-K513*ASINH(I513/(2*K513*SINH(J513/(2*K513))))</f>
        <v>-121.666846444417</v>
      </c>
      <c r="M513" s="15" t="n">
        <f aca="false">-L513/K513</f>
        <v>0.125828794175369</v>
      </c>
      <c r="N513" s="15" t="n">
        <f aca="false">(J513-L513)/K513</f>
        <v>0.202632166955034</v>
      </c>
      <c r="O513" s="15" t="n">
        <f aca="false">K513*(SINH(N513)-SINH(M513))</f>
        <v>75.2852548123933</v>
      </c>
      <c r="P513" s="15" t="n">
        <f aca="false">E513*COSH(M513)</f>
        <v>3757.45956481351</v>
      </c>
      <c r="Q513" s="15" t="n">
        <f aca="false">E513*COSH(N513)</f>
        <v>3804.70464559516</v>
      </c>
    </row>
    <row r="514" customFormat="false" ht="21" hidden="false" customHeight="true" outlineLevel="0" collapsed="false">
      <c r="A514" s="1" t="s">
        <v>408</v>
      </c>
      <c r="B514" s="1" t="s">
        <v>322</v>
      </c>
      <c r="C514" s="15" t="n">
        <v>74.2630033422497</v>
      </c>
      <c r="D514" s="15" t="n">
        <v>12.2541595334987</v>
      </c>
      <c r="E514" s="15" t="n">
        <v>3451.00998725404</v>
      </c>
      <c r="F514" s="15" t="n">
        <v>2.33651151473205</v>
      </c>
      <c r="G514" s="15" t="n">
        <v>1.43495625</v>
      </c>
      <c r="H514" s="15" t="n">
        <f aca="false">SQRT(F514^2+G514^2)</f>
        <v>2.74196745018783</v>
      </c>
      <c r="I514" s="15" t="n">
        <f aca="false">D514*F514/H514</f>
        <v>10.4421315619271</v>
      </c>
      <c r="J514" s="15" t="n">
        <f aca="false">SQRT(C514^2+D514^2-I514^2)</f>
        <v>74.5393854262754</v>
      </c>
      <c r="K514" s="15" t="n">
        <f aca="false">E514/H514</f>
        <v>1258.58896939774</v>
      </c>
      <c r="L514" s="15" t="n">
        <f aca="false">J514/2-K514*ASINH(I514/(2*K514*SINH(J514/(2*K514))))</f>
        <v>-138.447328013321</v>
      </c>
      <c r="M514" s="15" t="n">
        <f aca="false">-L514/K514</f>
        <v>0.110002019229178</v>
      </c>
      <c r="N514" s="15" t="n">
        <f aca="false">(J514-L514)/K514</f>
        <v>0.169226585182544</v>
      </c>
      <c r="O514" s="15" t="n">
        <f aca="false">K514*(SINH(N514)-SINH(M514))</f>
        <v>75.2780333930762</v>
      </c>
      <c r="P514" s="15" t="n">
        <f aca="false">E514*COSH(M514)</f>
        <v>3471.91042684446</v>
      </c>
      <c r="Q514" s="15" t="n">
        <f aca="false">E514*COSH(N514)</f>
        <v>3500.54241169784</v>
      </c>
    </row>
    <row r="515" customFormat="false" ht="21" hidden="false" customHeight="true" outlineLevel="0" collapsed="false">
      <c r="A515" s="1" t="s">
        <v>408</v>
      </c>
      <c r="B515" s="1" t="s">
        <v>323</v>
      </c>
      <c r="C515" s="15" t="n">
        <v>74.2630033422497</v>
      </c>
      <c r="D515" s="15" t="n">
        <v>12.2541595334987</v>
      </c>
      <c r="E515" s="15" t="n">
        <v>3452.54245896156</v>
      </c>
      <c r="F515" s="15" t="n">
        <v>1.32389775</v>
      </c>
      <c r="G515" s="15" t="n">
        <v>0</v>
      </c>
      <c r="H515" s="15" t="n">
        <f aca="false">SQRT(F515^2+G515^2)</f>
        <v>1.32389775</v>
      </c>
      <c r="I515" s="15" t="n">
        <f aca="false">D515*F515/H515</f>
        <v>12.2541595334987</v>
      </c>
      <c r="J515" s="15" t="n">
        <f aca="false">SQRT(C515^2+D515^2-I515^2)</f>
        <v>74.2630033422497</v>
      </c>
      <c r="K515" s="15" t="n">
        <f aca="false">E515/H515</f>
        <v>2607.86186770206</v>
      </c>
      <c r="L515" s="15" t="n">
        <f aca="false">J515/2-K515*ASINH(I515/(2*K515*SINH(J515/(2*K515))))</f>
        <v>-391.248897529046</v>
      </c>
      <c r="M515" s="15" t="n">
        <f aca="false">-L515/K515</f>
        <v>0.15002669519218</v>
      </c>
      <c r="N515" s="15" t="n">
        <f aca="false">(J515-L515)/K515</f>
        <v>0.178503281418615</v>
      </c>
      <c r="O515" s="15" t="n">
        <f aca="false">K515*(SINH(N515)-SINH(M515))</f>
        <v>75.2697202359004</v>
      </c>
      <c r="P515" s="15" t="n">
        <f aca="false">E515*COSH(M515)</f>
        <v>3491.47032142325</v>
      </c>
      <c r="Q515" s="15" t="n">
        <f aca="false">E515*COSH(N515)</f>
        <v>3507.69357565779</v>
      </c>
    </row>
    <row r="516" customFormat="false" ht="21" hidden="false" customHeight="true" outlineLevel="0" collapsed="false">
      <c r="A516" s="1" t="s">
        <v>408</v>
      </c>
      <c r="B516" s="1" t="s">
        <v>324</v>
      </c>
      <c r="C516" s="15" t="n">
        <v>74.2630033422497</v>
      </c>
      <c r="D516" s="15" t="n">
        <v>12.2541595334987</v>
      </c>
      <c r="E516" s="15" t="n">
        <v>557.747914936014</v>
      </c>
      <c r="F516" s="15" t="n">
        <v>1.32389775</v>
      </c>
      <c r="G516" s="15" t="n">
        <v>0</v>
      </c>
      <c r="H516" s="15" t="n">
        <f aca="false">SQRT(F516^2+G516^2)</f>
        <v>1.32389775</v>
      </c>
      <c r="I516" s="15" t="n">
        <f aca="false">D516*F516/H516</f>
        <v>12.2541595334987</v>
      </c>
      <c r="J516" s="15" t="n">
        <f aca="false">SQRT(C516^2+D516^2-I516^2)</f>
        <v>74.2630033422497</v>
      </c>
      <c r="K516" s="15" t="n">
        <f aca="false">E516/H516</f>
        <v>421.292290085102</v>
      </c>
      <c r="L516" s="15" t="n">
        <f aca="false">J516/2-K516*ASINH(I516/(2*K516*SINH(J516/(2*K516))))</f>
        <v>-31.9856647763859</v>
      </c>
      <c r="M516" s="15" t="n">
        <f aca="false">-L516/K516</f>
        <v>0.0759227394594017</v>
      </c>
      <c r="N516" s="15" t="n">
        <f aca="false">(J516-L516)/K516</f>
        <v>0.252197039013397</v>
      </c>
      <c r="O516" s="15" t="n">
        <f aca="false">K516*(SINH(N516)-SINH(M516))</f>
        <v>75.3621479019102</v>
      </c>
      <c r="P516" s="15" t="n">
        <f aca="false">E516*COSH(M516)</f>
        <v>559.356189914827</v>
      </c>
      <c r="Q516" s="15" t="n">
        <f aca="false">E516*COSH(N516)</f>
        <v>575.579444149367</v>
      </c>
    </row>
    <row r="517" customFormat="false" ht="21" hidden="false" customHeight="true" outlineLevel="0" collapsed="false">
      <c r="A517" s="1" t="s">
        <v>409</v>
      </c>
      <c r="B517" s="1" t="s">
        <v>319</v>
      </c>
      <c r="C517" s="15" t="n">
        <v>37.0181448227103</v>
      </c>
      <c r="D517" s="15" t="n">
        <v>-3.82438583158282</v>
      </c>
      <c r="E517" s="15" t="n">
        <v>2204.99999999743</v>
      </c>
      <c r="F517" s="15" t="n">
        <v>1.32389775</v>
      </c>
      <c r="G517" s="15" t="n">
        <v>0</v>
      </c>
      <c r="H517" s="15" t="n">
        <f aca="false">SQRT(F517^2+G517^2)</f>
        <v>1.32389775</v>
      </c>
      <c r="I517" s="15" t="n">
        <f aca="false">D517*F517/H517</f>
        <v>-3.82438583158282</v>
      </c>
      <c r="J517" s="15" t="n">
        <f aca="false">SQRT(C517^2+D517^2-I517^2)</f>
        <v>37.0181448227103</v>
      </c>
      <c r="K517" s="15" t="n">
        <f aca="false">E517/H517</f>
        <v>1665.53648119534</v>
      </c>
      <c r="L517" s="15" t="n">
        <f aca="false">J517/2-K517*ASINH(I517/(2*K517*SINH(J517/(2*K517))))</f>
        <v>190.2693555549</v>
      </c>
      <c r="M517" s="15" t="n">
        <f aca="false">-L517/K517</f>
        <v>-0.11423908014212</v>
      </c>
      <c r="N517" s="15" t="n">
        <f aca="false">(J517-L517)/K517</f>
        <v>-0.0920131215752192</v>
      </c>
      <c r="O517" s="15" t="n">
        <f aca="false">K517*(SINH(N517)-SINH(M517))</f>
        <v>37.2159291932319</v>
      </c>
      <c r="P517" s="15" t="n">
        <f aca="false">E517*COSH(M517)</f>
        <v>2219.40390530249</v>
      </c>
      <c r="Q517" s="15" t="n">
        <f aca="false">E517*COSH(N517)</f>
        <v>2214.34080950492</v>
      </c>
    </row>
    <row r="518" customFormat="false" ht="21" hidden="false" customHeight="true" outlineLevel="0" collapsed="false">
      <c r="A518" s="1" t="s">
        <v>409</v>
      </c>
      <c r="B518" s="1" t="s">
        <v>320</v>
      </c>
      <c r="C518" s="15" t="n">
        <v>37.0181448227103</v>
      </c>
      <c r="D518" s="15" t="n">
        <v>-3.82438583158282</v>
      </c>
      <c r="E518" s="15" t="n">
        <v>3106.27120876791</v>
      </c>
      <c r="F518" s="15" t="n">
        <v>1.32389775</v>
      </c>
      <c r="G518" s="15" t="n">
        <v>3.443895</v>
      </c>
      <c r="H518" s="15" t="n">
        <f aca="false">SQRT(F518^2+G518^2)</f>
        <v>3.68959591601574</v>
      </c>
      <c r="I518" s="15" t="n">
        <f aca="false">D518*F518/H518</f>
        <v>-1.3722629558393</v>
      </c>
      <c r="J518" s="15" t="n">
        <f aca="false">SQRT(C518^2+D518^2-I518^2)</f>
        <v>37.1898624289469</v>
      </c>
      <c r="K518" s="15" t="n">
        <f aca="false">E518/H518</f>
        <v>841.900110330307</v>
      </c>
      <c r="L518" s="15" t="n">
        <f aca="false">J518/2-K518*ASINH(I518/(2*K518*SINH(J518/(2*K518))))</f>
        <v>49.6505036872901</v>
      </c>
      <c r="M518" s="15" t="n">
        <f aca="false">-L518/K518</f>
        <v>-0.0589743403974736</v>
      </c>
      <c r="N518" s="15" t="n">
        <f aca="false">(J518-L518)/K518</f>
        <v>-0.0148006172055904</v>
      </c>
      <c r="O518" s="15" t="n">
        <f aca="false">K518*(SINH(N518)-SINH(M518))</f>
        <v>37.2181930119504</v>
      </c>
      <c r="P518" s="15" t="n">
        <f aca="false">E518*COSH(M518)</f>
        <v>3111.67453797437</v>
      </c>
      <c r="Q518" s="15" t="n">
        <f aca="false">E518*COSH(N518)</f>
        <v>3106.6114421768</v>
      </c>
    </row>
    <row r="519" customFormat="false" ht="21" hidden="false" customHeight="true" outlineLevel="0" collapsed="false">
      <c r="A519" s="1" t="s">
        <v>409</v>
      </c>
      <c r="B519" s="1" t="s">
        <v>321</v>
      </c>
      <c r="C519" s="15" t="n">
        <v>37.0181448227103</v>
      </c>
      <c r="D519" s="15" t="n">
        <v>-3.82438583158282</v>
      </c>
      <c r="E519" s="15" t="n">
        <v>3414.73866051094</v>
      </c>
      <c r="F519" s="15" t="n">
        <v>3.85543216183014</v>
      </c>
      <c r="G519" s="15" t="n">
        <v>0</v>
      </c>
      <c r="H519" s="15" t="n">
        <f aca="false">SQRT(F519^2+G519^2)</f>
        <v>3.85543216183014</v>
      </c>
      <c r="I519" s="15" t="n">
        <f aca="false">D519*F519/H519</f>
        <v>-3.82438583158282</v>
      </c>
      <c r="J519" s="15" t="n">
        <f aca="false">SQRT(C519^2+D519^2-I519^2)</f>
        <v>37.0181448227103</v>
      </c>
      <c r="K519" s="15" t="n">
        <f aca="false">E519/H519</f>
        <v>885.695433657949</v>
      </c>
      <c r="L519" s="15" t="n">
        <f aca="false">J519/2-K519*ASINH(I519/(2*K519*SINH(J519/(2*K519))))</f>
        <v>109.842637924949</v>
      </c>
      <c r="M519" s="15" t="n">
        <f aca="false">-L519/K519</f>
        <v>-0.124018521210271</v>
      </c>
      <c r="N519" s="15" t="n">
        <f aca="false">(J519-L519)/K519</f>
        <v>-0.0822229519706012</v>
      </c>
      <c r="O519" s="15" t="n">
        <f aca="false">K519*(SINH(N519)-SINH(M519))</f>
        <v>37.2178514820296</v>
      </c>
      <c r="P519" s="15" t="n">
        <f aca="false">E519*COSH(M519)</f>
        <v>3441.03268989018</v>
      </c>
      <c r="Q519" s="15" t="n">
        <f aca="false">E519*COSH(N519)</f>
        <v>3426.28802975585</v>
      </c>
    </row>
    <row r="520" customFormat="false" ht="21" hidden="false" customHeight="true" outlineLevel="0" collapsed="false">
      <c r="A520" s="1" t="s">
        <v>409</v>
      </c>
      <c r="B520" s="1" t="s">
        <v>322</v>
      </c>
      <c r="C520" s="15" t="n">
        <v>37.0181448227103</v>
      </c>
      <c r="D520" s="15" t="n">
        <v>-3.82438583158282</v>
      </c>
      <c r="E520" s="15" t="n">
        <v>3318.40150677581</v>
      </c>
      <c r="F520" s="15" t="n">
        <v>2.33651151473205</v>
      </c>
      <c r="G520" s="15" t="n">
        <v>1.43495625</v>
      </c>
      <c r="H520" s="15" t="n">
        <f aca="false">SQRT(F520^2+G520^2)</f>
        <v>2.74196745018783</v>
      </c>
      <c r="I520" s="15" t="n">
        <f aca="false">D520*F520/H520</f>
        <v>-3.25887221296492</v>
      </c>
      <c r="J520" s="15" t="n">
        <f aca="false">SQRT(C520^2+D520^2-I520^2)</f>
        <v>37.0722096050873</v>
      </c>
      <c r="K520" s="15" t="n">
        <f aca="false">E520/H520</f>
        <v>1210.2264403425</v>
      </c>
      <c r="L520" s="15" t="n">
        <f aca="false">J520/2-K520*ASINH(I520/(2*K520*SINH(J520/(2*K520))))</f>
        <v>124.781668372108</v>
      </c>
      <c r="M520" s="15" t="n">
        <f aca="false">-L520/K520</f>
        <v>-0.103106050415486</v>
      </c>
      <c r="N520" s="15" t="n">
        <f aca="false">(J520-L520)/K520</f>
        <v>-0.0724735932411115</v>
      </c>
      <c r="O520" s="15" t="n">
        <f aca="false">K520*(SINH(N520)-SINH(M520))</f>
        <v>37.2166151673581</v>
      </c>
      <c r="P520" s="15" t="n">
        <f aca="false">E520*COSH(M520)</f>
        <v>3336.0558655398</v>
      </c>
      <c r="Q520" s="15" t="n">
        <f aca="false">E520*COSH(N520)</f>
        <v>3327.12014400752</v>
      </c>
    </row>
    <row r="521" customFormat="false" ht="21" hidden="false" customHeight="true" outlineLevel="0" collapsed="false">
      <c r="A521" s="1" t="s">
        <v>409</v>
      </c>
      <c r="B521" s="1" t="s">
        <v>323</v>
      </c>
      <c r="C521" s="15" t="n">
        <v>37.0181448227103</v>
      </c>
      <c r="D521" s="15" t="n">
        <v>-3.82438583158282</v>
      </c>
      <c r="E521" s="15" t="n">
        <v>3569.86259610117</v>
      </c>
      <c r="F521" s="15" t="n">
        <v>1.32389775</v>
      </c>
      <c r="G521" s="15" t="n">
        <v>0</v>
      </c>
      <c r="H521" s="15" t="n">
        <f aca="false">SQRT(F521^2+G521^2)</f>
        <v>1.32389775</v>
      </c>
      <c r="I521" s="15" t="n">
        <f aca="false">D521*F521/H521</f>
        <v>-3.82438583158282</v>
      </c>
      <c r="J521" s="15" t="n">
        <f aca="false">SQRT(C521^2+D521^2-I521^2)</f>
        <v>37.0181448227103</v>
      </c>
      <c r="K521" s="15" t="n">
        <f aca="false">E521/H521</f>
        <v>2696.47908692432</v>
      </c>
      <c r="L521" s="15" t="n">
        <f aca="false">J521/2-K521*ASINH(I521/(2*K521*SINH(J521/(2*K521))))</f>
        <v>296.589974196695</v>
      </c>
      <c r="M521" s="15" t="n">
        <f aca="false">-L521/K521</f>
        <v>-0.109991572207961</v>
      </c>
      <c r="N521" s="15" t="n">
        <f aca="false">(J521-L521)/K521</f>
        <v>-0.0962632458870872</v>
      </c>
      <c r="O521" s="15" t="n">
        <f aca="false">K521*(SINH(N521)-SINH(M521))</f>
        <v>37.2154604333956</v>
      </c>
      <c r="P521" s="15" t="n">
        <f aca="false">E521*COSH(M521)</f>
        <v>3591.47873522527</v>
      </c>
      <c r="Q521" s="15" t="n">
        <f aca="false">E521*COSH(N521)</f>
        <v>3586.41563942771</v>
      </c>
    </row>
    <row r="522" customFormat="false" ht="21" hidden="false" customHeight="true" outlineLevel="0" collapsed="false">
      <c r="A522" s="1" t="s">
        <v>409</v>
      </c>
      <c r="B522" s="1" t="s">
        <v>324</v>
      </c>
      <c r="C522" s="15" t="n">
        <v>37.0181448227103</v>
      </c>
      <c r="D522" s="15" t="n">
        <v>-3.82438583158282</v>
      </c>
      <c r="E522" s="15" t="n">
        <v>297.456735055212</v>
      </c>
      <c r="F522" s="15" t="n">
        <v>1.32389775</v>
      </c>
      <c r="G522" s="15" t="n">
        <v>0</v>
      </c>
      <c r="H522" s="15" t="n">
        <f aca="false">SQRT(F522^2+G522^2)</f>
        <v>1.32389775</v>
      </c>
      <c r="I522" s="15" t="n">
        <f aca="false">D522*F522/H522</f>
        <v>-3.82438583158282</v>
      </c>
      <c r="J522" s="15" t="n">
        <f aca="false">SQRT(C522^2+D522^2-I522^2)</f>
        <v>37.0181448227103</v>
      </c>
      <c r="K522" s="15" t="n">
        <f aca="false">E522/H522</f>
        <v>224.682559552059</v>
      </c>
      <c r="L522" s="15" t="n">
        <f aca="false">J522/2-K522*ASINH(I522/(2*K522*SINH(J522/(2*K522))))</f>
        <v>41.6540894355738</v>
      </c>
      <c r="M522" s="15" t="n">
        <f aca="false">-L522/K522</f>
        <v>-0.185390844392275</v>
      </c>
      <c r="N522" s="15" t="n">
        <f aca="false">(J522-L522)/K522</f>
        <v>-0.0206333087094342</v>
      </c>
      <c r="O522" s="15" t="n">
        <f aca="false">K522*(SINH(N522)-SINH(M522))</f>
        <v>37.2568331272512</v>
      </c>
      <c r="P522" s="15" t="n">
        <f aca="false">E522*COSH(M522)</f>
        <v>302.583151737006</v>
      </c>
      <c r="Q522" s="15" t="n">
        <f aca="false">E522*COSH(N522)</f>
        <v>297.520055939442</v>
      </c>
    </row>
    <row r="523" customFormat="false" ht="21" hidden="false" customHeight="true" outlineLevel="0" collapsed="false">
      <c r="A523" s="1" t="s">
        <v>410</v>
      </c>
      <c r="B523" s="1" t="s">
        <v>319</v>
      </c>
      <c r="C523" s="15" t="n">
        <v>70.695133423471</v>
      </c>
      <c r="D523" s="15" t="n">
        <v>-1.98220579223844</v>
      </c>
      <c r="E523" s="15" t="n">
        <v>2204.99999999956</v>
      </c>
      <c r="F523" s="15" t="n">
        <v>1.32389775</v>
      </c>
      <c r="G523" s="15" t="n">
        <v>0</v>
      </c>
      <c r="H523" s="15" t="n">
        <f aca="false">SQRT(F523^2+G523^2)</f>
        <v>1.32389775</v>
      </c>
      <c r="I523" s="15" t="n">
        <f aca="false">D523*F523/H523</f>
        <v>-1.98220579223844</v>
      </c>
      <c r="J523" s="15" t="n">
        <f aca="false">SQRT(C523^2+D523^2-I523^2)</f>
        <v>70.695133423471</v>
      </c>
      <c r="K523" s="15" t="n">
        <f aca="false">E523/H523</f>
        <v>1665.53648119695</v>
      </c>
      <c r="L523" s="15" t="n">
        <f aca="false">J523/2-K523*ASINH(I523/(2*K523*SINH(J523/(2*K523))))</f>
        <v>82.0375684872658</v>
      </c>
      <c r="M523" s="15" t="n">
        <f aca="false">-L523/K523</f>
        <v>-0.0492559421023962</v>
      </c>
      <c r="N523" s="15" t="n">
        <f aca="false">(J523-L523)/K523</f>
        <v>-0.00681007902969704</v>
      </c>
      <c r="O523" s="15" t="n">
        <f aca="false">K523*(SINH(N523)-SINH(M523))</f>
        <v>70.7282223207165</v>
      </c>
      <c r="P523" s="15" t="n">
        <f aca="false">E523*COSH(M523)</f>
        <v>2207.67536882253</v>
      </c>
      <c r="Q523" s="15" t="n">
        <f aca="false">E523*COSH(N523)</f>
        <v>2205.05113103414</v>
      </c>
    </row>
    <row r="524" customFormat="false" ht="21" hidden="false" customHeight="true" outlineLevel="0" collapsed="false">
      <c r="A524" s="1" t="s">
        <v>410</v>
      </c>
      <c r="B524" s="1" t="s">
        <v>320</v>
      </c>
      <c r="C524" s="15" t="n">
        <v>70.695133423471</v>
      </c>
      <c r="D524" s="15" t="n">
        <v>-1.98220579223844</v>
      </c>
      <c r="E524" s="15" t="n">
        <v>3422.70692489099</v>
      </c>
      <c r="F524" s="15" t="n">
        <v>1.32389775</v>
      </c>
      <c r="G524" s="15" t="n">
        <v>3.443895</v>
      </c>
      <c r="H524" s="15" t="n">
        <f aca="false">SQRT(F524^2+G524^2)</f>
        <v>3.68959591601574</v>
      </c>
      <c r="I524" s="15" t="n">
        <f aca="false">D524*F524/H524</f>
        <v>-0.711253440245362</v>
      </c>
      <c r="J524" s="15" t="n">
        <f aca="false">SQRT(C524^2+D524^2-I524^2)</f>
        <v>70.7193406933979</v>
      </c>
      <c r="K524" s="15" t="n">
        <f aca="false">E524/H524</f>
        <v>927.66443881666</v>
      </c>
      <c r="L524" s="15" t="n">
        <f aca="false">J524/2-K524*ASINH(I524/(2*K524*SINH(J524/(2*K524))))</f>
        <v>44.6871564074194</v>
      </c>
      <c r="M524" s="15" t="n">
        <f aca="false">-L524/K524</f>
        <v>-0.0481716820625601</v>
      </c>
      <c r="N524" s="15" t="n">
        <f aca="false">(J524-L524)/K524</f>
        <v>0.0280620698570547</v>
      </c>
      <c r="O524" s="15" t="n">
        <f aca="false">K524*(SINH(N524)-SINH(M524))</f>
        <v>70.7400423089963</v>
      </c>
      <c r="P524" s="15" t="n">
        <f aca="false">E524*COSH(M524)</f>
        <v>3426.67890734122</v>
      </c>
      <c r="Q524" s="15" t="n">
        <f aca="false">E524*COSH(N524)</f>
        <v>3424.05466955284</v>
      </c>
    </row>
    <row r="525" customFormat="false" ht="21" hidden="false" customHeight="true" outlineLevel="0" collapsed="false">
      <c r="A525" s="1" t="s">
        <v>410</v>
      </c>
      <c r="B525" s="1" t="s">
        <v>321</v>
      </c>
      <c r="C525" s="15" t="n">
        <v>70.695133423471</v>
      </c>
      <c r="D525" s="15" t="n">
        <v>-1.98220579223844</v>
      </c>
      <c r="E525" s="15" t="n">
        <v>3717.78366071811</v>
      </c>
      <c r="F525" s="15" t="n">
        <v>3.85543216183014</v>
      </c>
      <c r="G525" s="15" t="n">
        <v>0</v>
      </c>
      <c r="H525" s="15" t="n">
        <f aca="false">SQRT(F525^2+G525^2)</f>
        <v>3.85543216183014</v>
      </c>
      <c r="I525" s="15" t="n">
        <f aca="false">D525*F525/H525</f>
        <v>-1.98220579223844</v>
      </c>
      <c r="J525" s="15" t="n">
        <f aca="false">SQRT(C525^2+D525^2-I525^2)</f>
        <v>70.695133423471</v>
      </c>
      <c r="K525" s="15" t="n">
        <f aca="false">E525/H525</f>
        <v>964.297517026812</v>
      </c>
      <c r="L525" s="15" t="n">
        <f aca="false">J525/2-K525*ASINH(I525/(2*K525*SINH(J525/(2*K525))))</f>
        <v>62.3757062832071</v>
      </c>
      <c r="M525" s="15" t="n">
        <f aca="false">-L525/K525</f>
        <v>-0.0646851258888731</v>
      </c>
      <c r="N525" s="15" t="n">
        <f aca="false">(J525-L525)/K525</f>
        <v>0.0086274484724537</v>
      </c>
      <c r="O525" s="15" t="n">
        <f aca="false">K525*(SINH(N525)-SINH(M525))</f>
        <v>70.7387441112804</v>
      </c>
      <c r="P525" s="15" t="n">
        <f aca="false">E525*COSH(M525)</f>
        <v>3725.56428418775</v>
      </c>
      <c r="Q525" s="15" t="n">
        <f aca="false">E525*COSH(N525)</f>
        <v>3717.92202422499</v>
      </c>
    </row>
    <row r="526" customFormat="false" ht="21" hidden="false" customHeight="true" outlineLevel="0" collapsed="false">
      <c r="A526" s="1" t="s">
        <v>410</v>
      </c>
      <c r="B526" s="1" t="s">
        <v>322</v>
      </c>
      <c r="C526" s="15" t="n">
        <v>70.695133423471</v>
      </c>
      <c r="D526" s="15" t="n">
        <v>-1.98220579223844</v>
      </c>
      <c r="E526" s="15" t="n">
        <v>3438.49015936053</v>
      </c>
      <c r="F526" s="15" t="n">
        <v>2.33651151473205</v>
      </c>
      <c r="G526" s="15" t="n">
        <v>1.43495625</v>
      </c>
      <c r="H526" s="15" t="n">
        <f aca="false">SQRT(F526^2+G526^2)</f>
        <v>2.74196745018783</v>
      </c>
      <c r="I526" s="15" t="n">
        <f aca="false">D526*F526/H526</f>
        <v>-1.68909614802919</v>
      </c>
      <c r="J526" s="15" t="n">
        <f aca="false">SQRT(C526^2+D526^2-I526^2)</f>
        <v>70.7027438206458</v>
      </c>
      <c r="K526" s="15" t="n">
        <f aca="false">E526/H526</f>
        <v>1254.02296775076</v>
      </c>
      <c r="L526" s="15" t="n">
        <f aca="false">J526/2-K526*ASINH(I526/(2*K526*SINH(J526/(2*K526))))</f>
        <v>65.3032998238489</v>
      </c>
      <c r="M526" s="15" t="n">
        <f aca="false">-L526/K526</f>
        <v>-0.0520750428845638</v>
      </c>
      <c r="N526" s="15" t="n">
        <f aca="false">(J526-L526)/K526</f>
        <v>0.00430569785055964</v>
      </c>
      <c r="O526" s="15" t="n">
        <f aca="false">K526*(SINH(N526)-SINH(M526))</f>
        <v>70.732279530867</v>
      </c>
      <c r="P526" s="15" t="n">
        <f aca="false">E526*COSH(M526)</f>
        <v>3443.15347921086</v>
      </c>
      <c r="Q526" s="15" t="n">
        <f aca="false">E526*COSH(N526)</f>
        <v>3438.52203255272</v>
      </c>
    </row>
    <row r="527" customFormat="false" ht="21" hidden="false" customHeight="true" outlineLevel="0" collapsed="false">
      <c r="A527" s="1" t="s">
        <v>410</v>
      </c>
      <c r="B527" s="1" t="s">
        <v>323</v>
      </c>
      <c r="C527" s="15" t="n">
        <v>70.695133423471</v>
      </c>
      <c r="D527" s="15" t="n">
        <v>-1.98220579223844</v>
      </c>
      <c r="E527" s="15" t="n">
        <v>3477.78211006227</v>
      </c>
      <c r="F527" s="15" t="n">
        <v>1.32389775</v>
      </c>
      <c r="G527" s="15" t="n">
        <v>0</v>
      </c>
      <c r="H527" s="15" t="n">
        <f aca="false">SQRT(F527^2+G527^2)</f>
        <v>1.32389775</v>
      </c>
      <c r="I527" s="15" t="n">
        <f aca="false">D527*F527/H527</f>
        <v>-1.98220579223844</v>
      </c>
      <c r="J527" s="15" t="n">
        <f aca="false">SQRT(C527^2+D527^2-I527^2)</f>
        <v>70.695133423471</v>
      </c>
      <c r="K527" s="15" t="n">
        <f aca="false">E527/H527</f>
        <v>2626.92652061858</v>
      </c>
      <c r="L527" s="15" t="n">
        <f aca="false">J527/2-K527*ASINH(I527/(2*K527*SINH(J527/(2*K527))))</f>
        <v>108.991530642403</v>
      </c>
      <c r="M527" s="15" t="n">
        <f aca="false">-L527/K527</f>
        <v>-0.0414901329698169</v>
      </c>
      <c r="N527" s="15" t="n">
        <f aca="false">(J527-L527)/K527</f>
        <v>-0.0145784044275111</v>
      </c>
      <c r="O527" s="15" t="n">
        <f aca="false">K527*(SINH(N527)-SINH(M527))</f>
        <v>70.7250498149166</v>
      </c>
      <c r="P527" s="15" t="n">
        <f aca="false">E527*COSH(M527)</f>
        <v>3480.77592069572</v>
      </c>
      <c r="Q527" s="15" t="n">
        <f aca="false">E527*COSH(N527)</f>
        <v>3478.15168290734</v>
      </c>
    </row>
    <row r="528" customFormat="false" ht="21" hidden="false" customHeight="true" outlineLevel="0" collapsed="false">
      <c r="A528" s="1" t="s">
        <v>410</v>
      </c>
      <c r="B528" s="1" t="s">
        <v>324</v>
      </c>
      <c r="C528" s="15" t="n">
        <v>70.695133423471</v>
      </c>
      <c r="D528" s="15" t="n">
        <v>-1.98220579223844</v>
      </c>
      <c r="E528" s="15" t="n">
        <v>538.925772271459</v>
      </c>
      <c r="F528" s="15" t="n">
        <v>1.32389775</v>
      </c>
      <c r="G528" s="15" t="n">
        <v>0</v>
      </c>
      <c r="H528" s="15" t="n">
        <f aca="false">SQRT(F528^2+G528^2)</f>
        <v>1.32389775</v>
      </c>
      <c r="I528" s="15" t="n">
        <f aca="false">D528*F528/H528</f>
        <v>-1.98220579223844</v>
      </c>
      <c r="J528" s="15" t="n">
        <f aca="false">SQRT(C528^2+D528^2-I528^2)</f>
        <v>70.695133423471</v>
      </c>
      <c r="K528" s="15" t="n">
        <f aca="false">E528/H528</f>
        <v>407.075072279154</v>
      </c>
      <c r="L528" s="15" t="n">
        <f aca="false">J528/2-K528*ASINH(I528/(2*K528*SINH(J528/(2*K528))))</f>
        <v>46.7456377767387</v>
      </c>
      <c r="M528" s="15" t="n">
        <f aca="false">-L528/K528</f>
        <v>-0.114832965612502</v>
      </c>
      <c r="N528" s="15" t="n">
        <f aca="false">(J528-L528)/K528</f>
        <v>0.0588331177162054</v>
      </c>
      <c r="O528" s="15" t="n">
        <f aca="false">K528*(SINH(N528)-SINH(M528))</f>
        <v>70.8117558629985</v>
      </c>
      <c r="P528" s="15" t="n">
        <f aca="false">E528*COSH(M528)</f>
        <v>542.482980642083</v>
      </c>
      <c r="Q528" s="15" t="n">
        <f aca="false">E528*COSH(N528)</f>
        <v>539.858742853701</v>
      </c>
    </row>
    <row r="529" customFormat="false" ht="21" hidden="false" customHeight="true" outlineLevel="0" collapsed="false">
      <c r="A529" s="1" t="s">
        <v>411</v>
      </c>
      <c r="B529" s="1" t="s">
        <v>319</v>
      </c>
      <c r="C529" s="15" t="n">
        <v>55.4082986701556</v>
      </c>
      <c r="D529" s="15" t="n">
        <v>8.18786847923493</v>
      </c>
      <c r="E529" s="15" t="n">
        <v>2205.00000000084</v>
      </c>
      <c r="F529" s="15" t="n">
        <v>1.32389775</v>
      </c>
      <c r="G529" s="15" t="n">
        <v>0</v>
      </c>
      <c r="H529" s="15" t="n">
        <f aca="false">SQRT(F529^2+G529^2)</f>
        <v>1.32389775</v>
      </c>
      <c r="I529" s="15" t="n">
        <f aca="false">D529*F529/H529</f>
        <v>8.18786847923493</v>
      </c>
      <c r="J529" s="15" t="n">
        <f aca="false">SQRT(C529^2+D529^2-I529^2)</f>
        <v>55.4082986701556</v>
      </c>
      <c r="K529" s="15" t="n">
        <f aca="false">E529/H529</f>
        <v>1665.53648119792</v>
      </c>
      <c r="L529" s="15" t="n">
        <f aca="false">J529/2-K529*ASINH(I529/(2*K529*SINH(J529/(2*K529))))</f>
        <v>-217.51941651653</v>
      </c>
      <c r="M529" s="15" t="n">
        <f aca="false">-L529/K529</f>
        <v>0.130600211386593</v>
      </c>
      <c r="N529" s="15" t="n">
        <f aca="false">(J529-L529)/K529</f>
        <v>0.163867749681704</v>
      </c>
      <c r="O529" s="15" t="n">
        <f aca="false">K529*(SINH(N529)-SINH(M529))</f>
        <v>56.0125334879053</v>
      </c>
      <c r="P529" s="15" t="n">
        <f aca="false">E529*COSH(M529)</f>
        <v>2223.83144136994</v>
      </c>
      <c r="Q529" s="15" t="n">
        <f aca="false">E529*COSH(N529)</f>
        <v>2234.6713420269</v>
      </c>
    </row>
    <row r="530" customFormat="false" ht="21" hidden="false" customHeight="true" outlineLevel="0" collapsed="false">
      <c r="A530" s="1" t="s">
        <v>411</v>
      </c>
      <c r="B530" s="1" t="s">
        <v>320</v>
      </c>
      <c r="C530" s="15" t="n">
        <v>55.4082986701556</v>
      </c>
      <c r="D530" s="15" t="n">
        <v>8.18786847923493</v>
      </c>
      <c r="E530" s="15" t="n">
        <v>3291.68525301977</v>
      </c>
      <c r="F530" s="15" t="n">
        <v>1.32389775</v>
      </c>
      <c r="G530" s="15" t="n">
        <v>3.443895</v>
      </c>
      <c r="H530" s="15" t="n">
        <f aca="false">SQRT(F530^2+G530^2)</f>
        <v>3.68959591601574</v>
      </c>
      <c r="I530" s="15" t="n">
        <f aca="false">D530*F530/H530</f>
        <v>2.93796418461473</v>
      </c>
      <c r="J530" s="15" t="n">
        <f aca="false">SQRT(C530^2+D530^2-I530^2)</f>
        <v>55.9328983533335</v>
      </c>
      <c r="K530" s="15" t="n">
        <f aca="false">E530/H530</f>
        <v>892.153321921047</v>
      </c>
      <c r="L530" s="15" t="n">
        <f aca="false">J530/2-K530*ASINH(I530/(2*K530*SINH(J530/(2*K530))))</f>
        <v>-18.8661333281441</v>
      </c>
      <c r="M530" s="15" t="n">
        <f aca="false">-L530/K530</f>
        <v>0.0211467388671716</v>
      </c>
      <c r="N530" s="15" t="n">
        <f aca="false">(J530-L530)/K530</f>
        <v>0.0838410056249245</v>
      </c>
      <c r="O530" s="15" t="n">
        <f aca="false">K530*(SINH(N530)-SINH(M530))</f>
        <v>56.0191540019571</v>
      </c>
      <c r="P530" s="15" t="n">
        <f aca="false">E530*COSH(M530)</f>
        <v>3292.42127586586</v>
      </c>
      <c r="Q530" s="15" t="n">
        <f aca="false">E530*COSH(N530)</f>
        <v>3303.26117652281</v>
      </c>
    </row>
    <row r="531" customFormat="false" ht="21" hidden="false" customHeight="true" outlineLevel="0" collapsed="false">
      <c r="A531" s="1" t="s">
        <v>411</v>
      </c>
      <c r="B531" s="1" t="s">
        <v>321</v>
      </c>
      <c r="C531" s="15" t="n">
        <v>55.4082986701556</v>
      </c>
      <c r="D531" s="15" t="n">
        <v>8.18786847923493</v>
      </c>
      <c r="E531" s="15" t="n">
        <v>3559.70248801606</v>
      </c>
      <c r="F531" s="15" t="n">
        <v>3.85543216183014</v>
      </c>
      <c r="G531" s="15" t="n">
        <v>0</v>
      </c>
      <c r="H531" s="15" t="n">
        <f aca="false">SQRT(F531^2+G531^2)</f>
        <v>3.85543216183014</v>
      </c>
      <c r="I531" s="15" t="n">
        <f aca="false">D531*F531/H531</f>
        <v>8.18786847923493</v>
      </c>
      <c r="J531" s="15" t="n">
        <f aca="false">SQRT(C531^2+D531^2-I531^2)</f>
        <v>55.4082986701556</v>
      </c>
      <c r="K531" s="15" t="n">
        <f aca="false">E531/H531</f>
        <v>923.295324259136</v>
      </c>
      <c r="L531" s="15" t="n">
        <f aca="false">J531/2-K531*ASINH(I531/(2*K531*SINH(J531/(2*K531))))</f>
        <v>-108.222268816922</v>
      </c>
      <c r="M531" s="15" t="n">
        <f aca="false">-L531/K531</f>
        <v>0.117213058458583</v>
      </c>
      <c r="N531" s="15" t="n">
        <f aca="false">(J531-L531)/K531</f>
        <v>0.177224516563405</v>
      </c>
      <c r="O531" s="15" t="n">
        <f aca="false">K531*(SINH(N531)-SINH(M531))</f>
        <v>56.018231300567</v>
      </c>
      <c r="P531" s="15" t="n">
        <f aca="false">E531*COSH(M531)</f>
        <v>3584.18369768195</v>
      </c>
      <c r="Q531" s="15" t="n">
        <f aca="false">E531*COSH(N531)</f>
        <v>3615.75146915363</v>
      </c>
    </row>
    <row r="532" customFormat="false" ht="21" hidden="false" customHeight="true" outlineLevel="0" collapsed="false">
      <c r="A532" s="1" t="s">
        <v>411</v>
      </c>
      <c r="B532" s="1" t="s">
        <v>322</v>
      </c>
      <c r="C532" s="15" t="n">
        <v>55.4082986701556</v>
      </c>
      <c r="D532" s="15" t="n">
        <v>8.18786847923493</v>
      </c>
      <c r="E532" s="15" t="n">
        <v>3377.84562769255</v>
      </c>
      <c r="F532" s="15" t="n">
        <v>2.33651151473205</v>
      </c>
      <c r="G532" s="15" t="n">
        <v>1.43495625</v>
      </c>
      <c r="H532" s="15" t="n">
        <f aca="false">SQRT(F532^2+G532^2)</f>
        <v>2.74196745018783</v>
      </c>
      <c r="I532" s="15" t="n">
        <f aca="false">D532*F532/H532</f>
        <v>6.97712475818542</v>
      </c>
      <c r="J532" s="15" t="n">
        <f aca="false">SQRT(C532^2+D532^2-I532^2)</f>
        <v>55.5737391387617</v>
      </c>
      <c r="K532" s="15" t="n">
        <f aca="false">E532/H532</f>
        <v>1231.90580816748</v>
      </c>
      <c r="L532" s="15" t="n">
        <f aca="false">J532/2-K532*ASINH(I532/(2*K532*SINH(J532/(2*K532))))</f>
        <v>-126.458941341689</v>
      </c>
      <c r="M532" s="15" t="n">
        <f aca="false">-L532/K532</f>
        <v>0.102653092877128</v>
      </c>
      <c r="N532" s="15" t="n">
        <f aca="false">(J532-L532)/K532</f>
        <v>0.147765096384466</v>
      </c>
      <c r="O532" s="15" t="n">
        <f aca="false">K532*(SINH(N532)-SINH(M532))</f>
        <v>56.0146816398856</v>
      </c>
      <c r="P532" s="15" t="n">
        <f aca="false">E532*COSH(M532)</f>
        <v>3395.65855177991</v>
      </c>
      <c r="Q532" s="15" t="n">
        <f aca="false">E532*COSH(N532)</f>
        <v>3414.78960076276</v>
      </c>
    </row>
    <row r="533" customFormat="false" ht="21" hidden="false" customHeight="true" outlineLevel="0" collapsed="false">
      <c r="A533" s="1" t="s">
        <v>411</v>
      </c>
      <c r="B533" s="1" t="s">
        <v>323</v>
      </c>
      <c r="C533" s="15" t="n">
        <v>55.4082986701556</v>
      </c>
      <c r="D533" s="15" t="n">
        <v>8.18786847923493</v>
      </c>
      <c r="E533" s="15" t="n">
        <v>3517.52506938489</v>
      </c>
      <c r="F533" s="15" t="n">
        <v>1.32389775</v>
      </c>
      <c r="G533" s="15" t="n">
        <v>0</v>
      </c>
      <c r="H533" s="15" t="n">
        <f aca="false">SQRT(F533^2+G533^2)</f>
        <v>1.32389775</v>
      </c>
      <c r="I533" s="15" t="n">
        <f aca="false">D533*F533/H533</f>
        <v>8.18786847923493</v>
      </c>
      <c r="J533" s="15" t="n">
        <f aca="false">SQRT(C533^2+D533^2-I533^2)</f>
        <v>55.4082986701556</v>
      </c>
      <c r="K533" s="15" t="n">
        <f aca="false">E533/H533</f>
        <v>2656.94617985784</v>
      </c>
      <c r="L533" s="15" t="n">
        <f aca="false">J533/2-K533*ASINH(I533/(2*K533*SINH(J533/(2*K533))))</f>
        <v>-363.499485048796</v>
      </c>
      <c r="M533" s="15" t="n">
        <f aca="false">-L533/K533</f>
        <v>0.136811007992734</v>
      </c>
      <c r="N533" s="15" t="n">
        <f aca="false">(J533-L533)/K533</f>
        <v>0.157665137101635</v>
      </c>
      <c r="O533" s="15" t="n">
        <f aca="false">K533*(SINH(N533)-SINH(M533))</f>
        <v>56.0109990699303</v>
      </c>
      <c r="P533" s="15" t="n">
        <f aca="false">E533*COSH(M533)</f>
        <v>3550.49564925467</v>
      </c>
      <c r="Q533" s="15" t="n">
        <f aca="false">E533*COSH(N533)</f>
        <v>3561.33554991163</v>
      </c>
    </row>
    <row r="534" customFormat="false" ht="21" hidden="false" customHeight="true" outlineLevel="0" collapsed="false">
      <c r="A534" s="1" t="s">
        <v>411</v>
      </c>
      <c r="B534" s="1" t="s">
        <v>324</v>
      </c>
      <c r="C534" s="15" t="n">
        <v>55.4082986701556</v>
      </c>
      <c r="D534" s="15" t="n">
        <v>8.18786847923493</v>
      </c>
      <c r="E534" s="15" t="n">
        <v>430.432613005815</v>
      </c>
      <c r="F534" s="15" t="n">
        <v>1.32389775</v>
      </c>
      <c r="G534" s="15" t="n">
        <v>0</v>
      </c>
      <c r="H534" s="15" t="n">
        <f aca="false">SQRT(F534^2+G534^2)</f>
        <v>1.32389775</v>
      </c>
      <c r="I534" s="15" t="n">
        <f aca="false">D534*F534/H534</f>
        <v>8.18786847923493</v>
      </c>
      <c r="J534" s="15" t="n">
        <f aca="false">SQRT(C534^2+D534^2-I534^2)</f>
        <v>55.4082986701556</v>
      </c>
      <c r="K534" s="15" t="n">
        <f aca="false">E534/H534</f>
        <v>325.125269686284</v>
      </c>
      <c r="L534" s="15" t="n">
        <f aca="false">J534/2-K534*ASINH(I534/(2*K534*SINH(J534/(2*K534))))</f>
        <v>-20.1100613312252</v>
      </c>
      <c r="M534" s="15" t="n">
        <f aca="false">-L534/K534</f>
        <v>0.0618532707427804</v>
      </c>
      <c r="N534" s="15" t="n">
        <f aca="false">(J534-L534)/K534</f>
        <v>0.232274655471256</v>
      </c>
      <c r="O534" s="15" t="n">
        <f aca="false">K534*(SINH(N534)-SINH(M534))</f>
        <v>56.0763624338327</v>
      </c>
      <c r="P534" s="15" t="n">
        <f aca="false">E534*COSH(M534)</f>
        <v>431.256255926662</v>
      </c>
      <c r="Q534" s="15" t="n">
        <f aca="false">E534*COSH(N534)</f>
        <v>442.096156583617</v>
      </c>
    </row>
    <row r="535" customFormat="false" ht="21" hidden="false" customHeight="true" outlineLevel="0" collapsed="false">
      <c r="A535" s="1" t="s">
        <v>412</v>
      </c>
      <c r="B535" s="1" t="s">
        <v>319</v>
      </c>
      <c r="C535" s="15" t="n">
        <v>55.4082986701279</v>
      </c>
      <c r="D535" s="15" t="n">
        <v>8.7587365964745</v>
      </c>
      <c r="E535" s="15" t="n">
        <v>2204.99999999839</v>
      </c>
      <c r="F535" s="15" t="n">
        <v>1.32389775</v>
      </c>
      <c r="G535" s="15" t="n">
        <v>0</v>
      </c>
      <c r="H535" s="15" t="n">
        <f aca="false">SQRT(F535^2+G535^2)</f>
        <v>1.32389775</v>
      </c>
      <c r="I535" s="15" t="n">
        <f aca="false">D535*F535/H535</f>
        <v>8.7587365964745</v>
      </c>
      <c r="J535" s="15" t="n">
        <f aca="false">SQRT(C535^2+D535^2-I535^2)</f>
        <v>55.4082986701279</v>
      </c>
      <c r="K535" s="15" t="n">
        <f aca="false">E535/H535</f>
        <v>1665.53648119606</v>
      </c>
      <c r="L535" s="15" t="n">
        <f aca="false">J535/2-K535*ASINH(I535/(2*K535*SINH(J535/(2*K535))))</f>
        <v>-234.481299849882</v>
      </c>
      <c r="M535" s="15" t="n">
        <f aca="false">-L535/K535</f>
        <v>0.1407842472964</v>
      </c>
      <c r="N535" s="15" t="n">
        <f aca="false">(J535-L535)/K535</f>
        <v>0.174051785591531</v>
      </c>
      <c r="O535" s="15" t="n">
        <f aca="false">K535*(SINH(N535)-SINH(M535))</f>
        <v>56.0988251593901</v>
      </c>
      <c r="P535" s="15" t="n">
        <f aca="false">E535*COSH(M535)</f>
        <v>2226.88789129895</v>
      </c>
      <c r="Q535" s="15" t="n">
        <f aca="false">E535*COSH(N535)</f>
        <v>2238.48356297186</v>
      </c>
    </row>
    <row r="536" customFormat="false" ht="21" hidden="false" customHeight="true" outlineLevel="0" collapsed="false">
      <c r="A536" s="1" t="s">
        <v>412</v>
      </c>
      <c r="B536" s="1" t="s">
        <v>320</v>
      </c>
      <c r="C536" s="15" t="n">
        <v>55.4082986701279</v>
      </c>
      <c r="D536" s="15" t="n">
        <v>8.7587365964745</v>
      </c>
      <c r="E536" s="15" t="n">
        <v>3295.03214715971</v>
      </c>
      <c r="F536" s="15" t="n">
        <v>1.32389775</v>
      </c>
      <c r="G536" s="15" t="n">
        <v>3.443895</v>
      </c>
      <c r="H536" s="15" t="n">
        <f aca="false">SQRT(F536^2+G536^2)</f>
        <v>3.68959591601574</v>
      </c>
      <c r="I536" s="15" t="n">
        <f aca="false">D536*F536/H536</f>
        <v>3.14280260951638</v>
      </c>
      <c r="J536" s="15" t="n">
        <f aca="false">SQRT(C536^2+D536^2-I536^2)</f>
        <v>56.0081942222934</v>
      </c>
      <c r="K536" s="15" t="n">
        <f aca="false">E536/H536</f>
        <v>893.060438639548</v>
      </c>
      <c r="L536" s="15" t="n">
        <f aca="false">J536/2-K536*ASINH(I536/(2*K536*SINH(J536/(2*K536))))</f>
        <v>-22.0739796807391</v>
      </c>
      <c r="M536" s="15" t="n">
        <f aca="false">-L536/K536</f>
        <v>0.0247172293449318</v>
      </c>
      <c r="N536" s="15" t="n">
        <f aca="false">(J536-L536)/K536</f>
        <v>0.0874321272387563</v>
      </c>
      <c r="O536" s="15" t="n">
        <f aca="false">K536*(SINH(N536)-SINH(M536))</f>
        <v>56.1054661269248</v>
      </c>
      <c r="P536" s="15" t="n">
        <f aca="false">E536*COSH(M536)</f>
        <v>3296.03873422544</v>
      </c>
      <c r="Q536" s="15" t="n">
        <f aca="false">E536*COSH(N536)</f>
        <v>3307.63440589836</v>
      </c>
    </row>
    <row r="537" customFormat="false" ht="21" hidden="false" customHeight="true" outlineLevel="0" collapsed="false">
      <c r="A537" s="1" t="s">
        <v>412</v>
      </c>
      <c r="B537" s="1" t="s">
        <v>321</v>
      </c>
      <c r="C537" s="15" t="n">
        <v>55.4082986701279</v>
      </c>
      <c r="D537" s="15" t="n">
        <v>8.7587365964745</v>
      </c>
      <c r="E537" s="15" t="n">
        <v>3557.27348004307</v>
      </c>
      <c r="F537" s="15" t="n">
        <v>3.85543216183014</v>
      </c>
      <c r="G537" s="15" t="n">
        <v>0</v>
      </c>
      <c r="H537" s="15" t="n">
        <f aca="false">SQRT(F537^2+G537^2)</f>
        <v>3.85543216183014</v>
      </c>
      <c r="I537" s="15" t="n">
        <f aca="false">D537*F537/H537</f>
        <v>8.7587365964745</v>
      </c>
      <c r="J537" s="15" t="n">
        <f aca="false">SQRT(C537^2+D537^2-I537^2)</f>
        <v>55.4082986701279</v>
      </c>
      <c r="K537" s="15" t="n">
        <f aca="false">E537/H537</f>
        <v>922.665302027898</v>
      </c>
      <c r="L537" s="15" t="n">
        <f aca="false">J537/2-K537*ASINH(I537/(2*K537*SINH(J537/(2*K537))))</f>
        <v>-117.524990456811</v>
      </c>
      <c r="M537" s="15" t="n">
        <f aca="false">-L537/K537</f>
        <v>0.127375539319086</v>
      </c>
      <c r="N537" s="15" t="n">
        <f aca="false">(J537-L537)/K537</f>
        <v>0.18742797496216</v>
      </c>
      <c r="O537" s="15" t="n">
        <f aca="false">K537*(SINH(N537)-SINH(M537))</f>
        <v>56.1045254287855</v>
      </c>
      <c r="P537" s="15" t="n">
        <f aca="false">E537*COSH(M537)</f>
        <v>3586.17005943637</v>
      </c>
      <c r="Q537" s="15" t="n">
        <f aca="false">E537*COSH(N537)</f>
        <v>3619.93877420742</v>
      </c>
    </row>
    <row r="538" customFormat="false" ht="21" hidden="false" customHeight="true" outlineLevel="0" collapsed="false">
      <c r="A538" s="1" t="s">
        <v>412</v>
      </c>
      <c r="B538" s="1" t="s">
        <v>322</v>
      </c>
      <c r="C538" s="15" t="n">
        <v>55.4082986701279</v>
      </c>
      <c r="D538" s="15" t="n">
        <v>8.7587365964745</v>
      </c>
      <c r="E538" s="15" t="n">
        <v>3377.60865857409</v>
      </c>
      <c r="F538" s="15" t="n">
        <v>2.33651151473205</v>
      </c>
      <c r="G538" s="15" t="n">
        <v>1.43495625</v>
      </c>
      <c r="H538" s="15" t="n">
        <f aca="false">SQRT(F538^2+G538^2)</f>
        <v>2.74196745018783</v>
      </c>
      <c r="I538" s="15" t="n">
        <f aca="false">D538*F538/H538</f>
        <v>7.46357835530318</v>
      </c>
      <c r="J538" s="15" t="n">
        <f aca="false">SQRT(C538^2+D538^2-I538^2)</f>
        <v>55.5975721270162</v>
      </c>
      <c r="K538" s="15" t="n">
        <f aca="false">E538/H538</f>
        <v>1231.81938514358</v>
      </c>
      <c r="L538" s="15" t="n">
        <f aca="false">J538/2-K538*ASINH(I538/(2*K538*SINH(J538/(2*K538))))</f>
        <v>-137.057601952021</v>
      </c>
      <c r="M538" s="15" t="n">
        <f aca="false">-L538/K538</f>
        <v>0.111264365218644</v>
      </c>
      <c r="N538" s="15" t="n">
        <f aca="false">(J538-L538)/K538</f>
        <v>0.156398881526435</v>
      </c>
      <c r="O538" s="15" t="n">
        <f aca="false">K538*(SINH(N538)-SINH(M538))</f>
        <v>56.1009786771698</v>
      </c>
      <c r="P538" s="15" t="n">
        <f aca="false">E538*COSH(M538)</f>
        <v>3398.5372266417</v>
      </c>
      <c r="Q538" s="15" t="n">
        <f aca="false">E538*COSH(N538)</f>
        <v>3419.00211555386</v>
      </c>
    </row>
    <row r="539" customFormat="false" ht="21" hidden="false" customHeight="true" outlineLevel="0" collapsed="false">
      <c r="A539" s="1" t="s">
        <v>412</v>
      </c>
      <c r="B539" s="1" t="s">
        <v>323</v>
      </c>
      <c r="C539" s="15" t="n">
        <v>55.4082986701279</v>
      </c>
      <c r="D539" s="15" t="n">
        <v>8.7587365964745</v>
      </c>
      <c r="E539" s="15" t="n">
        <v>3515.81179573262</v>
      </c>
      <c r="F539" s="15" t="n">
        <v>1.32389775</v>
      </c>
      <c r="G539" s="15" t="n">
        <v>0</v>
      </c>
      <c r="H539" s="15" t="n">
        <f aca="false">SQRT(F539^2+G539^2)</f>
        <v>1.32389775</v>
      </c>
      <c r="I539" s="15" t="n">
        <f aca="false">D539*F539/H539</f>
        <v>8.7587365964745</v>
      </c>
      <c r="J539" s="15" t="n">
        <f aca="false">SQRT(C539^2+D539^2-I539^2)</f>
        <v>55.4082986701279</v>
      </c>
      <c r="K539" s="15" t="n">
        <f aca="false">E539/H539</f>
        <v>2655.6520665834</v>
      </c>
      <c r="L539" s="15" t="n">
        <f aca="false">J539/2-K539*ASINH(I539/(2*K539*SINH(J539/(2*K539))))</f>
        <v>-390.35493076645</v>
      </c>
      <c r="M539" s="15" t="n">
        <f aca="false">-L539/K539</f>
        <v>0.146990238547573</v>
      </c>
      <c r="N539" s="15" t="n">
        <f aca="false">(J539-L539)/K539</f>
        <v>0.167854529983692</v>
      </c>
      <c r="O539" s="15" t="n">
        <f aca="false">K539*(SINH(N539)-SINH(M539))</f>
        <v>56.0972940685195</v>
      </c>
      <c r="P539" s="15" t="n">
        <f aca="false">E539*COSH(M539)</f>
        <v>3553.86177494372</v>
      </c>
      <c r="Q539" s="15" t="n">
        <f aca="false">E539*COSH(N539)</f>
        <v>3565.45744661664</v>
      </c>
    </row>
    <row r="540" customFormat="false" ht="21" hidden="false" customHeight="true" outlineLevel="0" collapsed="false">
      <c r="A540" s="1" t="s">
        <v>412</v>
      </c>
      <c r="B540" s="1" t="s">
        <v>324</v>
      </c>
      <c r="C540" s="15" t="n">
        <v>55.4082986701279</v>
      </c>
      <c r="D540" s="15" t="n">
        <v>8.7587365964745</v>
      </c>
      <c r="E540" s="15" t="n">
        <v>429.986623297752</v>
      </c>
      <c r="F540" s="15" t="n">
        <v>1.32389775</v>
      </c>
      <c r="G540" s="15" t="n">
        <v>0</v>
      </c>
      <c r="H540" s="15" t="n">
        <f aca="false">SQRT(F540^2+G540^2)</f>
        <v>1.32389775</v>
      </c>
      <c r="I540" s="15" t="n">
        <f aca="false">D540*F540/H540</f>
        <v>8.7587365964745</v>
      </c>
      <c r="J540" s="15" t="n">
        <f aca="false">SQRT(C540^2+D540^2-I540^2)</f>
        <v>55.4082986701279</v>
      </c>
      <c r="K540" s="15" t="n">
        <f aca="false">E540/H540</f>
        <v>324.788393437297</v>
      </c>
      <c r="L540" s="15" t="n">
        <f aca="false">J540/2-K540*ASINH(I540/(2*K540*SINH(J540/(2*K540))))</f>
        <v>-23.3642892528818</v>
      </c>
      <c r="M540" s="15" t="n">
        <f aca="false">-L540/K540</f>
        <v>0.0719369587244578</v>
      </c>
      <c r="N540" s="15" t="n">
        <f aca="false">(J540-L540)/K540</f>
        <v>0.242535107518297</v>
      </c>
      <c r="O540" s="15" t="n">
        <f aca="false">K540*(SINH(N540)-SINH(M540))</f>
        <v>56.162693598939</v>
      </c>
      <c r="P540" s="15" t="n">
        <f aca="false">E540*COSH(M540)</f>
        <v>431.099677656251</v>
      </c>
      <c r="Q540" s="15" t="n">
        <f aca="false">E540*COSH(N540)</f>
        <v>442.695349329167</v>
      </c>
    </row>
    <row r="541" customFormat="false" ht="21" hidden="false" customHeight="true" outlineLevel="0" collapsed="false">
      <c r="A541" s="1" t="s">
        <v>413</v>
      </c>
      <c r="B541" s="1" t="s">
        <v>319</v>
      </c>
      <c r="C541" s="15" t="n">
        <v>63.2171313519947</v>
      </c>
      <c r="D541" s="15" t="n">
        <v>3.64741136268785</v>
      </c>
      <c r="E541" s="15" t="n">
        <v>2204.9999999996</v>
      </c>
      <c r="F541" s="15" t="n">
        <v>1.32389775</v>
      </c>
      <c r="G541" s="15" t="n">
        <v>0</v>
      </c>
      <c r="H541" s="15" t="n">
        <f aca="false">SQRT(F541^2+G541^2)</f>
        <v>1.32389775</v>
      </c>
      <c r="I541" s="15" t="n">
        <f aca="false">D541*F541/H541</f>
        <v>3.64741136268785</v>
      </c>
      <c r="J541" s="15" t="n">
        <f aca="false">SQRT(C541^2+D541^2-I541^2)</f>
        <v>63.2171313519947</v>
      </c>
      <c r="K541" s="15" t="n">
        <f aca="false">E541/H541</f>
        <v>1665.53648119698</v>
      </c>
      <c r="L541" s="15" t="n">
        <f aca="false">J541/2-K541*ASINH(I541/(2*K541*SINH(J541/(2*K541))))</f>
        <v>-64.4281748105656</v>
      </c>
      <c r="M541" s="15" t="n">
        <f aca="false">-L541/K541</f>
        <v>0.0386831363575193</v>
      </c>
      <c r="N541" s="15" t="n">
        <f aca="false">(J541-L541)/K541</f>
        <v>0.0766391535722021</v>
      </c>
      <c r="O541" s="15" t="n">
        <f aca="false">K541*(SINH(N541)-SINH(M541))</f>
        <v>63.3260540164843</v>
      </c>
      <c r="P541" s="15" t="n">
        <f aca="false">E541*COSH(M541)</f>
        <v>2206.64997023833</v>
      </c>
      <c r="Q541" s="15" t="n">
        <f aca="false">E541*COSH(N541)</f>
        <v>2211.47876993472</v>
      </c>
    </row>
    <row r="542" customFormat="false" ht="21" hidden="false" customHeight="true" outlineLevel="0" collapsed="false">
      <c r="A542" s="1" t="s">
        <v>413</v>
      </c>
      <c r="B542" s="1" t="s">
        <v>320</v>
      </c>
      <c r="C542" s="15" t="n">
        <v>63.2171313519947</v>
      </c>
      <c r="D542" s="15" t="n">
        <v>3.64741136268785</v>
      </c>
      <c r="E542" s="15" t="n">
        <v>3350.08663621664</v>
      </c>
      <c r="F542" s="15" t="n">
        <v>1.32389775</v>
      </c>
      <c r="G542" s="15" t="n">
        <v>3.443895</v>
      </c>
      <c r="H542" s="15" t="n">
        <f aca="false">SQRT(F542^2+G542^2)</f>
        <v>3.68959591601574</v>
      </c>
      <c r="I542" s="15" t="n">
        <f aca="false">D542*F542/H542</f>
        <v>1.30876112352198</v>
      </c>
      <c r="J542" s="15" t="n">
        <f aca="false">SQRT(C542^2+D542^2-I542^2)</f>
        <v>63.3087391309097</v>
      </c>
      <c r="K542" s="15" t="n">
        <f aca="false">E542/H542</f>
        <v>907.981988400038</v>
      </c>
      <c r="L542" s="15" t="n">
        <f aca="false">J542/2-K542*ASINH(I542/(2*K542*SINH(J542/(2*K542))))</f>
        <v>12.8890886303663</v>
      </c>
      <c r="M542" s="15" t="n">
        <f aca="false">-L542/K542</f>
        <v>-0.0141953131174753</v>
      </c>
      <c r="N542" s="15" t="n">
        <f aca="false">(J542-L542)/K542</f>
        <v>0.0555293509614526</v>
      </c>
      <c r="O542" s="15" t="n">
        <f aca="false">K542*(SINH(N542)-SINH(M542))</f>
        <v>63.3350875767274</v>
      </c>
      <c r="P542" s="15" t="n">
        <f aca="false">E542*COSH(M542)</f>
        <v>3350.4241746953</v>
      </c>
      <c r="Q542" s="15" t="n">
        <f aca="false">E542*COSH(N542)</f>
        <v>3355.25297439168</v>
      </c>
    </row>
    <row r="543" customFormat="false" ht="21" hidden="false" customHeight="true" outlineLevel="0" collapsed="false">
      <c r="A543" s="1" t="s">
        <v>413</v>
      </c>
      <c r="B543" s="1" t="s">
        <v>321</v>
      </c>
      <c r="C543" s="15" t="n">
        <v>63.2171313519947</v>
      </c>
      <c r="D543" s="15" t="n">
        <v>3.64741136268785</v>
      </c>
      <c r="E543" s="15" t="n">
        <v>3645.67336836399</v>
      </c>
      <c r="F543" s="15" t="n">
        <v>3.85543216183014</v>
      </c>
      <c r="G543" s="15" t="n">
        <v>0</v>
      </c>
      <c r="H543" s="15" t="n">
        <f aca="false">SQRT(F543^2+G543^2)</f>
        <v>3.85543216183014</v>
      </c>
      <c r="I543" s="15" t="n">
        <f aca="false">D543*F543/H543</f>
        <v>3.64741136268785</v>
      </c>
      <c r="J543" s="15" t="n">
        <f aca="false">SQRT(C543^2+D543^2-I543^2)</f>
        <v>63.2171313519947</v>
      </c>
      <c r="K543" s="15" t="n">
        <f aca="false">E543/H543</f>
        <v>945.593960764551</v>
      </c>
      <c r="L543" s="15" t="n">
        <f aca="false">J543/2-K543*ASINH(I543/(2*K543*SINH(J543/(2*K543))))</f>
        <v>-22.9085921057833</v>
      </c>
      <c r="M543" s="15" t="n">
        <f aca="false">-L543/K543</f>
        <v>0.0242266692220208</v>
      </c>
      <c r="N543" s="15" t="n">
        <f aca="false">(J543-L543)/K543</f>
        <v>0.0910810845155375</v>
      </c>
      <c r="O543" s="15" t="n">
        <f aca="false">K543*(SINH(N543)-SINH(M543))</f>
        <v>63.3340195052109</v>
      </c>
      <c r="P543" s="15" t="n">
        <f aca="false">E543*COSH(M543)</f>
        <v>3646.74330096609</v>
      </c>
      <c r="Q543" s="15" t="n">
        <f aca="false">E543*COSH(N543)</f>
        <v>3660.80564804123</v>
      </c>
    </row>
    <row r="544" customFormat="false" ht="21" hidden="false" customHeight="true" outlineLevel="0" collapsed="false">
      <c r="A544" s="1" t="s">
        <v>413</v>
      </c>
      <c r="B544" s="1" t="s">
        <v>322</v>
      </c>
      <c r="C544" s="15" t="n">
        <v>63.2171313519947</v>
      </c>
      <c r="D544" s="15" t="n">
        <v>3.64741136268785</v>
      </c>
      <c r="E544" s="15" t="n">
        <v>3408.75263616122</v>
      </c>
      <c r="F544" s="15" t="n">
        <v>2.33651151473205</v>
      </c>
      <c r="G544" s="15" t="n">
        <v>1.43495625</v>
      </c>
      <c r="H544" s="15" t="n">
        <f aca="false">SQRT(F544^2+G544^2)</f>
        <v>2.74196745018783</v>
      </c>
      <c r="I544" s="15" t="n">
        <f aca="false">D544*F544/H544</f>
        <v>3.10806703679175</v>
      </c>
      <c r="J544" s="15" t="n">
        <f aca="false">SQRT(C544^2+D544^2-I544^2)</f>
        <v>63.2459423624854</v>
      </c>
      <c r="K544" s="15" t="n">
        <f aca="false">E544/H544</f>
        <v>1243.17764455144</v>
      </c>
      <c r="L544" s="15" t="n">
        <f aca="false">J544/2-K544*ASINH(I544/(2*K544*SINH(J544/(2*K544))))</f>
        <v>-29.4388082994134</v>
      </c>
      <c r="M544" s="15" t="n">
        <f aca="false">-L544/K544</f>
        <v>0.0236802909290051</v>
      </c>
      <c r="N544" s="15" t="n">
        <f aca="false">(J544-L544)/K544</f>
        <v>0.0745547115234211</v>
      </c>
      <c r="O544" s="15" t="n">
        <f aca="false">K544*(SINH(N544)-SINH(M544))</f>
        <v>63.3290780497686</v>
      </c>
      <c r="P544" s="15" t="n">
        <f aca="false">E544*COSH(M544)</f>
        <v>3409.70842037429</v>
      </c>
      <c r="Q544" s="15" t="n">
        <f aca="false">E544*COSH(N544)</f>
        <v>3418.23063902217</v>
      </c>
    </row>
    <row r="545" customFormat="false" ht="21" hidden="false" customHeight="true" outlineLevel="0" collapsed="false">
      <c r="A545" s="1" t="s">
        <v>413</v>
      </c>
      <c r="B545" s="1" t="s">
        <v>323</v>
      </c>
      <c r="C545" s="15" t="n">
        <v>63.2171313519947</v>
      </c>
      <c r="D545" s="15" t="n">
        <v>3.64741136268785</v>
      </c>
      <c r="E545" s="15" t="n">
        <v>3502.88817388954</v>
      </c>
      <c r="F545" s="15" t="n">
        <v>1.32389775</v>
      </c>
      <c r="G545" s="15" t="n">
        <v>0</v>
      </c>
      <c r="H545" s="15" t="n">
        <f aca="false">SQRT(F545^2+G545^2)</f>
        <v>1.32389775</v>
      </c>
      <c r="I545" s="15" t="n">
        <f aca="false">D545*F545/H545</f>
        <v>3.64741136268785</v>
      </c>
      <c r="J545" s="15" t="n">
        <f aca="false">SQRT(C545^2+D545^2-I545^2)</f>
        <v>63.2171313519947</v>
      </c>
      <c r="K545" s="15" t="n">
        <f aca="false">E545/H545</f>
        <v>2645.89026901023</v>
      </c>
      <c r="L545" s="15" t="n">
        <f aca="false">J545/2-K545*ASINH(I545/(2*K545*SINH(J545/(2*K545))))</f>
        <v>-120.962019812195</v>
      </c>
      <c r="M545" s="15" t="n">
        <f aca="false">-L545/K545</f>
        <v>0.0457169449651607</v>
      </c>
      <c r="N545" s="15" t="n">
        <f aca="false">(J545-L545)/K545</f>
        <v>0.0696095198358649</v>
      </c>
      <c r="O545" s="15" t="n">
        <f aca="false">K545*(SINH(N545)-SINH(M545))</f>
        <v>63.323766657557</v>
      </c>
      <c r="P545" s="15" t="n">
        <f aca="false">E545*COSH(M545)</f>
        <v>3506.5493980458</v>
      </c>
      <c r="Q545" s="15" t="n">
        <f aca="false">E545*COSH(N545)</f>
        <v>3511.37819774219</v>
      </c>
    </row>
    <row r="546" customFormat="false" ht="21" hidden="false" customHeight="true" outlineLevel="0" collapsed="false">
      <c r="A546" s="1" t="s">
        <v>413</v>
      </c>
      <c r="B546" s="1" t="s">
        <v>324</v>
      </c>
      <c r="C546" s="15" t="n">
        <v>63.2171313519947</v>
      </c>
      <c r="D546" s="15" t="n">
        <v>3.64741136268785</v>
      </c>
      <c r="E546" s="15" t="n">
        <v>487.686563041548</v>
      </c>
      <c r="F546" s="15" t="n">
        <v>1.32389775</v>
      </c>
      <c r="G546" s="15" t="n">
        <v>0</v>
      </c>
      <c r="H546" s="15" t="n">
        <f aca="false">SQRT(F546^2+G546^2)</f>
        <v>1.32389775</v>
      </c>
      <c r="I546" s="15" t="n">
        <f aca="false">D546*F546/H546</f>
        <v>3.64741136268785</v>
      </c>
      <c r="J546" s="15" t="n">
        <f aca="false">SQRT(C546^2+D546^2-I546^2)</f>
        <v>63.2171313519947</v>
      </c>
      <c r="K546" s="15" t="n">
        <f aca="false">E546/H546</f>
        <v>368.371774211073</v>
      </c>
      <c r="L546" s="15" t="n">
        <f aca="false">J546/2-K546*ASINH(I546/(2*K546*SINH(J546/(2*K546))))</f>
        <v>10.3925690273917</v>
      </c>
      <c r="M546" s="15" t="n">
        <f aca="false">-L546/K546</f>
        <v>-0.028212175185379</v>
      </c>
      <c r="N546" s="15" t="n">
        <f aca="false">(J546-L546)/K546</f>
        <v>0.143400135468401</v>
      </c>
      <c r="O546" s="15" t="n">
        <f aca="false">K546*(SINH(N546)-SINH(M546))</f>
        <v>63.3997401159651</v>
      </c>
      <c r="P546" s="15" t="n">
        <f aca="false">E546*COSH(M546)</f>
        <v>487.880657324531</v>
      </c>
      <c r="Q546" s="15" t="n">
        <f aca="false">E546*COSH(N546)</f>
        <v>492.709457020918</v>
      </c>
    </row>
    <row r="547" customFormat="false" ht="21" hidden="false" customHeight="true" outlineLevel="0" collapsed="false">
      <c r="A547" s="1" t="s">
        <v>414</v>
      </c>
      <c r="B547" s="1" t="s">
        <v>319</v>
      </c>
      <c r="C547" s="15" t="n">
        <v>45.0891793978922</v>
      </c>
      <c r="D547" s="15" t="n">
        <v>-4.26606430303255</v>
      </c>
      <c r="E547" s="15" t="n">
        <v>2205.00000000185</v>
      </c>
      <c r="F547" s="15" t="n">
        <v>1.32389775</v>
      </c>
      <c r="G547" s="15" t="n">
        <v>0</v>
      </c>
      <c r="H547" s="15" t="n">
        <f aca="false">SQRT(F547^2+G547^2)</f>
        <v>1.32389775</v>
      </c>
      <c r="I547" s="15" t="n">
        <f aca="false">D547*F547/H547</f>
        <v>-4.26606430303255</v>
      </c>
      <c r="J547" s="15" t="n">
        <f aca="false">SQRT(C547^2+D547^2-I547^2)</f>
        <v>45.0891793978922</v>
      </c>
      <c r="K547" s="15" t="n">
        <f aca="false">E547/H547</f>
        <v>1665.53648119868</v>
      </c>
      <c r="L547" s="15" t="n">
        <f aca="false">J547/2-K547*ASINH(I547/(2*K547*SINH(J547/(2*K547))))</f>
        <v>179.888578922514</v>
      </c>
      <c r="M547" s="15" t="n">
        <f aca="false">-L547/K547</f>
        <v>-0.108006387703408</v>
      </c>
      <c r="N547" s="15" t="n">
        <f aca="false">(J547-L547)/K547</f>
        <v>-0.0809345223273689</v>
      </c>
      <c r="O547" s="15" t="n">
        <f aca="false">K547*(SINH(N547)-SINH(M547))</f>
        <v>45.2919150800025</v>
      </c>
      <c r="P547" s="15" t="n">
        <f aca="false">E547*COSH(M547)</f>
        <v>2217.8735885268</v>
      </c>
      <c r="Q547" s="15" t="n">
        <f aca="false">E547*COSH(N547)</f>
        <v>2212.22575559466</v>
      </c>
    </row>
    <row r="548" customFormat="false" ht="21" hidden="false" customHeight="true" outlineLevel="0" collapsed="false">
      <c r="A548" s="1" t="s">
        <v>414</v>
      </c>
      <c r="B548" s="1" t="s">
        <v>320</v>
      </c>
      <c r="C548" s="15" t="n">
        <v>45.0891793978922</v>
      </c>
      <c r="D548" s="15" t="n">
        <v>-4.26606430303255</v>
      </c>
      <c r="E548" s="15" t="n">
        <v>3177.74106280348</v>
      </c>
      <c r="F548" s="15" t="n">
        <v>1.32389775</v>
      </c>
      <c r="G548" s="15" t="n">
        <v>3.443895</v>
      </c>
      <c r="H548" s="15" t="n">
        <f aca="false">SQRT(F548^2+G548^2)</f>
        <v>3.68959591601574</v>
      </c>
      <c r="I548" s="15" t="n">
        <f aca="false">D548*F548/H548</f>
        <v>-1.53074565906366</v>
      </c>
      <c r="J548" s="15" t="n">
        <f aca="false">SQRT(C548^2+D548^2-I548^2)</f>
        <v>45.2646685742884</v>
      </c>
      <c r="K548" s="15" t="n">
        <f aca="false">E548/H548</f>
        <v>861.27075569701</v>
      </c>
      <c r="L548" s="15" t="n">
        <f aca="false">J548/2-K548*ASINH(I548/(2*K548*SINH(J548/(2*K548))))</f>
        <v>51.7496065067123</v>
      </c>
      <c r="M548" s="15" t="n">
        <f aca="false">-L548/K548</f>
        <v>-0.0600851778194099</v>
      </c>
      <c r="N548" s="15" t="n">
        <f aca="false">(J548-L548)/K548</f>
        <v>-0.0075294997415485</v>
      </c>
      <c r="O548" s="15" t="n">
        <f aca="false">K548*(SINH(N548)-SINH(M548))</f>
        <v>45.2957509047193</v>
      </c>
      <c r="P548" s="15" t="n">
        <f aca="false">E548*COSH(M548)</f>
        <v>3183.47897458032</v>
      </c>
      <c r="Q548" s="15" t="n">
        <f aca="false">E548*COSH(N548)</f>
        <v>3177.83114164818</v>
      </c>
    </row>
    <row r="549" customFormat="false" ht="21" hidden="false" customHeight="true" outlineLevel="0" collapsed="false">
      <c r="A549" s="1" t="s">
        <v>414</v>
      </c>
      <c r="B549" s="1" t="s">
        <v>321</v>
      </c>
      <c r="C549" s="15" t="n">
        <v>45.0891793978922</v>
      </c>
      <c r="D549" s="15" t="n">
        <v>-4.26606430303255</v>
      </c>
      <c r="E549" s="15" t="n">
        <v>3480.14533141641</v>
      </c>
      <c r="F549" s="15" t="n">
        <v>3.85543216183014</v>
      </c>
      <c r="G549" s="15" t="n">
        <v>0</v>
      </c>
      <c r="H549" s="15" t="n">
        <f aca="false">SQRT(F549^2+G549^2)</f>
        <v>3.85543216183014</v>
      </c>
      <c r="I549" s="15" t="n">
        <f aca="false">D549*F549/H549</f>
        <v>-4.26606430303255</v>
      </c>
      <c r="J549" s="15" t="n">
        <f aca="false">SQRT(C549^2+D549^2-I549^2)</f>
        <v>45.0891793978922</v>
      </c>
      <c r="K549" s="15" t="n">
        <f aca="false">E549/H549</f>
        <v>902.660242831097</v>
      </c>
      <c r="L549" s="15" t="n">
        <f aca="false">J549/2-K549*ASINH(I549/(2*K549*SINH(J549/(2*K549))))</f>
        <v>107.813071008022</v>
      </c>
      <c r="M549" s="15" t="n">
        <f aca="false">-L549/K549</f>
        <v>-0.119439259526793</v>
      </c>
      <c r="N549" s="15" t="n">
        <f aca="false">(J549-L549)/K549</f>
        <v>-0.0694878190418608</v>
      </c>
      <c r="O549" s="15" t="n">
        <f aca="false">K549*(SINH(N549)-SINH(M549))</f>
        <v>45.2952112816626</v>
      </c>
      <c r="P549" s="15" t="n">
        <f aca="false">E549*COSH(M549)</f>
        <v>3504.99827433187</v>
      </c>
      <c r="Q549" s="15" t="n">
        <f aca="false">E549*COSH(N549)</f>
        <v>3488.55075281353</v>
      </c>
    </row>
    <row r="550" customFormat="false" ht="21" hidden="false" customHeight="true" outlineLevel="0" collapsed="false">
      <c r="A550" s="1" t="s">
        <v>414</v>
      </c>
      <c r="B550" s="1" t="s">
        <v>322</v>
      </c>
      <c r="C550" s="15" t="n">
        <v>45.0891793978922</v>
      </c>
      <c r="D550" s="15" t="n">
        <v>-4.26606430303255</v>
      </c>
      <c r="E550" s="15" t="n">
        <v>3343.14763117972</v>
      </c>
      <c r="F550" s="15" t="n">
        <v>2.33651151473205</v>
      </c>
      <c r="G550" s="15" t="n">
        <v>1.43495625</v>
      </c>
      <c r="H550" s="15" t="n">
        <f aca="false">SQRT(F550^2+G550^2)</f>
        <v>2.74196745018783</v>
      </c>
      <c r="I550" s="15" t="n">
        <f aca="false">D550*F550/H550</f>
        <v>-3.63523949415961</v>
      </c>
      <c r="J550" s="15" t="n">
        <f aca="false">SQRT(C550^2+D550^2-I550^2)</f>
        <v>45.1444175644455</v>
      </c>
      <c r="K550" s="15" t="n">
        <f aca="false">E550/H550</f>
        <v>1219.25139226241</v>
      </c>
      <c r="L550" s="15" t="n">
        <f aca="false">J550/2-K550*ASINH(I550/(2*K550*SINH(J550/(2*K550))))</f>
        <v>120.64064441292</v>
      </c>
      <c r="M550" s="15" t="n">
        <f aca="false">-L550/K550</f>
        <v>-0.0989464889509477</v>
      </c>
      <c r="N550" s="15" t="n">
        <f aca="false">(J550-L550)/K550</f>
        <v>-0.0619201481561451</v>
      </c>
      <c r="O550" s="15" t="n">
        <f aca="false">K550*(SINH(N550)-SINH(M550))</f>
        <v>45.2931148095737</v>
      </c>
      <c r="P550" s="15" t="n">
        <f aca="false">E550*COSH(M550)</f>
        <v>3359.52637663848</v>
      </c>
      <c r="Q550" s="15" t="n">
        <f aca="false">E550*COSH(N550)</f>
        <v>3349.55866827186</v>
      </c>
    </row>
    <row r="551" customFormat="false" ht="21" hidden="false" customHeight="true" outlineLevel="0" collapsed="false">
      <c r="A551" s="1" t="s">
        <v>414</v>
      </c>
      <c r="B551" s="1" t="s">
        <v>323</v>
      </c>
      <c r="C551" s="15" t="n">
        <v>45.0891793978922</v>
      </c>
      <c r="D551" s="15" t="n">
        <v>-4.26606430303255</v>
      </c>
      <c r="E551" s="15" t="n">
        <v>3552.69057445599</v>
      </c>
      <c r="F551" s="15" t="n">
        <v>1.32389775</v>
      </c>
      <c r="G551" s="15" t="n">
        <v>0</v>
      </c>
      <c r="H551" s="15" t="n">
        <f aca="false">SQRT(F551^2+G551^2)</f>
        <v>1.32389775</v>
      </c>
      <c r="I551" s="15" t="n">
        <f aca="false">D551*F551/H551</f>
        <v>-4.26606430303255</v>
      </c>
      <c r="J551" s="15" t="n">
        <f aca="false">SQRT(C551^2+D551^2-I551^2)</f>
        <v>45.0891793978922</v>
      </c>
      <c r="K551" s="15" t="n">
        <f aca="false">E551/H551</f>
        <v>2683.50828034566</v>
      </c>
      <c r="L551" s="15" t="n">
        <f aca="false">J551/2-K551*ASINH(I551/(2*K551*SINH(J551/(2*K551))))</f>
        <v>276.061583228445</v>
      </c>
      <c r="M551" s="15" t="n">
        <f aca="false">-L551/K551</f>
        <v>-0.102873386026179</v>
      </c>
      <c r="N551" s="15" t="n">
        <f aca="false">(J551-L551)/K551</f>
        <v>-0.0860710606045911</v>
      </c>
      <c r="O551" s="15" t="n">
        <f aca="false">K551*(SINH(N551)-SINH(M551))</f>
        <v>45.2910723439333</v>
      </c>
      <c r="P551" s="15" t="n">
        <f aca="false">E551*COSH(M551)</f>
        <v>3571.50610344465</v>
      </c>
      <c r="Q551" s="15" t="n">
        <f aca="false">E551*COSH(N551)</f>
        <v>3565.85827051251</v>
      </c>
    </row>
    <row r="552" customFormat="false" ht="21" hidden="false" customHeight="true" outlineLevel="0" collapsed="false">
      <c r="A552" s="1" t="s">
        <v>414</v>
      </c>
      <c r="B552" s="1" t="s">
        <v>324</v>
      </c>
      <c r="C552" s="15" t="n">
        <v>45.0891793978922</v>
      </c>
      <c r="D552" s="15" t="n">
        <v>-4.26606430303255</v>
      </c>
      <c r="E552" s="15" t="n">
        <v>357.820035725284</v>
      </c>
      <c r="F552" s="15" t="n">
        <v>1.32389775</v>
      </c>
      <c r="G552" s="15" t="n">
        <v>0</v>
      </c>
      <c r="H552" s="15" t="n">
        <f aca="false">SQRT(F552^2+G552^2)</f>
        <v>1.32389775</v>
      </c>
      <c r="I552" s="15" t="n">
        <f aca="false">D552*F552/H552</f>
        <v>-4.26606430303255</v>
      </c>
      <c r="J552" s="15" t="n">
        <f aca="false">SQRT(C552^2+D552^2-I552^2)</f>
        <v>45.0891793978922</v>
      </c>
      <c r="K552" s="15" t="n">
        <f aca="false">E552/H552</f>
        <v>270.277697598084</v>
      </c>
      <c r="L552" s="15" t="n">
        <f aca="false">J552/2-K552*ASINH(I552/(2*K552*SINH(J552/(2*K552))))</f>
        <v>48.0491261527795</v>
      </c>
      <c r="M552" s="15" t="n">
        <f aca="false">-L552/K552</f>
        <v>-0.177776881258738</v>
      </c>
      <c r="N552" s="15" t="n">
        <f aca="false">(J552-L552)/K552</f>
        <v>-0.0109515020336192</v>
      </c>
      <c r="O552" s="15" t="n">
        <f aca="false">K552*(SINH(N552)-SINH(M552))</f>
        <v>45.3426162062428</v>
      </c>
      <c r="P552" s="15" t="n">
        <f aca="false">E552*COSH(M552)</f>
        <v>363.489326515868</v>
      </c>
      <c r="Q552" s="15" t="n">
        <f aca="false">E552*COSH(N552)</f>
        <v>357.841493583728</v>
      </c>
    </row>
    <row r="553" customFormat="false" ht="21" hidden="false" customHeight="true" outlineLevel="0" collapsed="false">
      <c r="A553" s="1" t="s">
        <v>415</v>
      </c>
      <c r="B553" s="1" t="s">
        <v>319</v>
      </c>
      <c r="C553" s="15" t="n">
        <v>52.3914821658236</v>
      </c>
      <c r="D553" s="15" t="n">
        <v>1.42416398684272</v>
      </c>
      <c r="E553" s="15" t="n">
        <v>2204.99999999926</v>
      </c>
      <c r="F553" s="15" t="n">
        <v>1.32389775</v>
      </c>
      <c r="G553" s="15" t="n">
        <v>0</v>
      </c>
      <c r="H553" s="15" t="n">
        <f aca="false">SQRT(F553^2+G553^2)</f>
        <v>1.32389775</v>
      </c>
      <c r="I553" s="15" t="n">
        <f aca="false">D553*F553/H553</f>
        <v>1.42416398684272</v>
      </c>
      <c r="J553" s="15" t="n">
        <f aca="false">SQRT(C553^2+D553^2-I553^2)</f>
        <v>52.3914821658236</v>
      </c>
      <c r="K553" s="15" t="n">
        <f aca="false">E553/H553</f>
        <v>1665.53648119672</v>
      </c>
      <c r="L553" s="15" t="n">
        <f aca="false">J553/2-K553*ASINH(I553/(2*K553*SINH(J553/(2*K553))))</f>
        <v>-19.0712984866581</v>
      </c>
      <c r="M553" s="15" t="n">
        <f aca="false">-L553/K553</f>
        <v>0.011450543834954</v>
      </c>
      <c r="N553" s="15" t="n">
        <f aca="false">(J553-L553)/K553</f>
        <v>0.0429067639521976</v>
      </c>
      <c r="O553" s="15" t="n">
        <f aca="false">K553*(SINH(N553)-SINH(M553))</f>
        <v>52.4129944749212</v>
      </c>
      <c r="P553" s="15" t="n">
        <f aca="false">E553*COSH(M553)</f>
        <v>2205.14455581562</v>
      </c>
      <c r="Q553" s="15" t="n">
        <f aca="false">E553*COSH(N553)</f>
        <v>2207.03000331343</v>
      </c>
    </row>
    <row r="554" customFormat="false" ht="21" hidden="false" customHeight="true" outlineLevel="0" collapsed="false">
      <c r="A554" s="1" t="s">
        <v>415</v>
      </c>
      <c r="B554" s="1" t="s">
        <v>320</v>
      </c>
      <c r="C554" s="15" t="n">
        <v>52.3914821658236</v>
      </c>
      <c r="D554" s="15" t="n">
        <v>1.42416398684272</v>
      </c>
      <c r="E554" s="15" t="n">
        <v>3239.43290669993</v>
      </c>
      <c r="F554" s="15" t="n">
        <v>1.32389775</v>
      </c>
      <c r="G554" s="15" t="n">
        <v>3.443895</v>
      </c>
      <c r="H554" s="15" t="n">
        <f aca="false">SQRT(F554^2+G554^2)</f>
        <v>3.68959591601574</v>
      </c>
      <c r="I554" s="15" t="n">
        <f aca="false">D554*F554/H554</f>
        <v>0.511017341933784</v>
      </c>
      <c r="J554" s="15" t="n">
        <f aca="false">SQRT(C554^2+D554^2-I554^2)</f>
        <v>52.4083438764237</v>
      </c>
      <c r="K554" s="15" t="n">
        <f aca="false">E554/H554</f>
        <v>877.991243604278</v>
      </c>
      <c r="L554" s="15" t="n">
        <f aca="false">J554/2-K554*ASINH(I554/(2*K554*SINH(J554/(2*K554))))</f>
        <v>17.6445608185236</v>
      </c>
      <c r="M554" s="15" t="n">
        <f aca="false">-L554/K554</f>
        <v>-0.0200965111520819</v>
      </c>
      <c r="N554" s="15" t="n">
        <f aca="false">(J554-L554)/K554</f>
        <v>0.0395946808252778</v>
      </c>
      <c r="O554" s="15" t="n">
        <f aca="false">K554*(SINH(N554)-SINH(M554))</f>
        <v>52.4186157181783</v>
      </c>
      <c r="P554" s="15" t="n">
        <f aca="false">E554*COSH(M554)</f>
        <v>3240.08708321239</v>
      </c>
      <c r="Q554" s="15" t="n">
        <f aca="false">E554*COSH(N554)</f>
        <v>3241.97253071021</v>
      </c>
    </row>
    <row r="555" customFormat="false" ht="21" hidden="false" customHeight="true" outlineLevel="0" collapsed="false">
      <c r="A555" s="1" t="s">
        <v>415</v>
      </c>
      <c r="B555" s="1" t="s">
        <v>321</v>
      </c>
      <c r="C555" s="15" t="n">
        <v>52.3914821658236</v>
      </c>
      <c r="D555" s="15" t="n">
        <v>1.42416398684272</v>
      </c>
      <c r="E555" s="15" t="n">
        <v>3549.25566913212</v>
      </c>
      <c r="F555" s="15" t="n">
        <v>3.85543216183014</v>
      </c>
      <c r="G555" s="15" t="n">
        <v>0</v>
      </c>
      <c r="H555" s="15" t="n">
        <f aca="false">SQRT(F555^2+G555^2)</f>
        <v>3.85543216183014</v>
      </c>
      <c r="I555" s="15" t="n">
        <f aca="false">D555*F555/H555</f>
        <v>1.42416398684272</v>
      </c>
      <c r="J555" s="15" t="n">
        <f aca="false">SQRT(C555^2+D555^2-I555^2)</f>
        <v>52.3914821658236</v>
      </c>
      <c r="K555" s="15" t="n">
        <f aca="false">E555/H555</f>
        <v>920.585687973129</v>
      </c>
      <c r="L555" s="15" t="n">
        <f aca="false">J555/2-K555*ASINH(I555/(2*K555*SINH(J555/(2*K555))))</f>
        <v>1.17780551688832</v>
      </c>
      <c r="M555" s="15" t="n">
        <f aca="false">-L555/K555</f>
        <v>-0.00127940889400694</v>
      </c>
      <c r="N555" s="15" t="n">
        <f aca="false">(J555-L555)/K555</f>
        <v>0.0556316237782204</v>
      </c>
      <c r="O555" s="15" t="n">
        <f aca="false">K555*(SINH(N555)-SINH(M555))</f>
        <v>52.4179032517398</v>
      </c>
      <c r="P555" s="15" t="n">
        <f aca="false">E555*COSH(M555)</f>
        <v>3549.25857399796</v>
      </c>
      <c r="Q555" s="15" t="n">
        <f aca="false">E555*COSH(N555)</f>
        <v>3554.74934163655</v>
      </c>
    </row>
    <row r="556" customFormat="false" ht="21" hidden="false" customHeight="true" outlineLevel="0" collapsed="false">
      <c r="A556" s="1" t="s">
        <v>415</v>
      </c>
      <c r="B556" s="1" t="s">
        <v>322</v>
      </c>
      <c r="C556" s="15" t="n">
        <v>52.3914821658236</v>
      </c>
      <c r="D556" s="15" t="n">
        <v>1.42416398684272</v>
      </c>
      <c r="E556" s="15" t="n">
        <v>3368.70235761227</v>
      </c>
      <c r="F556" s="15" t="n">
        <v>2.33651151473205</v>
      </c>
      <c r="G556" s="15" t="n">
        <v>1.43495625</v>
      </c>
      <c r="H556" s="15" t="n">
        <f aca="false">SQRT(F556^2+G556^2)</f>
        <v>2.74196745018783</v>
      </c>
      <c r="I556" s="15" t="n">
        <f aca="false">D556*F556/H556</f>
        <v>1.2135722303694</v>
      </c>
      <c r="J556" s="15" t="n">
        <f aca="false">SQRT(C556^2+D556^2-I556^2)</f>
        <v>52.3967831935789</v>
      </c>
      <c r="K556" s="15" t="n">
        <f aca="false">E556/H556</f>
        <v>1228.57124266063</v>
      </c>
      <c r="L556" s="15" t="n">
        <f aca="false">J556/2-K556*ASINH(I556/(2*K556*SINH(J556/(2*K556))))</f>
        <v>-2.25208995264338</v>
      </c>
      <c r="M556" s="15" t="n">
        <f aca="false">-L556/K556</f>
        <v>0.00183309675047105</v>
      </c>
      <c r="N556" s="15" t="n">
        <f aca="false">(J556-L556)/K556</f>
        <v>0.0444816476640565</v>
      </c>
      <c r="O556" s="15" t="n">
        <f aca="false">K556*(SINH(N556)-SINH(M556))</f>
        <v>52.4148052466671</v>
      </c>
      <c r="P556" s="15" t="n">
        <f aca="false">E556*COSH(M556)</f>
        <v>3368.70801744428</v>
      </c>
      <c r="Q556" s="15" t="n">
        <f aca="false">E556*COSH(N556)</f>
        <v>3372.03559299841</v>
      </c>
    </row>
    <row r="557" customFormat="false" ht="21" hidden="false" customHeight="true" outlineLevel="0" collapsed="false">
      <c r="A557" s="1" t="s">
        <v>415</v>
      </c>
      <c r="B557" s="1" t="s">
        <v>323</v>
      </c>
      <c r="C557" s="15" t="n">
        <v>52.3914821658236</v>
      </c>
      <c r="D557" s="15" t="n">
        <v>1.42416398684272</v>
      </c>
      <c r="E557" s="15" t="n">
        <v>3538.03034372318</v>
      </c>
      <c r="F557" s="15" t="n">
        <v>1.32389775</v>
      </c>
      <c r="G557" s="15" t="n">
        <v>0</v>
      </c>
      <c r="H557" s="15" t="n">
        <f aca="false">SQRT(F557^2+G557^2)</f>
        <v>1.32389775</v>
      </c>
      <c r="I557" s="15" t="n">
        <f aca="false">D557*F557/H557</f>
        <v>1.42416398684272</v>
      </c>
      <c r="J557" s="15" t="n">
        <f aca="false">SQRT(C557^2+D557^2-I557^2)</f>
        <v>52.3914821658236</v>
      </c>
      <c r="K557" s="15" t="n">
        <f aca="false">E557/H557</f>
        <v>2672.43474333511</v>
      </c>
      <c r="L557" s="15" t="n">
        <f aca="false">J557/2-K557*ASINH(I557/(2*K557*SINH(J557/(2*K557))))</f>
        <v>-46.4392688600321</v>
      </c>
      <c r="M557" s="15" t="n">
        <f aca="false">-L557/K557</f>
        <v>0.0173771385721761</v>
      </c>
      <c r="N557" s="15" t="n">
        <f aca="false">(J557-L557)/K557</f>
        <v>0.0369815395015102</v>
      </c>
      <c r="O557" s="15" t="n">
        <f aca="false">K557*(SINH(N557)-SINH(M557))</f>
        <v>52.4116738860751</v>
      </c>
      <c r="P557" s="15" t="n">
        <f aca="false">E557*COSH(M557)</f>
        <v>3538.5645377343</v>
      </c>
      <c r="Q557" s="15" t="n">
        <f aca="false">E557*COSH(N557)</f>
        <v>3540.44998523211</v>
      </c>
    </row>
    <row r="558" customFormat="false" ht="21" hidden="false" customHeight="true" outlineLevel="0" collapsed="false">
      <c r="A558" s="1" t="s">
        <v>415</v>
      </c>
      <c r="B558" s="1" t="s">
        <v>324</v>
      </c>
      <c r="C558" s="15" t="n">
        <v>52.3914821658236</v>
      </c>
      <c r="D558" s="15" t="n">
        <v>1.42416398684272</v>
      </c>
      <c r="E558" s="15" t="n">
        <v>411.939687366594</v>
      </c>
      <c r="F558" s="15" t="n">
        <v>1.32389775</v>
      </c>
      <c r="G558" s="15" t="n">
        <v>0</v>
      </c>
      <c r="H558" s="15" t="n">
        <f aca="false">SQRT(F558^2+G558^2)</f>
        <v>1.32389775</v>
      </c>
      <c r="I558" s="15" t="n">
        <f aca="false">D558*F558/H558</f>
        <v>1.42416398684272</v>
      </c>
      <c r="J558" s="15" t="n">
        <f aca="false">SQRT(C558^2+D558^2-I558^2)</f>
        <v>52.3914821658236</v>
      </c>
      <c r="K558" s="15" t="n">
        <f aca="false">E558/H558</f>
        <v>311.156724427241</v>
      </c>
      <c r="L558" s="15" t="n">
        <f aca="false">J558/2-K558*ASINH(I558/(2*K558*SINH(J558/(2*K558))))</f>
        <v>17.7485511311704</v>
      </c>
      <c r="M558" s="15" t="n">
        <f aca="false">-L558/K558</f>
        <v>-0.0570405513936455</v>
      </c>
      <c r="N558" s="15" t="n">
        <f aca="false">(J558-L558)/K558</f>
        <v>0.111335954890327</v>
      </c>
      <c r="O558" s="15" t="n">
        <f aca="false">K558*(SINH(N558)-SINH(M558))</f>
        <v>52.472723156879</v>
      </c>
      <c r="P558" s="15" t="n">
        <f aca="false">E558*COSH(M558)</f>
        <v>412.610017617622</v>
      </c>
      <c r="Q558" s="15" t="n">
        <f aca="false">E558*COSH(N558)</f>
        <v>414.495465115434</v>
      </c>
    </row>
    <row r="559" customFormat="false" ht="21" hidden="false" customHeight="true" outlineLevel="0" collapsed="false">
      <c r="A559" s="1" t="s">
        <v>416</v>
      </c>
      <c r="B559" s="1" t="s">
        <v>319</v>
      </c>
      <c r="C559" s="15" t="n">
        <v>48.2549276559864</v>
      </c>
      <c r="D559" s="15" t="n">
        <v>7.9125804008112</v>
      </c>
      <c r="E559" s="15" t="n">
        <v>2204.99999999856</v>
      </c>
      <c r="F559" s="15" t="n">
        <v>1.32389775</v>
      </c>
      <c r="G559" s="15" t="n">
        <v>0</v>
      </c>
      <c r="H559" s="15" t="n">
        <f aca="false">SQRT(F559^2+G559^2)</f>
        <v>1.32389775</v>
      </c>
      <c r="I559" s="15" t="n">
        <f aca="false">D559*F559/H559</f>
        <v>7.9125804008112</v>
      </c>
      <c r="J559" s="15" t="n">
        <f aca="false">SQRT(C559^2+D559^2-I559^2)</f>
        <v>48.2549276559864</v>
      </c>
      <c r="K559" s="15" t="n">
        <f aca="false">E559/H559</f>
        <v>1665.5364811962</v>
      </c>
      <c r="L559" s="15" t="n">
        <f aca="false">J559/2-K559*ASINH(I559/(2*K559*SINH(J559/(2*K559))))</f>
        <v>-247.759431204547</v>
      </c>
      <c r="M559" s="15" t="n">
        <f aca="false">-L559/K559</f>
        <v>0.14875653220553</v>
      </c>
      <c r="N559" s="15" t="n">
        <f aca="false">(J559-L559)/K559</f>
        <v>0.177729135448258</v>
      </c>
      <c r="O559" s="15" t="n">
        <f aca="false">K559*(SINH(N559)-SINH(M559))</f>
        <v>48.901021050233</v>
      </c>
      <c r="P559" s="15" t="n">
        <f aca="false">E559*COSH(M559)</f>
        <v>2229.44169942402</v>
      </c>
      <c r="Q559" s="15" t="n">
        <f aca="false">E559*COSH(N559)</f>
        <v>2239.91714681335</v>
      </c>
    </row>
    <row r="560" customFormat="false" ht="21" hidden="false" customHeight="true" outlineLevel="0" collapsed="false">
      <c r="A560" s="1" t="s">
        <v>416</v>
      </c>
      <c r="B560" s="1" t="s">
        <v>320</v>
      </c>
      <c r="C560" s="15" t="n">
        <v>48.2549276559864</v>
      </c>
      <c r="D560" s="15" t="n">
        <v>7.9125804008112</v>
      </c>
      <c r="E560" s="15" t="n">
        <v>3226.36010056955</v>
      </c>
      <c r="F560" s="15" t="n">
        <v>1.32389775</v>
      </c>
      <c r="G560" s="15" t="n">
        <v>3.443895</v>
      </c>
      <c r="H560" s="15" t="n">
        <f aca="false">SQRT(F560^2+G560^2)</f>
        <v>3.68959591601574</v>
      </c>
      <c r="I560" s="15" t="n">
        <f aca="false">D560*F560/H560</f>
        <v>2.83918554437259</v>
      </c>
      <c r="J560" s="15" t="n">
        <f aca="false">SQRT(C560^2+D560^2-I560^2)</f>
        <v>48.8168618115545</v>
      </c>
      <c r="K560" s="15" t="n">
        <f aca="false">E560/H560</f>
        <v>874.448089712106</v>
      </c>
      <c r="L560" s="15" t="n">
        <f aca="false">J560/2-K560*ASINH(I560/(2*K560*SINH(J560/(2*K560))))</f>
        <v>-26.4141931215287</v>
      </c>
      <c r="M560" s="15" t="n">
        <f aca="false">-L560/K560</f>
        <v>0.0302067022986179</v>
      </c>
      <c r="N560" s="15" t="n">
        <f aca="false">(J560-L560)/K560</f>
        <v>0.0860326139632274</v>
      </c>
      <c r="O560" s="15" t="n">
        <f aca="false">K560*(SINH(N560)-SINH(M560))</f>
        <v>48.905684227013</v>
      </c>
      <c r="P560" s="15" t="n">
        <f aca="false">E560*COSH(M560)</f>
        <v>3227.832150346</v>
      </c>
      <c r="Q560" s="15" t="n">
        <f aca="false">E560*COSH(N560)</f>
        <v>3238.30759773533</v>
      </c>
    </row>
    <row r="561" customFormat="false" ht="21" hidden="false" customHeight="true" outlineLevel="0" collapsed="false">
      <c r="A561" s="1" t="s">
        <v>416</v>
      </c>
      <c r="B561" s="1" t="s">
        <v>321</v>
      </c>
      <c r="C561" s="15" t="n">
        <v>48.2549276559864</v>
      </c>
      <c r="D561" s="15" t="n">
        <v>7.9125804008112</v>
      </c>
      <c r="E561" s="15" t="n">
        <v>3493.76677696647</v>
      </c>
      <c r="F561" s="15" t="n">
        <v>3.85543216183014</v>
      </c>
      <c r="G561" s="15" t="n">
        <v>0</v>
      </c>
      <c r="H561" s="15" t="n">
        <f aca="false">SQRT(F561^2+G561^2)</f>
        <v>3.85543216183014</v>
      </c>
      <c r="I561" s="15" t="n">
        <f aca="false">D561*F561/H561</f>
        <v>7.9125804008112</v>
      </c>
      <c r="J561" s="15" t="n">
        <f aca="false">SQRT(C561^2+D561^2-I561^2)</f>
        <v>48.2549276559864</v>
      </c>
      <c r="K561" s="15" t="n">
        <f aca="false">E561/H561</f>
        <v>906.193295671427</v>
      </c>
      <c r="L561" s="15" t="n">
        <f aca="false">J561/2-K561*ASINH(I561/(2*K561*SINH(J561/(2*K561))))</f>
        <v>-123.789902923578</v>
      </c>
      <c r="M561" s="15" t="n">
        <f aca="false">-L561/K561</f>
        <v>0.136604302321458</v>
      </c>
      <c r="N561" s="15" t="n">
        <f aca="false">(J561-L561)/K561</f>
        <v>0.189854450922737</v>
      </c>
      <c r="O561" s="15" t="n">
        <f aca="false">K561*(SINH(N561)-SINH(M561))</f>
        <v>48.9049818835214</v>
      </c>
      <c r="P561" s="15" t="n">
        <f aca="false">E561*COSH(M561)</f>
        <v>3526.41562930598</v>
      </c>
      <c r="Q561" s="15" t="n">
        <f aca="false">E561*COSH(N561)</f>
        <v>3556.92204626633</v>
      </c>
    </row>
    <row r="562" customFormat="false" ht="21" hidden="false" customHeight="true" outlineLevel="0" collapsed="false">
      <c r="A562" s="1" t="s">
        <v>416</v>
      </c>
      <c r="B562" s="1" t="s">
        <v>322</v>
      </c>
      <c r="C562" s="15" t="n">
        <v>48.2549276559864</v>
      </c>
      <c r="D562" s="15" t="n">
        <v>7.9125804008112</v>
      </c>
      <c r="E562" s="15" t="n">
        <v>3352.24211487804</v>
      </c>
      <c r="F562" s="15" t="n">
        <v>2.33651151473205</v>
      </c>
      <c r="G562" s="15" t="n">
        <v>1.43495625</v>
      </c>
      <c r="H562" s="15" t="n">
        <f aca="false">SQRT(F562^2+G562^2)</f>
        <v>2.74196745018783</v>
      </c>
      <c r="I562" s="15" t="n">
        <f aca="false">D562*F562/H562</f>
        <v>6.7425436492589</v>
      </c>
      <c r="J562" s="15" t="n">
        <f aca="false">SQRT(C562^2+D562^2-I562^2)</f>
        <v>48.4322730916237</v>
      </c>
      <c r="K562" s="15" t="n">
        <f aca="false">E562/H562</f>
        <v>1222.5681652962</v>
      </c>
      <c r="L562" s="15" t="n">
        <f aca="false">J562/2-K562*ASINH(I562/(2*K562*SINH(J562/(2*K562))))</f>
        <v>-145.428758318483</v>
      </c>
      <c r="M562" s="15" t="n">
        <f aca="false">-L562/K562</f>
        <v>0.118953496783755</v>
      </c>
      <c r="N562" s="15" t="n">
        <f aca="false">(J562-L562)/K562</f>
        <v>0.158568689184818</v>
      </c>
      <c r="O562" s="15" t="n">
        <f aca="false">K562*(SINH(N562)-SINH(M562))</f>
        <v>48.9024923404158</v>
      </c>
      <c r="P562" s="15" t="n">
        <f aca="false">E562*COSH(M562)</f>
        <v>3375.98709724607</v>
      </c>
      <c r="Q562" s="15" t="n">
        <f aca="false">E562*COSH(N562)</f>
        <v>3394.47493246381</v>
      </c>
    </row>
    <row r="563" customFormat="false" ht="21" hidden="false" customHeight="true" outlineLevel="0" collapsed="false">
      <c r="A563" s="1" t="s">
        <v>416</v>
      </c>
      <c r="B563" s="1" t="s">
        <v>323</v>
      </c>
      <c r="C563" s="15" t="n">
        <v>48.2549276559864</v>
      </c>
      <c r="D563" s="15" t="n">
        <v>7.9125804008112</v>
      </c>
      <c r="E563" s="15" t="n">
        <v>3534.22541888246</v>
      </c>
      <c r="F563" s="15" t="n">
        <v>1.32389775</v>
      </c>
      <c r="G563" s="15" t="n">
        <v>0</v>
      </c>
      <c r="H563" s="15" t="n">
        <f aca="false">SQRT(F563^2+G563^2)</f>
        <v>1.32389775</v>
      </c>
      <c r="I563" s="15" t="n">
        <f aca="false">D563*F563/H563</f>
        <v>7.9125804008112</v>
      </c>
      <c r="J563" s="15" t="n">
        <f aca="false">SQRT(C563^2+D563^2-I563^2)</f>
        <v>48.2549276559864</v>
      </c>
      <c r="K563" s="15" t="n">
        <f aca="false">E563/H563</f>
        <v>2669.56071107641</v>
      </c>
      <c r="L563" s="15" t="n">
        <f aca="false">J563/2-K563*ASINH(I563/(2*K563*SINH(J563/(2*K563))))</f>
        <v>-411.668418870028</v>
      </c>
      <c r="M563" s="15" t="n">
        <f aca="false">-L563/K563</f>
        <v>0.154208299950608</v>
      </c>
      <c r="N563" s="15" t="n">
        <f aca="false">(J563-L563)/K563</f>
        <v>0.172284280562612</v>
      </c>
      <c r="O563" s="15" t="n">
        <f aca="false">K563*(SINH(N563)-SINH(M563))</f>
        <v>48.9000038322387</v>
      </c>
      <c r="P563" s="15" t="n">
        <f aca="false">E563*COSH(M563)</f>
        <v>3576.33105305072</v>
      </c>
      <c r="Q563" s="15" t="n">
        <f aca="false">E563*COSH(N563)</f>
        <v>3586.80650044005</v>
      </c>
    </row>
    <row r="564" customFormat="false" ht="21" hidden="false" customHeight="true" outlineLevel="0" collapsed="false">
      <c r="A564" s="1" t="s">
        <v>416</v>
      </c>
      <c r="B564" s="1" t="s">
        <v>324</v>
      </c>
      <c r="C564" s="15" t="n">
        <v>48.2549276559864</v>
      </c>
      <c r="D564" s="15" t="n">
        <v>7.9125804008112</v>
      </c>
      <c r="E564" s="15" t="n">
        <v>378.706565944813</v>
      </c>
      <c r="F564" s="15" t="n">
        <v>1.32389775</v>
      </c>
      <c r="G564" s="15" t="n">
        <v>0</v>
      </c>
      <c r="H564" s="15" t="n">
        <f aca="false">SQRT(F564^2+G564^2)</f>
        <v>1.32389775</v>
      </c>
      <c r="I564" s="15" t="n">
        <f aca="false">D564*F564/H564</f>
        <v>7.9125804008112</v>
      </c>
      <c r="J564" s="15" t="n">
        <f aca="false">SQRT(C564^2+D564^2-I564^2)</f>
        <v>48.2549276559864</v>
      </c>
      <c r="K564" s="15" t="n">
        <f aca="false">E564/H564</f>
        <v>286.054240929719</v>
      </c>
      <c r="L564" s="15" t="n">
        <f aca="false">J564/2-K564*ASINH(I564/(2*K564*SINH(J564/(2*K564))))</f>
        <v>-22.5156215364263</v>
      </c>
      <c r="M564" s="15" t="n">
        <f aca="false">-L564/K564</f>
        <v>0.0787110215994254</v>
      </c>
      <c r="N564" s="15" t="n">
        <f aca="false">(J564-L564)/K564</f>
        <v>0.247402551916021</v>
      </c>
      <c r="O564" s="15" t="n">
        <f aca="false">K564*(SINH(N564)-SINH(M564))</f>
        <v>48.9558384016613</v>
      </c>
      <c r="P564" s="15" t="n">
        <f aca="false">E564*COSH(M564)</f>
        <v>379.880295784979</v>
      </c>
      <c r="Q564" s="15" t="n">
        <f aca="false">E564*COSH(N564)</f>
        <v>390.355743174307</v>
      </c>
    </row>
    <row r="565" customFormat="false" ht="21" hidden="false" customHeight="true" outlineLevel="0" collapsed="false">
      <c r="A565" s="1" t="s">
        <v>417</v>
      </c>
      <c r="B565" s="1" t="s">
        <v>319</v>
      </c>
      <c r="C565" s="15" t="n">
        <v>49.3601114634193</v>
      </c>
      <c r="D565" s="15" t="n">
        <v>7.06984715620174</v>
      </c>
      <c r="E565" s="15" t="n">
        <v>2204.99999999726</v>
      </c>
      <c r="F565" s="15" t="n">
        <v>1.32389775</v>
      </c>
      <c r="G565" s="15" t="n">
        <v>0</v>
      </c>
      <c r="H565" s="15" t="n">
        <f aca="false">SQRT(F565^2+G565^2)</f>
        <v>1.32389775</v>
      </c>
      <c r="I565" s="15" t="n">
        <f aca="false">D565*F565/H565</f>
        <v>7.06984715620174</v>
      </c>
      <c r="J565" s="15" t="n">
        <f aca="false">SQRT(C565^2+D565^2-I565^2)</f>
        <v>49.3601114634193</v>
      </c>
      <c r="K565" s="15" t="n">
        <f aca="false">E565/H565</f>
        <v>1665.53648119521</v>
      </c>
      <c r="L565" s="15" t="n">
        <f aca="false">J565/2-K565*ASINH(I565/(2*K565*SINH(J565/(2*K565))))</f>
        <v>-213.057826224136</v>
      </c>
      <c r="M565" s="15" t="n">
        <f aca="false">-L565/K565</f>
        <v>0.127921440706746</v>
      </c>
      <c r="N565" s="15" t="n">
        <f aca="false">(J565-L565)/K565</f>
        <v>0.157557604201645</v>
      </c>
      <c r="O565" s="15" t="n">
        <f aca="false">K565*(SINH(N565)-SINH(M565))</f>
        <v>49.865636202126</v>
      </c>
      <c r="P565" s="15" t="n">
        <f aca="false">E565*COSH(M565)</f>
        <v>2223.0658096672</v>
      </c>
      <c r="Q565" s="15" t="n">
        <f aca="false">E565*COSH(N565)</f>
        <v>2232.42556441014</v>
      </c>
    </row>
    <row r="566" customFormat="false" ht="21" hidden="false" customHeight="true" outlineLevel="0" collapsed="false">
      <c r="A566" s="1" t="s">
        <v>417</v>
      </c>
      <c r="B566" s="1" t="s">
        <v>320</v>
      </c>
      <c r="C566" s="15" t="n">
        <v>49.3601114634193</v>
      </c>
      <c r="D566" s="15" t="n">
        <v>7.06984715620174</v>
      </c>
      <c r="E566" s="15" t="n">
        <v>3230.53471498731</v>
      </c>
      <c r="F566" s="15" t="n">
        <v>1.32389775</v>
      </c>
      <c r="G566" s="15" t="n">
        <v>3.443895</v>
      </c>
      <c r="H566" s="15" t="n">
        <f aca="false">SQRT(F566^2+G566^2)</f>
        <v>3.68959591601574</v>
      </c>
      <c r="I566" s="15" t="n">
        <f aca="false">D566*F566/H566</f>
        <v>2.53679669969026</v>
      </c>
      <c r="J566" s="15" t="n">
        <f aca="false">SQRT(C566^2+D566^2-I566^2)</f>
        <v>49.7992771533651</v>
      </c>
      <c r="K566" s="15" t="n">
        <f aca="false">E566/H566</f>
        <v>875.579545435924</v>
      </c>
      <c r="L566" s="15" t="n">
        <f aca="false">J566/2-K566*ASINH(I566/(2*K566*SINH(J566/(2*K566))))</f>
        <v>-19.6774909401127</v>
      </c>
      <c r="M566" s="15" t="n">
        <f aca="false">-L566/K566</f>
        <v>0.0224736759129245</v>
      </c>
      <c r="N566" s="15" t="n">
        <f aca="false">(J566-L566)/K566</f>
        <v>0.0793494645410972</v>
      </c>
      <c r="O566" s="15" t="n">
        <f aca="false">K566*(SINH(N566)-SINH(M566))</f>
        <v>49.870551859063</v>
      </c>
      <c r="P566" s="15" t="n">
        <f aca="false">E566*COSH(M566)</f>
        <v>3231.35056612398</v>
      </c>
      <c r="Q566" s="15" t="n">
        <f aca="false">E566*COSH(N566)</f>
        <v>3240.71032086692</v>
      </c>
    </row>
    <row r="567" customFormat="false" ht="21" hidden="false" customHeight="true" outlineLevel="0" collapsed="false">
      <c r="A567" s="1" t="s">
        <v>417</v>
      </c>
      <c r="B567" s="1" t="s">
        <v>321</v>
      </c>
      <c r="C567" s="15" t="n">
        <v>49.3601114634193</v>
      </c>
      <c r="D567" s="15" t="n">
        <v>7.06984715620174</v>
      </c>
      <c r="E567" s="15" t="n">
        <v>3507.82775256829</v>
      </c>
      <c r="F567" s="15" t="n">
        <v>3.85543216183014</v>
      </c>
      <c r="G567" s="15" t="n">
        <v>0</v>
      </c>
      <c r="H567" s="15" t="n">
        <f aca="false">SQRT(F567^2+G567^2)</f>
        <v>3.85543216183014</v>
      </c>
      <c r="I567" s="15" t="n">
        <f aca="false">D567*F567/H567</f>
        <v>7.06984715620174</v>
      </c>
      <c r="J567" s="15" t="n">
        <f aca="false">SQRT(C567^2+D567^2-I567^2)</f>
        <v>49.3601114634193</v>
      </c>
      <c r="K567" s="15" t="n">
        <f aca="false">E567/H567</f>
        <v>909.840351309194</v>
      </c>
      <c r="L567" s="15" t="n">
        <f aca="false">J567/2-K567*ASINH(I567/(2*K567*SINH(J567/(2*K567))))</f>
        <v>-105.179023847885</v>
      </c>
      <c r="M567" s="15" t="n">
        <f aca="false">-L567/K567</f>
        <v>0.115601625819892</v>
      </c>
      <c r="N567" s="15" t="n">
        <f aca="false">(J567-L567)/K567</f>
        <v>0.169853024312379</v>
      </c>
      <c r="O567" s="15" t="n">
        <f aca="false">K567*(SINH(N567)-SINH(M567))</f>
        <v>49.8698403523985</v>
      </c>
      <c r="P567" s="15" t="n">
        <f aca="false">E567*COSH(M567)</f>
        <v>3531.29270855996</v>
      </c>
      <c r="Q567" s="15" t="n">
        <f aca="false">E567*COSH(N567)</f>
        <v>3558.5500246652</v>
      </c>
    </row>
    <row r="568" customFormat="false" ht="21" hidden="false" customHeight="true" outlineLevel="0" collapsed="false">
      <c r="A568" s="1" t="s">
        <v>417</v>
      </c>
      <c r="B568" s="1" t="s">
        <v>322</v>
      </c>
      <c r="C568" s="15" t="n">
        <v>49.3601114634193</v>
      </c>
      <c r="D568" s="15" t="n">
        <v>7.06984715620174</v>
      </c>
      <c r="E568" s="15" t="n">
        <v>3356.49251236876</v>
      </c>
      <c r="F568" s="15" t="n">
        <v>2.33651151473205</v>
      </c>
      <c r="G568" s="15" t="n">
        <v>1.43495625</v>
      </c>
      <c r="H568" s="15" t="n">
        <f aca="false">SQRT(F568^2+G568^2)</f>
        <v>2.74196745018783</v>
      </c>
      <c r="I568" s="15" t="n">
        <f aca="false">D568*F568/H568</f>
        <v>6.02442574098736</v>
      </c>
      <c r="J568" s="15" t="n">
        <f aca="false">SQRT(C568^2+D568^2-I568^2)</f>
        <v>49.4985821714578</v>
      </c>
      <c r="K568" s="15" t="n">
        <f aca="false">E568/H568</f>
        <v>1224.11829219156</v>
      </c>
      <c r="L568" s="15" t="n">
        <f aca="false">J568/2-K568*ASINH(I568/(2*K568*SINH(J568/(2*K568))))</f>
        <v>-123.861521946861</v>
      </c>
      <c r="M568" s="15" t="n">
        <f aca="false">-L568/K568</f>
        <v>0.101184275030405</v>
      </c>
      <c r="N568" s="15" t="n">
        <f aca="false">(J568-L568)/K568</f>
        <v>0.141620385239035</v>
      </c>
      <c r="O568" s="15" t="n">
        <f aca="false">K568*(SINH(N568)-SINH(M568))</f>
        <v>49.8671956726949</v>
      </c>
      <c r="P568" s="15" t="n">
        <f aca="false">E568*COSH(M568)</f>
        <v>3373.68949446359</v>
      </c>
      <c r="Q568" s="15" t="n">
        <f aca="false">E568*COSH(N568)</f>
        <v>3390.20827375145</v>
      </c>
    </row>
    <row r="569" customFormat="false" ht="21" hidden="false" customHeight="true" outlineLevel="0" collapsed="false">
      <c r="A569" s="1" t="s">
        <v>417</v>
      </c>
      <c r="B569" s="1" t="s">
        <v>323</v>
      </c>
      <c r="C569" s="15" t="n">
        <v>49.3601114634193</v>
      </c>
      <c r="D569" s="15" t="n">
        <v>7.06984715620174</v>
      </c>
      <c r="E569" s="15" t="n">
        <v>3535.01754764068</v>
      </c>
      <c r="F569" s="15" t="n">
        <v>1.32389775</v>
      </c>
      <c r="G569" s="15" t="n">
        <v>0</v>
      </c>
      <c r="H569" s="15" t="n">
        <f aca="false">SQRT(F569^2+G569^2)</f>
        <v>1.32389775</v>
      </c>
      <c r="I569" s="15" t="n">
        <f aca="false">D569*F569/H569</f>
        <v>7.06984715620174</v>
      </c>
      <c r="J569" s="15" t="n">
        <f aca="false">SQRT(C569^2+D569^2-I569^2)</f>
        <v>49.3601114634193</v>
      </c>
      <c r="K569" s="15" t="n">
        <f aca="false">E569/H569</f>
        <v>2670.15904184494</v>
      </c>
      <c r="L569" s="15" t="n">
        <f aca="false">J569/2-K569*ASINH(I569/(2*K569*SINH(J569/(2*K569))))</f>
        <v>-356.465634595631</v>
      </c>
      <c r="M569" s="15" t="n">
        <f aca="false">-L569/K569</f>
        <v>0.133499776234052</v>
      </c>
      <c r="N569" s="15" t="n">
        <f aca="false">(J569-L569)/K569</f>
        <v>0.151985608235023</v>
      </c>
      <c r="O569" s="15" t="n">
        <f aca="false">K569*(SINH(N569)-SINH(M569))</f>
        <v>49.8645437724649</v>
      </c>
      <c r="P569" s="15" t="n">
        <f aca="false">E569*COSH(M569)</f>
        <v>3566.56523763944</v>
      </c>
      <c r="Q569" s="15" t="n">
        <f aca="false">E569*COSH(N569)</f>
        <v>3575.92499238238</v>
      </c>
    </row>
    <row r="570" customFormat="false" ht="21" hidden="false" customHeight="true" outlineLevel="0" collapsed="false">
      <c r="A570" s="1" t="s">
        <v>417</v>
      </c>
      <c r="B570" s="1" t="s">
        <v>324</v>
      </c>
      <c r="C570" s="15" t="n">
        <v>49.3601114634193</v>
      </c>
      <c r="D570" s="15" t="n">
        <v>7.06984715620174</v>
      </c>
      <c r="E570" s="15" t="n">
        <v>387.485738513025</v>
      </c>
      <c r="F570" s="15" t="n">
        <v>1.32389775</v>
      </c>
      <c r="G570" s="15" t="n">
        <v>0</v>
      </c>
      <c r="H570" s="15" t="n">
        <f aca="false">SQRT(F570^2+G570^2)</f>
        <v>1.32389775</v>
      </c>
      <c r="I570" s="15" t="n">
        <f aca="false">D570*F570/H570</f>
        <v>7.06984715620174</v>
      </c>
      <c r="J570" s="15" t="n">
        <f aca="false">SQRT(C570^2+D570^2-I570^2)</f>
        <v>49.3601114634193</v>
      </c>
      <c r="K570" s="15" t="n">
        <f aca="false">E570/H570</f>
        <v>292.685548044043</v>
      </c>
      <c r="L570" s="15" t="n">
        <f aca="false">J570/2-K570*ASINH(I570/(2*K570*SINH(J570/(2*K570))))</f>
        <v>-17.0501211978033</v>
      </c>
      <c r="M570" s="15" t="n">
        <f aca="false">-L570/K570</f>
        <v>0.0582540590464604</v>
      </c>
      <c r="N570" s="15" t="n">
        <f aca="false">(J570-L570)/K570</f>
        <v>0.226899596187883</v>
      </c>
      <c r="O570" s="15" t="n">
        <f aca="false">K570*(SINH(N570)-SINH(M570))</f>
        <v>49.9217728461439</v>
      </c>
      <c r="P570" s="15" t="n">
        <f aca="false">E570*COSH(M570)</f>
        <v>388.14339774839</v>
      </c>
      <c r="Q570" s="15" t="n">
        <f aca="false">E570*COSH(N570)</f>
        <v>397.503152491329</v>
      </c>
    </row>
    <row r="571" customFormat="false" ht="21" hidden="false" customHeight="true" outlineLevel="0" collapsed="false">
      <c r="A571" s="1" t="s">
        <v>418</v>
      </c>
      <c r="B571" s="1" t="s">
        <v>319</v>
      </c>
      <c r="C571" s="15" t="n">
        <v>71.7626116591018</v>
      </c>
      <c r="D571" s="15" t="n">
        <v>5.62222176267496</v>
      </c>
      <c r="E571" s="15" t="n">
        <v>2205.00000000058</v>
      </c>
      <c r="F571" s="15" t="n">
        <v>1.32389775</v>
      </c>
      <c r="G571" s="15" t="n">
        <v>0</v>
      </c>
      <c r="H571" s="15" t="n">
        <f aca="false">SQRT(F571^2+G571^2)</f>
        <v>1.32389775</v>
      </c>
      <c r="I571" s="15" t="n">
        <f aca="false">D571*F571/H571</f>
        <v>5.62222176267496</v>
      </c>
      <c r="J571" s="15" t="n">
        <f aca="false">SQRT(C571^2+D571^2-I571^2)</f>
        <v>71.7626116591018</v>
      </c>
      <c r="K571" s="15" t="n">
        <f aca="false">E571/H571</f>
        <v>1665.53648119772</v>
      </c>
      <c r="L571" s="15" t="n">
        <f aca="false">J571/2-K571*ASINH(I571/(2*K571*SINH(J571/(2*K571))))</f>
        <v>-94.4615048623751</v>
      </c>
      <c r="M571" s="15" t="n">
        <f aca="false">-L571/K571</f>
        <v>0.0567153622443899</v>
      </c>
      <c r="N571" s="15" t="n">
        <f aca="false">(J571-L571)/K571</f>
        <v>0.0998021468745866</v>
      </c>
      <c r="O571" s="15" t="n">
        <f aca="false">K571*(SINH(N571)-SINH(M571))</f>
        <v>71.9880446652606</v>
      </c>
      <c r="P571" s="15" t="n">
        <f aca="false">E571*COSH(M571)</f>
        <v>2208.54728783448</v>
      </c>
      <c r="Q571" s="15" t="n">
        <f aca="false">E571*COSH(N571)</f>
        <v>2215.99053457608</v>
      </c>
    </row>
    <row r="572" customFormat="false" ht="21" hidden="false" customHeight="true" outlineLevel="0" collapsed="false">
      <c r="A572" s="1" t="s">
        <v>418</v>
      </c>
      <c r="B572" s="1" t="s">
        <v>320</v>
      </c>
      <c r="C572" s="15" t="n">
        <v>71.7626116591018</v>
      </c>
      <c r="D572" s="15" t="n">
        <v>5.62222176267496</v>
      </c>
      <c r="E572" s="15" t="n">
        <v>3439.70909605828</v>
      </c>
      <c r="F572" s="15" t="n">
        <v>1.32389775</v>
      </c>
      <c r="G572" s="15" t="n">
        <v>3.443895</v>
      </c>
      <c r="H572" s="15" t="n">
        <f aca="false">SQRT(F572^2+G572^2)</f>
        <v>3.68959591601574</v>
      </c>
      <c r="I572" s="15" t="n">
        <f aca="false">D572*F572/H572</f>
        <v>2.01736095524631</v>
      </c>
      <c r="J572" s="15" t="n">
        <f aca="false">SQRT(C572^2+D572^2-I572^2)</f>
        <v>71.9542359035241</v>
      </c>
      <c r="K572" s="15" t="n">
        <f aca="false">E572/H572</f>
        <v>932.272577906767</v>
      </c>
      <c r="L572" s="15" t="n">
        <f aca="false">J572/2-K572*ASINH(I572/(2*K572*SINH(J572/(2*K572))))</f>
        <v>9.84915730819024</v>
      </c>
      <c r="M572" s="15" t="n">
        <f aca="false">-L572/K572</f>
        <v>-0.0105646755483301</v>
      </c>
      <c r="N572" s="15" t="n">
        <f aca="false">(J572-L572)/K572</f>
        <v>0.0666168672844357</v>
      </c>
      <c r="O572" s="15" t="n">
        <f aca="false">K572*(SINH(N572)-SINH(M572))</f>
        <v>72.0003643716252</v>
      </c>
      <c r="P572" s="15" t="n">
        <f aca="false">E572*COSH(M572)</f>
        <v>3439.90105488488</v>
      </c>
      <c r="Q572" s="15" t="n">
        <f aca="false">E572*COSH(N572)</f>
        <v>3447.34430162649</v>
      </c>
    </row>
    <row r="573" customFormat="false" ht="21" hidden="false" customHeight="true" outlineLevel="0" collapsed="false">
      <c r="A573" s="1" t="s">
        <v>418</v>
      </c>
      <c r="B573" s="1" t="s">
        <v>321</v>
      </c>
      <c r="C573" s="15" t="n">
        <v>71.7626116591018</v>
      </c>
      <c r="D573" s="15" t="n">
        <v>5.62222176267496</v>
      </c>
      <c r="E573" s="15" t="n">
        <v>3723.07638538007</v>
      </c>
      <c r="F573" s="15" t="n">
        <v>3.85543216183014</v>
      </c>
      <c r="G573" s="15" t="n">
        <v>0</v>
      </c>
      <c r="H573" s="15" t="n">
        <f aca="false">SQRT(F573^2+G573^2)</f>
        <v>3.85543216183014</v>
      </c>
      <c r="I573" s="15" t="n">
        <f aca="false">D573*F573/H573</f>
        <v>5.62222176267496</v>
      </c>
      <c r="J573" s="15" t="n">
        <f aca="false">SQRT(C573^2+D573^2-I573^2)</f>
        <v>71.7626116591018</v>
      </c>
      <c r="K573" s="15" t="n">
        <f aca="false">E573/H573</f>
        <v>965.670313756154</v>
      </c>
      <c r="L573" s="15" t="n">
        <f aca="false">J573/2-K573*ASINH(I573/(2*K573*SINH(J573/(2*K573))))</f>
        <v>-39.6793314740576</v>
      </c>
      <c r="M573" s="15" t="n">
        <f aca="false">-L573/K573</f>
        <v>0.041089936087729</v>
      </c>
      <c r="N573" s="15" t="n">
        <f aca="false">(J573-L573)/K573</f>
        <v>0.115403716512404</v>
      </c>
      <c r="O573" s="15" t="n">
        <f aca="false">K573*(SINH(N573)-SINH(M573))</f>
        <v>71.9989741351427</v>
      </c>
      <c r="P573" s="15" t="n">
        <f aca="false">E573*COSH(M573)</f>
        <v>3726.21981677391</v>
      </c>
      <c r="Q573" s="15" t="n">
        <f aca="false">E573*COSH(N573)</f>
        <v>3747.89591137867</v>
      </c>
    </row>
    <row r="574" customFormat="false" ht="21" hidden="false" customHeight="true" outlineLevel="0" collapsed="false">
      <c r="A574" s="1" t="s">
        <v>418</v>
      </c>
      <c r="B574" s="1" t="s">
        <v>322</v>
      </c>
      <c r="C574" s="15" t="n">
        <v>71.7626116591018</v>
      </c>
      <c r="D574" s="15" t="n">
        <v>5.62222176267496</v>
      </c>
      <c r="E574" s="15" t="n">
        <v>3442.36647424212</v>
      </c>
      <c r="F574" s="15" t="n">
        <v>2.33651151473205</v>
      </c>
      <c r="G574" s="15" t="n">
        <v>1.43495625</v>
      </c>
      <c r="H574" s="15" t="n">
        <f aca="false">SQRT(F574^2+G574^2)</f>
        <v>2.74196745018783</v>
      </c>
      <c r="I574" s="15" t="n">
        <f aca="false">D574*F574/H574</f>
        <v>4.79086135248153</v>
      </c>
      <c r="J574" s="15" t="n">
        <f aca="false">SQRT(C574^2+D574^2-I574^2)</f>
        <v>71.8229034304869</v>
      </c>
      <c r="K574" s="15" t="n">
        <f aca="false">E574/H574</f>
        <v>1255.4366661086</v>
      </c>
      <c r="L574" s="15" t="n">
        <f aca="false">J574/2-K574*ASINH(I574/(2*K574*SINH(J574/(2*K574))))</f>
        <v>-47.7575877187674</v>
      </c>
      <c r="M574" s="15" t="n">
        <f aca="false">-L574/K574</f>
        <v>0.0380406188603672</v>
      </c>
      <c r="N574" s="15" t="n">
        <f aca="false">(J574-L574)/K574</f>
        <v>0.0952501184467634</v>
      </c>
      <c r="O574" s="15" t="n">
        <f aca="false">K574*(SINH(N574)-SINH(M574))</f>
        <v>71.9922837577001</v>
      </c>
      <c r="P574" s="15" t="n">
        <f aca="false">E574*COSH(M574)</f>
        <v>3444.85747939679</v>
      </c>
      <c r="Q574" s="15" t="n">
        <f aca="false">E574*COSH(N574)</f>
        <v>3457.99386528365</v>
      </c>
    </row>
    <row r="575" customFormat="false" ht="21" hidden="false" customHeight="true" outlineLevel="0" collapsed="false">
      <c r="A575" s="1" t="s">
        <v>418</v>
      </c>
      <c r="B575" s="1" t="s">
        <v>323</v>
      </c>
      <c r="C575" s="15" t="n">
        <v>71.7626116591018</v>
      </c>
      <c r="D575" s="15" t="n">
        <v>5.62222176267496</v>
      </c>
      <c r="E575" s="15" t="n">
        <v>3471.32420373052</v>
      </c>
      <c r="F575" s="15" t="n">
        <v>1.32389775</v>
      </c>
      <c r="G575" s="15" t="n">
        <v>0</v>
      </c>
      <c r="H575" s="15" t="n">
        <f aca="false">SQRT(F575^2+G575^2)</f>
        <v>1.32389775</v>
      </c>
      <c r="I575" s="15" t="n">
        <f aca="false">D575*F575/H575</f>
        <v>5.62222176267496</v>
      </c>
      <c r="J575" s="15" t="n">
        <f aca="false">SQRT(C575^2+D575^2-I575^2)</f>
        <v>71.7626116591018</v>
      </c>
      <c r="K575" s="15" t="n">
        <f aca="false">E575/H575</f>
        <v>2622.04857114571</v>
      </c>
      <c r="L575" s="15" t="n">
        <f aca="false">J575/2-K575*ASINH(I575/(2*K575*SINH(J575/(2*K575))))</f>
        <v>-169.326398779436</v>
      </c>
      <c r="M575" s="15" t="n">
        <f aca="false">-L575/K575</f>
        <v>0.0645779031871435</v>
      </c>
      <c r="N575" s="15" t="n">
        <f aca="false">(J575-L575)/K575</f>
        <v>0.0919468133014763</v>
      </c>
      <c r="O575" s="15" t="n">
        <f aca="false">K575*(SINH(N575)-SINH(M575))</f>
        <v>71.9847433845988</v>
      </c>
      <c r="P575" s="15" t="n">
        <f aca="false">E575*COSH(M575)</f>
        <v>3478.5649609019</v>
      </c>
      <c r="Q575" s="15" t="n">
        <f aca="false">E575*COSH(N575)</f>
        <v>3486.00820764351</v>
      </c>
    </row>
    <row r="576" customFormat="false" ht="21" hidden="false" customHeight="true" outlineLevel="0" collapsed="false">
      <c r="A576" s="1" t="s">
        <v>418</v>
      </c>
      <c r="B576" s="1" t="s">
        <v>324</v>
      </c>
      <c r="C576" s="15" t="n">
        <v>71.7626116591018</v>
      </c>
      <c r="D576" s="15" t="n">
        <v>5.62222176267496</v>
      </c>
      <c r="E576" s="15" t="n">
        <v>545.079437551647</v>
      </c>
      <c r="F576" s="15" t="n">
        <v>1.32389775</v>
      </c>
      <c r="G576" s="15" t="n">
        <v>0</v>
      </c>
      <c r="H576" s="15" t="n">
        <f aca="false">SQRT(F576^2+G576^2)</f>
        <v>1.32389775</v>
      </c>
      <c r="I576" s="15" t="n">
        <f aca="false">D576*F576/H576</f>
        <v>5.62222176267496</v>
      </c>
      <c r="J576" s="15" t="n">
        <f aca="false">SQRT(C576^2+D576^2-I576^2)</f>
        <v>71.7626116591018</v>
      </c>
      <c r="K576" s="15" t="n">
        <f aca="false">E576/H576</f>
        <v>411.723214690596</v>
      </c>
      <c r="L576" s="15" t="n">
        <f aca="false">J576/2-K576*ASINH(I576/(2*K576*SINH(J576/(2*K576))))</f>
        <v>3.6985428021429</v>
      </c>
      <c r="M576" s="15" t="n">
        <f aca="false">-L576/K576</f>
        <v>-0.00898308055066144</v>
      </c>
      <c r="N576" s="15" t="n">
        <f aca="false">(J576-L576)/K576</f>
        <v>0.165315110803524</v>
      </c>
      <c r="O576" s="15" t="n">
        <f aca="false">K576*(SINH(N576)-SINH(M576))</f>
        <v>72.0731067716209</v>
      </c>
      <c r="P576" s="15" t="n">
        <f aca="false">E576*COSH(M576)</f>
        <v>545.101430492786</v>
      </c>
      <c r="Q576" s="15" t="n">
        <f aca="false">E576*COSH(N576)</f>
        <v>552.544677234392</v>
      </c>
    </row>
    <row r="577" customFormat="false" ht="21" hidden="false" customHeight="true" outlineLevel="0" collapsed="false">
      <c r="A577" s="1" t="s">
        <v>419</v>
      </c>
      <c r="B577" s="1" t="s">
        <v>319</v>
      </c>
      <c r="C577" s="15" t="n">
        <v>71.7626116573795</v>
      </c>
      <c r="D577" s="15" t="n">
        <v>-2.08458132190972</v>
      </c>
      <c r="E577" s="15" t="n">
        <v>2204.99999999988</v>
      </c>
      <c r="F577" s="15" t="n">
        <v>1.32389775</v>
      </c>
      <c r="G577" s="15" t="n">
        <v>0</v>
      </c>
      <c r="H577" s="15" t="n">
        <f aca="false">SQRT(F577^2+G577^2)</f>
        <v>1.32389775</v>
      </c>
      <c r="I577" s="15" t="n">
        <f aca="false">D577*F577/H577</f>
        <v>-2.08458132190972</v>
      </c>
      <c r="J577" s="15" t="n">
        <f aca="false">SQRT(C577^2+D577^2-I577^2)</f>
        <v>71.7626116573795</v>
      </c>
      <c r="K577" s="15" t="n">
        <f aca="false">E577/H577</f>
        <v>1665.53648119719</v>
      </c>
      <c r="L577" s="15" t="n">
        <f aca="false">J577/2-K577*ASINH(I577/(2*K577*SINH(J577/(2*K577))))</f>
        <v>84.2517543669775</v>
      </c>
      <c r="M577" s="15" t="n">
        <f aca="false">-L577/K577</f>
        <v>-0.0505853551201815</v>
      </c>
      <c r="N577" s="15" t="n">
        <f aca="false">(J577-L577)/K577</f>
        <v>-0.00749857049100524</v>
      </c>
      <c r="O577" s="15" t="n">
        <f aca="false">K577*(SINH(N577)-SINH(M577))</f>
        <v>71.7984308757458</v>
      </c>
      <c r="P577" s="15" t="n">
        <f aca="false">E577*COSH(M577)</f>
        <v>2207.82176479887</v>
      </c>
      <c r="Q577" s="15" t="n">
        <f aca="false">E577*COSH(N577)</f>
        <v>2205.06199227711</v>
      </c>
    </row>
    <row r="578" customFormat="false" ht="21" hidden="false" customHeight="true" outlineLevel="0" collapsed="false">
      <c r="A578" s="1" t="s">
        <v>419</v>
      </c>
      <c r="B578" s="1" t="s">
        <v>320</v>
      </c>
      <c r="C578" s="15" t="n">
        <v>71.7626116573795</v>
      </c>
      <c r="D578" s="15" t="n">
        <v>-2.08458132190972</v>
      </c>
      <c r="E578" s="15" t="n">
        <v>3433.54949856471</v>
      </c>
      <c r="F578" s="15" t="n">
        <v>1.32389775</v>
      </c>
      <c r="G578" s="15" t="n">
        <v>3.443895</v>
      </c>
      <c r="H578" s="15" t="n">
        <f aca="false">SQRT(F578^2+G578^2)</f>
        <v>3.68959591601574</v>
      </c>
      <c r="I578" s="15" t="n">
        <f aca="false">D578*F578/H578</f>
        <v>-0.747987742990695</v>
      </c>
      <c r="J578" s="15" t="n">
        <f aca="false">SQRT(C578^2+D578^2-I578^2)</f>
        <v>71.7889854052267</v>
      </c>
      <c r="K578" s="15" t="n">
        <f aca="false">E578/H578</f>
        <v>930.603127475399</v>
      </c>
      <c r="L578" s="15" t="n">
        <f aca="false">J578/2-K578*ASINH(I578/(2*K578*SINH(J578/(2*K578))))</f>
        <v>45.5881048493131</v>
      </c>
      <c r="M578" s="15" t="n">
        <f aca="false">-L578/K578</f>
        <v>-0.0489876978739449</v>
      </c>
      <c r="N578" s="15" t="n">
        <f aca="false">(J578-L578)/K578</f>
        <v>0.0281547308217124</v>
      </c>
      <c r="O578" s="15" t="n">
        <f aca="false">K578*(SINH(N578)-SINH(M578))</f>
        <v>71.8106829356679</v>
      </c>
      <c r="P578" s="15" t="n">
        <f aca="false">E578*COSH(M578)</f>
        <v>3437.67022921629</v>
      </c>
      <c r="Q578" s="15" t="n">
        <f aca="false">E578*COSH(N578)</f>
        <v>3434.91045669452</v>
      </c>
    </row>
    <row r="579" customFormat="false" ht="21" hidden="false" customHeight="true" outlineLevel="0" collapsed="false">
      <c r="A579" s="1" t="s">
        <v>419</v>
      </c>
      <c r="B579" s="1" t="s">
        <v>321</v>
      </c>
      <c r="C579" s="15" t="n">
        <v>71.7626116573795</v>
      </c>
      <c r="D579" s="15" t="n">
        <v>-2.08458132190972</v>
      </c>
      <c r="E579" s="15" t="n">
        <v>3727.77913930884</v>
      </c>
      <c r="F579" s="15" t="n">
        <v>3.85543216183014</v>
      </c>
      <c r="G579" s="15" t="n">
        <v>0</v>
      </c>
      <c r="H579" s="15" t="n">
        <f aca="false">SQRT(F579^2+G579^2)</f>
        <v>3.85543216183014</v>
      </c>
      <c r="I579" s="15" t="n">
        <f aca="false">D579*F579/H579</f>
        <v>-2.08458132190972</v>
      </c>
      <c r="J579" s="15" t="n">
        <f aca="false">SQRT(C579^2+D579^2-I579^2)</f>
        <v>71.7626116573795</v>
      </c>
      <c r="K579" s="15" t="n">
        <f aca="false">E579/H579</f>
        <v>966.890087242333</v>
      </c>
      <c r="L579" s="15" t="n">
        <f aca="false">J579/2-K579*ASINH(I579/(2*K579*SINH(J579/(2*K579))))</f>
        <v>63.9574205025333</v>
      </c>
      <c r="M579" s="15" t="n">
        <f aca="false">-L579/K579</f>
        <v>-0.0661475604584449</v>
      </c>
      <c r="N579" s="15" t="n">
        <f aca="false">(J579-L579)/K579</f>
        <v>0.00807246992996633</v>
      </c>
      <c r="O579" s="15" t="n">
        <f aca="false">K579*(SINH(N579)-SINH(M579))</f>
        <v>71.809347579459</v>
      </c>
      <c r="P579" s="15" t="n">
        <f aca="false">E579*COSH(M579)</f>
        <v>3735.9375617774</v>
      </c>
      <c r="Q579" s="15" t="n">
        <f aca="false">E579*COSH(N579)</f>
        <v>3727.90059990496</v>
      </c>
    </row>
    <row r="580" customFormat="false" ht="21" hidden="false" customHeight="true" outlineLevel="0" collapsed="false">
      <c r="A580" s="1" t="s">
        <v>419</v>
      </c>
      <c r="B580" s="1" t="s">
        <v>322</v>
      </c>
      <c r="C580" s="15" t="n">
        <v>71.7626116573795</v>
      </c>
      <c r="D580" s="15" t="n">
        <v>-2.08458132190972</v>
      </c>
      <c r="E580" s="15" t="n">
        <v>3442.78315996737</v>
      </c>
      <c r="F580" s="15" t="n">
        <v>2.33651151473205</v>
      </c>
      <c r="G580" s="15" t="n">
        <v>1.43495625</v>
      </c>
      <c r="H580" s="15" t="n">
        <f aca="false">SQRT(F580^2+G580^2)</f>
        <v>2.74196745018783</v>
      </c>
      <c r="I580" s="15" t="n">
        <f aca="false">D580*F580/H580</f>
        <v>-1.77633336300319</v>
      </c>
      <c r="J580" s="15" t="n">
        <f aca="false">SQRT(C580^2+D580^2-I580^2)</f>
        <v>71.7709032335458</v>
      </c>
      <c r="K580" s="15" t="n">
        <f aca="false">E580/H580</f>
        <v>1255.58863207203</v>
      </c>
      <c r="L580" s="15" t="n">
        <f aca="false">J580/2-K580*ASINH(I580/(2*K580*SINH(J580/(2*K580))))</f>
        <v>66.9539308172107</v>
      </c>
      <c r="M580" s="15" t="n">
        <f aca="false">-L580/K580</f>
        <v>-0.053324734795281</v>
      </c>
      <c r="N580" s="15" t="n">
        <f aca="false">(J580-L580)/K580</f>
        <v>0.00383642563598713</v>
      </c>
      <c r="O580" s="15" t="n">
        <f aca="false">K580*(SINH(N580)-SINH(M580))</f>
        <v>71.8026504502165</v>
      </c>
      <c r="P580" s="15" t="n">
        <f aca="false">E580*COSH(M580)</f>
        <v>3447.67914398004</v>
      </c>
      <c r="Q580" s="15" t="n">
        <f aca="false">E580*COSH(N580)</f>
        <v>3442.808495718</v>
      </c>
    </row>
    <row r="581" customFormat="false" ht="21" hidden="false" customHeight="true" outlineLevel="0" collapsed="false">
      <c r="A581" s="1" t="s">
        <v>419</v>
      </c>
      <c r="B581" s="1" t="s">
        <v>323</v>
      </c>
      <c r="C581" s="15" t="n">
        <v>71.7626116573795</v>
      </c>
      <c r="D581" s="15" t="n">
        <v>-2.08458132190972</v>
      </c>
      <c r="E581" s="15" t="n">
        <v>3473.79201372763</v>
      </c>
      <c r="F581" s="15" t="n">
        <v>1.32389775</v>
      </c>
      <c r="G581" s="15" t="n">
        <v>0</v>
      </c>
      <c r="H581" s="15" t="n">
        <f aca="false">SQRT(F581^2+G581^2)</f>
        <v>1.32389775</v>
      </c>
      <c r="I581" s="15" t="n">
        <f aca="false">D581*F581/H581</f>
        <v>-2.08458132190972</v>
      </c>
      <c r="J581" s="15" t="n">
        <f aca="false">SQRT(C581^2+D581^2-I581^2)</f>
        <v>71.7626116573795</v>
      </c>
      <c r="K581" s="15" t="n">
        <f aca="false">E581/H581</f>
        <v>2623.9126199343</v>
      </c>
      <c r="L581" s="15" t="n">
        <f aca="false">J581/2-K581*ASINH(I581/(2*K581*SINH(J581/(2*K581))))</f>
        <v>112.088397139183</v>
      </c>
      <c r="M581" s="15" t="n">
        <f aca="false">-L581/K581</f>
        <v>-0.042718037288143</v>
      </c>
      <c r="N581" s="15" t="n">
        <f aca="false">(J581-L581)/K581</f>
        <v>-0.0153685702700011</v>
      </c>
      <c r="O581" s="15" t="n">
        <f aca="false">K581*(SINH(N581)-SINH(M581))</f>
        <v>71.7951176963914</v>
      </c>
      <c r="P581" s="15" t="n">
        <f aca="false">E581*COSH(M581)</f>
        <v>3476.96203691959</v>
      </c>
      <c r="Q581" s="15" t="n">
        <f aca="false">E581*COSH(N581)</f>
        <v>3474.20226439782</v>
      </c>
    </row>
    <row r="582" customFormat="false" ht="21" hidden="false" customHeight="true" outlineLevel="0" collapsed="false">
      <c r="A582" s="1" t="s">
        <v>419</v>
      </c>
      <c r="B582" s="1" t="s">
        <v>324</v>
      </c>
      <c r="C582" s="15" t="n">
        <v>71.7626116573795</v>
      </c>
      <c r="D582" s="15" t="n">
        <v>-2.08458132190972</v>
      </c>
      <c r="E582" s="15" t="n">
        <v>546.050661951005</v>
      </c>
      <c r="F582" s="15" t="n">
        <v>1.32389775</v>
      </c>
      <c r="G582" s="15" t="n">
        <v>0</v>
      </c>
      <c r="H582" s="15" t="n">
        <f aca="false">SQRT(F582^2+G582^2)</f>
        <v>1.32389775</v>
      </c>
      <c r="I582" s="15" t="n">
        <f aca="false">D582*F582/H582</f>
        <v>-2.08458132190972</v>
      </c>
      <c r="J582" s="15" t="n">
        <f aca="false">SQRT(C582^2+D582^2-I582^2)</f>
        <v>71.7626116573795</v>
      </c>
      <c r="K582" s="15" t="n">
        <f aca="false">E582/H582</f>
        <v>412.456824517607</v>
      </c>
      <c r="L582" s="15" t="n">
        <f aca="false">J582/2-K582*ASINH(I582/(2*K582*SINH(J582/(2*K582))))</f>
        <v>47.84569542577</v>
      </c>
      <c r="M582" s="15" t="n">
        <f aca="false">-L582/K582</f>
        <v>-0.116001706316118</v>
      </c>
      <c r="N582" s="15" t="n">
        <f aca="false">(J582-L582)/K582</f>
        <v>0.0579864723042996</v>
      </c>
      <c r="O582" s="15" t="n">
        <f aca="false">K582*(SINH(N582)-SINH(M582))</f>
        <v>71.883394397402</v>
      </c>
      <c r="P582" s="15" t="n">
        <f aca="false">E582*COSH(M582)</f>
        <v>549.728720564201</v>
      </c>
      <c r="Q582" s="15" t="n">
        <f aca="false">E582*COSH(N582)</f>
        <v>546.968948042432</v>
      </c>
    </row>
    <row r="583" customFormat="false" ht="21" hidden="false" customHeight="true" outlineLevel="0" collapsed="false">
      <c r="A583" s="1" t="s">
        <v>420</v>
      </c>
      <c r="B583" s="1" t="s">
        <v>319</v>
      </c>
      <c r="C583" s="15" t="n">
        <v>71.7626116590796</v>
      </c>
      <c r="D583" s="15" t="n">
        <v>-7.87634907038537</v>
      </c>
      <c r="E583" s="15" t="n">
        <v>2205.00000000039</v>
      </c>
      <c r="F583" s="15" t="n">
        <v>1.32389775</v>
      </c>
      <c r="G583" s="15" t="n">
        <v>0</v>
      </c>
      <c r="H583" s="15" t="n">
        <f aca="false">SQRT(F583^2+G583^2)</f>
        <v>1.32389775</v>
      </c>
      <c r="I583" s="15" t="n">
        <f aca="false">D583*F583/H583</f>
        <v>-7.87634907038537</v>
      </c>
      <c r="J583" s="15" t="n">
        <f aca="false">SQRT(C583^2+D583^2-I583^2)</f>
        <v>71.7626116590796</v>
      </c>
      <c r="K583" s="15" t="n">
        <f aca="false">E583/H583</f>
        <v>1665.53648119758</v>
      </c>
      <c r="L583" s="15" t="n">
        <f aca="false">J583/2-K583*ASINH(I583/(2*K583*SINH(J583/(2*K583))))</f>
        <v>218.304180779247</v>
      </c>
      <c r="M583" s="15" t="n">
        <f aca="false">-L583/K583</f>
        <v>-0.131071389455414</v>
      </c>
      <c r="N583" s="15" t="n">
        <f aca="false">(J583-L583)/K583</f>
        <v>-0.0879846048252269</v>
      </c>
      <c r="O583" s="15" t="n">
        <f aca="false">K583*(SINH(N583)-SINH(M583))</f>
        <v>72.1990725138089</v>
      </c>
      <c r="P583" s="15" t="n">
        <f aca="false">E583*COSH(M583)</f>
        <v>2223.96776106197</v>
      </c>
      <c r="Q583" s="15" t="n">
        <f aca="false">E583*COSH(N583)</f>
        <v>2213.54028024947</v>
      </c>
    </row>
    <row r="584" customFormat="false" ht="21" hidden="false" customHeight="true" outlineLevel="0" collapsed="false">
      <c r="A584" s="1" t="s">
        <v>420</v>
      </c>
      <c r="B584" s="1" t="s">
        <v>320</v>
      </c>
      <c r="C584" s="15" t="n">
        <v>71.7626116590796</v>
      </c>
      <c r="D584" s="15" t="n">
        <v>-7.87634907038537</v>
      </c>
      <c r="E584" s="15" t="n">
        <v>3446.56094020508</v>
      </c>
      <c r="F584" s="15" t="n">
        <v>1.32389775</v>
      </c>
      <c r="G584" s="15" t="n">
        <v>3.443895</v>
      </c>
      <c r="H584" s="15" t="n">
        <f aca="false">SQRT(F584^2+G584^2)</f>
        <v>3.68959591601574</v>
      </c>
      <c r="I584" s="15" t="n">
        <f aca="false">D584*F584/H584</f>
        <v>-2.82618504840444</v>
      </c>
      <c r="J584" s="15" t="n">
        <f aca="false">SQRT(C584^2+D584^2-I584^2)</f>
        <v>72.1382144558805</v>
      </c>
      <c r="K584" s="15" t="n">
        <f aca="false">E584/H584</f>
        <v>934.12964960317</v>
      </c>
      <c r="L584" s="15" t="n">
        <f aca="false">J584/2-K584*ASINH(I584/(2*K584*SINH(J584/(2*K584))))</f>
        <v>72.6474033634628</v>
      </c>
      <c r="M584" s="15" t="n">
        <f aca="false">-L584/K584</f>
        <v>-0.0777701504221864</v>
      </c>
      <c r="N584" s="15" t="n">
        <f aca="false">(J584-L584)/K584</f>
        <v>-0.000545094471413709</v>
      </c>
      <c r="O584" s="15" t="n">
        <f aca="false">K584*(SINH(N584)-SINH(M584))</f>
        <v>72.2114675389461</v>
      </c>
      <c r="P584" s="15" t="n">
        <f aca="false">E584*COSH(M584)</f>
        <v>3456.98893305244</v>
      </c>
      <c r="Q584" s="15" t="n">
        <f aca="false">E584*COSH(N584)</f>
        <v>3446.56145223994</v>
      </c>
    </row>
    <row r="585" customFormat="false" ht="21" hidden="false" customHeight="true" outlineLevel="0" collapsed="false">
      <c r="A585" s="1" t="s">
        <v>420</v>
      </c>
      <c r="B585" s="1" t="s">
        <v>321</v>
      </c>
      <c r="C585" s="15" t="n">
        <v>71.7626116590796</v>
      </c>
      <c r="D585" s="15" t="n">
        <v>-7.87634907038537</v>
      </c>
      <c r="E585" s="15" t="n">
        <v>3717.86998353703</v>
      </c>
      <c r="F585" s="15" t="n">
        <v>3.85543216183014</v>
      </c>
      <c r="G585" s="15" t="n">
        <v>0</v>
      </c>
      <c r="H585" s="15" t="n">
        <f aca="false">SQRT(F585^2+G585^2)</f>
        <v>3.85543216183014</v>
      </c>
      <c r="I585" s="15" t="n">
        <f aca="false">D585*F585/H585</f>
        <v>-7.87634907038537</v>
      </c>
      <c r="J585" s="15" t="n">
        <f aca="false">SQRT(C585^2+D585^2-I585^2)</f>
        <v>71.7626116590796</v>
      </c>
      <c r="K585" s="15" t="n">
        <f aca="false">E585/H585</f>
        <v>964.319906947137</v>
      </c>
      <c r="L585" s="15" t="n">
        <f aca="false">J585/2-K585*ASINH(I585/(2*K585*SINH(J585/(2*K585))))</f>
        <v>141.485198665392</v>
      </c>
      <c r="M585" s="15" t="n">
        <f aca="false">-L585/K585</f>
        <v>-0.146720188649127</v>
      </c>
      <c r="N585" s="15" t="n">
        <f aca="false">(J585-L585)/K585</f>
        <v>-0.0723023412707947</v>
      </c>
      <c r="O585" s="15" t="n">
        <f aca="false">K585*(SINH(N585)-SINH(M585))</f>
        <v>72.2100160544676</v>
      </c>
      <c r="P585" s="15" t="n">
        <f aca="false">E585*COSH(M585)</f>
        <v>3757.9587688703</v>
      </c>
      <c r="Q585" s="15" t="n">
        <f aca="false">E585*COSH(N585)</f>
        <v>3727.59203934654</v>
      </c>
    </row>
    <row r="586" customFormat="false" ht="21" hidden="false" customHeight="true" outlineLevel="0" collapsed="false">
      <c r="A586" s="1" t="s">
        <v>420</v>
      </c>
      <c r="B586" s="1" t="s">
        <v>322</v>
      </c>
      <c r="C586" s="15" t="n">
        <v>71.7626116590796</v>
      </c>
      <c r="D586" s="15" t="n">
        <v>-7.87634907038537</v>
      </c>
      <c r="E586" s="15" t="n">
        <v>3441.91708241299</v>
      </c>
      <c r="F586" s="15" t="n">
        <v>2.33651151473205</v>
      </c>
      <c r="G586" s="15" t="n">
        <v>1.43495625</v>
      </c>
      <c r="H586" s="15" t="n">
        <f aca="false">SQRT(F586^2+G586^2)</f>
        <v>2.74196745018783</v>
      </c>
      <c r="I586" s="15" t="n">
        <f aca="false">D586*F586/H586</f>
        <v>-6.71166986163307</v>
      </c>
      <c r="J586" s="15" t="n">
        <f aca="false">SQRT(C586^2+D586^2-I586^2)</f>
        <v>71.8808931113051</v>
      </c>
      <c r="K586" s="15" t="n">
        <f aca="false">E586/H586</f>
        <v>1255.27277217577</v>
      </c>
      <c r="L586" s="15" t="n">
        <f aca="false">J586/2-K586*ASINH(I586/(2*K586*SINH(J586/(2*K586))))</f>
        <v>152.962312537085</v>
      </c>
      <c r="M586" s="15" t="n">
        <f aca="false">-L586/K586</f>
        <v>-0.121855835582218</v>
      </c>
      <c r="N586" s="15" t="n">
        <f aca="false">(J586-L586)/K586</f>
        <v>-0.0645926695958211</v>
      </c>
      <c r="O586" s="15" t="n">
        <f aca="false">K586*(SINH(N586)-SINH(M586))</f>
        <v>72.2033332791248</v>
      </c>
      <c r="P586" s="15" t="n">
        <f aca="false">E586*COSH(M586)</f>
        <v>3467.5029650415</v>
      </c>
      <c r="Q586" s="15" t="n">
        <f aca="false">E586*COSH(N586)</f>
        <v>3449.0997847445</v>
      </c>
    </row>
    <row r="587" customFormat="false" ht="21" hidden="false" customHeight="true" outlineLevel="0" collapsed="false">
      <c r="A587" s="1" t="s">
        <v>420</v>
      </c>
      <c r="B587" s="1" t="s">
        <v>323</v>
      </c>
      <c r="C587" s="15" t="n">
        <v>71.7626116590796</v>
      </c>
      <c r="D587" s="15" t="n">
        <v>-7.87634907038537</v>
      </c>
      <c r="E587" s="15" t="n">
        <v>3468.5844000956</v>
      </c>
      <c r="F587" s="15" t="n">
        <v>1.32389775</v>
      </c>
      <c r="G587" s="15" t="n">
        <v>0</v>
      </c>
      <c r="H587" s="15" t="n">
        <f aca="false">SQRT(F587^2+G587^2)</f>
        <v>1.32389775</v>
      </c>
      <c r="I587" s="15" t="n">
        <f aca="false">D587*F587/H587</f>
        <v>-7.87634907038537</v>
      </c>
      <c r="J587" s="15" t="n">
        <f aca="false">SQRT(C587^2+D587^2-I587^2)</f>
        <v>71.7626116590796</v>
      </c>
      <c r="K587" s="15" t="n">
        <f aca="false">E587/H587</f>
        <v>2619.97907322949</v>
      </c>
      <c r="L587" s="15" t="n">
        <f aca="false">J587/2-K587*ASINH(I587/(2*K587*SINH(J587/(2*K587))))</f>
        <v>322.855540516488</v>
      </c>
      <c r="M587" s="15" t="n">
        <f aca="false">-L587/K587</f>
        <v>-0.123228289804057</v>
      </c>
      <c r="N587" s="15" t="n">
        <f aca="false">(J587-L587)/K587</f>
        <v>-0.0958377612336808</v>
      </c>
      <c r="O587" s="15" t="n">
        <f aca="false">K587*(SINH(N587)-SINH(M587))</f>
        <v>72.1957844014438</v>
      </c>
      <c r="P587" s="15" t="n">
        <f aca="false">E587*COSH(M587)</f>
        <v>3494.95333663309</v>
      </c>
      <c r="Q587" s="15" t="n">
        <f aca="false">E587*COSH(N587)</f>
        <v>3484.52585582059</v>
      </c>
    </row>
    <row r="588" customFormat="false" ht="21" hidden="false" customHeight="true" outlineLevel="0" collapsed="false">
      <c r="A588" s="1" t="s">
        <v>420</v>
      </c>
      <c r="B588" s="1" t="s">
        <v>324</v>
      </c>
      <c r="C588" s="15" t="n">
        <v>71.7626116590796</v>
      </c>
      <c r="D588" s="15" t="n">
        <v>-7.87634907038537</v>
      </c>
      <c r="E588" s="15" t="n">
        <v>544.005078012803</v>
      </c>
      <c r="F588" s="15" t="n">
        <v>1.32389775</v>
      </c>
      <c r="G588" s="15" t="n">
        <v>0</v>
      </c>
      <c r="H588" s="15" t="n">
        <f aca="false">SQRT(F588^2+G588^2)</f>
        <v>1.32389775</v>
      </c>
      <c r="I588" s="15" t="n">
        <f aca="false">D588*F588/H588</f>
        <v>-7.87634907038537</v>
      </c>
      <c r="J588" s="15" t="n">
        <f aca="false">SQRT(C588^2+D588^2-I588^2)</f>
        <v>71.7626116590796</v>
      </c>
      <c r="K588" s="15" t="n">
        <f aca="false">E588/H588</f>
        <v>410.91170221628</v>
      </c>
      <c r="L588" s="15" t="n">
        <f aca="false">J588/2-K588*ASINH(I588/(2*K588*SINH(J588/(2*K588))))</f>
        <v>80.8341871488058</v>
      </c>
      <c r="M588" s="15" t="n">
        <f aca="false">-L588/K588</f>
        <v>-0.196719116814686</v>
      </c>
      <c r="N588" s="15" t="n">
        <f aca="false">(J588-L588)/K588</f>
        <v>-0.0220767027096042</v>
      </c>
      <c r="O588" s="15" t="n">
        <f aca="false">K588*(SINH(N588)-SINH(M588))</f>
        <v>72.2842435727008</v>
      </c>
      <c r="P588" s="15" t="n">
        <f aca="false">E588*COSH(M588)</f>
        <v>554.56513302543</v>
      </c>
      <c r="Q588" s="15" t="n">
        <f aca="false">E588*COSH(N588)</f>
        <v>544.137652212933</v>
      </c>
    </row>
    <row r="589" customFormat="false" ht="21" hidden="false" customHeight="true" outlineLevel="0" collapsed="false">
      <c r="A589" s="1" t="s">
        <v>421</v>
      </c>
      <c r="B589" s="1" t="s">
        <v>319</v>
      </c>
      <c r="C589" s="15" t="n">
        <v>71.7626116573795</v>
      </c>
      <c r="D589" s="15" t="n">
        <v>11.8085463370875</v>
      </c>
      <c r="E589" s="15" t="n">
        <v>2205.00000000256</v>
      </c>
      <c r="F589" s="15" t="n">
        <v>1.32389775</v>
      </c>
      <c r="G589" s="15" t="n">
        <v>0</v>
      </c>
      <c r="H589" s="15" t="n">
        <f aca="false">SQRT(F589^2+G589^2)</f>
        <v>1.32389775</v>
      </c>
      <c r="I589" s="15" t="n">
        <f aca="false">D589*F589/H589</f>
        <v>11.8085463370875</v>
      </c>
      <c r="J589" s="15" t="n">
        <f aca="false">SQRT(C589^2+D589^2-I589^2)</f>
        <v>71.7626116573795</v>
      </c>
      <c r="K589" s="15" t="n">
        <f aca="false">E589/H589</f>
        <v>1665.53648119922</v>
      </c>
      <c r="L589" s="15" t="n">
        <f aca="false">J589/2-K589*ASINH(I589/(2*K589*SINH(J589/(2*K589))))</f>
        <v>-236.940041112625</v>
      </c>
      <c r="M589" s="15" t="n">
        <f aca="false">-L589/K589</f>
        <v>0.14226049311272</v>
      </c>
      <c r="N589" s="15" t="n">
        <f aca="false">(J589-L589)/K589</f>
        <v>0.185347277741844</v>
      </c>
      <c r="O589" s="15" t="n">
        <f aca="false">K589*(SINH(N589)-SINH(M589))</f>
        <v>72.733149000485</v>
      </c>
      <c r="P589" s="15" t="n">
        <f aca="false">E589*COSH(M589)</f>
        <v>2227.35010323984</v>
      </c>
      <c r="Q589" s="15" t="n">
        <f aca="false">E589*COSH(N589)</f>
        <v>2242.98341116628</v>
      </c>
    </row>
    <row r="590" customFormat="false" ht="21" hidden="false" customHeight="true" outlineLevel="0" collapsed="false">
      <c r="A590" s="1" t="s">
        <v>421</v>
      </c>
      <c r="B590" s="1" t="s">
        <v>320</v>
      </c>
      <c r="C590" s="15" t="n">
        <v>71.7626116573795</v>
      </c>
      <c r="D590" s="15" t="n">
        <v>11.8085463370875</v>
      </c>
      <c r="E590" s="15" t="n">
        <v>3463.88614028319</v>
      </c>
      <c r="F590" s="15" t="n">
        <v>1.32389775</v>
      </c>
      <c r="G590" s="15" t="n">
        <v>3.443895</v>
      </c>
      <c r="H590" s="15" t="n">
        <f aca="false">SQRT(F590^2+G590^2)</f>
        <v>3.68959591601574</v>
      </c>
      <c r="I590" s="15" t="n">
        <f aca="false">D590*F590/H590</f>
        <v>4.23713281407865</v>
      </c>
      <c r="J590" s="15" t="n">
        <f aca="false">SQRT(C590^2+D590^2-I590^2)</f>
        <v>72.6041383393458</v>
      </c>
      <c r="K590" s="15" t="n">
        <f aca="false">E590/H590</f>
        <v>938.825339991083</v>
      </c>
      <c r="L590" s="15" t="n">
        <f aca="false">J590/2-K590*ASINH(I590/(2*K590*SINH(J590/(2*K590))))</f>
        <v>-18.4425191366659</v>
      </c>
      <c r="M590" s="15" t="n">
        <f aca="false">-L590/K590</f>
        <v>0.0196442494158083</v>
      </c>
      <c r="N590" s="15" t="n">
        <f aca="false">(J590-L590)/K590</f>
        <v>0.0969793353435437</v>
      </c>
      <c r="O590" s="15" t="n">
        <f aca="false">K590*(SINH(N590)-SINH(M590))</f>
        <v>72.7457347990529</v>
      </c>
      <c r="P590" s="15" t="n">
        <f aca="false">E590*COSH(M590)</f>
        <v>3464.5545126061</v>
      </c>
      <c r="Q590" s="15" t="n">
        <f aca="false">E590*COSH(N590)</f>
        <v>3480.18782053254</v>
      </c>
    </row>
    <row r="591" customFormat="false" ht="21" hidden="false" customHeight="true" outlineLevel="0" collapsed="false">
      <c r="A591" s="1" t="s">
        <v>421</v>
      </c>
      <c r="B591" s="1" t="s">
        <v>321</v>
      </c>
      <c r="C591" s="15" t="n">
        <v>71.7626116573795</v>
      </c>
      <c r="D591" s="15" t="n">
        <v>11.8085463370875</v>
      </c>
      <c r="E591" s="15" t="n">
        <v>3704.82136675881</v>
      </c>
      <c r="F591" s="15" t="n">
        <v>3.85543216183014</v>
      </c>
      <c r="G591" s="15" t="n">
        <v>0</v>
      </c>
      <c r="H591" s="15" t="n">
        <f aca="false">SQRT(F591^2+G591^2)</f>
        <v>3.85543216183014</v>
      </c>
      <c r="I591" s="15" t="n">
        <f aca="false">D591*F591/H591</f>
        <v>11.8085463370875</v>
      </c>
      <c r="J591" s="15" t="n">
        <f aca="false">SQRT(C591^2+D591^2-I591^2)</f>
        <v>71.7626116573795</v>
      </c>
      <c r="K591" s="15" t="n">
        <f aca="false">E591/H591</f>
        <v>960.93543116582</v>
      </c>
      <c r="L591" s="15" t="n">
        <f aca="false">J591/2-K591*ASINH(I591/(2*K591*SINH(J591/(2*K591))))</f>
        <v>-121.49946883266</v>
      </c>
      <c r="M591" s="15" t="n">
        <f aca="false">-L591/K591</f>
        <v>0.126438743844896</v>
      </c>
      <c r="N591" s="15" t="n">
        <f aca="false">(J591-L591)/K591</f>
        <v>0.201118695618884</v>
      </c>
      <c r="O591" s="15" t="n">
        <f aca="false">K591*(SINH(N591)-SINH(M591))</f>
        <v>72.7441275124201</v>
      </c>
      <c r="P591" s="15" t="n">
        <f aca="false">E591*COSH(M591)</f>
        <v>3734.47487799325</v>
      </c>
      <c r="Q591" s="15" t="n">
        <f aca="false">E591*COSH(N591)</f>
        <v>3780.00192732572</v>
      </c>
    </row>
    <row r="592" customFormat="false" ht="21" hidden="false" customHeight="true" outlineLevel="0" collapsed="false">
      <c r="A592" s="1" t="s">
        <v>421</v>
      </c>
      <c r="B592" s="1" t="s">
        <v>322</v>
      </c>
      <c r="C592" s="15" t="n">
        <v>71.7626116573795</v>
      </c>
      <c r="D592" s="15" t="n">
        <v>11.8085463370875</v>
      </c>
      <c r="E592" s="15" t="n">
        <v>3440.84687903046</v>
      </c>
      <c r="F592" s="15" t="n">
        <v>2.33651151473205</v>
      </c>
      <c r="G592" s="15" t="n">
        <v>1.43495625</v>
      </c>
      <c r="H592" s="15" t="n">
        <f aca="false">SQRT(F592^2+G592^2)</f>
        <v>2.74196745018783</v>
      </c>
      <c r="I592" s="15" t="n">
        <f aca="false">D592*F592/H592</f>
        <v>10.0624113852854</v>
      </c>
      <c r="J592" s="15" t="n">
        <f aca="false">SQRT(C592^2+D592^2-I592^2)</f>
        <v>72.0282033345014</v>
      </c>
      <c r="K592" s="15" t="n">
        <f aca="false">E592/H592</f>
        <v>1254.88246725714</v>
      </c>
      <c r="L592" s="15" t="n">
        <f aca="false">J592/2-K592*ASINH(I592/(2*K592*SINH(J592/(2*K592))))</f>
        <v>-138.705111341855</v>
      </c>
      <c r="M592" s="15" t="n">
        <f aca="false">-L592/K592</f>
        <v>0.110532352599547</v>
      </c>
      <c r="N592" s="15" t="n">
        <f aca="false">(J592-L592)/K592</f>
        <v>0.167930718752464</v>
      </c>
      <c r="O592" s="15" t="n">
        <f aca="false">K592*(SINH(N592)-SINH(M592))</f>
        <v>72.7374643869416</v>
      </c>
      <c r="P592" s="15" t="n">
        <f aca="false">E592*COSH(M592)</f>
        <v>3461.88739064898</v>
      </c>
      <c r="Q592" s="15" t="n">
        <f aca="false">E592*COSH(N592)</f>
        <v>3489.47819513783</v>
      </c>
    </row>
    <row r="593" customFormat="false" ht="21" hidden="false" customHeight="true" outlineLevel="0" collapsed="false">
      <c r="A593" s="1" t="s">
        <v>421</v>
      </c>
      <c r="B593" s="1" t="s">
        <v>323</v>
      </c>
      <c r="C593" s="15" t="n">
        <v>71.7626116573795</v>
      </c>
      <c r="D593" s="15" t="n">
        <v>11.8085463370875</v>
      </c>
      <c r="E593" s="15" t="n">
        <v>3461.68225711964</v>
      </c>
      <c r="F593" s="15" t="n">
        <v>1.32389775</v>
      </c>
      <c r="G593" s="15" t="n">
        <v>0</v>
      </c>
      <c r="H593" s="15" t="n">
        <f aca="false">SQRT(F593^2+G593^2)</f>
        <v>1.32389775</v>
      </c>
      <c r="I593" s="15" t="n">
        <f aca="false">D593*F593/H593</f>
        <v>11.8085463370875</v>
      </c>
      <c r="J593" s="15" t="n">
        <f aca="false">SQRT(C593^2+D593^2-I593^2)</f>
        <v>71.7626116573795</v>
      </c>
      <c r="K593" s="15" t="n">
        <f aca="false">E593/H593</f>
        <v>2614.76557167624</v>
      </c>
      <c r="L593" s="15" t="n">
        <f aca="false">J593/2-K593*ASINH(I593/(2*K593*SINH(J593/(2*K593))))</f>
        <v>-392.446968637073</v>
      </c>
      <c r="M593" s="15" t="n">
        <f aca="false">-L593/K593</f>
        <v>0.150088777704644</v>
      </c>
      <c r="N593" s="15" t="n">
        <f aca="false">(J593-L593)/K593</f>
        <v>0.177533919416287</v>
      </c>
      <c r="O593" s="15" t="n">
        <f aca="false">K593*(SINH(N593)-SINH(M593))</f>
        <v>72.7298938696531</v>
      </c>
      <c r="P593" s="15" t="n">
        <f aca="false">E593*COSH(M593)</f>
        <v>3500.74554204761</v>
      </c>
      <c r="Q593" s="15" t="n">
        <f aca="false">E593*COSH(N593)</f>
        <v>3516.37884997405</v>
      </c>
    </row>
    <row r="594" customFormat="false" ht="21" hidden="false" customHeight="true" outlineLevel="0" collapsed="false">
      <c r="A594" s="1" t="s">
        <v>421</v>
      </c>
      <c r="B594" s="1" t="s">
        <v>324</v>
      </c>
      <c r="C594" s="15" t="n">
        <v>71.7626116573795</v>
      </c>
      <c r="D594" s="15" t="n">
        <v>11.8085463370875</v>
      </c>
      <c r="E594" s="15" t="n">
        <v>541.316543506183</v>
      </c>
      <c r="F594" s="15" t="n">
        <v>1.32389775</v>
      </c>
      <c r="G594" s="15" t="n">
        <v>0</v>
      </c>
      <c r="H594" s="15" t="n">
        <f aca="false">SQRT(F594^2+G594^2)</f>
        <v>1.32389775</v>
      </c>
      <c r="I594" s="15" t="n">
        <f aca="false">D594*F594/H594</f>
        <v>11.8085463370875</v>
      </c>
      <c r="J594" s="15" t="n">
        <f aca="false">SQRT(C594^2+D594^2-I594^2)</f>
        <v>71.7626116573795</v>
      </c>
      <c r="K594" s="15" t="n">
        <f aca="false">E594/H594</f>
        <v>408.880930197353</v>
      </c>
      <c r="L594" s="15" t="n">
        <f aca="false">J594/2-K594*ASINH(I594/(2*K594*SINH(J594/(2*K594))))</f>
        <v>-31.014980419101</v>
      </c>
      <c r="M594" s="15" t="n">
        <f aca="false">-L594/K594</f>
        <v>0.0758533307095811</v>
      </c>
      <c r="N594" s="15" t="n">
        <f aca="false">(J594-L594)/K594</f>
        <v>0.251363134071509</v>
      </c>
      <c r="O594" s="15" t="n">
        <f aca="false">K594*(SINH(N594)-SINH(M594))</f>
        <v>72.8185921976453</v>
      </c>
      <c r="P594" s="15" t="n">
        <f aca="false">E594*COSH(M594)</f>
        <v>542.874584353561</v>
      </c>
      <c r="Q594" s="15" t="n">
        <f aca="false">E594*COSH(N594)</f>
        <v>558.507892280002</v>
      </c>
    </row>
    <row r="595" customFormat="false" ht="21" hidden="false" customHeight="true" outlineLevel="0" collapsed="false">
      <c r="A595" s="1" t="s">
        <v>422</v>
      </c>
      <c r="B595" s="1" t="s">
        <v>319</v>
      </c>
      <c r="C595" s="15" t="n">
        <v>71.7626116591018</v>
      </c>
      <c r="D595" s="15" t="n">
        <v>-1.67859180912765</v>
      </c>
      <c r="E595" s="15" t="n">
        <v>2205.00000000004</v>
      </c>
      <c r="F595" s="15" t="n">
        <v>1.32389775</v>
      </c>
      <c r="G595" s="15" t="n">
        <v>0</v>
      </c>
      <c r="H595" s="15" t="n">
        <f aca="false">SQRT(F595^2+G595^2)</f>
        <v>1.32389775</v>
      </c>
      <c r="I595" s="15" t="n">
        <f aca="false">D595*F595/H595</f>
        <v>-1.67859180912765</v>
      </c>
      <c r="J595" s="15" t="n">
        <f aca="false">SQRT(C595^2+D595^2-I595^2)</f>
        <v>71.7626116591018</v>
      </c>
      <c r="K595" s="15" t="n">
        <f aca="false">E595/H595</f>
        <v>1665.53648119731</v>
      </c>
      <c r="L595" s="15" t="n">
        <f aca="false">J595/2-K595*ASINH(I595/(2*K595*SINH(J595/(2*K595))))</f>
        <v>74.8331327198323</v>
      </c>
      <c r="M595" s="15" t="n">
        <f aca="false">-L595/K595</f>
        <v>-0.0449303474073632</v>
      </c>
      <c r="N595" s="15" t="n">
        <f aca="false">(J595-L595)/K595</f>
        <v>-0.0018435627771559</v>
      </c>
      <c r="O595" s="15" t="n">
        <f aca="false">K595*(SINH(N595)-SINH(M595))</f>
        <v>71.7877905192835</v>
      </c>
      <c r="P595" s="15" t="n">
        <f aca="false">E595*COSH(M595)</f>
        <v>2207.22603101326</v>
      </c>
      <c r="Q595" s="15" t="n">
        <f aca="false">E595*COSH(N595)</f>
        <v>2205.00374709399</v>
      </c>
    </row>
    <row r="596" customFormat="false" ht="21" hidden="false" customHeight="true" outlineLevel="0" collapsed="false">
      <c r="A596" s="1" t="s">
        <v>422</v>
      </c>
      <c r="B596" s="1" t="s">
        <v>320</v>
      </c>
      <c r="C596" s="15" t="n">
        <v>71.7626116591018</v>
      </c>
      <c r="D596" s="15" t="n">
        <v>-1.67859180912765</v>
      </c>
      <c r="E596" s="15" t="n">
        <v>3433.20376087116</v>
      </c>
      <c r="F596" s="15" t="n">
        <v>1.32389775</v>
      </c>
      <c r="G596" s="15" t="n">
        <v>3.443895</v>
      </c>
      <c r="H596" s="15" t="n">
        <f aca="false">SQRT(F596^2+G596^2)</f>
        <v>3.68959591601574</v>
      </c>
      <c r="I596" s="15" t="n">
        <f aca="false">D596*F596/H596</f>
        <v>-0.602310922349535</v>
      </c>
      <c r="J596" s="15" t="n">
        <f aca="false">SQRT(C596^2+D596^2-I596^2)</f>
        <v>71.7797138762028</v>
      </c>
      <c r="K596" s="15" t="n">
        <f aca="false">E596/H596</f>
        <v>930.509421361933</v>
      </c>
      <c r="L596" s="15" t="n">
        <f aca="false">J596/2-K596*ASINH(I596/(2*K596*SINH(J596/(2*K596))))</f>
        <v>43.6958295315752</v>
      </c>
      <c r="M596" s="15" t="n">
        <f aca="false">-L596/K596</f>
        <v>-0.0469590404228472</v>
      </c>
      <c r="N596" s="15" t="n">
        <f aca="false">(J596-L596)/K596</f>
        <v>0.0301811929034773</v>
      </c>
      <c r="O596" s="15" t="n">
        <f aca="false">K596*(SINH(N596)-SINH(M596))</f>
        <v>71.8000387839844</v>
      </c>
      <c r="P596" s="15" t="n">
        <f aca="false">E596*COSH(M596)</f>
        <v>3436.98982370411</v>
      </c>
      <c r="Q596" s="15" t="n">
        <f aca="false">E596*COSH(N596)</f>
        <v>3434.76753978483</v>
      </c>
    </row>
    <row r="597" customFormat="false" ht="21" hidden="false" customHeight="true" outlineLevel="0" collapsed="false">
      <c r="A597" s="1" t="s">
        <v>422</v>
      </c>
      <c r="B597" s="1" t="s">
        <v>321</v>
      </c>
      <c r="C597" s="15" t="n">
        <v>71.7626116591018</v>
      </c>
      <c r="D597" s="15" t="n">
        <v>-1.67859180912765</v>
      </c>
      <c r="E597" s="15" t="n">
        <v>3728.04373398524</v>
      </c>
      <c r="F597" s="15" t="n">
        <v>3.85543216183014</v>
      </c>
      <c r="G597" s="15" t="n">
        <v>0</v>
      </c>
      <c r="H597" s="15" t="n">
        <f aca="false">SQRT(F597^2+G597^2)</f>
        <v>3.85543216183014</v>
      </c>
      <c r="I597" s="15" t="n">
        <f aca="false">D597*F597/H597</f>
        <v>-1.67859180912765</v>
      </c>
      <c r="J597" s="15" t="n">
        <f aca="false">SQRT(C597^2+D597^2-I597^2)</f>
        <v>71.7626116591018</v>
      </c>
      <c r="K597" s="15" t="n">
        <f aca="false">E597/H597</f>
        <v>966.958716300062</v>
      </c>
      <c r="L597" s="15" t="n">
        <f aca="false">J597/2-K597*ASINH(I597/(2*K597*SINH(J597/(2*K597))))</f>
        <v>58.4920864759923</v>
      </c>
      <c r="M597" s="15" t="n">
        <f aca="false">-L597/K597</f>
        <v>-0.0604907794820904</v>
      </c>
      <c r="N597" s="15" t="n">
        <f aca="false">(J597-L597)/K597</f>
        <v>0.0137239832057023</v>
      </c>
      <c r="O597" s="15" t="n">
        <f aca="false">K597*(SINH(N597)-SINH(M597))</f>
        <v>71.7987065031412</v>
      </c>
      <c r="P597" s="15" t="n">
        <f aca="false">E597*COSH(M597)</f>
        <v>3734.86652060268</v>
      </c>
      <c r="Q597" s="15" t="n">
        <f aca="false">E597*COSH(N597)</f>
        <v>3728.39482375518</v>
      </c>
    </row>
    <row r="598" customFormat="false" ht="21" hidden="false" customHeight="true" outlineLevel="0" collapsed="false">
      <c r="A598" s="1" t="s">
        <v>422</v>
      </c>
      <c r="B598" s="1" t="s">
        <v>322</v>
      </c>
      <c r="C598" s="15" t="n">
        <v>71.7626116591018</v>
      </c>
      <c r="D598" s="15" t="n">
        <v>-1.67859180912765</v>
      </c>
      <c r="E598" s="15" t="n">
        <v>3442.80690539612</v>
      </c>
      <c r="F598" s="15" t="n">
        <v>2.33651151473205</v>
      </c>
      <c r="G598" s="15" t="n">
        <v>1.43495625</v>
      </c>
      <c r="H598" s="15" t="n">
        <f aca="false">SQRT(F598^2+G598^2)</f>
        <v>2.74196745018783</v>
      </c>
      <c r="I598" s="15" t="n">
        <f aca="false">D598*F598/H598</f>
        <v>-1.43037769842709</v>
      </c>
      <c r="J598" s="15" t="n">
        <f aca="false">SQRT(C598^2+D598^2-I598^2)</f>
        <v>71.7679881439947</v>
      </c>
      <c r="K598" s="15" t="n">
        <f aca="false">E598/H598</f>
        <v>1255.59729206861</v>
      </c>
      <c r="L598" s="15" t="n">
        <f aca="false">J598/2-K598*ASINH(I598/(2*K598*SINH(J598/(2*K598))))</f>
        <v>60.9037155105319</v>
      </c>
      <c r="M598" s="15" t="n">
        <f aca="false">-L598/K598</f>
        <v>-0.0485057716317564</v>
      </c>
      <c r="N598" s="15" t="n">
        <f aca="false">(J598-L598)/K598</f>
        <v>0.00865267287695701</v>
      </c>
      <c r="O598" s="15" t="n">
        <f aca="false">K598*(SINH(N598)-SINH(M598))</f>
        <v>71.792008997234</v>
      </c>
      <c r="P598" s="15" t="n">
        <f aca="false">E598*COSH(M598)</f>
        <v>3446.85783461193</v>
      </c>
      <c r="Q598" s="15" t="n">
        <f aca="false">E598*COSH(N598)</f>
        <v>3442.93578552137</v>
      </c>
    </row>
    <row r="599" customFormat="false" ht="21" hidden="false" customHeight="true" outlineLevel="0" collapsed="false">
      <c r="A599" s="1" t="s">
        <v>422</v>
      </c>
      <c r="B599" s="1" t="s">
        <v>323</v>
      </c>
      <c r="C599" s="15" t="n">
        <v>71.7626116591018</v>
      </c>
      <c r="D599" s="15" t="n">
        <v>-1.67859180912765</v>
      </c>
      <c r="E599" s="15" t="n">
        <v>3473.93066564186</v>
      </c>
      <c r="F599" s="15" t="n">
        <v>1.32389775</v>
      </c>
      <c r="G599" s="15" t="n">
        <v>0</v>
      </c>
      <c r="H599" s="15" t="n">
        <f aca="false">SQRT(F599^2+G599^2)</f>
        <v>1.32389775</v>
      </c>
      <c r="I599" s="15" t="n">
        <f aca="false">D599*F599/H599</f>
        <v>-1.67859180912765</v>
      </c>
      <c r="J599" s="15" t="n">
        <f aca="false">SQRT(C599^2+D599^2-I599^2)</f>
        <v>71.7626116591018</v>
      </c>
      <c r="K599" s="15" t="n">
        <f aca="false">E599/H599</f>
        <v>2624.01735001201</v>
      </c>
      <c r="L599" s="15" t="n">
        <f aca="false">J599/2-K599*ASINH(I599/(2*K599*SINH(J599/(2*K599))))</f>
        <v>97.2519157625379</v>
      </c>
      <c r="M599" s="15" t="n">
        <f aca="false">-L599/K599</f>
        <v>-0.0370622228401397</v>
      </c>
      <c r="N599" s="15" t="n">
        <f aca="false">(J599-L599)/K599</f>
        <v>-0.00971384739636706</v>
      </c>
      <c r="O599" s="15" t="n">
        <f aca="false">K599*(SINH(N599)-SINH(M599))</f>
        <v>71.7844766703437</v>
      </c>
      <c r="P599" s="15" t="n">
        <f aca="false">E599*COSH(M599)</f>
        <v>3476.31684886861</v>
      </c>
      <c r="Q599" s="15" t="n">
        <f aca="false">E599*COSH(N599)</f>
        <v>3474.09456494934</v>
      </c>
    </row>
    <row r="600" customFormat="false" ht="21" hidden="false" customHeight="true" outlineLevel="0" collapsed="false">
      <c r="A600" s="1" t="s">
        <v>422</v>
      </c>
      <c r="B600" s="1" t="s">
        <v>324</v>
      </c>
      <c r="C600" s="15" t="n">
        <v>71.7626116591018</v>
      </c>
      <c r="D600" s="15" t="n">
        <v>-1.67859180912765</v>
      </c>
      <c r="E600" s="15" t="n">
        <v>546.105329035681</v>
      </c>
      <c r="F600" s="15" t="n">
        <v>1.32389775</v>
      </c>
      <c r="G600" s="15" t="n">
        <v>0</v>
      </c>
      <c r="H600" s="15" t="n">
        <f aca="false">SQRT(F600^2+G600^2)</f>
        <v>1.32389775</v>
      </c>
      <c r="I600" s="15" t="n">
        <f aca="false">D600*F600/H600</f>
        <v>-1.67859180912765</v>
      </c>
      <c r="J600" s="15" t="n">
        <f aca="false">SQRT(C600^2+D600^2-I600^2)</f>
        <v>71.7626116591018</v>
      </c>
      <c r="K600" s="15" t="n">
        <f aca="false">E600/H600</f>
        <v>412.49811704543</v>
      </c>
      <c r="L600" s="15" t="n">
        <f aca="false">J600/2-K600*ASINH(I600/(2*K600*SINH(J600/(2*K600))))</f>
        <v>45.5169731867074</v>
      </c>
      <c r="M600" s="15" t="n">
        <f aca="false">-L600/K600</f>
        <v>-0.110344681116919</v>
      </c>
      <c r="N600" s="15" t="n">
        <f aca="false">(J600-L600)/K600</f>
        <v>0.0636260806725183</v>
      </c>
      <c r="O600" s="15" t="n">
        <f aca="false">K600*(SINH(N600)-SINH(M600))</f>
        <v>71.8727484894613</v>
      </c>
      <c r="P600" s="15" t="n">
        <f aca="false">E600*COSH(M600)</f>
        <v>549.433379050163</v>
      </c>
      <c r="Q600" s="15" t="n">
        <f aca="false">E600*COSH(N600)</f>
        <v>547.211095130891</v>
      </c>
    </row>
    <row r="601" customFormat="false" ht="21" hidden="false" customHeight="true" outlineLevel="0" collapsed="false">
      <c r="A601" s="1" t="s">
        <v>423</v>
      </c>
      <c r="B601" s="1" t="s">
        <v>319</v>
      </c>
      <c r="C601" s="15" t="n">
        <v>45.5363133824717</v>
      </c>
      <c r="D601" s="15" t="n">
        <v>4.05326207986591</v>
      </c>
      <c r="E601" s="15" t="n">
        <v>2205.00000000128</v>
      </c>
      <c r="F601" s="15" t="n">
        <v>1.32389775</v>
      </c>
      <c r="G601" s="15" t="n">
        <v>0</v>
      </c>
      <c r="H601" s="15" t="n">
        <f aca="false">SQRT(F601^2+G601^2)</f>
        <v>1.32389775</v>
      </c>
      <c r="I601" s="15" t="n">
        <f aca="false">D601*F601/H601</f>
        <v>4.05326207986591</v>
      </c>
      <c r="J601" s="15" t="n">
        <f aca="false">SQRT(C601^2+D601^2-I601^2)</f>
        <v>45.5363133824717</v>
      </c>
      <c r="K601" s="15" t="n">
        <f aca="false">E601/H601</f>
        <v>1665.53648119825</v>
      </c>
      <c r="L601" s="15" t="n">
        <f aca="false">J601/2-K601*ASINH(I601/(2*K601*SINH(J601/(2*K601))))</f>
        <v>-125.284309184739</v>
      </c>
      <c r="M601" s="15" t="n">
        <f aca="false">-L601/K601</f>
        <v>0.0752215941223963</v>
      </c>
      <c r="N601" s="15" t="n">
        <f aca="false">(J601-L601)/K601</f>
        <v>0.102561921936598</v>
      </c>
      <c r="O601" s="15" t="n">
        <f aca="false">K601*(SINH(N601)-SINH(M601))</f>
        <v>45.7177639140764</v>
      </c>
      <c r="P601" s="15" t="n">
        <f aca="false">E601*COSH(M601)</f>
        <v>2211.24120481197</v>
      </c>
      <c r="Q601" s="15" t="n">
        <f aca="false">E601*COSH(N601)</f>
        <v>2216.60730935966</v>
      </c>
    </row>
    <row r="602" customFormat="false" ht="21" hidden="false" customHeight="true" outlineLevel="0" collapsed="false">
      <c r="A602" s="1" t="s">
        <v>423</v>
      </c>
      <c r="B602" s="1" t="s">
        <v>320</v>
      </c>
      <c r="C602" s="15" t="n">
        <v>45.5363133824717</v>
      </c>
      <c r="D602" s="15" t="n">
        <v>4.05326207986591</v>
      </c>
      <c r="E602" s="15" t="n">
        <v>3180.90390587835</v>
      </c>
      <c r="F602" s="15" t="n">
        <v>1.32389775</v>
      </c>
      <c r="G602" s="15" t="n">
        <v>3.443895</v>
      </c>
      <c r="H602" s="15" t="n">
        <f aca="false">SQRT(F602^2+G602^2)</f>
        <v>3.68959591601574</v>
      </c>
      <c r="I602" s="15" t="n">
        <f aca="false">D602*F602/H602</f>
        <v>1.45438814163949</v>
      </c>
      <c r="J602" s="15" t="n">
        <f aca="false">SQRT(C602^2+D602^2-I602^2)</f>
        <v>45.6932109299425</v>
      </c>
      <c r="K602" s="15" t="n">
        <f aca="false">E602/H602</f>
        <v>862.127988615427</v>
      </c>
      <c r="L602" s="15" t="n">
        <f aca="false">J602/2-K602*ASINH(I602/(2*K602*SINH(J602/(2*K602))))</f>
        <v>-4.58658219400109</v>
      </c>
      <c r="M602" s="15" t="n">
        <f aca="false">-L602/K602</f>
        <v>0.00532007109682997</v>
      </c>
      <c r="N602" s="15" t="n">
        <f aca="false">(J602-L602)/K602</f>
        <v>0.0583205670015337</v>
      </c>
      <c r="O602" s="15" t="n">
        <f aca="false">K602*(SINH(N602)-SINH(M602))</f>
        <v>45.7216968224565</v>
      </c>
      <c r="P602" s="15" t="n">
        <f aca="false">E602*COSH(M602)</f>
        <v>3180.94892079501</v>
      </c>
      <c r="Q602" s="15" t="n">
        <f aca="false">E602*COSH(N602)</f>
        <v>3186.31502534271</v>
      </c>
    </row>
    <row r="603" customFormat="false" ht="21" hidden="false" customHeight="true" outlineLevel="0" collapsed="false">
      <c r="A603" s="1" t="s">
        <v>423</v>
      </c>
      <c r="B603" s="1" t="s">
        <v>321</v>
      </c>
      <c r="C603" s="15" t="n">
        <v>45.5363133824717</v>
      </c>
      <c r="D603" s="15" t="n">
        <v>4.05326207986591</v>
      </c>
      <c r="E603" s="15" t="n">
        <v>3484.62603312732</v>
      </c>
      <c r="F603" s="15" t="n">
        <v>3.85543216183014</v>
      </c>
      <c r="G603" s="15" t="n">
        <v>0</v>
      </c>
      <c r="H603" s="15" t="n">
        <f aca="false">SQRT(F603^2+G603^2)</f>
        <v>3.85543216183014</v>
      </c>
      <c r="I603" s="15" t="n">
        <f aca="false">D603*F603/H603</f>
        <v>4.05326207986591</v>
      </c>
      <c r="J603" s="15" t="n">
        <f aca="false">SQRT(C603^2+D603^2-I603^2)</f>
        <v>45.5363133824717</v>
      </c>
      <c r="K603" s="15" t="n">
        <f aca="false">E603/H603</f>
        <v>903.822421679753</v>
      </c>
      <c r="L603" s="15" t="n">
        <f aca="false">J603/2-K603*ASINH(I603/(2*K603*SINH(J603/(2*K603))))</f>
        <v>-57.5682284145551</v>
      </c>
      <c r="M603" s="15" t="n">
        <f aca="false">-L603/K603</f>
        <v>0.063694180442619</v>
      </c>
      <c r="N603" s="15" t="n">
        <f aca="false">(J603-L603)/K603</f>
        <v>0.114076105354199</v>
      </c>
      <c r="O603" s="15" t="n">
        <f aca="false">K603*(SINH(N603)-SINH(M603))</f>
        <v>45.7211485266354</v>
      </c>
      <c r="P603" s="15" t="n">
        <f aca="false">E603*COSH(M603)</f>
        <v>3491.69689754571</v>
      </c>
      <c r="Q603" s="15" t="n">
        <f aca="false">E603*COSH(N603)</f>
        <v>3507.32397452875</v>
      </c>
    </row>
    <row r="604" customFormat="false" ht="21" hidden="false" customHeight="true" outlineLevel="0" collapsed="false">
      <c r="A604" s="1" t="s">
        <v>423</v>
      </c>
      <c r="B604" s="1" t="s">
        <v>322</v>
      </c>
      <c r="C604" s="15" t="n">
        <v>45.5363133824717</v>
      </c>
      <c r="D604" s="15" t="n">
        <v>4.05326207986591</v>
      </c>
      <c r="E604" s="15" t="n">
        <v>3344.69053353903</v>
      </c>
      <c r="F604" s="15" t="n">
        <v>2.33651151473205</v>
      </c>
      <c r="G604" s="15" t="n">
        <v>1.43495625</v>
      </c>
      <c r="H604" s="15" t="n">
        <f aca="false">SQRT(F604^2+G604^2)</f>
        <v>2.74196745018783</v>
      </c>
      <c r="I604" s="15" t="n">
        <f aca="false">D604*F604/H604</f>
        <v>3.45390442953097</v>
      </c>
      <c r="J604" s="15" t="n">
        <f aca="false">SQRT(C604^2+D604^2-I604^2)</f>
        <v>45.5856919893339</v>
      </c>
      <c r="K604" s="15" t="n">
        <f aca="false">E604/H604</f>
        <v>1219.81409126863</v>
      </c>
      <c r="L604" s="15" t="n">
        <f aca="false">J604/2-K604*ASINH(I604/(2*K604*SINH(J604/(2*K604))))</f>
        <v>-69.5356017853006</v>
      </c>
      <c r="M604" s="15" t="n">
        <f aca="false">-L604/K604</f>
        <v>0.057005081580081</v>
      </c>
      <c r="N604" s="15" t="n">
        <f aca="false">(J604-L604)/K604</f>
        <v>0.0943760976354242</v>
      </c>
      <c r="O604" s="15" t="n">
        <f aca="false">K604*(SINH(N604)-SINH(M604))</f>
        <v>45.7189963907616</v>
      </c>
      <c r="P604" s="15" t="n">
        <f aca="false">E604*COSH(M604)</f>
        <v>3350.12642393439</v>
      </c>
      <c r="Q604" s="15" t="n">
        <f aca="false">E604*COSH(N604)</f>
        <v>3359.59691745622</v>
      </c>
    </row>
    <row r="605" customFormat="false" ht="21" hidden="false" customHeight="true" outlineLevel="0" collapsed="false">
      <c r="A605" s="1" t="s">
        <v>423</v>
      </c>
      <c r="B605" s="1" t="s">
        <v>323</v>
      </c>
      <c r="C605" s="15" t="n">
        <v>45.5363133824717</v>
      </c>
      <c r="D605" s="15" t="n">
        <v>4.05326207986591</v>
      </c>
      <c r="E605" s="15" t="n">
        <v>3552.19767984581</v>
      </c>
      <c r="F605" s="15" t="n">
        <v>1.32389775</v>
      </c>
      <c r="G605" s="15" t="n">
        <v>0</v>
      </c>
      <c r="H605" s="15" t="n">
        <f aca="false">SQRT(F605^2+G605^2)</f>
        <v>1.32389775</v>
      </c>
      <c r="I605" s="15" t="n">
        <f aca="false">D605*F605/H605</f>
        <v>4.05326207986591</v>
      </c>
      <c r="J605" s="15" t="n">
        <f aca="false">SQRT(C605^2+D605^2-I605^2)</f>
        <v>45.5363133824717</v>
      </c>
      <c r="K605" s="15" t="n">
        <f aca="false">E605/H605</f>
        <v>2683.1359746973</v>
      </c>
      <c r="L605" s="15" t="n">
        <f aca="false">J605/2-K605*ASINH(I605/(2*K605*SINH(J605/(2*K605))))</f>
        <v>-215.745071280138</v>
      </c>
      <c r="M605" s="15" t="n">
        <f aca="false">-L605/K605</f>
        <v>0.0804078038961394</v>
      </c>
      <c r="N605" s="15" t="n">
        <f aca="false">(J605-L605)/K605</f>
        <v>0.0973791068088101</v>
      </c>
      <c r="O605" s="15" t="n">
        <f aca="false">K605*(SINH(N605)-SINH(M605))</f>
        <v>45.7168955651381</v>
      </c>
      <c r="P605" s="15" t="n">
        <f aca="false">E605*COSH(M605)</f>
        <v>3563.68708411117</v>
      </c>
      <c r="Q605" s="15" t="n">
        <f aca="false">E605*COSH(N605)</f>
        <v>3569.05318865887</v>
      </c>
    </row>
    <row r="606" customFormat="false" ht="21" hidden="false" customHeight="true" outlineLevel="0" collapsed="false">
      <c r="A606" s="1" t="s">
        <v>423</v>
      </c>
      <c r="B606" s="1" t="s">
        <v>324</v>
      </c>
      <c r="C606" s="15" t="n">
        <v>45.5363133824717</v>
      </c>
      <c r="D606" s="15" t="n">
        <v>4.05326207986591</v>
      </c>
      <c r="E606" s="15" t="n">
        <v>361.228982108101</v>
      </c>
      <c r="F606" s="15" t="n">
        <v>1.32389775</v>
      </c>
      <c r="G606" s="15" t="n">
        <v>0</v>
      </c>
      <c r="H606" s="15" t="n">
        <f aca="false">SQRT(F606^2+G606^2)</f>
        <v>1.32389775</v>
      </c>
      <c r="I606" s="15" t="n">
        <f aca="false">D606*F606/H606</f>
        <v>4.05326207986591</v>
      </c>
      <c r="J606" s="15" t="n">
        <f aca="false">SQRT(C606^2+D606^2-I606^2)</f>
        <v>45.5363133824717</v>
      </c>
      <c r="K606" s="15" t="n">
        <f aca="false">E606/H606</f>
        <v>272.852629372699</v>
      </c>
      <c r="L606" s="15" t="n">
        <f aca="false">J606/2-K606*ASINH(I606/(2*K606*SINH(J606/(2*K606))))</f>
        <v>-1.45889498261873</v>
      </c>
      <c r="M606" s="15" t="n">
        <f aca="false">-L606/K606</f>
        <v>0.00534682398323517</v>
      </c>
      <c r="N606" s="15" t="n">
        <f aca="false">(J606-L606)/K606</f>
        <v>0.172236596997927</v>
      </c>
      <c r="O606" s="15" t="n">
        <f aca="false">K606*(SINH(N606)-SINH(M606))</f>
        <v>45.7690069522553</v>
      </c>
      <c r="P606" s="15" t="n">
        <f aca="false">E606*COSH(M606)</f>
        <v>361.234145622603</v>
      </c>
      <c r="Q606" s="15" t="n">
        <f aca="false">E606*COSH(N606)</f>
        <v>366.600250170298</v>
      </c>
    </row>
    <row r="607" customFormat="false" ht="21" hidden="false" customHeight="true" outlineLevel="0" collapsed="false">
      <c r="A607" s="1" t="s">
        <v>424</v>
      </c>
      <c r="B607" s="1" t="s">
        <v>319</v>
      </c>
      <c r="C607" s="15" t="n">
        <v>45.5363133824717</v>
      </c>
      <c r="D607" s="15" t="n">
        <v>-2.34454817518426</v>
      </c>
      <c r="E607" s="15" t="n">
        <v>2204.99999999855</v>
      </c>
      <c r="F607" s="15" t="n">
        <v>1.32389775</v>
      </c>
      <c r="G607" s="15" t="n">
        <v>0</v>
      </c>
      <c r="H607" s="15" t="n">
        <f aca="false">SQRT(F607^2+G607^2)</f>
        <v>1.32389775</v>
      </c>
      <c r="I607" s="15" t="n">
        <f aca="false">D607*F607/H607</f>
        <v>-2.34454817518426</v>
      </c>
      <c r="J607" s="15" t="n">
        <f aca="false">SQRT(C607^2+D607^2-I607^2)</f>
        <v>45.5363133824717</v>
      </c>
      <c r="K607" s="15" t="n">
        <f aca="false">E607/H607</f>
        <v>1665.53648119619</v>
      </c>
      <c r="L607" s="15" t="n">
        <f aca="false">J607/2-K607*ASINH(I607/(2*K607*SINH(J607/(2*K607))))</f>
        <v>108.481854723762</v>
      </c>
      <c r="M607" s="15" t="n">
        <f aca="false">-L607/K607</f>
        <v>-0.0651332804465802</v>
      </c>
      <c r="N607" s="15" t="n">
        <f aca="false">(J607-L607)/K607</f>
        <v>-0.0377929526323449</v>
      </c>
      <c r="O607" s="15" t="n">
        <f aca="false">K607*(SINH(N607)-SINH(M607))</f>
        <v>45.5980472165301</v>
      </c>
      <c r="P607" s="15" t="n">
        <f aca="false">E607*COSH(M607)</f>
        <v>2209.67883825574</v>
      </c>
      <c r="Q607" s="15" t="n">
        <f aca="false">E607*COSH(N607)</f>
        <v>2206.57489620185</v>
      </c>
    </row>
    <row r="608" customFormat="false" ht="21" hidden="false" customHeight="true" outlineLevel="0" collapsed="false">
      <c r="A608" s="1" t="s">
        <v>424</v>
      </c>
      <c r="B608" s="1" t="s">
        <v>320</v>
      </c>
      <c r="C608" s="15" t="n">
        <v>45.5363133824717</v>
      </c>
      <c r="D608" s="15" t="n">
        <v>-2.34454817518426</v>
      </c>
      <c r="E608" s="15" t="n">
        <v>3175.50207501097</v>
      </c>
      <c r="F608" s="15" t="n">
        <v>1.32389775</v>
      </c>
      <c r="G608" s="15" t="n">
        <v>3.443895</v>
      </c>
      <c r="H608" s="15" t="n">
        <f aca="false">SQRT(F608^2+G608^2)</f>
        <v>3.68959591601574</v>
      </c>
      <c r="I608" s="15" t="n">
        <f aca="false">D608*F608/H608</f>
        <v>-0.841268833917423</v>
      </c>
      <c r="J608" s="15" t="n">
        <f aca="false">SQRT(C608^2+D608^2-I608^2)</f>
        <v>45.5888693582273</v>
      </c>
      <c r="K608" s="15" t="n">
        <f aca="false">E608/H608</f>
        <v>860.663917483971</v>
      </c>
      <c r="L608" s="15" t="n">
        <f aca="false">J608/2-K608*ASINH(I608/(2*K608*SINH(J608/(2*K608))))</f>
        <v>38.6738374528496</v>
      </c>
      <c r="M608" s="15" t="n">
        <f aca="false">-L608/K608</f>
        <v>-0.0449348888308309</v>
      </c>
      <c r="N608" s="15" t="n">
        <f aca="false">(J608-L608)/K608</f>
        <v>0.00803453213839004</v>
      </c>
      <c r="O608" s="15" t="n">
        <f aca="false">K608*(SINH(N608)-SINH(M608))</f>
        <v>45.601959746931</v>
      </c>
      <c r="P608" s="15" t="n">
        <f aca="false">E608*COSH(M608)</f>
        <v>3178.708512831</v>
      </c>
      <c r="Q608" s="15" t="n">
        <f aca="false">E608*COSH(N608)</f>
        <v>3175.6045707771</v>
      </c>
    </row>
    <row r="609" customFormat="false" ht="21" hidden="false" customHeight="true" outlineLevel="0" collapsed="false">
      <c r="A609" s="1" t="s">
        <v>424</v>
      </c>
      <c r="B609" s="1" t="s">
        <v>321</v>
      </c>
      <c r="C609" s="15" t="n">
        <v>45.5363133824717</v>
      </c>
      <c r="D609" s="15" t="n">
        <v>-2.34454817518426</v>
      </c>
      <c r="E609" s="15" t="n">
        <v>3488.47113326616</v>
      </c>
      <c r="F609" s="15" t="n">
        <v>3.85543216183014</v>
      </c>
      <c r="G609" s="15" t="n">
        <v>0</v>
      </c>
      <c r="H609" s="15" t="n">
        <f aca="false">SQRT(F609^2+G609^2)</f>
        <v>3.85543216183014</v>
      </c>
      <c r="I609" s="15" t="n">
        <f aca="false">D609*F609/H609</f>
        <v>-2.34454817518426</v>
      </c>
      <c r="J609" s="15" t="n">
        <f aca="false">SQRT(C609^2+D609^2-I609^2)</f>
        <v>45.5363133824717</v>
      </c>
      <c r="K609" s="15" t="n">
        <f aca="false">E609/H609</f>
        <v>904.819741818572</v>
      </c>
      <c r="L609" s="15" t="n">
        <f aca="false">J609/2-K609*ASINH(I609/(2*K609*SINH(J609/(2*K609))))</f>
        <v>69.3295400395614</v>
      </c>
      <c r="M609" s="15" t="n">
        <f aca="false">-L609/K609</f>
        <v>-0.0766224882540891</v>
      </c>
      <c r="N609" s="15" t="n">
        <f aca="false">(J609-L609)/K609</f>
        <v>-0.026296095849178</v>
      </c>
      <c r="O609" s="15" t="n">
        <f aca="false">K609*(SINH(N609)-SINH(M609))</f>
        <v>45.6014301169471</v>
      </c>
      <c r="P609" s="15" t="n">
        <f aca="false">E609*COSH(M609)</f>
        <v>3498.71656134036</v>
      </c>
      <c r="Q609" s="15" t="n">
        <f aca="false">E609*COSH(N609)</f>
        <v>3489.67731490079</v>
      </c>
    </row>
    <row r="610" customFormat="false" ht="21" hidden="false" customHeight="true" outlineLevel="0" collapsed="false">
      <c r="A610" s="1" t="s">
        <v>424</v>
      </c>
      <c r="B610" s="1" t="s">
        <v>322</v>
      </c>
      <c r="C610" s="15" t="n">
        <v>45.5363133824717</v>
      </c>
      <c r="D610" s="15" t="n">
        <v>-2.34454817518426</v>
      </c>
      <c r="E610" s="15" t="n">
        <v>3345.14059954677</v>
      </c>
      <c r="F610" s="15" t="n">
        <v>2.33651151473205</v>
      </c>
      <c r="G610" s="15" t="n">
        <v>1.43495625</v>
      </c>
      <c r="H610" s="15" t="n">
        <f aca="false">SQRT(F610^2+G610^2)</f>
        <v>2.74196745018783</v>
      </c>
      <c r="I610" s="15" t="n">
        <f aca="false">D610*F610/H610</f>
        <v>-1.99785880309659</v>
      </c>
      <c r="J610" s="15" t="n">
        <f aca="false">SQRT(C610^2+D610^2-I610^2)</f>
        <v>45.5528407765677</v>
      </c>
      <c r="K610" s="15" t="n">
        <f aca="false">E610/H610</f>
        <v>1219.97823107551</v>
      </c>
      <c r="L610" s="15" t="n">
        <f aca="false">J610/2-K610*ASINH(I610/(2*K610*SINH(J610/(2*K610))))</f>
        <v>76.2620439147827</v>
      </c>
      <c r="M610" s="15" t="n">
        <f aca="false">-L610/K610</f>
        <v>-0.0625109874686465</v>
      </c>
      <c r="N610" s="15" t="n">
        <f aca="false">(J610-L610)/K610</f>
        <v>-0.0251719271344231</v>
      </c>
      <c r="O610" s="15" t="n">
        <f aca="false">K610*(SINH(N610)-SINH(M610))</f>
        <v>45.5992745807909</v>
      </c>
      <c r="P610" s="15" t="n">
        <f aca="false">E610*COSH(M610)</f>
        <v>3351.67850320269</v>
      </c>
      <c r="Q610" s="15" t="n">
        <f aca="false">E610*COSH(N610)</f>
        <v>3346.20043939453</v>
      </c>
    </row>
    <row r="611" customFormat="false" ht="21" hidden="false" customHeight="true" outlineLevel="0" collapsed="false">
      <c r="A611" s="1" t="s">
        <v>424</v>
      </c>
      <c r="B611" s="1" t="s">
        <v>323</v>
      </c>
      <c r="C611" s="15" t="n">
        <v>45.5363133824717</v>
      </c>
      <c r="D611" s="15" t="n">
        <v>-2.34454817518426</v>
      </c>
      <c r="E611" s="15" t="n">
        <v>3555.36630376427</v>
      </c>
      <c r="F611" s="15" t="n">
        <v>1.32389775</v>
      </c>
      <c r="G611" s="15" t="n">
        <v>0</v>
      </c>
      <c r="H611" s="15" t="n">
        <f aca="false">SQRT(F611^2+G611^2)</f>
        <v>1.32389775</v>
      </c>
      <c r="I611" s="15" t="n">
        <f aca="false">D611*F611/H611</f>
        <v>-2.34454817518426</v>
      </c>
      <c r="J611" s="15" t="n">
        <f aca="false">SQRT(C611^2+D611^2-I611^2)</f>
        <v>45.5363133824717</v>
      </c>
      <c r="K611" s="15" t="n">
        <f aca="false">E611/H611</f>
        <v>2685.52938001766</v>
      </c>
      <c r="L611" s="15" t="n">
        <f aca="false">J611/2-K611*ASINH(I611/(2*K611*SINH(J611/(2*K611))))</f>
        <v>160.97651464837</v>
      </c>
      <c r="M611" s="15" t="n">
        <f aca="false">-L611/K611</f>
        <v>-0.0599421908567284</v>
      </c>
      <c r="N611" s="15" t="n">
        <f aca="false">(J611-L611)/K611</f>
        <v>-0.0429860131580982</v>
      </c>
      <c r="O611" s="15" t="n">
        <f aca="false">K611*(SINH(N611)-SINH(M611))</f>
        <v>45.5971756153547</v>
      </c>
      <c r="P611" s="15" t="n">
        <f aca="false">E611*COSH(M611)</f>
        <v>3561.75554982947</v>
      </c>
      <c r="Q611" s="15" t="n">
        <f aca="false">E611*COSH(N611)</f>
        <v>3558.65160777557</v>
      </c>
    </row>
    <row r="612" customFormat="false" ht="21" hidden="false" customHeight="true" outlineLevel="0" collapsed="false">
      <c r="A612" s="1" t="s">
        <v>424</v>
      </c>
      <c r="B612" s="1" t="s">
        <v>324</v>
      </c>
      <c r="C612" s="15" t="n">
        <v>45.5363133824717</v>
      </c>
      <c r="D612" s="15" t="n">
        <v>-2.34454817518426</v>
      </c>
      <c r="E612" s="15" t="n">
        <v>361.869914296371</v>
      </c>
      <c r="F612" s="15" t="n">
        <v>1.32389775</v>
      </c>
      <c r="G612" s="15" t="n">
        <v>0</v>
      </c>
      <c r="H612" s="15" t="n">
        <f aca="false">SQRT(F612^2+G612^2)</f>
        <v>1.32389775</v>
      </c>
      <c r="I612" s="15" t="n">
        <f aca="false">D612*F612/H612</f>
        <v>-2.34454817518426</v>
      </c>
      <c r="J612" s="15" t="n">
        <f aca="false">SQRT(C612^2+D612^2-I612^2)</f>
        <v>45.5363133824717</v>
      </c>
      <c r="K612" s="15" t="n">
        <f aca="false">E612/H612</f>
        <v>273.336754516254</v>
      </c>
      <c r="L612" s="15" t="n">
        <f aca="false">J612/2-K612*ASINH(I612/(2*K612*SINH(J612/(2*K612))))</f>
        <v>36.8191158254087</v>
      </c>
      <c r="M612" s="15" t="n">
        <f aca="false">-L612/K612</f>
        <v>-0.134702396282456</v>
      </c>
      <c r="N612" s="15" t="n">
        <f aca="false">(J612-L612)/K612</f>
        <v>0.031891787010095</v>
      </c>
      <c r="O612" s="15" t="n">
        <f aca="false">K612*(SINH(N612)-SINH(M612))</f>
        <v>45.6492377281303</v>
      </c>
      <c r="P612" s="15" t="n">
        <f aca="false">E612*COSH(M612)</f>
        <v>365.157898374418</v>
      </c>
      <c r="Q612" s="15" t="n">
        <f aca="false">E612*COSH(N612)</f>
        <v>362.053956320524</v>
      </c>
    </row>
    <row r="613" customFormat="false" ht="21" hidden="false" customHeight="true" outlineLevel="0" collapsed="false">
      <c r="A613" s="1" t="s">
        <v>425</v>
      </c>
      <c r="B613" s="1" t="s">
        <v>319</v>
      </c>
      <c r="C613" s="15" t="n">
        <v>47.9791193550918</v>
      </c>
      <c r="D613" s="15" t="n">
        <v>8.37175042203389</v>
      </c>
      <c r="E613" s="15" t="n">
        <v>2205.00000000063</v>
      </c>
      <c r="F613" s="15" t="n">
        <v>1.32389775</v>
      </c>
      <c r="G613" s="15" t="n">
        <v>0</v>
      </c>
      <c r="H613" s="15" t="n">
        <f aca="false">SQRT(F613^2+G613^2)</f>
        <v>1.32389775</v>
      </c>
      <c r="I613" s="15" t="n">
        <f aca="false">D613*F613/H613</f>
        <v>8.37175042203389</v>
      </c>
      <c r="J613" s="15" t="n">
        <f aca="false">SQRT(C613^2+D613^2-I613^2)</f>
        <v>47.9791193550918</v>
      </c>
      <c r="K613" s="15" t="n">
        <f aca="false">E613/H613</f>
        <v>1665.53648119776</v>
      </c>
      <c r="L613" s="15" t="n">
        <f aca="false">J613/2-K613*ASINH(I613/(2*K613*SINH(J613/(2*K613))))</f>
        <v>-265.160799273494</v>
      </c>
      <c r="M613" s="15" t="n">
        <f aca="false">-L613/K613</f>
        <v>0.15920443788947</v>
      </c>
      <c r="N613" s="15" t="n">
        <f aca="false">(J613-L613)/K613</f>
        <v>0.188011443858254</v>
      </c>
      <c r="O613" s="15" t="n">
        <f aca="false">K613*(SINH(N613)-SINH(M613))</f>
        <v>48.7056597840654</v>
      </c>
      <c r="P613" s="15" t="n">
        <f aca="false">E613*COSH(M613)</f>
        <v>2233.00309592864</v>
      </c>
      <c r="Q613" s="15" t="n">
        <f aca="false">E613*COSH(N613)</f>
        <v>2244.08643747593</v>
      </c>
    </row>
    <row r="614" customFormat="false" ht="21" hidden="false" customHeight="true" outlineLevel="0" collapsed="false">
      <c r="A614" s="1" t="s">
        <v>425</v>
      </c>
      <c r="B614" s="1" t="s">
        <v>320</v>
      </c>
      <c r="C614" s="15" t="n">
        <v>47.9791193550918</v>
      </c>
      <c r="D614" s="15" t="n">
        <v>8.37175042203389</v>
      </c>
      <c r="E614" s="15" t="n">
        <v>3227.33058504419</v>
      </c>
      <c r="F614" s="15" t="n">
        <v>1.32389775</v>
      </c>
      <c r="G614" s="15" t="n">
        <v>3.443895</v>
      </c>
      <c r="H614" s="15" t="n">
        <f aca="false">SQRT(F614^2+G614^2)</f>
        <v>3.68959591601574</v>
      </c>
      <c r="I614" s="15" t="n">
        <f aca="false">D614*F614/H614</f>
        <v>3.0039445509959</v>
      </c>
      <c r="J614" s="15" t="n">
        <f aca="false">SQRT(C614^2+D614^2-I614^2)</f>
        <v>48.6112992662561</v>
      </c>
      <c r="K614" s="15" t="n">
        <f aca="false">E614/H614</f>
        <v>874.711122438921</v>
      </c>
      <c r="L614" s="15" t="n">
        <f aca="false">J614/2-K614*ASINH(I614/(2*K614*SINH(J614/(2*K614))))</f>
        <v>-29.706007196952</v>
      </c>
      <c r="M614" s="15" t="n">
        <f aca="false">-L614/K614</f>
        <v>0.0339609345701744</v>
      </c>
      <c r="N614" s="15" t="n">
        <f aca="false">(J614-L614)/K614</f>
        <v>0.0895350527209935</v>
      </c>
      <c r="O614" s="15" t="n">
        <f aca="false">K614*(SINH(N614)-SINH(M614))</f>
        <v>48.7102694569656</v>
      </c>
      <c r="P614" s="15" t="n">
        <f aca="false">E614*COSH(M614)</f>
        <v>3229.19187684738</v>
      </c>
      <c r="Q614" s="15" t="n">
        <f aca="false">E614*COSH(N614)</f>
        <v>3240.27521839467</v>
      </c>
    </row>
    <row r="615" customFormat="false" ht="21" hidden="false" customHeight="true" outlineLevel="0" collapsed="false">
      <c r="A615" s="1" t="s">
        <v>425</v>
      </c>
      <c r="B615" s="1" t="s">
        <v>321</v>
      </c>
      <c r="C615" s="15" t="n">
        <v>47.9791193550918</v>
      </c>
      <c r="D615" s="15" t="n">
        <v>8.37175042203389</v>
      </c>
      <c r="E615" s="15" t="n">
        <v>3488.87715427603</v>
      </c>
      <c r="F615" s="15" t="n">
        <v>3.85543216183014</v>
      </c>
      <c r="G615" s="15" t="n">
        <v>0</v>
      </c>
      <c r="H615" s="15" t="n">
        <f aca="false">SQRT(F615^2+G615^2)</f>
        <v>3.85543216183014</v>
      </c>
      <c r="I615" s="15" t="n">
        <f aca="false">D615*F615/H615</f>
        <v>8.37175042203389</v>
      </c>
      <c r="J615" s="15" t="n">
        <f aca="false">SQRT(C615^2+D615^2-I615^2)</f>
        <v>47.9791193550918</v>
      </c>
      <c r="K615" s="15" t="n">
        <f aca="false">E615/H615</f>
        <v>904.925053231879</v>
      </c>
      <c r="L615" s="15" t="n">
        <f aca="false">J615/2-K615*ASINH(I615/(2*K615*SINH(J615/(2*K615))))</f>
        <v>-133.099775826033</v>
      </c>
      <c r="M615" s="15" t="n">
        <f aca="false">-L615/K615</f>
        <v>0.147083756108505</v>
      </c>
      <c r="N615" s="15" t="n">
        <f aca="false">(J615-L615)/K615</f>
        <v>0.200103748409234</v>
      </c>
      <c r="O615" s="15" t="n">
        <f aca="false">K615*(SINH(N615)-SINH(M615))</f>
        <v>48.7095618460185</v>
      </c>
      <c r="P615" s="15" t="n">
        <f aca="false">E615*COSH(M615)</f>
        <v>3526.68377951925</v>
      </c>
      <c r="Q615" s="15" t="n">
        <f aca="false">E615*COSH(N615)</f>
        <v>3558.96049534718</v>
      </c>
    </row>
    <row r="616" customFormat="false" ht="21" hidden="false" customHeight="true" outlineLevel="0" collapsed="false">
      <c r="A616" s="1" t="s">
        <v>425</v>
      </c>
      <c r="B616" s="1" t="s">
        <v>322</v>
      </c>
      <c r="C616" s="15" t="n">
        <v>47.9791193550918</v>
      </c>
      <c r="D616" s="15" t="n">
        <v>8.37175042203389</v>
      </c>
      <c r="E616" s="15" t="n">
        <v>3351.04948768859</v>
      </c>
      <c r="F616" s="15" t="n">
        <v>2.33651151473205</v>
      </c>
      <c r="G616" s="15" t="n">
        <v>1.43495625</v>
      </c>
      <c r="H616" s="15" t="n">
        <f aca="false">SQRT(F616^2+G616^2)</f>
        <v>2.74196745018783</v>
      </c>
      <c r="I616" s="15" t="n">
        <f aca="false">D616*F616/H616</f>
        <v>7.13381599705175</v>
      </c>
      <c r="J616" s="15" t="n">
        <f aca="false">SQRT(C616^2+D616^2-I616^2)</f>
        <v>48.1787377225595</v>
      </c>
      <c r="K616" s="15" t="n">
        <f aca="false">E616/H616</f>
        <v>1222.13321221557</v>
      </c>
      <c r="L616" s="15" t="n">
        <f aca="false">J616/2-K616*ASINH(I616/(2*K616*SINH(J616/(2*K616))))</f>
        <v>-156.205247392569</v>
      </c>
      <c r="M616" s="15" t="n">
        <f aca="false">-L616/K616</f>
        <v>0.12781360152171</v>
      </c>
      <c r="N616" s="15" t="n">
        <f aca="false">(J616-L616)/K616</f>
        <v>0.167235439698596</v>
      </c>
      <c r="O616" s="15" t="n">
        <f aca="false">K616*(SINH(N616)-SINH(M616))</f>
        <v>48.7071116442689</v>
      </c>
      <c r="P616" s="15" t="n">
        <f aca="false">E616*COSH(M616)</f>
        <v>3378.45867390316</v>
      </c>
      <c r="Q616" s="15" t="n">
        <f aca="false">E616*COSH(N616)</f>
        <v>3398.01936516271</v>
      </c>
    </row>
    <row r="617" customFormat="false" ht="21" hidden="false" customHeight="true" outlineLevel="0" collapsed="false">
      <c r="A617" s="1" t="s">
        <v>425</v>
      </c>
      <c r="B617" s="1" t="s">
        <v>323</v>
      </c>
      <c r="C617" s="15" t="n">
        <v>47.9791193550918</v>
      </c>
      <c r="D617" s="15" t="n">
        <v>8.37175042203389</v>
      </c>
      <c r="E617" s="15" t="n">
        <v>3532.88694804884</v>
      </c>
      <c r="F617" s="15" t="n">
        <v>1.32389775</v>
      </c>
      <c r="G617" s="15" t="n">
        <v>0</v>
      </c>
      <c r="H617" s="15" t="n">
        <f aca="false">SQRT(F617^2+G617^2)</f>
        <v>1.32389775</v>
      </c>
      <c r="I617" s="15" t="n">
        <f aca="false">D617*F617/H617</f>
        <v>8.37175042203389</v>
      </c>
      <c r="J617" s="15" t="n">
        <f aca="false">SQRT(C617^2+D617^2-I617^2)</f>
        <v>47.9791193550918</v>
      </c>
      <c r="K617" s="15" t="n">
        <f aca="false">E617/H617</f>
        <v>2668.54970336556</v>
      </c>
      <c r="L617" s="15" t="n">
        <f aca="false">J617/2-K617*ASINH(I617/(2*K617*SINH(J617/(2*K617))))</f>
        <v>-439.301541130015</v>
      </c>
      <c r="M617" s="15" t="n">
        <f aca="false">-L617/K617</f>
        <v>0.164621832067047</v>
      </c>
      <c r="N617" s="15" t="n">
        <f aca="false">(J617-L617)/K617</f>
        <v>0.182601305821867</v>
      </c>
      <c r="O617" s="15" t="n">
        <f aca="false">K617*(SINH(N617)-SINH(M617))</f>
        <v>48.7046621187659</v>
      </c>
      <c r="P617" s="15" t="n">
        <f aca="false">E617*COSH(M617)</f>
        <v>3580.86638849282</v>
      </c>
      <c r="Q617" s="15" t="n">
        <f aca="false">E617*COSH(N617)</f>
        <v>3591.94973004011</v>
      </c>
    </row>
    <row r="618" customFormat="false" ht="21" hidden="false" customHeight="true" outlineLevel="0" collapsed="false">
      <c r="A618" s="1" t="s">
        <v>425</v>
      </c>
      <c r="B618" s="1" t="s">
        <v>324</v>
      </c>
      <c r="C618" s="15" t="n">
        <v>47.9791193550918</v>
      </c>
      <c r="D618" s="15" t="n">
        <v>8.37175042203389</v>
      </c>
      <c r="E618" s="15" t="n">
        <v>376.275734587651</v>
      </c>
      <c r="F618" s="15" t="n">
        <v>1.32389775</v>
      </c>
      <c r="G618" s="15" t="n">
        <v>0</v>
      </c>
      <c r="H618" s="15" t="n">
        <f aca="false">SQRT(F618^2+G618^2)</f>
        <v>1.32389775</v>
      </c>
      <c r="I618" s="15" t="n">
        <f aca="false">D618*F618/H618</f>
        <v>8.37175042203389</v>
      </c>
      <c r="J618" s="15" t="n">
        <f aca="false">SQRT(C618^2+D618^2-I618^2)</f>
        <v>47.9791193550918</v>
      </c>
      <c r="K618" s="15" t="n">
        <f aca="false">E618/H618</f>
        <v>284.218123784598</v>
      </c>
      <c r="L618" s="15" t="n">
        <f aca="false">J618/2-K618*ASINH(I618/(2*K618*SINH(J618/(2*K618))))</f>
        <v>-25.2966912270386</v>
      </c>
      <c r="M618" s="15" t="n">
        <f aca="false">-L618/K618</f>
        <v>0.0890044972860713</v>
      </c>
      <c r="N618" s="15" t="n">
        <f aca="false">(J618-L618)/K618</f>
        <v>0.257815404613902</v>
      </c>
      <c r="O618" s="15" t="n">
        <f aca="false">K618*(SINH(N618)-SINH(M618))</f>
        <v>48.7601679952801</v>
      </c>
      <c r="P618" s="15" t="n">
        <f aca="false">E618*COSH(M618)</f>
        <v>377.767109387137</v>
      </c>
      <c r="Q618" s="15" t="n">
        <f aca="false">E618*COSH(N618)</f>
        <v>388.85045093443</v>
      </c>
    </row>
    <row r="619" customFormat="false" ht="21" hidden="false" customHeight="true" outlineLevel="0" collapsed="false">
      <c r="A619" s="1" t="s">
        <v>426</v>
      </c>
      <c r="B619" s="1" t="s">
        <v>319</v>
      </c>
      <c r="C619" s="15" t="n">
        <v>47.9791193543278</v>
      </c>
      <c r="D619" s="15" t="n">
        <v>0.943760220305103</v>
      </c>
      <c r="E619" s="15" t="n">
        <v>2205.00000000002</v>
      </c>
      <c r="F619" s="15" t="n">
        <v>1.32389775</v>
      </c>
      <c r="G619" s="15" t="n">
        <v>0</v>
      </c>
      <c r="H619" s="15" t="n">
        <f aca="false">SQRT(F619^2+G619^2)</f>
        <v>1.32389775</v>
      </c>
      <c r="I619" s="15" t="n">
        <f aca="false">D619*F619/H619</f>
        <v>0.943760220305103</v>
      </c>
      <c r="J619" s="15" t="n">
        <f aca="false">SQRT(C619^2+D619^2-I619^2)</f>
        <v>47.9791193543278</v>
      </c>
      <c r="K619" s="15" t="n">
        <f aca="false">E619/H619</f>
        <v>1665.5364811973</v>
      </c>
      <c r="L619" s="15" t="n">
        <f aca="false">J619/2-K619*ASINH(I619/(2*K619*SINH(J619/(2*K619))))</f>
        <v>-8.7686779264644</v>
      </c>
      <c r="M619" s="15" t="n">
        <f aca="false">-L619/K619</f>
        <v>0.00526477686046294</v>
      </c>
      <c r="N619" s="15" t="n">
        <f aca="false">(J619-L619)/K619</f>
        <v>0.0340717828287965</v>
      </c>
      <c r="O619" s="15" t="n">
        <f aca="false">K619*(SINH(N619)-SINH(M619))</f>
        <v>47.9900591076153</v>
      </c>
      <c r="P619" s="15" t="n">
        <f aca="false">E619*COSH(M619)</f>
        <v>2205.03055902822</v>
      </c>
      <c r="Q619" s="15" t="n">
        <f aca="false">E619*COSH(N619)</f>
        <v>2206.28000106042</v>
      </c>
    </row>
    <row r="620" customFormat="false" ht="21" hidden="false" customHeight="true" outlineLevel="0" collapsed="false">
      <c r="A620" s="1" t="s">
        <v>426</v>
      </c>
      <c r="B620" s="1" t="s">
        <v>320</v>
      </c>
      <c r="C620" s="15" t="n">
        <v>47.9791193543278</v>
      </c>
      <c r="D620" s="15" t="n">
        <v>0.943760220305103</v>
      </c>
      <c r="E620" s="15" t="n">
        <v>3196.34925657103</v>
      </c>
      <c r="F620" s="15" t="n">
        <v>1.32389775</v>
      </c>
      <c r="G620" s="15" t="n">
        <v>3.443895</v>
      </c>
      <c r="H620" s="15" t="n">
        <f aca="false">SQRT(F620^2+G620^2)</f>
        <v>3.68959591601574</v>
      </c>
      <c r="I620" s="15" t="n">
        <f aca="false">D620*F620/H620</f>
        <v>0.338639260407317</v>
      </c>
      <c r="J620" s="15" t="n">
        <f aca="false">SQRT(C620^2+D620^2-I620^2)</f>
        <v>47.9872055950497</v>
      </c>
      <c r="K620" s="15" t="n">
        <f aca="false">E620/H620</f>
        <v>866.314178931185</v>
      </c>
      <c r="L620" s="15" t="n">
        <f aca="false">J620/2-K620*ASINH(I620/(2*K620*SINH(J620/(2*K620))))</f>
        <v>17.8809723047146</v>
      </c>
      <c r="M620" s="15" t="n">
        <f aca="false">-L620/K620</f>
        <v>-0.0206402858680846</v>
      </c>
      <c r="N620" s="15" t="n">
        <f aca="false">(J620-L620)/K620</f>
        <v>0.0347520957436927</v>
      </c>
      <c r="O620" s="15" t="n">
        <f aca="false">K620*(SINH(N620)-SINH(M620))</f>
        <v>47.994535524775</v>
      </c>
      <c r="P620" s="15" t="n">
        <f aca="false">E620*COSH(M620)</f>
        <v>3197.03013733673</v>
      </c>
      <c r="Q620" s="15" t="n">
        <f aca="false">E620*COSH(N620)</f>
        <v>3198.27957936893</v>
      </c>
    </row>
    <row r="621" customFormat="false" ht="21" hidden="false" customHeight="true" outlineLevel="0" collapsed="false">
      <c r="A621" s="1" t="s">
        <v>426</v>
      </c>
      <c r="B621" s="1" t="s">
        <v>321</v>
      </c>
      <c r="C621" s="15" t="n">
        <v>47.9791193543278</v>
      </c>
      <c r="D621" s="15" t="n">
        <v>0.943760220305103</v>
      </c>
      <c r="E621" s="15" t="n">
        <v>3510.93592563829</v>
      </c>
      <c r="F621" s="15" t="n">
        <v>3.85543216183014</v>
      </c>
      <c r="G621" s="15" t="n">
        <v>0</v>
      </c>
      <c r="H621" s="15" t="n">
        <f aca="false">SQRT(F621^2+G621^2)</f>
        <v>3.85543216183014</v>
      </c>
      <c r="I621" s="15" t="n">
        <f aca="false">D621*F621/H621</f>
        <v>0.943760220305103</v>
      </c>
      <c r="J621" s="15" t="n">
        <f aca="false">SQRT(C621^2+D621^2-I621^2)</f>
        <v>47.9791193543278</v>
      </c>
      <c r="K621" s="15" t="n">
        <f aca="false">E621/H621</f>
        <v>910.646531508854</v>
      </c>
      <c r="L621" s="15" t="n">
        <f aca="false">J621/2-K621*ASINH(I621/(2*K621*SINH(J621/(2*K621))))</f>
        <v>6.08016088478812</v>
      </c>
      <c r="M621" s="15" t="n">
        <f aca="false">-L621/K621</f>
        <v>-0.00667675181797912</v>
      </c>
      <c r="N621" s="15" t="n">
        <f aca="false">(J621-L621)/K621</f>
        <v>0.0460101225006777</v>
      </c>
      <c r="O621" s="15" t="n">
        <f aca="false">K621*(SINH(N621)-SINH(M621))</f>
        <v>47.9939489637638</v>
      </c>
      <c r="P621" s="15" t="n">
        <f aca="false">E621*COSH(M621)</f>
        <v>3511.01418296138</v>
      </c>
      <c r="Q621" s="15" t="n">
        <f aca="false">E621*COSH(N621)</f>
        <v>3514.6527864678</v>
      </c>
    </row>
    <row r="622" customFormat="false" ht="21" hidden="false" customHeight="true" outlineLevel="0" collapsed="false">
      <c r="A622" s="1" t="s">
        <v>426</v>
      </c>
      <c r="B622" s="1" t="s">
        <v>322</v>
      </c>
      <c r="C622" s="15" t="n">
        <v>47.9791193543278</v>
      </c>
      <c r="D622" s="15" t="n">
        <v>0.943760220305103</v>
      </c>
      <c r="E622" s="15" t="n">
        <v>3353.45384046488</v>
      </c>
      <c r="F622" s="15" t="n">
        <v>2.33651151473205</v>
      </c>
      <c r="G622" s="15" t="n">
        <v>1.43495625</v>
      </c>
      <c r="H622" s="15" t="n">
        <f aca="false">SQRT(F622^2+G622^2)</f>
        <v>2.74196745018783</v>
      </c>
      <c r="I622" s="15" t="n">
        <f aca="false">D622*F622/H622</f>
        <v>0.804205980540681</v>
      </c>
      <c r="J622" s="15" t="n">
        <f aca="false">SQRT(C622^2+D622^2-I622^2)</f>
        <v>47.9816613938192</v>
      </c>
      <c r="K622" s="15" t="n">
        <f aca="false">E622/H622</f>
        <v>1223.0100835935</v>
      </c>
      <c r="L622" s="15" t="n">
        <f aca="false">J622/2-K622*ASINH(I622/(2*K622*SINH(J622/(2*K622))))</f>
        <v>3.49460600250137</v>
      </c>
      <c r="M622" s="15" t="n">
        <f aca="false">-L622/K622</f>
        <v>-0.00285738118547098</v>
      </c>
      <c r="N622" s="15" t="n">
        <f aca="false">(J622-L622)/K622</f>
        <v>0.0363750520033359</v>
      </c>
      <c r="O622" s="15" t="n">
        <f aca="false">K622*(SINH(N622)-SINH(M622))</f>
        <v>47.9914772646641</v>
      </c>
      <c r="P622" s="15" t="n">
        <f aca="false">E622*COSH(M622)</f>
        <v>3353.46753032448</v>
      </c>
      <c r="Q622" s="15" t="n">
        <f aca="false">E622*COSH(N622)</f>
        <v>3355.67263694637</v>
      </c>
    </row>
    <row r="623" customFormat="false" ht="21" hidden="false" customHeight="true" outlineLevel="0" collapsed="false">
      <c r="A623" s="1" t="s">
        <v>426</v>
      </c>
      <c r="B623" s="1" t="s">
        <v>323</v>
      </c>
      <c r="C623" s="15" t="n">
        <v>47.9791193543278</v>
      </c>
      <c r="D623" s="15" t="n">
        <v>0.943760220305103</v>
      </c>
      <c r="E623" s="15" t="n">
        <v>3550.40983051393</v>
      </c>
      <c r="F623" s="15" t="n">
        <v>1.32389775</v>
      </c>
      <c r="G623" s="15" t="n">
        <v>0</v>
      </c>
      <c r="H623" s="15" t="n">
        <f aca="false">SQRT(F623^2+G623^2)</f>
        <v>1.32389775</v>
      </c>
      <c r="I623" s="15" t="n">
        <f aca="false">D623*F623/H623</f>
        <v>0.943760220305103</v>
      </c>
      <c r="J623" s="15" t="n">
        <f aca="false">SQRT(C623^2+D623^2-I623^2)</f>
        <v>47.9791193543278</v>
      </c>
      <c r="K623" s="15" t="n">
        <f aca="false">E623/H623</f>
        <v>2681.78553103057</v>
      </c>
      <c r="L623" s="15" t="n">
        <f aca="false">J623/2-K623*ASINH(I623/(2*K623*SINH(J623/(2*K623))))</f>
        <v>-28.7576688257461</v>
      </c>
      <c r="M623" s="15" t="n">
        <f aca="false">-L623/K623</f>
        <v>0.0107233291003308</v>
      </c>
      <c r="N623" s="15" t="n">
        <f aca="false">(J623-L623)/K623</f>
        <v>0.0286140659990007</v>
      </c>
      <c r="O623" s="15" t="n">
        <f aca="false">K623*(SINH(N623)-SINH(M623))</f>
        <v>47.9890402033117</v>
      </c>
      <c r="P623" s="15" t="n">
        <f aca="false">E623*COSH(M623)</f>
        <v>3550.61396290509</v>
      </c>
      <c r="Q623" s="15" t="n">
        <f aca="false">E623*COSH(N623)</f>
        <v>3551.86340493729</v>
      </c>
    </row>
    <row r="624" customFormat="false" ht="21" hidden="false" customHeight="true" outlineLevel="0" collapsed="false">
      <c r="A624" s="1" t="s">
        <v>426</v>
      </c>
      <c r="B624" s="1" t="s">
        <v>324</v>
      </c>
      <c r="C624" s="15" t="n">
        <v>47.9791193543278</v>
      </c>
      <c r="D624" s="15" t="n">
        <v>0.943760220305103</v>
      </c>
      <c r="E624" s="15" t="n">
        <v>380.050335504878</v>
      </c>
      <c r="F624" s="15" t="n">
        <v>1.32389775</v>
      </c>
      <c r="G624" s="15" t="n">
        <v>0</v>
      </c>
      <c r="H624" s="15" t="n">
        <f aca="false">SQRT(F624^2+G624^2)</f>
        <v>1.32389775</v>
      </c>
      <c r="I624" s="15" t="n">
        <f aca="false">D624*F624/H624</f>
        <v>0.943760220305103</v>
      </c>
      <c r="J624" s="15" t="n">
        <f aca="false">SQRT(C624^2+D624^2-I624^2)</f>
        <v>47.9791193543278</v>
      </c>
      <c r="K624" s="15" t="n">
        <f aca="false">E624/H624</f>
        <v>287.069251008908</v>
      </c>
      <c r="L624" s="15" t="n">
        <f aca="false">J624/2-K624*ASINH(I624/(2*K624*SINH(J624/(2*K624))))</f>
        <v>18.3497717706319</v>
      </c>
      <c r="M624" s="15" t="n">
        <f aca="false">-L624/K624</f>
        <v>-0.0639210633188384</v>
      </c>
      <c r="N624" s="15" t="n">
        <f aca="false">(J624-L624)/K624</f>
        <v>0.10321324028806</v>
      </c>
      <c r="O624" s="15" t="n">
        <f aca="false">K624*(SINH(N624)-SINH(M624))</f>
        <v>48.0442526045099</v>
      </c>
      <c r="P624" s="15" t="n">
        <f aca="false">E624*COSH(M624)</f>
        <v>380.827024183816</v>
      </c>
      <c r="Q624" s="15" t="n">
        <f aca="false">E624*COSH(N624)</f>
        <v>382.076466216018</v>
      </c>
    </row>
    <row r="625" customFormat="false" ht="21" hidden="false" customHeight="true" outlineLevel="0" collapsed="false">
      <c r="A625" s="1" t="s">
        <v>427</v>
      </c>
      <c r="B625" s="1" t="s">
        <v>319</v>
      </c>
      <c r="C625" s="15" t="n">
        <v>77.6149319609923</v>
      </c>
      <c r="D625" s="15" t="n">
        <v>-7.79269525534082</v>
      </c>
      <c r="E625" s="15" t="n">
        <v>2205.00000000031</v>
      </c>
      <c r="F625" s="15" t="n">
        <v>1.32389775</v>
      </c>
      <c r="G625" s="15" t="n">
        <v>0</v>
      </c>
      <c r="H625" s="15" t="n">
        <f aca="false">SQRT(F625^2+G625^2)</f>
        <v>1.32389775</v>
      </c>
      <c r="I625" s="15" t="n">
        <f aca="false">D625*F625/H625</f>
        <v>-7.79269525534082</v>
      </c>
      <c r="J625" s="15" t="n">
        <f aca="false">SQRT(C625^2+D625^2-I625^2)</f>
        <v>77.6149319609923</v>
      </c>
      <c r="K625" s="15" t="n">
        <f aca="false">E625/H625</f>
        <v>1665.53648119752</v>
      </c>
      <c r="L625" s="15" t="n">
        <f aca="false">J625/2-K625*ASINH(I625/(2*K625*SINH(J625/(2*K625))))</f>
        <v>205.735939946597</v>
      </c>
      <c r="M625" s="15" t="n">
        <f aca="false">-L625/K625</f>
        <v>-0.123525327886348</v>
      </c>
      <c r="N625" s="15" t="n">
        <f aca="false">(J625-L625)/K625</f>
        <v>-0.0769247683446033</v>
      </c>
      <c r="O625" s="15" t="n">
        <f aca="false">K625*(SINH(N625)-SINH(M625))</f>
        <v>78.0121401124371</v>
      </c>
      <c r="P625" s="15" t="n">
        <f aca="false">E625*COSH(M625)</f>
        <v>2221.84390496531</v>
      </c>
      <c r="Q625" s="15" t="n">
        <f aca="false">E625*COSH(N625)</f>
        <v>2211.52717325033</v>
      </c>
    </row>
    <row r="626" customFormat="false" ht="21" hidden="false" customHeight="true" outlineLevel="0" collapsed="false">
      <c r="A626" s="1" t="s">
        <v>427</v>
      </c>
      <c r="B626" s="1" t="s">
        <v>320</v>
      </c>
      <c r="C626" s="15" t="n">
        <v>77.6149319609923</v>
      </c>
      <c r="D626" s="15" t="n">
        <v>-7.79269525534082</v>
      </c>
      <c r="E626" s="15" t="n">
        <v>3503.54225488307</v>
      </c>
      <c r="F626" s="15" t="n">
        <v>1.32389775</v>
      </c>
      <c r="G626" s="15" t="n">
        <v>3.443895</v>
      </c>
      <c r="H626" s="15" t="n">
        <f aca="false">SQRT(F626^2+G626^2)</f>
        <v>3.68959591601574</v>
      </c>
      <c r="I626" s="15" t="n">
        <f aca="false">D626*F626/H626</f>
        <v>-2.79616845579178</v>
      </c>
      <c r="J626" s="15" t="n">
        <f aca="false">SQRT(C626^2+D626^2-I626^2)</f>
        <v>77.9550203939355</v>
      </c>
      <c r="K626" s="15" t="n">
        <f aca="false">E626/H626</f>
        <v>949.573431517242</v>
      </c>
      <c r="L626" s="15" t="n">
        <f aca="false">J626/2-K626*ASINH(I626/(2*K626*SINH(J626/(2*K626))))</f>
        <v>73.0209015964217</v>
      </c>
      <c r="M626" s="15" t="n">
        <f aca="false">-L626/K626</f>
        <v>-0.0768986359272372</v>
      </c>
      <c r="N626" s="15" t="n">
        <f aca="false">(J626-L626)/K626</f>
        <v>0.00519614242958552</v>
      </c>
      <c r="O626" s="15" t="n">
        <f aca="false">K626*(SINH(N626)-SINH(M626))</f>
        <v>78.0270308479937</v>
      </c>
      <c r="P626" s="15" t="n">
        <f aca="false">E626*COSH(M626)</f>
        <v>3513.90628434299</v>
      </c>
      <c r="Q626" s="15" t="n">
        <f aca="false">E626*COSH(N626)</f>
        <v>3503.58955262801</v>
      </c>
    </row>
    <row r="627" customFormat="false" ht="21" hidden="false" customHeight="true" outlineLevel="0" collapsed="false">
      <c r="A627" s="1" t="s">
        <v>427</v>
      </c>
      <c r="B627" s="1" t="s">
        <v>321</v>
      </c>
      <c r="C627" s="15" t="n">
        <v>77.6149319609923</v>
      </c>
      <c r="D627" s="15" t="n">
        <v>-7.79269525534082</v>
      </c>
      <c r="E627" s="15" t="n">
        <v>3774.49077057878</v>
      </c>
      <c r="F627" s="15" t="n">
        <v>3.85543216183014</v>
      </c>
      <c r="G627" s="15" t="n">
        <v>0</v>
      </c>
      <c r="H627" s="15" t="n">
        <f aca="false">SQRT(F627^2+G627^2)</f>
        <v>3.85543216183014</v>
      </c>
      <c r="I627" s="15" t="n">
        <f aca="false">D627*F627/H627</f>
        <v>-7.79269525534082</v>
      </c>
      <c r="J627" s="15" t="n">
        <f aca="false">SQRT(C627^2+D627^2-I627^2)</f>
        <v>77.6149319609923</v>
      </c>
      <c r="K627" s="15" t="n">
        <f aca="false">E627/H627</f>
        <v>979.005883684663</v>
      </c>
      <c r="L627" s="15" t="n">
        <f aca="false">J627/2-K627*ASINH(I627/(2*K627*SINH(J627/(2*K627))))</f>
        <v>136.911618542852</v>
      </c>
      <c r="M627" s="15" t="n">
        <f aca="false">-L627/K627</f>
        <v>-0.139847595223392</v>
      </c>
      <c r="N627" s="15" t="n">
        <f aca="false">(J627-L627)/K627</f>
        <v>-0.0605682637561749</v>
      </c>
      <c r="O627" s="15" t="n">
        <f aca="false">K627*(SINH(N627)-SINH(M627))</f>
        <v>78.0253781859973</v>
      </c>
      <c r="P627" s="15" t="n">
        <f aca="false">E627*COSH(M627)</f>
        <v>3811.46048249944</v>
      </c>
      <c r="Q627" s="15" t="n">
        <f aca="false">E627*COSH(N627)</f>
        <v>3781.41627458466</v>
      </c>
    </row>
    <row r="628" customFormat="false" ht="21" hidden="false" customHeight="true" outlineLevel="0" collapsed="false">
      <c r="A628" s="1" t="s">
        <v>427</v>
      </c>
      <c r="B628" s="1" t="s">
        <v>322</v>
      </c>
      <c r="C628" s="15" t="n">
        <v>77.6149319609923</v>
      </c>
      <c r="D628" s="15" t="n">
        <v>-7.79269525534082</v>
      </c>
      <c r="E628" s="15" t="n">
        <v>3465.94194316017</v>
      </c>
      <c r="F628" s="15" t="n">
        <v>2.33651151473205</v>
      </c>
      <c r="G628" s="15" t="n">
        <v>1.43495625</v>
      </c>
      <c r="H628" s="15" t="n">
        <f aca="false">SQRT(F628^2+G628^2)</f>
        <v>2.74196745018783</v>
      </c>
      <c r="I628" s="15" t="n">
        <f aca="false">D628*F628/H628</f>
        <v>-6.64038597309185</v>
      </c>
      <c r="J628" s="15" t="n">
        <f aca="false">SQRT(C628^2+D628^2-I628^2)</f>
        <v>77.7219984095908</v>
      </c>
      <c r="K628" s="15" t="n">
        <f aca="false">E628/H628</f>
        <v>1264.03467806401</v>
      </c>
      <c r="L628" s="15" t="n">
        <f aca="false">J628/2-K628*ASINH(I628/(2*K628*SINH(J628/(2*K628))))</f>
        <v>146.709261947523</v>
      </c>
      <c r="M628" s="15" t="n">
        <f aca="false">-L628/K628</f>
        <v>-0.116064269828595</v>
      </c>
      <c r="N628" s="15" t="n">
        <f aca="false">(J628-L628)/K628</f>
        <v>-0.0545770339494111</v>
      </c>
      <c r="O628" s="15" t="n">
        <f aca="false">K628*(SINH(N628)-SINH(M628))</f>
        <v>78.0173517126309</v>
      </c>
      <c r="P628" s="15" t="n">
        <f aca="false">E628*COSH(M628)</f>
        <v>3489.31286532954</v>
      </c>
      <c r="Q628" s="15" t="n">
        <f aca="false">E628*COSH(N628)</f>
        <v>3471.10514313464</v>
      </c>
    </row>
    <row r="629" customFormat="false" ht="21" hidden="false" customHeight="true" outlineLevel="0" collapsed="false">
      <c r="A629" s="1" t="s">
        <v>427</v>
      </c>
      <c r="B629" s="1" t="s">
        <v>323</v>
      </c>
      <c r="C629" s="15" t="n">
        <v>77.6149319609923</v>
      </c>
      <c r="D629" s="15" t="n">
        <v>-7.79269525534082</v>
      </c>
      <c r="E629" s="15" t="n">
        <v>3447.2949776733</v>
      </c>
      <c r="F629" s="15" t="n">
        <v>1.32389775</v>
      </c>
      <c r="G629" s="15" t="n">
        <v>0</v>
      </c>
      <c r="H629" s="15" t="n">
        <f aca="false">SQRT(F629^2+G629^2)</f>
        <v>1.32389775</v>
      </c>
      <c r="I629" s="15" t="n">
        <f aca="false">D629*F629/H629</f>
        <v>-7.79269525534082</v>
      </c>
      <c r="J629" s="15" t="n">
        <f aca="false">SQRT(C629^2+D629^2-I629^2)</f>
        <v>77.6149319609923</v>
      </c>
      <c r="K629" s="15" t="n">
        <f aca="false">E629/H629</f>
        <v>2603.89820714878</v>
      </c>
      <c r="L629" s="15" t="n">
        <f aca="false">J629/2-K629*ASINH(I629/(2*K629*SINH(J629/(2*K629))))</f>
        <v>299.797195443945</v>
      </c>
      <c r="M629" s="15" t="n">
        <f aca="false">-L629/K629</f>
        <v>-0.115133992035817</v>
      </c>
      <c r="N629" s="15" t="n">
        <f aca="false">(J629-L629)/K629</f>
        <v>-0.0853267853839181</v>
      </c>
      <c r="O629" s="15" t="n">
        <f aca="false">K629*(SINH(N629)-SINH(M629))</f>
        <v>78.008011084342</v>
      </c>
      <c r="P629" s="15" t="n">
        <f aca="false">E629*COSH(M629)</f>
        <v>3470.1686170139</v>
      </c>
      <c r="Q629" s="15" t="n">
        <f aca="false">E629*COSH(N629)</f>
        <v>3459.85188529892</v>
      </c>
    </row>
    <row r="630" customFormat="false" ht="21" hidden="false" customHeight="true" outlineLevel="0" collapsed="false">
      <c r="A630" s="1" t="s">
        <v>427</v>
      </c>
      <c r="B630" s="1" t="s">
        <v>324</v>
      </c>
      <c r="C630" s="15" t="n">
        <v>77.6149319609923</v>
      </c>
      <c r="D630" s="15" t="n">
        <v>-7.79269525534082</v>
      </c>
      <c r="E630" s="15" t="n">
        <v>582.841011235366</v>
      </c>
      <c r="F630" s="15" t="n">
        <v>1.32389775</v>
      </c>
      <c r="G630" s="15" t="n">
        <v>0</v>
      </c>
      <c r="H630" s="15" t="n">
        <f aca="false">SQRT(F630^2+G630^2)</f>
        <v>1.32389775</v>
      </c>
      <c r="I630" s="15" t="n">
        <f aca="false">D630*F630/H630</f>
        <v>-7.79269525534082</v>
      </c>
      <c r="J630" s="15" t="n">
        <f aca="false">SQRT(C630^2+D630^2-I630^2)</f>
        <v>77.6149319609923</v>
      </c>
      <c r="K630" s="15" t="n">
        <f aca="false">E630/H630</f>
        <v>440.246243514929</v>
      </c>
      <c r="L630" s="15" t="n">
        <f aca="false">J630/2-K630*ASINH(I630/(2*K630*SINH(J630/(2*K630))))</f>
        <v>82.8782402912014</v>
      </c>
      <c r="M630" s="15" t="n">
        <f aca="false">-L630/K630</f>
        <v>-0.188254281580011</v>
      </c>
      <c r="N630" s="15" t="n">
        <f aca="false">(J630-L630)/K630</f>
        <v>-0.0119553736295098</v>
      </c>
      <c r="O630" s="15" t="n">
        <f aca="false">K630*(SINH(N630)-SINH(M630))</f>
        <v>78.1052043929817</v>
      </c>
      <c r="P630" s="15" t="n">
        <f aca="false">E630*COSH(M630)</f>
        <v>593.199396458705</v>
      </c>
      <c r="Q630" s="15" t="n">
        <f aca="false">E630*COSH(N630)</f>
        <v>582.882664743724</v>
      </c>
    </row>
    <row r="631" customFormat="false" ht="21" hidden="false" customHeight="true" outlineLevel="0" collapsed="false">
      <c r="A631" s="1" t="s">
        <v>428</v>
      </c>
      <c r="B631" s="1" t="s">
        <v>319</v>
      </c>
      <c r="C631" s="15" t="n">
        <v>77.6149319622871</v>
      </c>
      <c r="D631" s="15" t="n">
        <v>-5.14372324810311</v>
      </c>
      <c r="E631" s="15" t="n">
        <v>2204.99999999983</v>
      </c>
      <c r="F631" s="15" t="n">
        <v>1.32389775</v>
      </c>
      <c r="G631" s="15" t="n">
        <v>0</v>
      </c>
      <c r="H631" s="15" t="n">
        <f aca="false">SQRT(F631^2+G631^2)</f>
        <v>1.32389775</v>
      </c>
      <c r="I631" s="15" t="n">
        <f aca="false">D631*F631/H631</f>
        <v>-5.14372324810311</v>
      </c>
      <c r="J631" s="15" t="n">
        <f aca="false">SQRT(C631^2+D631^2-I631^2)</f>
        <v>77.6149319622871</v>
      </c>
      <c r="K631" s="15" t="n">
        <f aca="false">E631/H631</f>
        <v>1665.53648119715</v>
      </c>
      <c r="L631" s="15" t="n">
        <f aca="false">J631/2-K631*ASINH(I631/(2*K631*SINH(J631/(2*K631))))</f>
        <v>149.095864225672</v>
      </c>
      <c r="M631" s="15" t="n">
        <f aca="false">-L631/K631</f>
        <v>-0.0895182218515592</v>
      </c>
      <c r="N631" s="15" t="n">
        <f aca="false">(J631-L631)/K631</f>
        <v>-0.0429176623090272</v>
      </c>
      <c r="O631" s="15" t="n">
        <f aca="false">K631*(SINH(N631)-SINH(M631))</f>
        <v>77.7921962322317</v>
      </c>
      <c r="P631" s="15" t="n">
        <f aca="false">E631*COSH(M631)</f>
        <v>2213.84079848341</v>
      </c>
      <c r="Q631" s="15" t="n">
        <f aca="false">E631*COSH(N631)</f>
        <v>2207.03103484862</v>
      </c>
    </row>
    <row r="632" customFormat="false" ht="21" hidden="false" customHeight="true" outlineLevel="0" collapsed="false">
      <c r="A632" s="1" t="s">
        <v>428</v>
      </c>
      <c r="B632" s="1" t="s">
        <v>320</v>
      </c>
      <c r="C632" s="15" t="n">
        <v>77.6149319622871</v>
      </c>
      <c r="D632" s="15" t="n">
        <v>-5.14372324810311</v>
      </c>
      <c r="E632" s="15" t="n">
        <v>3496.73992246509</v>
      </c>
      <c r="F632" s="15" t="n">
        <v>1.32389775</v>
      </c>
      <c r="G632" s="15" t="n">
        <v>3.443895</v>
      </c>
      <c r="H632" s="15" t="n">
        <f aca="false">SQRT(F632^2+G632^2)</f>
        <v>3.68959591601574</v>
      </c>
      <c r="I632" s="15" t="n">
        <f aca="false">D632*F632/H632</f>
        <v>-1.84566651465183</v>
      </c>
      <c r="J632" s="15" t="n">
        <f aca="false">SQRT(C632^2+D632^2-I632^2)</f>
        <v>77.763288687402</v>
      </c>
      <c r="K632" s="15" t="n">
        <f aca="false">E632/H632</f>
        <v>947.729779103041</v>
      </c>
      <c r="L632" s="15" t="n">
        <f aca="false">J632/2-K632*ASINH(I632/(2*K632*SINH(J632/(2*K632))))</f>
        <v>61.3670421151051</v>
      </c>
      <c r="M632" s="15" t="n">
        <f aca="false">-L632/K632</f>
        <v>-0.0647516237942682</v>
      </c>
      <c r="N632" s="15" t="n">
        <f aca="false">(J632-L632)/K632</f>
        <v>0.0173005501502916</v>
      </c>
      <c r="O632" s="15" t="n">
        <f aca="false">K632*(SINH(N632)-SINH(M632))</f>
        <v>77.8069986252698</v>
      </c>
      <c r="P632" s="15" t="n">
        <f aca="false">E632*COSH(M632)</f>
        <v>3504.07300207924</v>
      </c>
      <c r="Q632" s="15" t="n">
        <f aca="false">E632*COSH(N632)</f>
        <v>3497.26323844446</v>
      </c>
    </row>
    <row r="633" customFormat="false" ht="21" hidden="false" customHeight="true" outlineLevel="0" collapsed="false">
      <c r="A633" s="1" t="s">
        <v>428</v>
      </c>
      <c r="B633" s="1" t="s">
        <v>321</v>
      </c>
      <c r="C633" s="15" t="n">
        <v>77.6149319622871</v>
      </c>
      <c r="D633" s="15" t="n">
        <v>-5.14372324810311</v>
      </c>
      <c r="E633" s="15" t="n">
        <v>3779.68736126677</v>
      </c>
      <c r="F633" s="15" t="n">
        <v>3.85543216183014</v>
      </c>
      <c r="G633" s="15" t="n">
        <v>0</v>
      </c>
      <c r="H633" s="15" t="n">
        <f aca="false">SQRT(F633^2+G633^2)</f>
        <v>3.85543216183014</v>
      </c>
      <c r="I633" s="15" t="n">
        <f aca="false">D633*F633/H633</f>
        <v>-5.14372324810311</v>
      </c>
      <c r="J633" s="15" t="n">
        <f aca="false">SQRT(C633^2+D633^2-I633^2)</f>
        <v>77.6149319622871</v>
      </c>
      <c r="K633" s="15" t="n">
        <f aca="false">E633/H633</f>
        <v>980.353745732253</v>
      </c>
      <c r="L633" s="15" t="n">
        <f aca="false">J633/2-K633*ASINH(I633/(2*K633*SINH(J633/(2*K633))))</f>
        <v>103.713411358231</v>
      </c>
      <c r="M633" s="15" t="n">
        <f aca="false">-L633/K633</f>
        <v>-0.105791824440641</v>
      </c>
      <c r="N633" s="15" t="n">
        <f aca="false">(J633-L633)/K633</f>
        <v>-0.026621491996698</v>
      </c>
      <c r="O633" s="15" t="n">
        <f aca="false">K633*(SINH(N633)-SINH(M633))</f>
        <v>77.8054159880156</v>
      </c>
      <c r="P633" s="15" t="n">
        <f aca="false">E633*COSH(M633)</f>
        <v>3800.85805587667</v>
      </c>
      <c r="Q633" s="15" t="n">
        <f aca="false">E633*COSH(N633)</f>
        <v>3781.02677983437</v>
      </c>
    </row>
    <row r="634" customFormat="false" ht="21" hidden="false" customHeight="true" outlineLevel="0" collapsed="false">
      <c r="A634" s="1" t="s">
        <v>428</v>
      </c>
      <c r="B634" s="1" t="s">
        <v>322</v>
      </c>
      <c r="C634" s="15" t="n">
        <v>77.6149319622871</v>
      </c>
      <c r="D634" s="15" t="n">
        <v>-5.14372324810311</v>
      </c>
      <c r="E634" s="15" t="n">
        <v>3466.35651920545</v>
      </c>
      <c r="F634" s="15" t="n">
        <v>2.33651151473205</v>
      </c>
      <c r="G634" s="15" t="n">
        <v>1.43495625</v>
      </c>
      <c r="H634" s="15" t="n">
        <f aca="false">SQRT(F634^2+G634^2)</f>
        <v>2.74196745018783</v>
      </c>
      <c r="I634" s="15" t="n">
        <f aca="false">D634*F634/H634</f>
        <v>-4.38311862417061</v>
      </c>
      <c r="J634" s="15" t="n">
        <f aca="false">SQRT(C634^2+D634^2-I634^2)</f>
        <v>77.6615981260363</v>
      </c>
      <c r="K634" s="15" t="n">
        <f aca="false">E634/H634</f>
        <v>1264.18587462371</v>
      </c>
      <c r="L634" s="15" t="n">
        <f aca="false">J634/2-K634*ASINH(I634/(2*K634*SINH(J634/(2*K634))))</f>
        <v>110.130765493791</v>
      </c>
      <c r="M634" s="15" t="n">
        <f aca="false">-L634/K634</f>
        <v>-0.0871159595313244</v>
      </c>
      <c r="N634" s="15" t="n">
        <f aca="false">(J634-L634)/K634</f>
        <v>-0.0256838555306746</v>
      </c>
      <c r="O634" s="15" t="n">
        <f aca="false">K634*(SINH(N634)-SINH(M634))</f>
        <v>77.7973816640547</v>
      </c>
      <c r="P634" s="15" t="n">
        <f aca="false">E634*COSH(M634)</f>
        <v>3479.5182597788</v>
      </c>
      <c r="Q634" s="15" t="n">
        <f aca="false">E634*COSH(N634)</f>
        <v>3467.49989118101</v>
      </c>
    </row>
    <row r="635" customFormat="false" ht="21" hidden="false" customHeight="true" outlineLevel="0" collapsed="false">
      <c r="A635" s="1" t="s">
        <v>428</v>
      </c>
      <c r="B635" s="1" t="s">
        <v>323</v>
      </c>
      <c r="C635" s="15" t="n">
        <v>77.6149319622871</v>
      </c>
      <c r="D635" s="15" t="n">
        <v>-5.14372324810311</v>
      </c>
      <c r="E635" s="15" t="n">
        <v>3449.73381069833</v>
      </c>
      <c r="F635" s="15" t="n">
        <v>1.32389775</v>
      </c>
      <c r="G635" s="15" t="n">
        <v>0</v>
      </c>
      <c r="H635" s="15" t="n">
        <f aca="false">SQRT(F635^2+G635^2)</f>
        <v>1.32389775</v>
      </c>
      <c r="I635" s="15" t="n">
        <f aca="false">D635*F635/H635</f>
        <v>-5.14372324810311</v>
      </c>
      <c r="J635" s="15" t="n">
        <f aca="false">SQRT(C635^2+D635^2-I635^2)</f>
        <v>77.6149319622871</v>
      </c>
      <c r="K635" s="15" t="n">
        <f aca="false">E635/H635</f>
        <v>2605.74036831646</v>
      </c>
      <c r="L635" s="15" t="n">
        <f aca="false">J635/2-K635*ASINH(I635/(2*K635*SINH(J635/(2*K635))))</f>
        <v>211.363451420171</v>
      </c>
      <c r="M635" s="15" t="n">
        <f aca="false">-L635/K635</f>
        <v>-0.0811145477078864</v>
      </c>
      <c r="N635" s="15" t="n">
        <f aca="false">(J635-L635)/K635</f>
        <v>-0.0513284136378857</v>
      </c>
      <c r="O635" s="15" t="n">
        <f aca="false">K635*(SINH(N635)-SINH(M635))</f>
        <v>77.7880514770522</v>
      </c>
      <c r="P635" s="15" t="n">
        <f aca="false">E635*COSH(M635)</f>
        <v>3461.08891691231</v>
      </c>
      <c r="Q635" s="15" t="n">
        <f aca="false">E635*COSH(N635)</f>
        <v>3454.27915327753</v>
      </c>
    </row>
    <row r="636" customFormat="false" ht="21" hidden="false" customHeight="true" outlineLevel="0" collapsed="false">
      <c r="A636" s="1" t="s">
        <v>428</v>
      </c>
      <c r="B636" s="1" t="s">
        <v>324</v>
      </c>
      <c r="C636" s="15" t="n">
        <v>77.6149319622871</v>
      </c>
      <c r="D636" s="15" t="n">
        <v>-5.14372324810311</v>
      </c>
      <c r="E636" s="15" t="n">
        <v>583.948578826418</v>
      </c>
      <c r="F636" s="15" t="n">
        <v>1.32389775</v>
      </c>
      <c r="G636" s="15" t="n">
        <v>0</v>
      </c>
      <c r="H636" s="15" t="n">
        <f aca="false">SQRT(F636^2+G636^2)</f>
        <v>1.32389775</v>
      </c>
      <c r="I636" s="15" t="n">
        <f aca="false">D636*F636/H636</f>
        <v>-5.14372324810311</v>
      </c>
      <c r="J636" s="15" t="n">
        <f aca="false">SQRT(C636^2+D636^2-I636^2)</f>
        <v>77.6149319622871</v>
      </c>
      <c r="K636" s="15" t="n">
        <f aca="false">E636/H636</f>
        <v>441.082839536828</v>
      </c>
      <c r="L636" s="15" t="n">
        <f aca="false">J636/2-K636*ASINH(I636/(2*K636*SINH(J636/(2*K636))))</f>
        <v>67.9801062960405</v>
      </c>
      <c r="M636" s="15" t="n">
        <f aca="false">-L636/K636</f>
        <v>-0.154120950085986</v>
      </c>
      <c r="N636" s="15" t="n">
        <f aca="false">(J636-L636)/K636</f>
        <v>0.0218435740469158</v>
      </c>
      <c r="O636" s="15" t="n">
        <f aca="false">K636*(SINH(N636)-SINH(M636))</f>
        <v>77.8851429262672</v>
      </c>
      <c r="P636" s="15" t="n">
        <f aca="false">E636*COSH(M636)</f>
        <v>590.897661117366</v>
      </c>
      <c r="Q636" s="15" t="n">
        <f aca="false">E636*COSH(N636)</f>
        <v>584.08789748258</v>
      </c>
    </row>
    <row r="637" customFormat="false" ht="21" hidden="false" customHeight="true" outlineLevel="0" collapsed="false">
      <c r="A637" s="1" t="s">
        <v>429</v>
      </c>
      <c r="B637" s="1" t="s">
        <v>319</v>
      </c>
      <c r="C637" s="15" t="n">
        <v>58.6001861470718</v>
      </c>
      <c r="D637" s="15" t="n">
        <v>0.263010279160335</v>
      </c>
      <c r="E637" s="15" t="n">
        <v>2204.99999999965</v>
      </c>
      <c r="F637" s="15" t="n">
        <v>1.32389775</v>
      </c>
      <c r="G637" s="15" t="n">
        <v>0</v>
      </c>
      <c r="H637" s="15" t="n">
        <f aca="false">SQRT(F637^2+G637^2)</f>
        <v>1.32389775</v>
      </c>
      <c r="I637" s="15" t="n">
        <f aca="false">D637*F637/H637</f>
        <v>0.263010279160335</v>
      </c>
      <c r="J637" s="15" t="n">
        <f aca="false">SQRT(C637^2+D637^2-I637^2)</f>
        <v>58.6001861470718</v>
      </c>
      <c r="K637" s="15" t="n">
        <f aca="false">E637/H637</f>
        <v>1665.53648119702</v>
      </c>
      <c r="L637" s="15" t="n">
        <f aca="false">J637/2-K637*ASINH(I637/(2*K637*SINH(J637/(2*K637))))</f>
        <v>21.8252166371791</v>
      </c>
      <c r="M637" s="15" t="n">
        <f aca="false">-L637/K637</f>
        <v>-0.013104015963369</v>
      </c>
      <c r="N637" s="15" t="n">
        <f aca="false">(J637-L637)/K637</f>
        <v>0.0220799543720967</v>
      </c>
      <c r="O637" s="15" t="n">
        <f aca="false">K637*(SINH(N637)-SINH(M637))</f>
        <v>58.6037989613722</v>
      </c>
      <c r="P637" s="15" t="n">
        <f aca="false">E637*COSH(M637)</f>
        <v>2205.18931875459</v>
      </c>
      <c r="Q637" s="15" t="n">
        <f aca="false">E637*COSH(N637)</f>
        <v>2205.5375174714</v>
      </c>
    </row>
    <row r="638" customFormat="false" ht="21" hidden="false" customHeight="true" outlineLevel="0" collapsed="false">
      <c r="A638" s="1" t="s">
        <v>429</v>
      </c>
      <c r="B638" s="1" t="s">
        <v>320</v>
      </c>
      <c r="C638" s="15" t="n">
        <v>58.6001861470718</v>
      </c>
      <c r="D638" s="15" t="n">
        <v>0.263010279160335</v>
      </c>
      <c r="E638" s="15" t="n">
        <v>3300.09737860493</v>
      </c>
      <c r="F638" s="15" t="n">
        <v>1.32389775</v>
      </c>
      <c r="G638" s="15" t="n">
        <v>3.443895</v>
      </c>
      <c r="H638" s="15" t="n">
        <f aca="false">SQRT(F638^2+G638^2)</f>
        <v>3.68959591601574</v>
      </c>
      <c r="I638" s="15" t="n">
        <f aca="false">D638*F638/H638</f>
        <v>0.0943731304817917</v>
      </c>
      <c r="J638" s="15" t="n">
        <f aca="false">SQRT(C638^2+D638^2-I638^2)</f>
        <v>58.6007003762809</v>
      </c>
      <c r="K638" s="15" t="n">
        <f aca="false">E638/H638</f>
        <v>894.433280425077</v>
      </c>
      <c r="L638" s="15" t="n">
        <f aca="false">J638/2-K638*ASINH(I638/(2*K638*SINH(J638/(2*K638))))</f>
        <v>27.860173937377</v>
      </c>
      <c r="M638" s="15" t="n">
        <f aca="false">-L638/K638</f>
        <v>-0.03114840933036</v>
      </c>
      <c r="N638" s="15" t="n">
        <f aca="false">(J638-L638)/K638</f>
        <v>0.0343687194021834</v>
      </c>
      <c r="O638" s="15" t="n">
        <f aca="false">K638*(SINH(N638)-SINH(M638))</f>
        <v>58.6112578814989</v>
      </c>
      <c r="P638" s="15" t="n">
        <f aca="false">E638*COSH(M638)</f>
        <v>3301.69842390208</v>
      </c>
      <c r="Q638" s="15" t="n">
        <f aca="false">E638*COSH(N638)</f>
        <v>3302.04662261888</v>
      </c>
    </row>
    <row r="639" customFormat="false" ht="21" hidden="false" customHeight="true" outlineLevel="0" collapsed="false">
      <c r="A639" s="1" t="s">
        <v>429</v>
      </c>
      <c r="B639" s="1" t="s">
        <v>321</v>
      </c>
      <c r="C639" s="15" t="n">
        <v>58.6001861470718</v>
      </c>
      <c r="D639" s="15" t="n">
        <v>0.263010279160335</v>
      </c>
      <c r="E639" s="15" t="n">
        <v>3605.8593768377</v>
      </c>
      <c r="F639" s="15" t="n">
        <v>3.85543216183014</v>
      </c>
      <c r="G639" s="15" t="n">
        <v>0</v>
      </c>
      <c r="H639" s="15" t="n">
        <f aca="false">SQRT(F639^2+G639^2)</f>
        <v>3.85543216183014</v>
      </c>
      <c r="I639" s="15" t="n">
        <f aca="false">D639*F639/H639</f>
        <v>0.263010279160335</v>
      </c>
      <c r="J639" s="15" t="n">
        <f aca="false">SQRT(C639^2+D639^2-I639^2)</f>
        <v>58.6001861470718</v>
      </c>
      <c r="K639" s="15" t="n">
        <f aca="false">E639/H639</f>
        <v>935.267234769873</v>
      </c>
      <c r="L639" s="15" t="n">
        <f aca="false">J639/2-K639*ASINH(I639/(2*K639*SINH(J639/(2*K639))))</f>
        <v>25.1031125686885</v>
      </c>
      <c r="M639" s="15" t="n">
        <f aca="false">-L639/K639</f>
        <v>-0.0268405773616834</v>
      </c>
      <c r="N639" s="15" t="n">
        <f aca="false">(J639-L639)/K639</f>
        <v>0.0358155106188718</v>
      </c>
      <c r="O639" s="15" t="n">
        <f aca="false">K639*(SINH(N639)-SINH(M639))</f>
        <v>58.6103622311054</v>
      </c>
      <c r="P639" s="15" t="n">
        <f aca="false">E639*COSH(M639)</f>
        <v>3607.15831528004</v>
      </c>
      <c r="Q639" s="15" t="n">
        <f aca="false">E639*COSH(N639)</f>
        <v>3608.17233356921</v>
      </c>
    </row>
    <row r="640" customFormat="false" ht="21" hidden="false" customHeight="true" outlineLevel="0" collapsed="false">
      <c r="A640" s="1" t="s">
        <v>429</v>
      </c>
      <c r="B640" s="1" t="s">
        <v>322</v>
      </c>
      <c r="C640" s="15" t="n">
        <v>58.6001861470718</v>
      </c>
      <c r="D640" s="15" t="n">
        <v>0.263010279160335</v>
      </c>
      <c r="E640" s="15" t="n">
        <v>3391.43640544352</v>
      </c>
      <c r="F640" s="15" t="n">
        <v>2.33651151473205</v>
      </c>
      <c r="G640" s="15" t="n">
        <v>1.43495625</v>
      </c>
      <c r="H640" s="15" t="n">
        <f aca="false">SQRT(F640^2+G640^2)</f>
        <v>2.74196745018783</v>
      </c>
      <c r="I640" s="15" t="n">
        <f aca="false">D640*F640/H640</f>
        <v>0.224118833251985</v>
      </c>
      <c r="J640" s="15" t="n">
        <f aca="false">SQRT(C640^2+D640^2-I640^2)</f>
        <v>58.60034779442</v>
      </c>
      <c r="K640" s="15" t="n">
        <f aca="false">E640/H640</f>
        <v>1236.86238697371</v>
      </c>
      <c r="L640" s="15" t="n">
        <f aca="false">J640/2-K640*ASINH(I640/(2*K640*SINH(J640/(2*K640))))</f>
        <v>24.5702095715092</v>
      </c>
      <c r="M640" s="15" t="n">
        <f aca="false">-L640/K640</f>
        <v>-0.0198649500787443</v>
      </c>
      <c r="N640" s="15" t="n">
        <f aca="false">(J640-L640)/K640</f>
        <v>0.0275132776138291</v>
      </c>
      <c r="O640" s="15" t="n">
        <f aca="false">K640*(SINH(N640)-SINH(M640))</f>
        <v>58.6062573142961</v>
      </c>
      <c r="P640" s="15" t="n">
        <f aca="false">E640*COSH(M640)</f>
        <v>3392.10558539289</v>
      </c>
      <c r="Q640" s="15" t="n">
        <f aca="false">E640*COSH(N640)</f>
        <v>3392.72011193864</v>
      </c>
    </row>
    <row r="641" customFormat="false" ht="21" hidden="false" customHeight="true" outlineLevel="0" collapsed="false">
      <c r="A641" s="1" t="s">
        <v>429</v>
      </c>
      <c r="B641" s="1" t="s">
        <v>323</v>
      </c>
      <c r="C641" s="15" t="n">
        <v>58.6001861470718</v>
      </c>
      <c r="D641" s="15" t="n">
        <v>0.263010279160335</v>
      </c>
      <c r="E641" s="15" t="n">
        <v>3519.69918383473</v>
      </c>
      <c r="F641" s="15" t="n">
        <v>1.32389775</v>
      </c>
      <c r="G641" s="15" t="n">
        <v>0</v>
      </c>
      <c r="H641" s="15" t="n">
        <f aca="false">SQRT(F641^2+G641^2)</f>
        <v>1.32389775</v>
      </c>
      <c r="I641" s="15" t="n">
        <f aca="false">D641*F641/H641</f>
        <v>0.263010279160335</v>
      </c>
      <c r="J641" s="15" t="n">
        <f aca="false">SQRT(C641^2+D641^2-I641^2)</f>
        <v>58.6001861470718</v>
      </c>
      <c r="K641" s="15" t="n">
        <f aca="false">E641/H641</f>
        <v>2658.58838708256</v>
      </c>
      <c r="L641" s="15" t="n">
        <f aca="false">J641/2-K641*ASINH(I641/(2*K641*SINH(J641/(2*K641))))</f>
        <v>17.3680563742045</v>
      </c>
      <c r="M641" s="15" t="n">
        <f aca="false">-L641/K641</f>
        <v>-0.00653281134401689</v>
      </c>
      <c r="N641" s="15" t="n">
        <f aca="false">(J641-L641)/K641</f>
        <v>0.0155090310230814</v>
      </c>
      <c r="O641" s="15" t="n">
        <f aca="false">K641*(SINH(N641)-SINH(M641))</f>
        <v>58.6019626327709</v>
      </c>
      <c r="P641" s="15" t="n">
        <f aca="false">E641*COSH(M641)</f>
        <v>3519.77429030112</v>
      </c>
      <c r="Q641" s="15" t="n">
        <f aca="false">E641*COSH(N641)</f>
        <v>3520.12248901793</v>
      </c>
    </row>
    <row r="642" customFormat="false" ht="21" hidden="false" customHeight="true" outlineLevel="0" collapsed="false">
      <c r="A642" s="1" t="s">
        <v>429</v>
      </c>
      <c r="B642" s="1" t="s">
        <v>324</v>
      </c>
      <c r="C642" s="15" t="n">
        <v>58.6001861470718</v>
      </c>
      <c r="D642" s="15" t="n">
        <v>0.263010279160335</v>
      </c>
      <c r="E642" s="15" t="n">
        <v>456.115458015692</v>
      </c>
      <c r="F642" s="15" t="n">
        <v>1.32389775</v>
      </c>
      <c r="G642" s="15" t="n">
        <v>0</v>
      </c>
      <c r="H642" s="15" t="n">
        <f aca="false">SQRT(F642^2+G642^2)</f>
        <v>1.32389775</v>
      </c>
      <c r="I642" s="15" t="n">
        <f aca="false">D642*F642/H642</f>
        <v>0.263010279160335</v>
      </c>
      <c r="J642" s="15" t="n">
        <f aca="false">SQRT(C642^2+D642^2-I642^2)</f>
        <v>58.6001861470718</v>
      </c>
      <c r="K642" s="15" t="n">
        <f aca="false">E642/H642</f>
        <v>344.524687058115</v>
      </c>
      <c r="L642" s="15" t="n">
        <f aca="false">J642/2-K642*ASINH(I642/(2*K642*SINH(J642/(2*K642))))</f>
        <v>27.7556595186986</v>
      </c>
      <c r="M642" s="15" t="n">
        <f aca="false">-L642/K642</f>
        <v>-0.0805621790290365</v>
      </c>
      <c r="N642" s="15" t="n">
        <f aca="false">(J642-L642)/K642</f>
        <v>0.0895277690889253</v>
      </c>
      <c r="O642" s="15" t="n">
        <f aca="false">K642*(SINH(N642)-SINH(M642))</f>
        <v>58.6714402891898</v>
      </c>
      <c r="P642" s="15" t="n">
        <f aca="false">E642*COSH(M642)</f>
        <v>457.59641376457</v>
      </c>
      <c r="Q642" s="15" t="n">
        <f aca="false">E642*COSH(N642)</f>
        <v>457.944612481377</v>
      </c>
    </row>
    <row r="643" customFormat="false" ht="21" hidden="false" customHeight="true" outlineLevel="0" collapsed="false">
      <c r="A643" s="1" t="s">
        <v>430</v>
      </c>
      <c r="B643" s="1" t="s">
        <v>319</v>
      </c>
      <c r="C643" s="15" t="n">
        <v>58.6001861470718</v>
      </c>
      <c r="D643" s="15" t="n">
        <v>4.79790486663515</v>
      </c>
      <c r="E643" s="15" t="n">
        <v>2205.00000000014</v>
      </c>
      <c r="F643" s="15" t="n">
        <v>1.32389775</v>
      </c>
      <c r="G643" s="15" t="n">
        <v>0</v>
      </c>
      <c r="H643" s="15" t="n">
        <f aca="false">SQRT(F643^2+G643^2)</f>
        <v>1.32389775</v>
      </c>
      <c r="I643" s="15" t="n">
        <f aca="false">D643*F643/H643</f>
        <v>4.79790486663515</v>
      </c>
      <c r="J643" s="15" t="n">
        <f aca="false">SQRT(C643^2+D643^2-I643^2)</f>
        <v>58.6001861470718</v>
      </c>
      <c r="K643" s="15" t="n">
        <f aca="false">E643/H643</f>
        <v>1665.53648119739</v>
      </c>
      <c r="L643" s="15" t="n">
        <f aca="false">J643/2-K643*ASINH(I643/(2*K643*SINH(J643/(2*K643))))</f>
        <v>-106.907213342738</v>
      </c>
      <c r="M643" s="15" t="n">
        <f aca="false">-L643/K643</f>
        <v>0.064187854513928</v>
      </c>
      <c r="N643" s="15" t="n">
        <f aca="false">(J643-L643)/K643</f>
        <v>0.0993718248493858</v>
      </c>
      <c r="O643" s="15" t="n">
        <f aca="false">K643*(SINH(N643)-SINH(M643))</f>
        <v>58.7992854498017</v>
      </c>
      <c r="P643" s="15" t="n">
        <f aca="false">E643*COSH(M643)</f>
        <v>2209.5439487339</v>
      </c>
      <c r="Q643" s="15" t="n">
        <f aca="false">E643*COSH(N643)</f>
        <v>2215.89588419155</v>
      </c>
    </row>
    <row r="644" customFormat="false" ht="21" hidden="false" customHeight="true" outlineLevel="0" collapsed="false">
      <c r="A644" s="1" t="s">
        <v>430</v>
      </c>
      <c r="B644" s="1" t="s">
        <v>320</v>
      </c>
      <c r="C644" s="15" t="n">
        <v>58.6001861470718</v>
      </c>
      <c r="D644" s="15" t="n">
        <v>4.79790486663515</v>
      </c>
      <c r="E644" s="15" t="n">
        <v>3307.38132783963</v>
      </c>
      <c r="F644" s="15" t="n">
        <v>1.32389775</v>
      </c>
      <c r="G644" s="15" t="n">
        <v>3.443895</v>
      </c>
      <c r="H644" s="15" t="n">
        <f aca="false">SQRT(F644^2+G644^2)</f>
        <v>3.68959591601574</v>
      </c>
      <c r="I644" s="15" t="n">
        <f aca="false">D644*F644/H644</f>
        <v>1.72158024950102</v>
      </c>
      <c r="J644" s="15" t="n">
        <f aca="false">SQRT(C644^2+D644^2-I644^2)</f>
        <v>58.7710631946136</v>
      </c>
      <c r="K644" s="15" t="n">
        <f aca="false">E644/H644</f>
        <v>896.407466596275</v>
      </c>
      <c r="L644" s="15" t="n">
        <f aca="false">J644/2-K644*ASINH(I644/(2*K644*SINH(J644/(2*K644))))</f>
        <v>3.13552961799413</v>
      </c>
      <c r="M644" s="15" t="n">
        <f aca="false">-L644/K644</f>
        <v>-0.00349788431582344</v>
      </c>
      <c r="N644" s="15" t="n">
        <f aca="false">(J644-L644)/K644</f>
        <v>0.0620650046433367</v>
      </c>
      <c r="O644" s="15" t="n">
        <f aca="false">K644*(SINH(N644)-SINH(M644))</f>
        <v>58.8067950821712</v>
      </c>
      <c r="P644" s="15" t="n">
        <f aca="false">E644*COSH(M644)</f>
        <v>3307.40156108749</v>
      </c>
      <c r="Q644" s="15" t="n">
        <f aca="false">E644*COSH(N644)</f>
        <v>3313.75349654514</v>
      </c>
    </row>
    <row r="645" customFormat="false" ht="21" hidden="false" customHeight="true" outlineLevel="0" collapsed="false">
      <c r="A645" s="1" t="s">
        <v>430</v>
      </c>
      <c r="B645" s="1" t="s">
        <v>321</v>
      </c>
      <c r="C645" s="15" t="n">
        <v>58.6001861470718</v>
      </c>
      <c r="D645" s="15" t="n">
        <v>4.79790486663515</v>
      </c>
      <c r="E645" s="15" t="n">
        <v>3600.42202046856</v>
      </c>
      <c r="F645" s="15" t="n">
        <v>3.85543216183014</v>
      </c>
      <c r="G645" s="15" t="n">
        <v>0</v>
      </c>
      <c r="H645" s="15" t="n">
        <f aca="false">SQRT(F645^2+G645^2)</f>
        <v>3.85543216183014</v>
      </c>
      <c r="I645" s="15" t="n">
        <f aca="false">D645*F645/H645</f>
        <v>4.79790486663515</v>
      </c>
      <c r="J645" s="15" t="n">
        <f aca="false">SQRT(C645^2+D645^2-I645^2)</f>
        <v>58.6001861470718</v>
      </c>
      <c r="K645" s="15" t="n">
        <f aca="false">E645/H645</f>
        <v>933.856924293405</v>
      </c>
      <c r="L645" s="15" t="n">
        <f aca="false">J645/2-K645*ASINH(I645/(2*K645*SINH(J645/(2*K645))))</f>
        <v>-47.0620055570303</v>
      </c>
      <c r="M645" s="15" t="n">
        <f aca="false">-L645/K645</f>
        <v>0.0503953061039188</v>
      </c>
      <c r="N645" s="15" t="n">
        <f aca="false">(J645-L645)/K645</f>
        <v>0.113146017291729</v>
      </c>
      <c r="O645" s="15" t="n">
        <f aca="false">K645*(SINH(N645)-SINH(M645))</f>
        <v>58.8058557815648</v>
      </c>
      <c r="P645" s="15" t="n">
        <f aca="false">E645*COSH(M645)</f>
        <v>3604.99496044439</v>
      </c>
      <c r="Q645" s="15" t="n">
        <f aca="false">E645*COSH(N645)</f>
        <v>3623.49295717662</v>
      </c>
    </row>
    <row r="646" customFormat="false" ht="21" hidden="false" customHeight="true" outlineLevel="0" collapsed="false">
      <c r="A646" s="1" t="s">
        <v>430</v>
      </c>
      <c r="B646" s="1" t="s">
        <v>322</v>
      </c>
      <c r="C646" s="15" t="n">
        <v>58.6001861470718</v>
      </c>
      <c r="D646" s="15" t="n">
        <v>4.79790486663515</v>
      </c>
      <c r="E646" s="15" t="n">
        <v>3390.87041091477</v>
      </c>
      <c r="F646" s="15" t="n">
        <v>2.33651151473205</v>
      </c>
      <c r="G646" s="15" t="n">
        <v>1.43495625</v>
      </c>
      <c r="H646" s="15" t="n">
        <f aca="false">SQRT(F646^2+G646^2)</f>
        <v>2.74196745018783</v>
      </c>
      <c r="I646" s="15" t="n">
        <f aca="false">D646*F646/H646</f>
        <v>4.08843655919914</v>
      </c>
      <c r="J646" s="15" t="n">
        <f aca="false">SQRT(C646^2+D646^2-I646^2)</f>
        <v>58.6539546329329</v>
      </c>
      <c r="K646" s="15" t="n">
        <f aca="false">E646/H646</f>
        <v>1236.65596784619</v>
      </c>
      <c r="L646" s="15" t="n">
        <f aca="false">J646/2-K646*ASINH(I646/(2*K646*SINH(J646/(2*K646))))</f>
        <v>-56.7956284932652</v>
      </c>
      <c r="M646" s="15" t="n">
        <f aca="false">-L646/K646</f>
        <v>0.0459267815544389</v>
      </c>
      <c r="N646" s="15" t="n">
        <f aca="false">(J646-L646)/K646</f>
        <v>0.0933562657100744</v>
      </c>
      <c r="O646" s="15" t="n">
        <f aca="false">K646*(SINH(N646)-SINH(M646))</f>
        <v>58.8017574766395</v>
      </c>
      <c r="P646" s="15" t="n">
        <f aca="false">E646*COSH(M646)</f>
        <v>3394.44716891184</v>
      </c>
      <c r="Q646" s="15" t="n">
        <f aca="false">E646*COSH(N646)</f>
        <v>3405.65752887932</v>
      </c>
    </row>
    <row r="647" customFormat="false" ht="21" hidden="false" customHeight="true" outlineLevel="0" collapsed="false">
      <c r="A647" s="1" t="s">
        <v>430</v>
      </c>
      <c r="B647" s="1" t="s">
        <v>323</v>
      </c>
      <c r="C647" s="15" t="n">
        <v>58.6001861470718</v>
      </c>
      <c r="D647" s="15" t="n">
        <v>4.79790486663515</v>
      </c>
      <c r="E647" s="15" t="n">
        <v>3516.08688044297</v>
      </c>
      <c r="F647" s="15" t="n">
        <v>1.32389775</v>
      </c>
      <c r="G647" s="15" t="n">
        <v>0</v>
      </c>
      <c r="H647" s="15" t="n">
        <f aca="false">SQRT(F647^2+G647^2)</f>
        <v>1.32389775</v>
      </c>
      <c r="I647" s="15" t="n">
        <f aca="false">D647*F647/H647</f>
        <v>4.79790486663515</v>
      </c>
      <c r="J647" s="15" t="n">
        <f aca="false">SQRT(C647^2+D647^2-I647^2)</f>
        <v>58.6001861470718</v>
      </c>
      <c r="K647" s="15" t="n">
        <f aca="false">E647/H647</f>
        <v>2655.85985053828</v>
      </c>
      <c r="L647" s="15" t="n">
        <f aca="false">J647/2-K647*ASINH(I647/(2*K647*SINH(J647/(2*K647))))</f>
        <v>-187.902481669364</v>
      </c>
      <c r="M647" s="15" t="n">
        <f aca="false">-L647/K647</f>
        <v>0.0707501495725691</v>
      </c>
      <c r="N647" s="15" t="n">
        <f aca="false">(J647-L647)/K647</f>
        <v>0.0928146369494895</v>
      </c>
      <c r="O647" s="15" t="n">
        <f aca="false">K647*(SINH(N647)-SINH(M647))</f>
        <v>58.7974576571358</v>
      </c>
      <c r="P647" s="15" t="n">
        <f aca="false">E647*COSH(M647)</f>
        <v>3524.89058535676</v>
      </c>
      <c r="Q647" s="15" t="n">
        <f aca="false">E647*COSH(N647)</f>
        <v>3531.24252081442</v>
      </c>
    </row>
    <row r="648" customFormat="false" ht="21" hidden="false" customHeight="true" outlineLevel="0" collapsed="false">
      <c r="A648" s="1" t="s">
        <v>430</v>
      </c>
      <c r="B648" s="1" t="s">
        <v>324</v>
      </c>
      <c r="C648" s="15" t="n">
        <v>58.6001861470718</v>
      </c>
      <c r="D648" s="15" t="n">
        <v>4.79790486663515</v>
      </c>
      <c r="E648" s="15" t="n">
        <v>455.087740048169</v>
      </c>
      <c r="F648" s="15" t="n">
        <v>1.32389775</v>
      </c>
      <c r="G648" s="15" t="n">
        <v>0</v>
      </c>
      <c r="H648" s="15" t="n">
        <f aca="false">SQRT(F648^2+G648^2)</f>
        <v>1.32389775</v>
      </c>
      <c r="I648" s="15" t="n">
        <f aca="false">D648*F648/H648</f>
        <v>4.79790486663515</v>
      </c>
      <c r="J648" s="15" t="n">
        <f aca="false">SQRT(C648^2+D648^2-I648^2)</f>
        <v>58.6001861470718</v>
      </c>
      <c r="K648" s="15" t="n">
        <f aca="false">E648/H648</f>
        <v>343.748405077484</v>
      </c>
      <c r="L648" s="15" t="n">
        <f aca="false">J648/2-K648*ASINH(I648/(2*K648*SINH(J648/(2*K648))))</f>
        <v>1.22089446673313</v>
      </c>
      <c r="M648" s="15" t="n">
        <f aca="false">-L648/K648</f>
        <v>-0.00355170947326411</v>
      </c>
      <c r="N648" s="15" t="n">
        <f aca="false">(J648-L648)/K648</f>
        <v>0.166922350279428</v>
      </c>
      <c r="O648" s="15" t="n">
        <f aca="false">K648*(SINH(N648)-SINH(M648))</f>
        <v>58.8670207273074</v>
      </c>
      <c r="P648" s="15" t="n">
        <f aca="false">E648*COSH(M648)</f>
        <v>455.090610435233</v>
      </c>
      <c r="Q648" s="15" t="n">
        <f aca="false">E648*COSH(N648)</f>
        <v>461.442545892885</v>
      </c>
    </row>
    <row r="649" customFormat="false" ht="21" hidden="false" customHeight="true" outlineLevel="0" collapsed="false">
      <c r="A649" s="1" t="s">
        <v>431</v>
      </c>
      <c r="B649" s="1" t="s">
        <v>319</v>
      </c>
      <c r="C649" s="15" t="n">
        <v>43.9603635678484</v>
      </c>
      <c r="D649" s="15" t="n">
        <v>-4.00563664912088</v>
      </c>
      <c r="E649" s="15" t="n">
        <v>2204.99999999765</v>
      </c>
      <c r="F649" s="15" t="n">
        <v>1.32389775</v>
      </c>
      <c r="G649" s="15" t="n">
        <v>0</v>
      </c>
      <c r="H649" s="15" t="n">
        <f aca="false">SQRT(F649^2+G649^2)</f>
        <v>1.32389775</v>
      </c>
      <c r="I649" s="15" t="n">
        <f aca="false">D649*F649/H649</f>
        <v>-4.00563664912088</v>
      </c>
      <c r="J649" s="15" t="n">
        <f aca="false">SQRT(C649^2+D649^2-I649^2)</f>
        <v>43.9603635678484</v>
      </c>
      <c r="K649" s="15" t="n">
        <f aca="false">E649/H649</f>
        <v>1665.53648119551</v>
      </c>
      <c r="L649" s="15" t="n">
        <f aca="false">J649/2-K649*ASINH(I649/(2*K649*SINH(J649/(2*K649))))</f>
        <v>173.529052556794</v>
      </c>
      <c r="M649" s="15" t="n">
        <f aca="false">-L649/K649</f>
        <v>-0.104188082648443</v>
      </c>
      <c r="N649" s="15" t="n">
        <f aca="false">(J649-L649)/K649</f>
        <v>-0.0777939663596813</v>
      </c>
      <c r="O649" s="15" t="n">
        <f aca="false">K649*(SINH(N649)-SINH(M649))</f>
        <v>44.1437524792734</v>
      </c>
      <c r="P649" s="15" t="n">
        <f aca="false">E649*COSH(M649)</f>
        <v>2216.97864006736</v>
      </c>
      <c r="Q649" s="15" t="n">
        <f aca="false">E649*COSH(N649)</f>
        <v>2211.67558672027</v>
      </c>
    </row>
    <row r="650" customFormat="false" ht="21" hidden="false" customHeight="true" outlineLevel="0" collapsed="false">
      <c r="A650" s="1" t="s">
        <v>431</v>
      </c>
      <c r="B650" s="1" t="s">
        <v>320</v>
      </c>
      <c r="C650" s="15" t="n">
        <v>43.9603635678484</v>
      </c>
      <c r="D650" s="15" t="n">
        <v>-4.00563664912088</v>
      </c>
      <c r="E650" s="15" t="n">
        <v>3166.50527761788</v>
      </c>
      <c r="F650" s="15" t="n">
        <v>1.32389775</v>
      </c>
      <c r="G650" s="15" t="n">
        <v>3.443895</v>
      </c>
      <c r="H650" s="15" t="n">
        <f aca="false">SQRT(F650^2+G650^2)</f>
        <v>3.68959591601574</v>
      </c>
      <c r="I650" s="15" t="n">
        <f aca="false">D650*F650/H650</f>
        <v>-1.43729922403406</v>
      </c>
      <c r="J650" s="15" t="n">
        <f aca="false">SQRT(C650^2+D650^2-I650^2)</f>
        <v>44.1190759300644</v>
      </c>
      <c r="K650" s="15" t="n">
        <f aca="false">E650/H650</f>
        <v>858.225493982351</v>
      </c>
      <c r="L650" s="15" t="n">
        <f aca="false">J650/2-K650*ASINH(I650/(2*K650*SINH(J650/(2*K650))))</f>
        <v>50.0105541123324</v>
      </c>
      <c r="M650" s="15" t="n">
        <f aca="false">-L650/K650</f>
        <v>-0.0582720444253791</v>
      </c>
      <c r="N650" s="15" t="n">
        <f aca="false">(J650-L650)/K650</f>
        <v>-0.00686472054672987</v>
      </c>
      <c r="O650" s="15" t="n">
        <f aca="false">K650*(SINH(N650)-SINH(M650))</f>
        <v>44.1473373629282</v>
      </c>
      <c r="P650" s="15" t="n">
        <f aca="false">E650*COSH(M650)</f>
        <v>3171.88294106991</v>
      </c>
      <c r="Q650" s="15" t="n">
        <f aca="false">E650*COSH(N650)</f>
        <v>3166.57988772282</v>
      </c>
    </row>
    <row r="651" customFormat="false" ht="21" hidden="false" customHeight="true" outlineLevel="0" collapsed="false">
      <c r="A651" s="1" t="s">
        <v>431</v>
      </c>
      <c r="B651" s="1" t="s">
        <v>321</v>
      </c>
      <c r="C651" s="15" t="n">
        <v>43.9603635678484</v>
      </c>
      <c r="D651" s="15" t="n">
        <v>-4.00563664912088</v>
      </c>
      <c r="E651" s="15" t="n">
        <v>3471.25580556769</v>
      </c>
      <c r="F651" s="15" t="n">
        <v>3.85543216183014</v>
      </c>
      <c r="G651" s="15" t="n">
        <v>0</v>
      </c>
      <c r="H651" s="15" t="n">
        <f aca="false">SQRT(F651^2+G651^2)</f>
        <v>3.85543216183014</v>
      </c>
      <c r="I651" s="15" t="n">
        <f aca="false">D651*F651/H651</f>
        <v>-4.00563664912088</v>
      </c>
      <c r="J651" s="15" t="n">
        <f aca="false">SQRT(C651^2+D651^2-I651^2)</f>
        <v>43.9603635678484</v>
      </c>
      <c r="K651" s="15" t="n">
        <f aca="false">E651/H651</f>
        <v>900.354528328653</v>
      </c>
      <c r="L651" s="15" t="n">
        <f aca="false">J651/2-K651*ASINH(I651/(2*K651*SINH(J651/(2*K651))))</f>
        <v>103.89861934226</v>
      </c>
      <c r="M651" s="15" t="n">
        <f aca="false">-L651/K651</f>
        <v>-0.115397452973474</v>
      </c>
      <c r="N651" s="15" t="n">
        <f aca="false">(J651-L651)/K651</f>
        <v>-0.0665718379688462</v>
      </c>
      <c r="O651" s="15" t="n">
        <f aca="false">K651*(SINH(N651)-SINH(M651))</f>
        <v>44.1468304294497</v>
      </c>
      <c r="P651" s="15" t="n">
        <f aca="false">E651*COSH(M651)</f>
        <v>3494.39407955268</v>
      </c>
      <c r="Q651" s="15" t="n">
        <f aca="false">E651*COSH(N651)</f>
        <v>3478.95061918706</v>
      </c>
    </row>
    <row r="652" customFormat="false" ht="21" hidden="false" customHeight="true" outlineLevel="0" collapsed="false">
      <c r="A652" s="1" t="s">
        <v>431</v>
      </c>
      <c r="B652" s="1" t="s">
        <v>322</v>
      </c>
      <c r="C652" s="15" t="n">
        <v>43.9603635678484</v>
      </c>
      <c r="D652" s="15" t="n">
        <v>-4.00563664912088</v>
      </c>
      <c r="E652" s="15" t="n">
        <v>3339.56502138149</v>
      </c>
      <c r="F652" s="15" t="n">
        <v>2.33651151473205</v>
      </c>
      <c r="G652" s="15" t="n">
        <v>1.43495625</v>
      </c>
      <c r="H652" s="15" t="n">
        <f aca="false">SQRT(F652^2+G652^2)</f>
        <v>2.74196745018783</v>
      </c>
      <c r="I652" s="15" t="n">
        <f aca="false">D652*F652/H652</f>
        <v>-3.41332139222241</v>
      </c>
      <c r="J652" s="15" t="n">
        <f aca="false">SQRT(C652^2+D652^2-I652^2)</f>
        <v>44.0103161435543</v>
      </c>
      <c r="K652" s="15" t="n">
        <f aca="false">E652/H652</f>
        <v>1217.94480862737</v>
      </c>
      <c r="L652" s="15" t="n">
        <f aca="false">J652/2-K652*ASINH(I652/(2*K652*SINH(J652/(2*K652))))</f>
        <v>116.366104783303</v>
      </c>
      <c r="M652" s="15" t="n">
        <f aca="false">-L652/K652</f>
        <v>-0.095543003228897</v>
      </c>
      <c r="N652" s="15" t="n">
        <f aca="false">(J652-L652)/K652</f>
        <v>-0.0594081013582989</v>
      </c>
      <c r="O652" s="15" t="n">
        <f aca="false">K652*(SINH(N652)-SINH(M652))</f>
        <v>44.1448689646261</v>
      </c>
      <c r="P652" s="15" t="n">
        <f aca="false">E652*COSH(M652)</f>
        <v>3354.81917198726</v>
      </c>
      <c r="Q652" s="15" t="n">
        <f aca="false">E652*COSH(N652)</f>
        <v>3345.45995583275</v>
      </c>
    </row>
    <row r="653" customFormat="false" ht="21" hidden="false" customHeight="true" outlineLevel="0" collapsed="false">
      <c r="A653" s="1" t="s">
        <v>431</v>
      </c>
      <c r="B653" s="1" t="s">
        <v>323</v>
      </c>
      <c r="C653" s="15" t="n">
        <v>43.9603635678484</v>
      </c>
      <c r="D653" s="15" t="n">
        <v>-4.00563664912088</v>
      </c>
      <c r="E653" s="15" t="n">
        <v>3555.83720519126</v>
      </c>
      <c r="F653" s="15" t="n">
        <v>1.32389775</v>
      </c>
      <c r="G653" s="15" t="n">
        <v>0</v>
      </c>
      <c r="H653" s="15" t="n">
        <f aca="false">SQRT(F653^2+G653^2)</f>
        <v>1.32389775</v>
      </c>
      <c r="I653" s="15" t="n">
        <f aca="false">D653*F653/H653</f>
        <v>-4.00563664912088</v>
      </c>
      <c r="J653" s="15" t="n">
        <f aca="false">SQRT(C653^2+D653^2-I653^2)</f>
        <v>43.9603635678484</v>
      </c>
      <c r="K653" s="15" t="n">
        <f aca="false">E653/H653</f>
        <v>2685.88507321752</v>
      </c>
      <c r="L653" s="15" t="n">
        <f aca="false">J653/2-K653*ASINH(I653/(2*K653*SINH(J653/(2*K653))))</f>
        <v>266.375970391881</v>
      </c>
      <c r="M653" s="15" t="n">
        <f aca="false">-L653/K653</f>
        <v>-0.0991762354421144</v>
      </c>
      <c r="N653" s="15" t="n">
        <f aca="false">(J653-L653)/K653</f>
        <v>-0.0828090557715462</v>
      </c>
      <c r="O653" s="15" t="n">
        <f aca="false">K653*(SINH(N653)-SINH(M653))</f>
        <v>44.1429703491726</v>
      </c>
      <c r="P653" s="15" t="n">
        <f aca="false">E653*COSH(M653)</f>
        <v>3573.33901891779</v>
      </c>
      <c r="Q653" s="15" t="n">
        <f aca="false">E653*COSH(N653)</f>
        <v>3568.0359655707</v>
      </c>
    </row>
    <row r="654" customFormat="false" ht="21" hidden="false" customHeight="true" outlineLevel="0" collapsed="false">
      <c r="A654" s="1" t="s">
        <v>431</v>
      </c>
      <c r="B654" s="1" t="s">
        <v>324</v>
      </c>
      <c r="C654" s="15" t="n">
        <v>43.9603635678484</v>
      </c>
      <c r="D654" s="15" t="n">
        <v>-4.00563664912088</v>
      </c>
      <c r="E654" s="15" t="n">
        <v>349.580516356862</v>
      </c>
      <c r="F654" s="15" t="n">
        <v>1.32389775</v>
      </c>
      <c r="G654" s="15" t="n">
        <v>0</v>
      </c>
      <c r="H654" s="15" t="n">
        <f aca="false">SQRT(F654^2+G654^2)</f>
        <v>1.32389775</v>
      </c>
      <c r="I654" s="15" t="n">
        <f aca="false">D654*F654/H654</f>
        <v>-4.00563664912088</v>
      </c>
      <c r="J654" s="15" t="n">
        <f aca="false">SQRT(C654^2+D654^2-I654^2)</f>
        <v>43.9603635678484</v>
      </c>
      <c r="K654" s="15" t="n">
        <f aca="false">E654/H654</f>
        <v>264.054015015028</v>
      </c>
      <c r="L654" s="15" t="n">
        <f aca="false">J654/2-K654*ASINH(I654/(2*K654*SINH(J654/(2*K654))))</f>
        <v>45.9797733232741</v>
      </c>
      <c r="M654" s="15" t="n">
        <f aca="false">-L654/K654</f>
        <v>-0.174130180602091</v>
      </c>
      <c r="N654" s="15" t="n">
        <f aca="false">(J654-L654)/K654</f>
        <v>-0.00764771463638136</v>
      </c>
      <c r="O654" s="15" t="n">
        <f aca="false">K654*(SINH(N654)-SINH(M654))</f>
        <v>44.1930576473173</v>
      </c>
      <c r="P654" s="15" t="n">
        <f aca="false">E654*COSH(M654)</f>
        <v>354.893792805847</v>
      </c>
      <c r="Q654" s="15" t="n">
        <f aca="false">E654*COSH(N654)</f>
        <v>349.590739458758</v>
      </c>
    </row>
    <row r="655" customFormat="false" ht="21" hidden="false" customHeight="true" outlineLevel="0" collapsed="false">
      <c r="A655" s="1" t="s">
        <v>432</v>
      </c>
      <c r="B655" s="1" t="s">
        <v>319</v>
      </c>
      <c r="C655" s="15" t="n">
        <v>38.0970653482483</v>
      </c>
      <c r="D655" s="15" t="n">
        <v>0.399476954601505</v>
      </c>
      <c r="E655" s="15" t="n">
        <v>2205.00000000018</v>
      </c>
      <c r="F655" s="15" t="n">
        <v>1.32389775</v>
      </c>
      <c r="G655" s="15" t="n">
        <v>0</v>
      </c>
      <c r="H655" s="15" t="n">
        <f aca="false">SQRT(F655^2+G655^2)</f>
        <v>1.32389775</v>
      </c>
      <c r="I655" s="15" t="n">
        <f aca="false">D655*F655/H655</f>
        <v>0.399476954601505</v>
      </c>
      <c r="J655" s="15" t="n">
        <f aca="false">SQRT(C655^2+D655^2-I655^2)</f>
        <v>38.0970653482483</v>
      </c>
      <c r="K655" s="15" t="n">
        <f aca="false">E655/H655</f>
        <v>1665.53648119742</v>
      </c>
      <c r="L655" s="15" t="n">
        <f aca="false">J655/2-K655*ASINH(I655/(2*K655*SINH(J655/(2*K655))))</f>
        <v>1.58480575601589</v>
      </c>
      <c r="M655" s="15" t="n">
        <f aca="false">-L655/K655</f>
        <v>-0.000951528695952976</v>
      </c>
      <c r="N655" s="15" t="n">
        <f aca="false">(J655-L655)/K655</f>
        <v>0.0219222214610288</v>
      </c>
      <c r="O655" s="15" t="n">
        <f aca="false">K655*(SINH(N655)-SINH(M655))</f>
        <v>38.0999901910447</v>
      </c>
      <c r="P655" s="15" t="n">
        <f aca="false">E655*COSH(M655)</f>
        <v>2205.00099821131</v>
      </c>
      <c r="Q655" s="15" t="n">
        <f aca="false">E655*COSH(N655)</f>
        <v>2205.52986485269</v>
      </c>
    </row>
    <row r="656" customFormat="false" ht="21" hidden="false" customHeight="true" outlineLevel="0" collapsed="false">
      <c r="A656" s="1" t="s">
        <v>432</v>
      </c>
      <c r="B656" s="1" t="s">
        <v>320</v>
      </c>
      <c r="C656" s="15" t="n">
        <v>38.0970653482483</v>
      </c>
      <c r="D656" s="15" t="n">
        <v>0.399476954601505</v>
      </c>
      <c r="E656" s="15" t="n">
        <v>3105.2005451151</v>
      </c>
      <c r="F656" s="15" t="n">
        <v>1.32389775</v>
      </c>
      <c r="G656" s="15" t="n">
        <v>3.443895</v>
      </c>
      <c r="H656" s="15" t="n">
        <f aca="false">SQRT(F656^2+G656^2)</f>
        <v>3.68959591601574</v>
      </c>
      <c r="I656" s="15" t="n">
        <f aca="false">D656*F656/H656</f>
        <v>0.14333998991003</v>
      </c>
      <c r="J656" s="15" t="n">
        <f aca="false">SQRT(C656^2+D656^2-I656^2)</f>
        <v>38.0988900577596</v>
      </c>
      <c r="K656" s="15" t="n">
        <f aca="false">E656/H656</f>
        <v>841.609925801385</v>
      </c>
      <c r="L656" s="15" t="n">
        <f aca="false">J656/2-K656*ASINH(I656/(2*K656*SINH(J656/(2*K656))))</f>
        <v>15.8833219895202</v>
      </c>
      <c r="M656" s="15" t="n">
        <f aca="false">-L656/K656</f>
        <v>-0.0188725459415133</v>
      </c>
      <c r="N656" s="15" t="n">
        <f aca="false">(J656-L656)/K656</f>
        <v>0.0263965138565655</v>
      </c>
      <c r="O656" s="15" t="n">
        <f aca="false">K656*(SINH(N656)-SINH(M656))</f>
        <v>38.1024129117151</v>
      </c>
      <c r="P656" s="15" t="n">
        <f aca="false">E656*COSH(M656)</f>
        <v>3105.75355581061</v>
      </c>
      <c r="Q656" s="15" t="n">
        <f aca="false">E656*COSH(N656)</f>
        <v>3106.28242245198</v>
      </c>
    </row>
    <row r="657" customFormat="false" ht="21" hidden="false" customHeight="true" outlineLevel="0" collapsed="false">
      <c r="A657" s="1" t="s">
        <v>432</v>
      </c>
      <c r="B657" s="1" t="s">
        <v>321</v>
      </c>
      <c r="C657" s="15" t="n">
        <v>38.0970653482483</v>
      </c>
      <c r="D657" s="15" t="n">
        <v>0.399476954601505</v>
      </c>
      <c r="E657" s="15" t="n">
        <v>3430.12696615541</v>
      </c>
      <c r="F657" s="15" t="n">
        <v>3.85543216183014</v>
      </c>
      <c r="G657" s="15" t="n">
        <v>0</v>
      </c>
      <c r="H657" s="15" t="n">
        <f aca="false">SQRT(F657^2+G657^2)</f>
        <v>3.85543216183014</v>
      </c>
      <c r="I657" s="15" t="n">
        <f aca="false">D657*F657/H657</f>
        <v>0.399476954601505</v>
      </c>
      <c r="J657" s="15" t="n">
        <f aca="false">SQRT(C657^2+D657^2-I657^2)</f>
        <v>38.0970653482483</v>
      </c>
      <c r="K657" s="15" t="n">
        <f aca="false">E657/H657</f>
        <v>889.686764590136</v>
      </c>
      <c r="L657" s="15" t="n">
        <f aca="false">J657/2-K657*ASINH(I657/(2*K657*SINH(J657/(2*K657))))</f>
        <v>9.72036808204705</v>
      </c>
      <c r="M657" s="15" t="n">
        <f aca="false">-L657/K657</f>
        <v>-0.0109256071562726</v>
      </c>
      <c r="N657" s="15" t="n">
        <f aca="false">(J657-L657)/K657</f>
        <v>0.0318951550091609</v>
      </c>
      <c r="O657" s="15" t="n">
        <f aca="false">K657*(SINH(N657)-SINH(M657))</f>
        <v>38.1020702524014</v>
      </c>
      <c r="P657" s="15" t="n">
        <f aca="false">E657*COSH(M657)</f>
        <v>3430.33169341913</v>
      </c>
      <c r="Q657" s="15" t="n">
        <f aca="false">E657*COSH(N657)</f>
        <v>3431.87184971781</v>
      </c>
    </row>
    <row r="658" customFormat="false" ht="21" hidden="false" customHeight="true" outlineLevel="0" collapsed="false">
      <c r="A658" s="1" t="s">
        <v>432</v>
      </c>
      <c r="B658" s="1" t="s">
        <v>322</v>
      </c>
      <c r="C658" s="15" t="n">
        <v>38.0970653482483</v>
      </c>
      <c r="D658" s="15" t="n">
        <v>0.399476954601505</v>
      </c>
      <c r="E658" s="15" t="n">
        <v>3322.3884205137</v>
      </c>
      <c r="F658" s="15" t="n">
        <v>2.33651151473205</v>
      </c>
      <c r="G658" s="15" t="n">
        <v>1.43495625</v>
      </c>
      <c r="H658" s="15" t="n">
        <f aca="false">SQRT(F658^2+G658^2)</f>
        <v>2.74196745018783</v>
      </c>
      <c r="I658" s="15" t="n">
        <f aca="false">D658*F658/H658</f>
        <v>0.340406121244282</v>
      </c>
      <c r="J658" s="15" t="n">
        <f aca="false">SQRT(C658^2+D658^2-I658^2)</f>
        <v>38.097638951234</v>
      </c>
      <c r="K658" s="15" t="n">
        <f aca="false">E658/H658</f>
        <v>1211.68047428357</v>
      </c>
      <c r="L658" s="15" t="n">
        <f aca="false">J658/2-K658*ASINH(I658/(2*K658*SINH(J658/(2*K658))))</f>
        <v>8.22292619479258</v>
      </c>
      <c r="M658" s="15" t="n">
        <f aca="false">-L658/K658</f>
        <v>-0.00678638169823983</v>
      </c>
      <c r="N658" s="15" t="n">
        <f aca="false">(J658-L658)/K658</f>
        <v>0.0246556030162204</v>
      </c>
      <c r="O658" s="15" t="n">
        <f aca="false">K658*(SINH(N658)-SINH(M658))</f>
        <v>38.1007289612994</v>
      </c>
      <c r="P658" s="15" t="n">
        <f aca="false">E658*COSH(M658)</f>
        <v>3322.46492706773</v>
      </c>
      <c r="Q658" s="15" t="n">
        <f aca="false">E658*COSH(N658)</f>
        <v>3323.39830957203</v>
      </c>
    </row>
    <row r="659" customFormat="false" ht="21" hidden="false" customHeight="true" outlineLevel="0" collapsed="false">
      <c r="A659" s="1" t="s">
        <v>432</v>
      </c>
      <c r="B659" s="1" t="s">
        <v>323</v>
      </c>
      <c r="C659" s="15" t="n">
        <v>38.0970653482483</v>
      </c>
      <c r="D659" s="15" t="n">
        <v>0.399476954601505</v>
      </c>
      <c r="E659" s="15" t="n">
        <v>3574.27930895279</v>
      </c>
      <c r="F659" s="15" t="n">
        <v>1.32389775</v>
      </c>
      <c r="G659" s="15" t="n">
        <v>0</v>
      </c>
      <c r="H659" s="15" t="n">
        <f aca="false">SQRT(F659^2+G659^2)</f>
        <v>1.32389775</v>
      </c>
      <c r="I659" s="15" t="n">
        <f aca="false">D659*F659/H659</f>
        <v>0.399476954601505</v>
      </c>
      <c r="J659" s="15" t="n">
        <f aca="false">SQRT(C659^2+D659^2-I659^2)</f>
        <v>38.0970653482483</v>
      </c>
      <c r="K659" s="15" t="n">
        <f aca="false">E659/H659</f>
        <v>2699.81523040793</v>
      </c>
      <c r="L659" s="15" t="n">
        <f aca="false">J659/2-K659*ASINH(I659/(2*K659*SINH(J659/(2*K659))))</f>
        <v>-9.26034744082965</v>
      </c>
      <c r="M659" s="15" t="n">
        <f aca="false">-L659/K659</f>
        <v>0.00342999303675698</v>
      </c>
      <c r="N659" s="15" t="n">
        <f aca="false">(J659-L659)/K659</f>
        <v>0.0175409828997529</v>
      </c>
      <c r="O659" s="15" t="n">
        <f aca="false">K659*(SINH(N659)-SINH(M659))</f>
        <v>38.0994757639546</v>
      </c>
      <c r="P659" s="15" t="n">
        <f aca="false">E659*COSH(M659)</f>
        <v>3574.30033440736</v>
      </c>
      <c r="Q659" s="15" t="n">
        <f aca="false">E659*COSH(N659)</f>
        <v>3574.82920104873</v>
      </c>
    </row>
    <row r="660" customFormat="false" ht="21" hidden="false" customHeight="true" outlineLevel="0" collapsed="false">
      <c r="A660" s="1" t="s">
        <v>432</v>
      </c>
      <c r="B660" s="1" t="s">
        <v>324</v>
      </c>
      <c r="C660" s="15" t="n">
        <v>38.0970653482483</v>
      </c>
      <c r="D660" s="15" t="n">
        <v>0.399476954601505</v>
      </c>
      <c r="E660" s="15" t="n">
        <v>306.681414990133</v>
      </c>
      <c r="F660" s="15" t="n">
        <v>1.32389775</v>
      </c>
      <c r="G660" s="15" t="n">
        <v>0</v>
      </c>
      <c r="H660" s="15" t="n">
        <f aca="false">SQRT(F660^2+G660^2)</f>
        <v>1.32389775</v>
      </c>
      <c r="I660" s="15" t="n">
        <f aca="false">D660*F660/H660</f>
        <v>0.399476954601505</v>
      </c>
      <c r="J660" s="15" t="n">
        <f aca="false">SQRT(C660^2+D660^2-I660^2)</f>
        <v>38.0970653482483</v>
      </c>
      <c r="K660" s="15" t="n">
        <f aca="false">E660/H660</f>
        <v>231.650378581074</v>
      </c>
      <c r="L660" s="15" t="n">
        <f aca="false">J660/2-K660*ASINH(I660/(2*K660*SINH(J660/(2*K660))))</f>
        <v>16.6222803615522</v>
      </c>
      <c r="M660" s="15" t="n">
        <f aca="false">-L660/K660</f>
        <v>-0.0717558955153384</v>
      </c>
      <c r="N660" s="15" t="n">
        <f aca="false">(J660-L660)/K660</f>
        <v>0.0927034314307424</v>
      </c>
      <c r="O660" s="15" t="n">
        <f aca="false">K660*(SINH(N660)-SINH(M660))</f>
        <v>38.1421054604274</v>
      </c>
      <c r="P660" s="15" t="n">
        <f aca="false">E660*COSH(M660)</f>
        <v>307.471291098087</v>
      </c>
      <c r="Q660" s="15" t="n">
        <f aca="false">E660*COSH(N660)</f>
        <v>308.000157739461</v>
      </c>
    </row>
    <row r="661" customFormat="false" ht="21" hidden="false" customHeight="true" outlineLevel="0" collapsed="false">
      <c r="A661" s="1" t="s">
        <v>433</v>
      </c>
      <c r="B661" s="1" t="s">
        <v>319</v>
      </c>
      <c r="C661" s="15" t="n">
        <v>19.701946637502</v>
      </c>
      <c r="D661" s="15" t="n">
        <v>0.96862761662751</v>
      </c>
      <c r="E661" s="15" t="n">
        <v>2204.99999999983</v>
      </c>
      <c r="F661" s="15" t="n">
        <v>1.32389775</v>
      </c>
      <c r="G661" s="15" t="n">
        <v>0</v>
      </c>
      <c r="H661" s="15" t="n">
        <f aca="false">SQRT(F661^2+G661^2)</f>
        <v>1.32389775</v>
      </c>
      <c r="I661" s="15" t="n">
        <f aca="false">D661*F661/H661</f>
        <v>0.96862761662751</v>
      </c>
      <c r="J661" s="15" t="n">
        <f aca="false">SQRT(C661^2+D661^2-I661^2)</f>
        <v>19.701946637502</v>
      </c>
      <c r="K661" s="15" t="n">
        <f aca="false">E661/H661</f>
        <v>1665.53648119715</v>
      </c>
      <c r="L661" s="15" t="n">
        <f aca="false">J661/2-K661*ASINH(I661/(2*K661*SINH(J661/(2*K661))))</f>
        <v>-72.0001280025922</v>
      </c>
      <c r="M661" s="15" t="n">
        <f aca="false">-L661/K661</f>
        <v>0.0432293911393883</v>
      </c>
      <c r="N661" s="15" t="n">
        <f aca="false">(J661-L661)/K661</f>
        <v>0.0550585806287357</v>
      </c>
      <c r="O661" s="15" t="n">
        <f aca="false">K661*(SINH(N661)-SINH(M661))</f>
        <v>19.7258578299161</v>
      </c>
      <c r="P661" s="15" t="n">
        <f aca="false">E661*COSH(M661)</f>
        <v>2207.06065111328</v>
      </c>
      <c r="Q661" s="15" t="n">
        <f aca="false">E661*COSH(N661)</f>
        <v>2208.34301503552</v>
      </c>
    </row>
    <row r="662" customFormat="false" ht="21" hidden="false" customHeight="true" outlineLevel="0" collapsed="false">
      <c r="A662" s="1" t="s">
        <v>433</v>
      </c>
      <c r="B662" s="1" t="s">
        <v>320</v>
      </c>
      <c r="C662" s="15" t="n">
        <v>19.701946637502</v>
      </c>
      <c r="D662" s="15" t="n">
        <v>0.96862761662751</v>
      </c>
      <c r="E662" s="15" t="n">
        <v>2971.27098724423</v>
      </c>
      <c r="F662" s="15" t="n">
        <v>1.32389775</v>
      </c>
      <c r="G662" s="15" t="n">
        <v>3.443895</v>
      </c>
      <c r="H662" s="15" t="n">
        <f aca="false">SQRT(F662^2+G662^2)</f>
        <v>3.68959591601574</v>
      </c>
      <c r="I662" s="15" t="n">
        <f aca="false">D662*F662/H662</f>
        <v>0.34756215895474</v>
      </c>
      <c r="J662" s="15" t="n">
        <f aca="false">SQRT(C662^2+D662^2-I662^2)</f>
        <v>19.722680885527</v>
      </c>
      <c r="K662" s="15" t="n">
        <f aca="false">E662/H662</f>
        <v>805.310677612848</v>
      </c>
      <c r="L662" s="15" t="n">
        <f aca="false">J662/2-K662*ASINH(I662/(2*K662*SINH(J662/(2*K662))))</f>
        <v>-4.3291258832199</v>
      </c>
      <c r="M662" s="15" t="n">
        <f aca="false">-L662/K662</f>
        <v>0.00537572144958088</v>
      </c>
      <c r="N662" s="15" t="n">
        <f aca="false">(J662-L662)/K662</f>
        <v>0.0298664943075669</v>
      </c>
      <c r="O662" s="15" t="n">
        <f aca="false">K662*(SINH(N662)-SINH(M662))</f>
        <v>19.7262359261241</v>
      </c>
      <c r="P662" s="15" t="n">
        <f aca="false">E662*COSH(M662)</f>
        <v>2971.3139198083</v>
      </c>
      <c r="Q662" s="15" t="n">
        <f aca="false">E662*COSH(N662)</f>
        <v>2972.59628373054</v>
      </c>
    </row>
    <row r="663" customFormat="false" ht="21" hidden="false" customHeight="true" outlineLevel="0" collapsed="false">
      <c r="A663" s="1" t="s">
        <v>433</v>
      </c>
      <c r="B663" s="1" t="s">
        <v>321</v>
      </c>
      <c r="C663" s="15" t="n">
        <v>19.701946637502</v>
      </c>
      <c r="D663" s="15" t="n">
        <v>0.96862761662751</v>
      </c>
      <c r="E663" s="15" t="n">
        <v>3310.88896796013</v>
      </c>
      <c r="F663" s="15" t="n">
        <v>3.85543216183014</v>
      </c>
      <c r="G663" s="15" t="n">
        <v>0</v>
      </c>
      <c r="H663" s="15" t="n">
        <f aca="false">SQRT(F663^2+G663^2)</f>
        <v>3.85543216183014</v>
      </c>
      <c r="I663" s="15" t="n">
        <f aca="false">D663*F663/H663</f>
        <v>0.96862761662751</v>
      </c>
      <c r="J663" s="15" t="n">
        <f aca="false">SQRT(C663^2+D663^2-I663^2)</f>
        <v>19.701946637502</v>
      </c>
      <c r="K663" s="15" t="n">
        <f aca="false">E663/H663</f>
        <v>858.759492836851</v>
      </c>
      <c r="L663" s="15" t="n">
        <f aca="false">J663/2-K663*ASINH(I663/(2*K663*SINH(J663/(2*K663))))</f>
        <v>-32.3512121278125</v>
      </c>
      <c r="M663" s="15" t="n">
        <f aca="false">-L663/K663</f>
        <v>0.0376720285454343</v>
      </c>
      <c r="N663" s="15" t="n">
        <f aca="false">(J663-L663)/K663</f>
        <v>0.0606143619948359</v>
      </c>
      <c r="O663" s="15" t="n">
        <f aca="false">K663*(SINH(N663)-SINH(M663))</f>
        <v>19.7261746684149</v>
      </c>
      <c r="P663" s="15" t="n">
        <f aca="false">E663*COSH(M663)</f>
        <v>3313.23862239716</v>
      </c>
      <c r="Q663" s="15" t="n">
        <f aca="false">E663*COSH(N663)</f>
        <v>3316.97310046314</v>
      </c>
    </row>
    <row r="664" customFormat="false" ht="21" hidden="false" customHeight="true" outlineLevel="0" collapsed="false">
      <c r="A664" s="1" t="s">
        <v>433</v>
      </c>
      <c r="B664" s="1" t="s">
        <v>322</v>
      </c>
      <c r="C664" s="15" t="n">
        <v>19.701946637502</v>
      </c>
      <c r="D664" s="15" t="n">
        <v>0.96862761662751</v>
      </c>
      <c r="E664" s="15" t="n">
        <v>3279.59787896349</v>
      </c>
      <c r="F664" s="15" t="n">
        <v>2.33651151473205</v>
      </c>
      <c r="G664" s="15" t="n">
        <v>1.43495625</v>
      </c>
      <c r="H664" s="15" t="n">
        <f aca="false">SQRT(F664^2+G664^2)</f>
        <v>2.74196745018783</v>
      </c>
      <c r="I664" s="15" t="n">
        <f aca="false">D664*F664/H664</f>
        <v>0.825396224007914</v>
      </c>
      <c r="J664" s="15" t="n">
        <f aca="false">SQRT(C664^2+D664^2-I664^2)</f>
        <v>19.7084667551807</v>
      </c>
      <c r="K664" s="15" t="n">
        <f aca="false">E664/H664</f>
        <v>1196.07469400807</v>
      </c>
      <c r="L664" s="15" t="n">
        <f aca="false">J664/2-K664*ASINH(I664/(2*K664*SINH(J664/(2*K664))))</f>
        <v>-40.2225190223353</v>
      </c>
      <c r="M664" s="15" t="n">
        <f aca="false">-L664/K664</f>
        <v>0.0336287685241035</v>
      </c>
      <c r="N664" s="15" t="n">
        <f aca="false">(J664-L664)/K664</f>
        <v>0.0501063905772358</v>
      </c>
      <c r="O664" s="15" t="n">
        <f aca="false">K664*(SINH(N664)-SINH(M664))</f>
        <v>19.7259658653488</v>
      </c>
      <c r="P664" s="15" t="n">
        <f aca="false">E664*COSH(M664)</f>
        <v>3281.45249263524</v>
      </c>
      <c r="Q664" s="15" t="n">
        <f aca="false">E664*COSH(N664)</f>
        <v>3283.71570221498</v>
      </c>
    </row>
    <row r="665" customFormat="false" ht="21" hidden="false" customHeight="true" outlineLevel="0" collapsed="false">
      <c r="A665" s="1" t="s">
        <v>433</v>
      </c>
      <c r="B665" s="1" t="s">
        <v>323</v>
      </c>
      <c r="C665" s="15" t="n">
        <v>19.701946637502</v>
      </c>
      <c r="D665" s="15" t="n">
        <v>0.96862761662751</v>
      </c>
      <c r="E665" s="15" t="n">
        <v>3602.88980372759</v>
      </c>
      <c r="F665" s="15" t="n">
        <v>1.32389775</v>
      </c>
      <c r="G665" s="15" t="n">
        <v>0</v>
      </c>
      <c r="H665" s="15" t="n">
        <f aca="false">SQRT(F665^2+G665^2)</f>
        <v>1.32389775</v>
      </c>
      <c r="I665" s="15" t="n">
        <f aca="false">D665*F665/H665</f>
        <v>0.96862761662751</v>
      </c>
      <c r="J665" s="15" t="n">
        <f aca="false">SQRT(C665^2+D665^2-I665^2)</f>
        <v>19.701946637502</v>
      </c>
      <c r="K665" s="15" t="n">
        <f aca="false">E665/H665</f>
        <v>2721.42603439548</v>
      </c>
      <c r="L665" s="15" t="n">
        <f aca="false">J665/2-K665*ASINH(I665/(2*K665*SINH(J665/(2*K665))))</f>
        <v>-123.891236610476</v>
      </c>
      <c r="M665" s="15" t="n">
        <f aca="false">-L665/K665</f>
        <v>0.0455243813517778</v>
      </c>
      <c r="N665" s="15" t="n">
        <f aca="false">(J665-L665)/K665</f>
        <v>0.0527639485450411</v>
      </c>
      <c r="O665" s="15" t="n">
        <f aca="false">K665*(SINH(N665)-SINH(M665))</f>
        <v>19.7257860713033</v>
      </c>
      <c r="P665" s="15" t="n">
        <f aca="false">E665*COSH(M665)</f>
        <v>3606.62388780884</v>
      </c>
      <c r="Q665" s="15" t="n">
        <f aca="false">E665*COSH(N665)</f>
        <v>3607.90625173108</v>
      </c>
    </row>
    <row r="666" customFormat="false" ht="21" hidden="false" customHeight="true" outlineLevel="0" collapsed="false">
      <c r="A666" s="1" t="s">
        <v>433</v>
      </c>
      <c r="B666" s="1" t="s">
        <v>324</v>
      </c>
      <c r="C666" s="15" t="n">
        <v>19.701946637502</v>
      </c>
      <c r="D666" s="15" t="n">
        <v>0.96862761662751</v>
      </c>
      <c r="E666" s="15" t="n">
        <v>163.08872384996</v>
      </c>
      <c r="F666" s="15" t="n">
        <v>1.32389775</v>
      </c>
      <c r="G666" s="15" t="n">
        <v>0</v>
      </c>
      <c r="H666" s="15" t="n">
        <f aca="false">SQRT(F666^2+G666^2)</f>
        <v>1.32389775</v>
      </c>
      <c r="I666" s="15" t="n">
        <f aca="false">D666*F666/H666</f>
        <v>0.96862761662751</v>
      </c>
      <c r="J666" s="15" t="n">
        <f aca="false">SQRT(C666^2+D666^2-I666^2)</f>
        <v>19.701946637502</v>
      </c>
      <c r="K666" s="15" t="n">
        <f aca="false">E666/H666</f>
        <v>123.188308047174</v>
      </c>
      <c r="L666" s="15" t="n">
        <f aca="false">J666/2-K666*ASINH(I666/(2*K666*SINH(J666/(2*K666))))</f>
        <v>3.80341582968455</v>
      </c>
      <c r="M666" s="15" t="n">
        <f aca="false">-L666/K666</f>
        <v>-0.0308748118224668</v>
      </c>
      <c r="N666" s="15" t="n">
        <f aca="false">(J666-L666)/K666</f>
        <v>0.129058764259749</v>
      </c>
      <c r="O666" s="15" t="n">
        <f aca="false">K666*(SINH(N666)-SINH(M666))</f>
        <v>19.7467224646596</v>
      </c>
      <c r="P666" s="15" t="n">
        <f aca="false">E666*COSH(M666)</f>
        <v>163.166462514653</v>
      </c>
      <c r="Q666" s="15" t="n">
        <f aca="false">E666*COSH(N666)</f>
        <v>164.448826436894</v>
      </c>
    </row>
    <row r="667" customFormat="false" ht="21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customFormat="false" ht="21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customFormat="false" ht="21" hidden="false" customHeight="true" outlineLevel="0" collapsed="false">
      <c r="A669" s="1" t="s">
        <v>434</v>
      </c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customFormat="false" ht="21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customFormat="false" ht="21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customFormat="false" ht="21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</sheetData>
  <printOptions headings="false" gridLines="false" gridLinesSet="true" horizontalCentered="false" verticalCentered="false"/>
  <pageMargins left="0.39375" right="0.39375" top="0.551388888888889" bottom="0.551388888888889" header="0.511811023622047" footer="0.3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&amp;CInstalaciones Eléctricas II | Aquiles Taylor Ramos Yapo | 227368&amp;RHoja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4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7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26"/>
    <col collapsed="false" customWidth="true" hidden="false" outlineLevel="0" max="10" min="10" style="0" width="13"/>
    <col collapsed="false" customWidth="true" hidden="false" outlineLevel="0" max="12" min="11" style="0" width="10"/>
    <col collapsed="false" customWidth="true" hidden="false" outlineLevel="0" max="13" min="13" style="0" width="16"/>
    <col collapsed="false" customWidth="true" hidden="false" outlineLevel="0" max="19" min="14" style="0" width="19"/>
  </cols>
  <sheetData>
    <row r="1" customFormat="false" ht="21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" hidden="false" customHeight="true" outlineLevel="0" collapsed="false">
      <c r="A2" s="2" t="s">
        <v>435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21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Format="false" ht="21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Format="false" ht="21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customFormat="false" ht="36" hidden="false" customHeight="true" outlineLevel="0" collapsed="false">
      <c r="A6" s="4" t="s">
        <v>176</v>
      </c>
      <c r="B6" s="4" t="s">
        <v>436</v>
      </c>
      <c r="C6" s="4" t="s">
        <v>437</v>
      </c>
      <c r="D6" s="4" t="s">
        <v>438</v>
      </c>
      <c r="E6" s="4" t="s">
        <v>177</v>
      </c>
      <c r="F6" s="4" t="s">
        <v>178</v>
      </c>
      <c r="G6" s="4" t="s">
        <v>439</v>
      </c>
      <c r="H6" s="4" t="s">
        <v>440</v>
      </c>
      <c r="I6" s="4" t="s">
        <v>441</v>
      </c>
      <c r="J6" s="4" t="s">
        <v>183</v>
      </c>
      <c r="K6" s="4" t="s">
        <v>442</v>
      </c>
      <c r="L6" s="4" t="s">
        <v>443</v>
      </c>
      <c r="M6" s="4" t="s">
        <v>444</v>
      </c>
      <c r="N6" s="0" t="s">
        <v>445</v>
      </c>
      <c r="O6" s="0" t="s">
        <v>446</v>
      </c>
      <c r="P6" s="0" t="s">
        <v>447</v>
      </c>
      <c r="Q6" s="0" t="s">
        <v>448</v>
      </c>
      <c r="R6" s="0" t="s">
        <v>449</v>
      </c>
      <c r="S6" s="0" t="s">
        <v>450</v>
      </c>
    </row>
    <row r="7" customFormat="false" ht="21" hidden="false" customHeight="true" outlineLevel="0" collapsed="false">
      <c r="A7" s="1" t="s">
        <v>188</v>
      </c>
      <c r="B7" s="17" t="n">
        <v>425715</v>
      </c>
      <c r="C7" s="17" t="n">
        <v>8436650</v>
      </c>
      <c r="D7" s="17" t="n">
        <v>3235.32521283471</v>
      </c>
      <c r="E7" s="17" t="n">
        <v>13</v>
      </c>
      <c r="F7" s="17" t="n">
        <v>1.9</v>
      </c>
      <c r="G7" s="17" t="n">
        <v>10.6</v>
      </c>
      <c r="H7" s="17" t="n">
        <v>0</v>
      </c>
      <c r="I7" s="9" t="s">
        <v>451</v>
      </c>
      <c r="J7" s="5" t="n">
        <f aca="false">IF(I7="SUSPENSION",0,IF(I7="TERMINAL",1,2))</f>
        <v>1</v>
      </c>
      <c r="K7" s="5" t="n">
        <f aca="false">1</f>
        <v>1</v>
      </c>
      <c r="L7" s="5" t="n">
        <f aca="false">1</f>
        <v>1</v>
      </c>
      <c r="M7" s="18" t="n">
        <f aca="false">O7*Parametros!$E$6</f>
        <v>6</v>
      </c>
      <c r="N7" s="0" t="str">
        <f aca="false">IF(I7="SUSPENSION","CAC-S",IF(I7="ANGULO","CAC-A",IF(I7="TERMINAL","CAC-T",IF(OR(I7="ANCLAJE",I7="ANCLAJE_PROPUESTO"),"CAC-R","SIN-RECETA"))))</f>
        <v>CAC-T</v>
      </c>
      <c r="O7" s="0" t="n">
        <f aca="false">IF(OR(I7="ANCLAJE",I7="ANCLAJE_PROPUESTO",I7="TERMINAL"),Parametros!$E$5,0)</f>
        <v>3</v>
      </c>
      <c r="P7" s="0" t="n">
        <f aca="false">G7/SIN(RADIANS(Criterios_M01!$C$2))+Criterios_M01!$C$3</f>
        <v>17.9906637611548</v>
      </c>
      <c r="Q7" s="0" t="n">
        <f aca="false">G7+Criterios_M01!$C$4</f>
        <v>13.6</v>
      </c>
      <c r="R7" s="0" t="n">
        <f aca="false">ROUNDUP(G7/Criterios_M01!$C$5,0)+1</f>
        <v>12</v>
      </c>
      <c r="S7" s="0" t="n">
        <f aca="false">(SUMIF(Vanos!$B$7:$B$116,A7,Vanos!$N$7:$N$116)+SUMIF(Vanos!$C$7:$C$116,A7,Vanos!$N$7:$N$116))/2</f>
        <v>73.9102878746525</v>
      </c>
    </row>
    <row r="8" customFormat="false" ht="21" hidden="false" customHeight="true" outlineLevel="0" collapsed="false">
      <c r="A8" s="1" t="s">
        <v>189</v>
      </c>
      <c r="B8" s="17" t="n">
        <v>425745.158288826</v>
      </c>
      <c r="C8" s="17" t="n">
        <v>8436613.76080598</v>
      </c>
      <c r="D8" s="17" t="n">
        <v>3249.64059937289</v>
      </c>
      <c r="E8" s="17" t="n">
        <v>13</v>
      </c>
      <c r="F8" s="17" t="n">
        <v>1.9</v>
      </c>
      <c r="G8" s="17" t="n">
        <v>10.6</v>
      </c>
      <c r="H8" s="17" t="n">
        <v>0</v>
      </c>
      <c r="I8" s="9" t="s">
        <v>452</v>
      </c>
      <c r="J8" s="5" t="n">
        <f aca="false">IF(I8="SUSPENSION",0,IF(I8="TERMINAL",1,2))</f>
        <v>0</v>
      </c>
      <c r="K8" s="5" t="n">
        <f aca="false">1</f>
        <v>1</v>
      </c>
      <c r="L8" s="5" t="n">
        <f aca="false">1</f>
        <v>1</v>
      </c>
      <c r="M8" s="18" t="n">
        <f aca="false">O8*Parametros!$E$6</f>
        <v>0</v>
      </c>
      <c r="N8" s="0" t="str">
        <f aca="false">IF(I8="SUSPENSION","CAC-S",IF(I8="ANGULO","CAC-A",IF(I8="TERMINAL","CAC-T",IF(OR(I8="ANCLAJE",I8="ANCLAJE_PROPUESTO"),"CAC-R","SIN-RECETA"))))</f>
        <v>CAC-S</v>
      </c>
      <c r="O8" s="0" t="n">
        <f aca="false">IF(OR(I8="ANCLAJE",I8="ANCLAJE_PROPUESTO",I8="TERMINAL"),Parametros!$E$5,0)</f>
        <v>0</v>
      </c>
      <c r="P8" s="0" t="n">
        <f aca="false">G8/SIN(RADIANS(Criterios_M01!$C$2))+Criterios_M01!$C$3</f>
        <v>17.9906637611548</v>
      </c>
      <c r="Q8" s="0" t="n">
        <f aca="false">G8+Criterios_M01!$C$4</f>
        <v>13.6</v>
      </c>
      <c r="R8" s="0" t="n">
        <f aca="false">ROUNDUP(G8/Criterios_M01!$C$5,0)+1</f>
        <v>12</v>
      </c>
      <c r="S8" s="0" t="n">
        <f aca="false">(SUMIF(Vanos!$B$7:$B$116,A8,Vanos!$N$7:$N$116)+SUMIF(Vanos!$C$7:$C$116,A8,Vanos!$N$7:$N$116))/2</f>
        <v>147.378394974398</v>
      </c>
    </row>
    <row r="9" customFormat="false" ht="21" hidden="false" customHeight="true" outlineLevel="0" collapsed="false">
      <c r="A9" s="1" t="s">
        <v>190</v>
      </c>
      <c r="B9" s="17" t="n">
        <v>425775.316577653</v>
      </c>
      <c r="C9" s="17" t="n">
        <v>8436577.52161196</v>
      </c>
      <c r="D9" s="17" t="n">
        <v>3261.10584659763</v>
      </c>
      <c r="E9" s="17" t="n">
        <v>15</v>
      </c>
      <c r="F9" s="17" t="n">
        <v>2.1</v>
      </c>
      <c r="G9" s="17" t="n">
        <v>12.4</v>
      </c>
      <c r="H9" s="17" t="n">
        <v>92.5941336908405</v>
      </c>
      <c r="I9" s="9" t="s">
        <v>453</v>
      </c>
      <c r="J9" s="5" t="n">
        <f aca="false">IF(I9="SUSPENSION",0,IF(I9="TERMINAL",1,2))</f>
        <v>2</v>
      </c>
      <c r="K9" s="5" t="n">
        <f aca="false">1</f>
        <v>1</v>
      </c>
      <c r="L9" s="5" t="n">
        <f aca="false">1</f>
        <v>1</v>
      </c>
      <c r="M9" s="18" t="n">
        <f aca="false">O9*Parametros!$E$6</f>
        <v>6</v>
      </c>
      <c r="N9" s="0" t="str">
        <f aca="false">IF(I9="SUSPENSION","CAC-S",IF(I9="ANGULO","CAC-A",IF(I9="TERMINAL","CAC-T",IF(OR(I9="ANCLAJE",I9="ANCLAJE_PROPUESTO"),"CAC-R","SIN-RECETA"))))</f>
        <v>CAC-R</v>
      </c>
      <c r="O9" s="0" t="n">
        <f aca="false">IF(OR(I9="ANCLAJE",I9="ANCLAJE_PROPUESTO",I9="TERMINAL"),Parametros!$E$5,0)</f>
        <v>3</v>
      </c>
      <c r="P9" s="0" t="n">
        <f aca="false">G9/SIN(RADIANS(Criterios_M01!$C$2))+Criterios_M01!$C$3</f>
        <v>20.5362481734264</v>
      </c>
      <c r="Q9" s="0" t="n">
        <f aca="false">G9+Criterios_M01!$C$4</f>
        <v>15.4</v>
      </c>
      <c r="R9" s="0" t="n">
        <f aca="false">ROUNDUP(G9/Criterios_M01!$C$5,0)+1</f>
        <v>14</v>
      </c>
      <c r="S9" s="0" t="n">
        <f aca="false">(SUMIF(Vanos!$B$7:$B$116,A9,Vanos!$N$7:$N$116)+SUMIF(Vanos!$C$7:$C$116,A9,Vanos!$N$7:$N$116))/2</f>
        <v>186.824804031426</v>
      </c>
    </row>
    <row r="10" customFormat="false" ht="21" hidden="false" customHeight="true" outlineLevel="0" collapsed="false">
      <c r="A10" s="1" t="s">
        <v>191</v>
      </c>
      <c r="B10" s="17" t="n">
        <v>425715.105649646</v>
      </c>
      <c r="C10" s="17" t="n">
        <v>8436531.86353145</v>
      </c>
      <c r="D10" s="17" t="n">
        <v>3261.11975453842</v>
      </c>
      <c r="E10" s="17" t="n">
        <v>15</v>
      </c>
      <c r="F10" s="17" t="n">
        <v>2.1</v>
      </c>
      <c r="G10" s="17" t="n">
        <v>12.4</v>
      </c>
      <c r="H10" s="17" t="n">
        <v>0</v>
      </c>
      <c r="I10" s="9" t="s">
        <v>452</v>
      </c>
      <c r="J10" s="5" t="n">
        <f aca="false">IF(I10="SUSPENSION",0,IF(I10="TERMINAL",1,2))</f>
        <v>0</v>
      </c>
      <c r="K10" s="5" t="n">
        <f aca="false">1</f>
        <v>1</v>
      </c>
      <c r="L10" s="5" t="n">
        <f aca="false">1</f>
        <v>1</v>
      </c>
      <c r="M10" s="18" t="n">
        <f aca="false">O10*Parametros!$E$6</f>
        <v>0</v>
      </c>
      <c r="N10" s="0" t="str">
        <f aca="false">IF(I10="SUSPENSION","CAC-S",IF(I10="ANGULO","CAC-A",IF(I10="TERMINAL","CAC-T",IF(OR(I10="ANCLAJE",I10="ANCLAJE_PROPUESTO"),"CAC-R","SIN-RECETA"))))</f>
        <v>CAC-S</v>
      </c>
      <c r="O10" s="0" t="n">
        <f aca="false">IF(OR(I10="ANCLAJE",I10="ANCLAJE_PROPUESTO",I10="TERMINAL"),Parametros!$E$5,0)</f>
        <v>0</v>
      </c>
      <c r="P10" s="0" t="n">
        <f aca="false">G10/SIN(RADIANS(Criterios_M01!$C$2))+Criterios_M01!$C$3</f>
        <v>20.5362481734264</v>
      </c>
      <c r="Q10" s="0" t="n">
        <f aca="false">G10+Criterios_M01!$C$4</f>
        <v>15.4</v>
      </c>
      <c r="R10" s="0" t="n">
        <f aca="false">ROUNDUP(G10/Criterios_M01!$C$5,0)+1</f>
        <v>14</v>
      </c>
      <c r="S10" s="0" t="n">
        <f aca="false">(SUMIF(Vanos!$B$7:$B$116,A10,Vanos!$N$7:$N$116)+SUMIF(Vanos!$C$7:$C$116,A10,Vanos!$N$7:$N$116))/2</f>
        <v>226.723048375463</v>
      </c>
    </row>
    <row r="11" customFormat="false" ht="21" hidden="false" customHeight="true" outlineLevel="0" collapsed="false">
      <c r="A11" s="1" t="s">
        <v>192</v>
      </c>
      <c r="B11" s="17" t="n">
        <v>425654.894721639</v>
      </c>
      <c r="C11" s="17" t="n">
        <v>8436486.20545095</v>
      </c>
      <c r="D11" s="17" t="n">
        <v>3260.13332762305</v>
      </c>
      <c r="E11" s="17" t="n">
        <v>15</v>
      </c>
      <c r="F11" s="17" t="n">
        <v>2.1</v>
      </c>
      <c r="G11" s="17" t="n">
        <v>12.4</v>
      </c>
      <c r="H11" s="17" t="n">
        <v>14.0599559600261</v>
      </c>
      <c r="I11" s="9" t="s">
        <v>454</v>
      </c>
      <c r="J11" s="5" t="n">
        <f aca="false">IF(I11="SUSPENSION",0,IF(I11="TERMINAL",1,2))</f>
        <v>2</v>
      </c>
      <c r="K11" s="5" t="n">
        <f aca="false">1</f>
        <v>1</v>
      </c>
      <c r="L11" s="5" t="n">
        <f aca="false">1</f>
        <v>1</v>
      </c>
      <c r="M11" s="18" t="n">
        <f aca="false">O11*Parametros!$E$6</f>
        <v>0</v>
      </c>
      <c r="N11" s="0" t="str">
        <f aca="false">IF(I11="SUSPENSION","CAC-S",IF(I11="ANGULO","CAC-A",IF(I11="TERMINAL","CAC-T",IF(OR(I11="ANCLAJE",I11="ANCLAJE_PROPUESTO"),"CAC-R","SIN-RECETA"))))</f>
        <v>CAC-A</v>
      </c>
      <c r="O11" s="0" t="n">
        <f aca="false">IF(OR(I11="ANCLAJE",I11="ANCLAJE_PROPUESTO",I11="TERMINAL"),Parametros!$E$5,0)</f>
        <v>0</v>
      </c>
      <c r="P11" s="0" t="n">
        <f aca="false">G11/SIN(RADIANS(Criterios_M01!$C$2))+Criterios_M01!$C$3</f>
        <v>20.5362481734264</v>
      </c>
      <c r="Q11" s="0" t="n">
        <f aca="false">G11+Criterios_M01!$C$4</f>
        <v>15.4</v>
      </c>
      <c r="R11" s="0" t="n">
        <f aca="false">ROUNDUP(G11/Criterios_M01!$C$5,0)+1</f>
        <v>14</v>
      </c>
      <c r="S11" s="0" t="n">
        <f aca="false">(SUMIF(Vanos!$B$7:$B$116,A11,Vanos!$N$7:$N$116)+SUMIF(Vanos!$C$7:$C$116,A11,Vanos!$N$7:$N$116))/2</f>
        <v>220.486966270762</v>
      </c>
    </row>
    <row r="12" customFormat="false" ht="21" hidden="false" customHeight="true" outlineLevel="0" collapsed="false">
      <c r="A12" s="1" t="s">
        <v>193</v>
      </c>
      <c r="B12" s="17" t="n">
        <v>425610.422433176</v>
      </c>
      <c r="C12" s="17" t="n">
        <v>8436430.82763907</v>
      </c>
      <c r="D12" s="17" t="n">
        <v>3265.72736190079</v>
      </c>
      <c r="E12" s="17" t="n">
        <v>17</v>
      </c>
      <c r="F12" s="17" t="n">
        <v>2.1</v>
      </c>
      <c r="G12" s="17" t="n">
        <v>14.2</v>
      </c>
      <c r="H12" s="17" t="n">
        <v>1.20741826972573E-006</v>
      </c>
      <c r="I12" s="9" t="s">
        <v>452</v>
      </c>
      <c r="J12" s="5" t="n">
        <f aca="false">IF(I12="SUSPENSION",0,IF(I12="TERMINAL",1,2))</f>
        <v>0</v>
      </c>
      <c r="K12" s="5" t="n">
        <f aca="false">1</f>
        <v>1</v>
      </c>
      <c r="L12" s="5" t="n">
        <f aca="false">1</f>
        <v>1</v>
      </c>
      <c r="M12" s="18" t="n">
        <f aca="false">O12*Parametros!$E$6</f>
        <v>0</v>
      </c>
      <c r="N12" s="0" t="str">
        <f aca="false">IF(I12="SUSPENSION","CAC-S",IF(I12="ANGULO","CAC-A",IF(I12="TERMINAL","CAC-T",IF(OR(I12="ANCLAJE",I12="ANCLAJE_PROPUESTO"),"CAC-R","SIN-RECETA"))))</f>
        <v>CAC-S</v>
      </c>
      <c r="O12" s="0" t="n">
        <f aca="false">IF(OR(I12="ANCLAJE",I12="ANCLAJE_PROPUESTO",I12="TERMINAL"),Parametros!$E$5,0)</f>
        <v>0</v>
      </c>
      <c r="P12" s="0" t="n">
        <f aca="false">G12/SIN(RADIANS(Criterios_M01!$C$2))+Criterios_M01!$C$3</f>
        <v>23.081832585698</v>
      </c>
      <c r="Q12" s="0" t="n">
        <f aca="false">G12+Criterios_M01!$C$4</f>
        <v>17.2</v>
      </c>
      <c r="R12" s="0" t="n">
        <f aca="false">ROUNDUP(G12/Criterios_M01!$C$5,0)+1</f>
        <v>16</v>
      </c>
      <c r="S12" s="0" t="n">
        <f aca="false">(SUMIF(Vanos!$B$7:$B$116,A12,Vanos!$N$7:$N$116)+SUMIF(Vanos!$C$7:$C$116,A12,Vanos!$N$7:$N$116))/2</f>
        <v>213.736407733889</v>
      </c>
    </row>
    <row r="13" customFormat="false" ht="21" hidden="false" customHeight="true" outlineLevel="0" collapsed="false">
      <c r="A13" s="1" t="s">
        <v>194</v>
      </c>
      <c r="B13" s="17" t="n">
        <v>425565.950144713</v>
      </c>
      <c r="C13" s="17" t="n">
        <v>8436375.44982719</v>
      </c>
      <c r="D13" s="17" t="n">
        <v>3270.11902351854</v>
      </c>
      <c r="E13" s="17" t="n">
        <v>15</v>
      </c>
      <c r="F13" s="17" t="n">
        <v>2.1</v>
      </c>
      <c r="G13" s="17" t="n">
        <v>12.4</v>
      </c>
      <c r="H13" s="17" t="n">
        <v>7.82172508434899</v>
      </c>
      <c r="I13" s="9" t="s">
        <v>454</v>
      </c>
      <c r="J13" s="5" t="n">
        <f aca="false">IF(I13="SUSPENSION",0,IF(I13="TERMINAL",1,2))</f>
        <v>2</v>
      </c>
      <c r="K13" s="5" t="n">
        <f aca="false">1</f>
        <v>1</v>
      </c>
      <c r="L13" s="5" t="n">
        <f aca="false">1</f>
        <v>1</v>
      </c>
      <c r="M13" s="18" t="n">
        <f aca="false">O13*Parametros!$E$6</f>
        <v>0</v>
      </c>
      <c r="N13" s="0" t="str">
        <f aca="false">IF(I13="SUSPENSION","CAC-S",IF(I13="ANGULO","CAC-A",IF(I13="TERMINAL","CAC-T",IF(OR(I13="ANCLAJE",I13="ANCLAJE_PROPUESTO"),"CAC-R","SIN-RECETA"))))</f>
        <v>CAC-A</v>
      </c>
      <c r="O13" s="0" t="n">
        <f aca="false">IF(OR(I13="ANCLAJE",I13="ANCLAJE_PROPUESTO",I13="TERMINAL"),Parametros!$E$5,0)</f>
        <v>0</v>
      </c>
      <c r="P13" s="0" t="n">
        <f aca="false">G13/SIN(RADIANS(Criterios_M01!$C$2))+Criterios_M01!$C$3</f>
        <v>20.5362481734264</v>
      </c>
      <c r="Q13" s="0" t="n">
        <f aca="false">G13+Criterios_M01!$C$4</f>
        <v>15.4</v>
      </c>
      <c r="R13" s="0" t="n">
        <f aca="false">ROUNDUP(G13/Criterios_M01!$C$5,0)+1</f>
        <v>14</v>
      </c>
      <c r="S13" s="0" t="n">
        <f aca="false">(SUMIF(Vanos!$B$7:$B$116,A13,Vanos!$N$7:$N$116)+SUMIF(Vanos!$C$7:$C$116,A13,Vanos!$N$7:$N$116))/2</f>
        <v>192.910699616394</v>
      </c>
    </row>
    <row r="14" customFormat="false" ht="21" hidden="false" customHeight="true" outlineLevel="0" collapsed="false">
      <c r="A14" s="1" t="s">
        <v>195</v>
      </c>
      <c r="B14" s="17" t="n">
        <v>425536.378811762</v>
      </c>
      <c r="C14" s="17" t="n">
        <v>8436326.12806357</v>
      </c>
      <c r="D14" s="17" t="n">
        <v>3270.4140056021</v>
      </c>
      <c r="E14" s="17" t="n">
        <v>13</v>
      </c>
      <c r="F14" s="17" t="n">
        <v>1.9</v>
      </c>
      <c r="G14" s="17" t="n">
        <v>10.6</v>
      </c>
      <c r="H14" s="17" t="n">
        <v>13.4869318028682</v>
      </c>
      <c r="I14" s="9" t="s">
        <v>454</v>
      </c>
      <c r="J14" s="5" t="n">
        <f aca="false">IF(I14="SUSPENSION",0,IF(I14="TERMINAL",1,2))</f>
        <v>2</v>
      </c>
      <c r="K14" s="5" t="n">
        <f aca="false">1</f>
        <v>1</v>
      </c>
      <c r="L14" s="5" t="n">
        <f aca="false">1</f>
        <v>1</v>
      </c>
      <c r="M14" s="18" t="n">
        <f aca="false">O14*Parametros!$E$6</f>
        <v>0</v>
      </c>
      <c r="N14" s="0" t="str">
        <f aca="false">IF(I14="SUSPENSION","CAC-S",IF(I14="ANGULO","CAC-A",IF(I14="TERMINAL","CAC-T",IF(OR(I14="ANCLAJE",I14="ANCLAJE_PROPUESTO"),"CAC-R","SIN-RECETA"))))</f>
        <v>CAC-A</v>
      </c>
      <c r="O14" s="0" t="n">
        <f aca="false">IF(OR(I14="ANCLAJE",I14="ANCLAJE_PROPUESTO",I14="TERMINAL"),Parametros!$E$5,0)</f>
        <v>0</v>
      </c>
      <c r="P14" s="0" t="n">
        <f aca="false">G14/SIN(RADIANS(Criterios_M01!$C$2))+Criterios_M01!$C$3</f>
        <v>17.9906637611548</v>
      </c>
      <c r="Q14" s="0" t="n">
        <f aca="false">G14+Criterios_M01!$C$4</f>
        <v>13.6</v>
      </c>
      <c r="R14" s="0" t="n">
        <f aca="false">ROUNDUP(G14/Criterios_M01!$C$5,0)+1</f>
        <v>12</v>
      </c>
      <c r="S14" s="0" t="n">
        <f aca="false">(SUMIF(Vanos!$B$7:$B$116,A14,Vanos!$N$7:$N$116)+SUMIF(Vanos!$C$7:$C$116,A14,Vanos!$N$7:$N$116))/2</f>
        <v>191.510912216743</v>
      </c>
    </row>
    <row r="15" customFormat="false" ht="21" hidden="false" customHeight="true" outlineLevel="0" collapsed="false">
      <c r="A15" s="1" t="s">
        <v>196</v>
      </c>
      <c r="B15" s="17" t="n">
        <v>425515.343744284</v>
      </c>
      <c r="C15" s="17" t="n">
        <v>8436259.24350799</v>
      </c>
      <c r="D15" s="17" t="n">
        <v>3272.26801975927</v>
      </c>
      <c r="E15" s="17" t="n">
        <v>13</v>
      </c>
      <c r="F15" s="17" t="n">
        <v>1.9</v>
      </c>
      <c r="G15" s="17" t="n">
        <v>10.6</v>
      </c>
      <c r="H15" s="17" t="n">
        <v>0</v>
      </c>
      <c r="I15" s="9" t="s">
        <v>455</v>
      </c>
      <c r="J15" s="5" t="n">
        <f aca="false">IF(I15="SUSPENSION",0,IF(I15="TERMINAL",1,2))</f>
        <v>2</v>
      </c>
      <c r="K15" s="5" t="n">
        <f aca="false">1</f>
        <v>1</v>
      </c>
      <c r="L15" s="5" t="n">
        <f aca="false">1</f>
        <v>1</v>
      </c>
      <c r="M15" s="18" t="n">
        <f aca="false">O15*Parametros!$E$6</f>
        <v>6</v>
      </c>
      <c r="N15" s="0" t="str">
        <f aca="false">IF(I15="SUSPENSION","CAC-S",IF(I15="ANGULO","CAC-A",IF(I15="TERMINAL","CAC-T",IF(OR(I15="ANCLAJE",I15="ANCLAJE_PROPUESTO"),"CAC-R","SIN-RECETA"))))</f>
        <v>CAC-R</v>
      </c>
      <c r="O15" s="0" t="n">
        <f aca="false">IF(OR(I15="ANCLAJE",I15="ANCLAJE_PROPUESTO",I15="TERMINAL"),Parametros!$E$5,0)</f>
        <v>3</v>
      </c>
      <c r="P15" s="0" t="n">
        <f aca="false">G15/SIN(RADIANS(Criterios_M01!$C$2))+Criterios_M01!$C$3</f>
        <v>17.9906637611548</v>
      </c>
      <c r="Q15" s="0" t="n">
        <f aca="false">G15+Criterios_M01!$C$4</f>
        <v>13.6</v>
      </c>
      <c r="R15" s="0" t="n">
        <f aca="false">ROUNDUP(G15/Criterios_M01!$C$5,0)+1</f>
        <v>12</v>
      </c>
      <c r="S15" s="0" t="n">
        <f aca="false">(SUMIF(Vanos!$B$7:$B$116,A15,Vanos!$N$7:$N$116)+SUMIF(Vanos!$C$7:$C$116,A15,Vanos!$N$7:$N$116))/2</f>
        <v>210.817961285486</v>
      </c>
    </row>
    <row r="16" customFormat="false" ht="21" hidden="false" customHeight="true" outlineLevel="0" collapsed="false">
      <c r="A16" s="1" t="s">
        <v>197</v>
      </c>
      <c r="B16" s="17" t="n">
        <v>425494.308676806</v>
      </c>
      <c r="C16" s="17" t="n">
        <v>8436192.35895241</v>
      </c>
      <c r="D16" s="17" t="n">
        <v>3278.56084911166</v>
      </c>
      <c r="E16" s="17" t="n">
        <v>13</v>
      </c>
      <c r="F16" s="17" t="n">
        <v>1.9</v>
      </c>
      <c r="G16" s="17" t="n">
        <v>10.6</v>
      </c>
      <c r="H16" s="17" t="n">
        <v>21.8026112300608</v>
      </c>
      <c r="I16" s="9" t="s">
        <v>454</v>
      </c>
      <c r="J16" s="5" t="n">
        <f aca="false">IF(I16="SUSPENSION",0,IF(I16="TERMINAL",1,2))</f>
        <v>2</v>
      </c>
      <c r="K16" s="5" t="n">
        <f aca="false">1</f>
        <v>1</v>
      </c>
      <c r="L16" s="5" t="n">
        <f aca="false">1</f>
        <v>1</v>
      </c>
      <c r="M16" s="18" t="n">
        <f aca="false">O16*Parametros!$E$6</f>
        <v>0</v>
      </c>
      <c r="N16" s="0" t="str">
        <f aca="false">IF(I16="SUSPENSION","CAC-S",IF(I16="ANGULO","CAC-A",IF(I16="TERMINAL","CAC-T",IF(OR(I16="ANCLAJE",I16="ANCLAJE_PROPUESTO"),"CAC-R","SIN-RECETA"))))</f>
        <v>CAC-A</v>
      </c>
      <c r="O16" s="0" t="n">
        <f aca="false">IF(OR(I16="ANCLAJE",I16="ANCLAJE_PROPUESTO",I16="TERMINAL"),Parametros!$E$5,0)</f>
        <v>0</v>
      </c>
      <c r="P16" s="0" t="n">
        <f aca="false">G16/SIN(RADIANS(Criterios_M01!$C$2))+Criterios_M01!$C$3</f>
        <v>17.9906637611548</v>
      </c>
      <c r="Q16" s="0" t="n">
        <f aca="false">G16+Criterios_M01!$C$4</f>
        <v>13.6</v>
      </c>
      <c r="R16" s="0" t="n">
        <f aca="false">ROUNDUP(G16/Criterios_M01!$C$5,0)+1</f>
        <v>12</v>
      </c>
      <c r="S16" s="0" t="n">
        <f aca="false">(SUMIF(Vanos!$B$7:$B$116,A16,Vanos!$N$7:$N$116)+SUMIF(Vanos!$C$7:$C$116,A16,Vanos!$N$7:$N$116))/2</f>
        <v>182.549278902777</v>
      </c>
    </row>
    <row r="17" customFormat="false" ht="21" hidden="false" customHeight="true" outlineLevel="0" collapsed="false">
      <c r="A17" s="1" t="s">
        <v>198</v>
      </c>
      <c r="B17" s="17" t="n">
        <v>425462.530506695</v>
      </c>
      <c r="C17" s="17" t="n">
        <v>8436153.47947893</v>
      </c>
      <c r="D17" s="17" t="n">
        <v>3289.04180101204</v>
      </c>
      <c r="E17" s="17" t="n">
        <v>13</v>
      </c>
      <c r="F17" s="17" t="n">
        <v>1.9</v>
      </c>
      <c r="G17" s="17" t="n">
        <v>10.6</v>
      </c>
      <c r="H17" s="17" t="n">
        <v>57.4117983085781</v>
      </c>
      <c r="I17" s="9" t="s">
        <v>453</v>
      </c>
      <c r="J17" s="5" t="n">
        <f aca="false">IF(I17="SUSPENSION",0,IF(I17="TERMINAL",1,2))</f>
        <v>2</v>
      </c>
      <c r="K17" s="5" t="n">
        <f aca="false">1</f>
        <v>1</v>
      </c>
      <c r="L17" s="5" t="n">
        <f aca="false">1</f>
        <v>1</v>
      </c>
      <c r="M17" s="18" t="n">
        <f aca="false">O17*Parametros!$E$6</f>
        <v>6</v>
      </c>
      <c r="N17" s="0" t="str">
        <f aca="false">IF(I17="SUSPENSION","CAC-S",IF(I17="ANGULO","CAC-A",IF(I17="TERMINAL","CAC-T",IF(OR(I17="ANCLAJE",I17="ANCLAJE_PROPUESTO"),"CAC-R","SIN-RECETA"))))</f>
        <v>CAC-R</v>
      </c>
      <c r="O17" s="0" t="n">
        <f aca="false">IF(OR(I17="ANCLAJE",I17="ANCLAJE_PROPUESTO",I17="TERMINAL"),Parametros!$E$5,0)</f>
        <v>3</v>
      </c>
      <c r="P17" s="0" t="n">
        <f aca="false">G17/SIN(RADIANS(Criterios_M01!$C$2))+Criterios_M01!$C$3</f>
        <v>17.9906637611548</v>
      </c>
      <c r="Q17" s="0" t="n">
        <f aca="false">G17+Criterios_M01!$C$4</f>
        <v>13.6</v>
      </c>
      <c r="R17" s="0" t="n">
        <f aca="false">ROUNDUP(G17/Criterios_M01!$C$5,0)+1</f>
        <v>12</v>
      </c>
      <c r="S17" s="0" t="n">
        <f aca="false">(SUMIF(Vanos!$B$7:$B$116,A17,Vanos!$N$7:$N$116)+SUMIF(Vanos!$C$7:$C$116,A17,Vanos!$N$7:$N$116))/2</f>
        <v>168.577672121666</v>
      </c>
    </row>
    <row r="18" customFormat="false" ht="21" hidden="false" customHeight="true" outlineLevel="0" collapsed="false">
      <c r="A18" s="1" t="s">
        <v>199</v>
      </c>
      <c r="B18" s="17" t="n">
        <v>425481.523619714</v>
      </c>
      <c r="C18" s="17" t="n">
        <v>8436095.54439481</v>
      </c>
      <c r="D18" s="17" t="n">
        <v>3292.78103145062</v>
      </c>
      <c r="E18" s="17" t="n">
        <v>13</v>
      </c>
      <c r="F18" s="17" t="n">
        <v>1.9</v>
      </c>
      <c r="G18" s="17" t="n">
        <v>10.6</v>
      </c>
      <c r="H18" s="17" t="n">
        <v>23.8940658423509</v>
      </c>
      <c r="I18" s="9" t="s">
        <v>454</v>
      </c>
      <c r="J18" s="5" t="n">
        <f aca="false">IF(I18="SUSPENSION",0,IF(I18="TERMINAL",1,2))</f>
        <v>2</v>
      </c>
      <c r="K18" s="5" t="n">
        <f aca="false">1</f>
        <v>1</v>
      </c>
      <c r="L18" s="5" t="n">
        <f aca="false">1</f>
        <v>1</v>
      </c>
      <c r="M18" s="18" t="n">
        <f aca="false">O18*Parametros!$E$6</f>
        <v>0</v>
      </c>
      <c r="N18" s="0" t="str">
        <f aca="false">IF(I18="SUSPENSION","CAC-S",IF(I18="ANGULO","CAC-A",IF(I18="TERMINAL","CAC-T",IF(OR(I18="ANCLAJE",I18="ANCLAJE_PROPUESTO"),"CAC-R","SIN-RECETA"))))</f>
        <v>CAC-A</v>
      </c>
      <c r="O18" s="0" t="n">
        <f aca="false">IF(OR(I18="ANCLAJE",I18="ANCLAJE_PROPUESTO",I18="TERMINAL"),Parametros!$E$5,0)</f>
        <v>0</v>
      </c>
      <c r="P18" s="0" t="n">
        <f aca="false">G18/SIN(RADIANS(Criterios_M01!$C$2))+Criterios_M01!$C$3</f>
        <v>17.9906637611548</v>
      </c>
      <c r="Q18" s="0" t="n">
        <f aca="false">G18+Criterios_M01!$C$4</f>
        <v>13.6</v>
      </c>
      <c r="R18" s="0" t="n">
        <f aca="false">ROUNDUP(G18/Criterios_M01!$C$5,0)+1</f>
        <v>12</v>
      </c>
      <c r="S18" s="0" t="n">
        <f aca="false">(SUMIF(Vanos!$B$7:$B$116,A18,Vanos!$N$7:$N$116)+SUMIF(Vanos!$C$7:$C$116,A18,Vanos!$N$7:$N$116))/2</f>
        <v>173.270058683317</v>
      </c>
    </row>
    <row r="19" customFormat="false" ht="21" hidden="false" customHeight="true" outlineLevel="0" collapsed="false">
      <c r="A19" s="1" t="s">
        <v>200</v>
      </c>
      <c r="B19" s="17" t="n">
        <v>425476.089054474</v>
      </c>
      <c r="C19" s="17" t="n">
        <v>8436041.50880551</v>
      </c>
      <c r="D19" s="17" t="n">
        <v>3296.33071276733</v>
      </c>
      <c r="E19" s="17" t="n">
        <v>13</v>
      </c>
      <c r="F19" s="17" t="n">
        <v>1.9</v>
      </c>
      <c r="G19" s="17" t="n">
        <v>10.6</v>
      </c>
      <c r="H19" s="17" t="n">
        <v>68.6119004869544</v>
      </c>
      <c r="I19" s="9" t="s">
        <v>453</v>
      </c>
      <c r="J19" s="5" t="n">
        <f aca="false">IF(I19="SUSPENSION",0,IF(I19="TERMINAL",1,2))</f>
        <v>2</v>
      </c>
      <c r="K19" s="5" t="n">
        <f aca="false">1</f>
        <v>1</v>
      </c>
      <c r="L19" s="5" t="n">
        <f aca="false">1</f>
        <v>1</v>
      </c>
      <c r="M19" s="18" t="n">
        <f aca="false">O19*Parametros!$E$6</f>
        <v>6</v>
      </c>
      <c r="N19" s="0" t="str">
        <f aca="false">IF(I19="SUSPENSION","CAC-S",IF(I19="ANGULO","CAC-A",IF(I19="TERMINAL","CAC-T",IF(OR(I19="ANCLAJE",I19="ANCLAJE_PROPUESTO"),"CAC-R","SIN-RECETA"))))</f>
        <v>CAC-R</v>
      </c>
      <c r="O19" s="0" t="n">
        <f aca="false">IF(OR(I19="ANCLAJE",I19="ANCLAJE_PROPUESTO",I19="TERMINAL"),Parametros!$E$5,0)</f>
        <v>3</v>
      </c>
      <c r="P19" s="0" t="n">
        <f aca="false">G19/SIN(RADIANS(Criterios_M01!$C$2))+Criterios_M01!$C$3</f>
        <v>17.9906637611548</v>
      </c>
      <c r="Q19" s="0" t="n">
        <f aca="false">G19+Criterios_M01!$C$4</f>
        <v>13.6</v>
      </c>
      <c r="R19" s="0" t="n">
        <f aca="false">ROUNDUP(G19/Criterios_M01!$C$5,0)+1</f>
        <v>12</v>
      </c>
      <c r="S19" s="0" t="n">
        <f aca="false">(SUMIF(Vanos!$B$7:$B$116,A19,Vanos!$N$7:$N$116)+SUMIF(Vanos!$C$7:$C$116,A19,Vanos!$N$7:$N$116))/2</f>
        <v>143.673319636734</v>
      </c>
    </row>
    <row r="20" customFormat="false" ht="21" hidden="false" customHeight="true" outlineLevel="0" collapsed="false">
      <c r="A20" s="1" t="s">
        <v>201</v>
      </c>
      <c r="B20" s="17" t="n">
        <v>425437.897536903</v>
      </c>
      <c r="C20" s="17" t="n">
        <v>8436030.81323237</v>
      </c>
      <c r="D20" s="17" t="n">
        <v>3308.04547261687</v>
      </c>
      <c r="E20" s="17" t="n">
        <v>13</v>
      </c>
      <c r="F20" s="17" t="n">
        <v>1.9</v>
      </c>
      <c r="G20" s="17" t="n">
        <v>10.6</v>
      </c>
      <c r="H20" s="17" t="n">
        <v>53.1919382452563</v>
      </c>
      <c r="I20" s="9" t="s">
        <v>453</v>
      </c>
      <c r="J20" s="5" t="n">
        <f aca="false">IF(I20="SUSPENSION",0,IF(I20="TERMINAL",1,2))</f>
        <v>2</v>
      </c>
      <c r="K20" s="5" t="n">
        <f aca="false">1</f>
        <v>1</v>
      </c>
      <c r="L20" s="5" t="n">
        <f aca="false">1</f>
        <v>1</v>
      </c>
      <c r="M20" s="18" t="n">
        <f aca="false">O20*Parametros!$E$6</f>
        <v>6</v>
      </c>
      <c r="N20" s="0" t="str">
        <f aca="false">IF(I20="SUSPENSION","CAC-S",IF(I20="ANGULO","CAC-A",IF(I20="TERMINAL","CAC-T",IF(OR(I20="ANCLAJE",I20="ANCLAJE_PROPUESTO"),"CAC-R","SIN-RECETA"))))</f>
        <v>CAC-R</v>
      </c>
      <c r="O20" s="0" t="n">
        <f aca="false">IF(OR(I20="ANCLAJE",I20="ANCLAJE_PROPUESTO",I20="TERMINAL"),Parametros!$E$5,0)</f>
        <v>3</v>
      </c>
      <c r="P20" s="0" t="n">
        <f aca="false">G20/SIN(RADIANS(Criterios_M01!$C$2))+Criterios_M01!$C$3</f>
        <v>17.9906637611548</v>
      </c>
      <c r="Q20" s="0" t="n">
        <f aca="false">G20+Criterios_M01!$C$4</f>
        <v>13.6</v>
      </c>
      <c r="R20" s="0" t="n">
        <f aca="false">ROUNDUP(G20/Criterios_M01!$C$5,0)+1</f>
        <v>12</v>
      </c>
      <c r="S20" s="0" t="n">
        <f aca="false">(SUMIF(Vanos!$B$7:$B$116,A20,Vanos!$N$7:$N$116)+SUMIF(Vanos!$C$7:$C$116,A20,Vanos!$N$7:$N$116))/2</f>
        <v>171.400823311974</v>
      </c>
    </row>
    <row r="21" customFormat="false" ht="21" hidden="false" customHeight="true" outlineLevel="0" collapsed="false">
      <c r="A21" s="1" t="s">
        <v>202</v>
      </c>
      <c r="B21" s="17" t="n">
        <v>425411.966900286</v>
      </c>
      <c r="C21" s="17" t="n">
        <v>8435963.83216223</v>
      </c>
      <c r="D21" s="17" t="n">
        <v>3318.75235265443</v>
      </c>
      <c r="E21" s="17" t="n">
        <v>15</v>
      </c>
      <c r="F21" s="17" t="n">
        <v>2.1</v>
      </c>
      <c r="G21" s="17" t="n">
        <v>12.4</v>
      </c>
      <c r="H21" s="17" t="n">
        <v>0</v>
      </c>
      <c r="I21" s="9" t="s">
        <v>452</v>
      </c>
      <c r="J21" s="5" t="n">
        <f aca="false">IF(I21="SUSPENSION",0,IF(I21="TERMINAL",1,2))</f>
        <v>0</v>
      </c>
      <c r="K21" s="5" t="n">
        <f aca="false">1</f>
        <v>1</v>
      </c>
      <c r="L21" s="5" t="n">
        <f aca="false">1</f>
        <v>1</v>
      </c>
      <c r="M21" s="18" t="n">
        <f aca="false">O21*Parametros!$E$6</f>
        <v>0</v>
      </c>
      <c r="N21" s="0" t="str">
        <f aca="false">IF(I21="SUSPENSION","CAC-S",IF(I21="ANGULO","CAC-A",IF(I21="TERMINAL","CAC-T",IF(OR(I21="ANCLAJE",I21="ANCLAJE_PROPUESTO"),"CAC-R","SIN-RECETA"))))</f>
        <v>CAC-S</v>
      </c>
      <c r="O21" s="0" t="n">
        <f aca="false">IF(OR(I21="ANCLAJE",I21="ANCLAJE_PROPUESTO",I21="TERMINAL"),Parametros!$E$5,0)</f>
        <v>0</v>
      </c>
      <c r="P21" s="0" t="n">
        <f aca="false">G21/SIN(RADIANS(Criterios_M01!$C$2))+Criterios_M01!$C$3</f>
        <v>20.5362481734264</v>
      </c>
      <c r="Q21" s="0" t="n">
        <f aca="false">G21+Criterios_M01!$C$4</f>
        <v>15.4</v>
      </c>
      <c r="R21" s="0" t="n">
        <f aca="false">ROUNDUP(G21/Criterios_M01!$C$5,0)+1</f>
        <v>14</v>
      </c>
      <c r="S21" s="0" t="n">
        <f aca="false">(SUMIF(Vanos!$B$7:$B$116,A21,Vanos!$N$7:$N$116)+SUMIF(Vanos!$C$7:$C$116,A21,Vanos!$N$7:$N$116))/2</f>
        <v>218.445608276726</v>
      </c>
    </row>
    <row r="22" customFormat="false" ht="21" hidden="false" customHeight="true" outlineLevel="0" collapsed="false">
      <c r="A22" s="1" t="s">
        <v>203</v>
      </c>
      <c r="B22" s="17" t="n">
        <v>425386.036263668</v>
      </c>
      <c r="C22" s="17" t="n">
        <v>8435896.85109209</v>
      </c>
      <c r="D22" s="17" t="n">
        <v>3330.08291090355</v>
      </c>
      <c r="E22" s="17" t="n">
        <v>15</v>
      </c>
      <c r="F22" s="17" t="n">
        <v>2.1</v>
      </c>
      <c r="G22" s="17" t="n">
        <v>12.4</v>
      </c>
      <c r="H22" s="17" t="n">
        <v>0</v>
      </c>
      <c r="I22" s="9" t="s">
        <v>452</v>
      </c>
      <c r="J22" s="5" t="n">
        <f aca="false">IF(I22="SUSPENSION",0,IF(I22="TERMINAL",1,2))</f>
        <v>0</v>
      </c>
      <c r="K22" s="5" t="n">
        <f aca="false">1</f>
        <v>1</v>
      </c>
      <c r="L22" s="5" t="n">
        <f aca="false">1</f>
        <v>1</v>
      </c>
      <c r="M22" s="18" t="n">
        <f aca="false">O22*Parametros!$E$6</f>
        <v>0</v>
      </c>
      <c r="N22" s="0" t="str">
        <f aca="false">IF(I22="SUSPENSION","CAC-S",IF(I22="ANGULO","CAC-A",IF(I22="TERMINAL","CAC-T",IF(OR(I22="ANCLAJE",I22="ANCLAJE_PROPUESTO"),"CAC-R","SIN-RECETA"))))</f>
        <v>CAC-S</v>
      </c>
      <c r="O22" s="0" t="n">
        <f aca="false">IF(OR(I22="ANCLAJE",I22="ANCLAJE_PROPUESTO",I22="TERMINAL"),Parametros!$E$5,0)</f>
        <v>0</v>
      </c>
      <c r="P22" s="0" t="n">
        <f aca="false">G22/SIN(RADIANS(Criterios_M01!$C$2))+Criterios_M01!$C$3</f>
        <v>20.5362481734264</v>
      </c>
      <c r="Q22" s="0" t="n">
        <f aca="false">G22+Criterios_M01!$C$4</f>
        <v>15.4</v>
      </c>
      <c r="R22" s="0" t="n">
        <f aca="false">ROUNDUP(G22/Criterios_M01!$C$5,0)+1</f>
        <v>14</v>
      </c>
      <c r="S22" s="0" t="n">
        <f aca="false">(SUMIF(Vanos!$B$7:$B$116,A22,Vanos!$N$7:$N$116)+SUMIF(Vanos!$C$7:$C$116,A22,Vanos!$N$7:$N$116))/2</f>
        <v>217.138436491958</v>
      </c>
    </row>
    <row r="23" customFormat="false" ht="21" hidden="false" customHeight="true" outlineLevel="0" collapsed="false">
      <c r="A23" s="1" t="s">
        <v>204</v>
      </c>
      <c r="B23" s="17" t="n">
        <v>425360.105627051</v>
      </c>
      <c r="C23" s="17" t="n">
        <v>8435829.87002194</v>
      </c>
      <c r="D23" s="17" t="n">
        <v>3337.36965597069</v>
      </c>
      <c r="E23" s="17" t="n">
        <v>13</v>
      </c>
      <c r="F23" s="17" t="n">
        <v>1.9</v>
      </c>
      <c r="G23" s="17" t="n">
        <v>10.6</v>
      </c>
      <c r="H23" s="17" t="n">
        <v>25.9267467510642</v>
      </c>
      <c r="I23" s="9" t="s">
        <v>454</v>
      </c>
      <c r="J23" s="5" t="n">
        <f aca="false">IF(I23="SUSPENSION",0,IF(I23="TERMINAL",1,2))</f>
        <v>2</v>
      </c>
      <c r="K23" s="5" t="n">
        <f aca="false">1</f>
        <v>1</v>
      </c>
      <c r="L23" s="5" t="n">
        <f aca="false">1</f>
        <v>1</v>
      </c>
      <c r="M23" s="18" t="n">
        <f aca="false">O23*Parametros!$E$6</f>
        <v>0</v>
      </c>
      <c r="N23" s="0" t="str">
        <f aca="false">IF(I23="SUSPENSION","CAC-S",IF(I23="ANGULO","CAC-A",IF(I23="TERMINAL","CAC-T",IF(OR(I23="ANCLAJE",I23="ANCLAJE_PROPUESTO"),"CAC-R","SIN-RECETA"))))</f>
        <v>CAC-A</v>
      </c>
      <c r="O23" s="0" t="n">
        <f aca="false">IF(OR(I23="ANCLAJE",I23="ANCLAJE_PROPUESTO",I23="TERMINAL"),Parametros!$E$5,0)</f>
        <v>0</v>
      </c>
      <c r="P23" s="0" t="n">
        <f aca="false">G23/SIN(RADIANS(Criterios_M01!$C$2))+Criterios_M01!$C$3</f>
        <v>17.9906637611548</v>
      </c>
      <c r="Q23" s="0" t="n">
        <f aca="false">G23+Criterios_M01!$C$4</f>
        <v>13.6</v>
      </c>
      <c r="R23" s="0" t="n">
        <f aca="false">ROUNDUP(G23/Criterios_M01!$C$5,0)+1</f>
        <v>12</v>
      </c>
      <c r="S23" s="0" t="n">
        <f aca="false">(SUMIF(Vanos!$B$7:$B$116,A23,Vanos!$N$7:$N$116)+SUMIF(Vanos!$C$7:$C$116,A23,Vanos!$N$7:$N$116))/2</f>
        <v>180.397027528752</v>
      </c>
    </row>
    <row r="24" customFormat="false" ht="21" hidden="false" customHeight="true" outlineLevel="0" collapsed="false">
      <c r="A24" s="1" t="s">
        <v>205</v>
      </c>
      <c r="B24" s="17" t="n">
        <v>425364.105627051</v>
      </c>
      <c r="C24" s="17" t="n">
        <v>8435781.87002194</v>
      </c>
      <c r="D24" s="17" t="n">
        <v>3339.70543766288</v>
      </c>
      <c r="E24" s="17" t="n">
        <v>13</v>
      </c>
      <c r="F24" s="17" t="n">
        <v>1.9</v>
      </c>
      <c r="G24" s="17" t="n">
        <v>10.6</v>
      </c>
      <c r="H24" s="17" t="n">
        <v>0.558195072651092</v>
      </c>
      <c r="I24" s="9" t="s">
        <v>452</v>
      </c>
      <c r="J24" s="5" t="n">
        <f aca="false">IF(I24="SUSPENSION",0,IF(I24="TERMINAL",1,2))</f>
        <v>0</v>
      </c>
      <c r="K24" s="5" t="n">
        <f aca="false">1</f>
        <v>1</v>
      </c>
      <c r="L24" s="5" t="n">
        <f aca="false">1</f>
        <v>1</v>
      </c>
      <c r="M24" s="18" t="n">
        <f aca="false">O24*Parametros!$E$6</f>
        <v>0</v>
      </c>
      <c r="N24" s="0" t="str">
        <f aca="false">IF(I24="SUSPENSION","CAC-S",IF(I24="ANGULO","CAC-A",IF(I24="TERMINAL","CAC-T",IF(OR(I24="ANCLAJE",I24="ANCLAJE_PROPUESTO"),"CAC-R","SIN-RECETA"))))</f>
        <v>CAC-S</v>
      </c>
      <c r="O24" s="0" t="n">
        <f aca="false">IF(OR(I24="ANCLAJE",I24="ANCLAJE_PROPUESTO",I24="TERMINAL"),Parametros!$E$5,0)</f>
        <v>0</v>
      </c>
      <c r="P24" s="0" t="n">
        <f aca="false">G24/SIN(RADIANS(Criterios_M01!$C$2))+Criterios_M01!$C$3</f>
        <v>17.9906637611548</v>
      </c>
      <c r="Q24" s="0" t="n">
        <f aca="false">G24+Criterios_M01!$C$4</f>
        <v>13.6</v>
      </c>
      <c r="R24" s="0" t="n">
        <f aca="false">ROUNDUP(G24/Criterios_M01!$C$5,0)+1</f>
        <v>12</v>
      </c>
      <c r="S24" s="0" t="n">
        <f aca="false">(SUMIF(Vanos!$B$7:$B$116,A24,Vanos!$N$7:$N$116)+SUMIF(Vanos!$C$7:$C$116,A24,Vanos!$N$7:$N$116))/2</f>
        <v>144.668638629364</v>
      </c>
    </row>
    <row r="25" customFormat="false" ht="21" hidden="false" customHeight="true" outlineLevel="0" collapsed="false">
      <c r="A25" s="1" t="s">
        <v>206</v>
      </c>
      <c r="B25" s="17" t="n">
        <v>425367.629014461</v>
      </c>
      <c r="C25" s="17" t="n">
        <v>8435733.95297796</v>
      </c>
      <c r="D25" s="17" t="n">
        <v>3343.78676137533</v>
      </c>
      <c r="E25" s="17" t="n">
        <v>13</v>
      </c>
      <c r="F25" s="17" t="n">
        <v>1.9</v>
      </c>
      <c r="G25" s="17" t="n">
        <v>10.6</v>
      </c>
      <c r="H25" s="17" t="n">
        <v>26.8253115661159</v>
      </c>
      <c r="I25" s="9" t="s">
        <v>454</v>
      </c>
      <c r="J25" s="5" t="n">
        <f aca="false">IF(I25="SUSPENSION",0,IF(I25="TERMINAL",1,2))</f>
        <v>2</v>
      </c>
      <c r="K25" s="5" t="n">
        <f aca="false">1</f>
        <v>1</v>
      </c>
      <c r="L25" s="5" t="n">
        <f aca="false">1</f>
        <v>1</v>
      </c>
      <c r="M25" s="18" t="n">
        <f aca="false">O25*Parametros!$E$6</f>
        <v>0</v>
      </c>
      <c r="N25" s="0" t="str">
        <f aca="false">IF(I25="SUSPENSION","CAC-S",IF(I25="ANGULO","CAC-A",IF(I25="TERMINAL","CAC-T",IF(OR(I25="ANCLAJE",I25="ANCLAJE_PROPUESTO"),"CAC-R","SIN-RECETA"))))</f>
        <v>CAC-A</v>
      </c>
      <c r="O25" s="0" t="n">
        <f aca="false">IF(OR(I25="ANCLAJE",I25="ANCLAJE_PROPUESTO",I25="TERMINAL"),Parametros!$E$5,0)</f>
        <v>0</v>
      </c>
      <c r="P25" s="0" t="n">
        <f aca="false">G25/SIN(RADIANS(Criterios_M01!$C$2))+Criterios_M01!$C$3</f>
        <v>17.9906637611548</v>
      </c>
      <c r="Q25" s="0" t="n">
        <f aca="false">G25+Criterios_M01!$C$4</f>
        <v>13.6</v>
      </c>
      <c r="R25" s="0" t="n">
        <f aca="false">ROUNDUP(G25/Criterios_M01!$C$5,0)+1</f>
        <v>12</v>
      </c>
      <c r="S25" s="0" t="n">
        <f aca="false">(SUMIF(Vanos!$B$7:$B$116,A25,Vanos!$N$7:$N$116)+SUMIF(Vanos!$C$7:$C$116,A25,Vanos!$N$7:$N$116))/2</f>
        <v>111.989925002712</v>
      </c>
    </row>
    <row r="26" customFormat="false" ht="21" hidden="false" customHeight="true" outlineLevel="0" collapsed="false">
      <c r="A26" s="1" t="s">
        <v>207</v>
      </c>
      <c r="B26" s="17" t="n">
        <v>425357.629014461</v>
      </c>
      <c r="C26" s="17" t="n">
        <v>8435709.95297796</v>
      </c>
      <c r="D26" s="17" t="n">
        <v>3348.58248520347</v>
      </c>
      <c r="E26" s="17" t="n">
        <v>13</v>
      </c>
      <c r="F26" s="17" t="n">
        <v>1.9</v>
      </c>
      <c r="G26" s="17" t="n">
        <v>10.6</v>
      </c>
      <c r="H26" s="17" t="n">
        <v>13.8737026854852</v>
      </c>
      <c r="I26" s="9" t="s">
        <v>454</v>
      </c>
      <c r="J26" s="5" t="n">
        <f aca="false">IF(I26="SUSPENSION",0,IF(I26="TERMINAL",1,2))</f>
        <v>2</v>
      </c>
      <c r="K26" s="5" t="n">
        <f aca="false">1</f>
        <v>1</v>
      </c>
      <c r="L26" s="5" t="n">
        <f aca="false">1</f>
        <v>1</v>
      </c>
      <c r="M26" s="18" t="n">
        <f aca="false">O26*Parametros!$E$6</f>
        <v>0</v>
      </c>
      <c r="N26" s="0" t="str">
        <f aca="false">IF(I26="SUSPENSION","CAC-S",IF(I26="ANGULO","CAC-A",IF(I26="TERMINAL","CAC-T",IF(OR(I26="ANCLAJE",I26="ANCLAJE_PROPUESTO"),"CAC-R","SIN-RECETA"))))</f>
        <v>CAC-A</v>
      </c>
      <c r="O26" s="0" t="n">
        <f aca="false">IF(OR(I26="ANCLAJE",I26="ANCLAJE_PROPUESTO",I26="TERMINAL"),Parametros!$E$5,0)</f>
        <v>0</v>
      </c>
      <c r="P26" s="0" t="n">
        <f aca="false">G26/SIN(RADIANS(Criterios_M01!$C$2))+Criterios_M01!$C$3</f>
        <v>17.9906637611548</v>
      </c>
      <c r="Q26" s="0" t="n">
        <f aca="false">G26+Criterios_M01!$C$4</f>
        <v>13.6</v>
      </c>
      <c r="R26" s="0" t="n">
        <f aca="false">ROUNDUP(G26/Criterios_M01!$C$5,0)+1</f>
        <v>12</v>
      </c>
      <c r="S26" s="0" t="n">
        <f aca="false">(SUMIF(Vanos!$B$7:$B$116,A26,Vanos!$N$7:$N$116)+SUMIF(Vanos!$C$7:$C$116,A26,Vanos!$N$7:$N$116))/2</f>
        <v>79.3570532590108</v>
      </c>
    </row>
    <row r="27" customFormat="false" ht="21" hidden="false" customHeight="true" outlineLevel="0" collapsed="false">
      <c r="A27" s="1" t="s">
        <v>208</v>
      </c>
      <c r="B27" s="17" t="n">
        <v>425353.629014461</v>
      </c>
      <c r="C27" s="17" t="n">
        <v>8435683.95297796</v>
      </c>
      <c r="D27" s="17" t="n">
        <v>3351.48542165864</v>
      </c>
      <c r="E27" s="17" t="n">
        <v>13</v>
      </c>
      <c r="F27" s="17" t="n">
        <v>1.9</v>
      </c>
      <c r="G27" s="17" t="n">
        <v>10.6</v>
      </c>
      <c r="H27" s="17" t="n">
        <v>7.50079799581764</v>
      </c>
      <c r="I27" s="9" t="s">
        <v>454</v>
      </c>
      <c r="J27" s="5" t="n">
        <f aca="false">IF(I27="SUSPENSION",0,IF(I27="TERMINAL",1,2))</f>
        <v>2</v>
      </c>
      <c r="K27" s="5" t="n">
        <f aca="false">1</f>
        <v>1</v>
      </c>
      <c r="L27" s="5" t="n">
        <f aca="false">1</f>
        <v>1</v>
      </c>
      <c r="M27" s="18" t="n">
        <f aca="false">O27*Parametros!$E$6</f>
        <v>0</v>
      </c>
      <c r="N27" s="0" t="str">
        <f aca="false">IF(I27="SUSPENSION","CAC-S",IF(I27="ANGULO","CAC-A",IF(I27="TERMINAL","CAC-T",IF(OR(I27="ANCLAJE",I27="ANCLAJE_PROPUESTO"),"CAC-R","SIN-RECETA"))))</f>
        <v>CAC-A</v>
      </c>
      <c r="O27" s="0" t="n">
        <f aca="false">IF(OR(I27="ANCLAJE",I27="ANCLAJE_PROPUESTO",I27="TERMINAL"),Parametros!$E$5,0)</f>
        <v>0</v>
      </c>
      <c r="P27" s="0" t="n">
        <f aca="false">G27/SIN(RADIANS(Criterios_M01!$C$2))+Criterios_M01!$C$3</f>
        <v>17.9906637611548</v>
      </c>
      <c r="Q27" s="0" t="n">
        <f aca="false">G27+Criterios_M01!$C$4</f>
        <v>13.6</v>
      </c>
      <c r="R27" s="0" t="n">
        <f aca="false">ROUNDUP(G27/Criterios_M01!$C$5,0)+1</f>
        <v>12</v>
      </c>
      <c r="S27" s="0" t="n">
        <f aca="false">(SUMIF(Vanos!$B$7:$B$116,A27,Vanos!$N$7:$N$116)+SUMIF(Vanos!$C$7:$C$116,A27,Vanos!$N$7:$N$116))/2</f>
        <v>133.185927346235</v>
      </c>
    </row>
    <row r="28" customFormat="false" ht="21" hidden="false" customHeight="true" outlineLevel="0" collapsed="false">
      <c r="A28" s="1" t="s">
        <v>209</v>
      </c>
      <c r="B28" s="17" t="n">
        <v>425352.295681128</v>
      </c>
      <c r="C28" s="17" t="n">
        <v>8435622.61964462</v>
      </c>
      <c r="D28" s="17" t="n">
        <v>3362.45789447346</v>
      </c>
      <c r="E28" s="17" t="n">
        <v>13</v>
      </c>
      <c r="F28" s="17" t="n">
        <v>1.9</v>
      </c>
      <c r="G28" s="17" t="n">
        <v>10.6</v>
      </c>
      <c r="H28" s="17" t="n">
        <v>0</v>
      </c>
      <c r="I28" s="9" t="s">
        <v>452</v>
      </c>
      <c r="J28" s="5" t="n">
        <f aca="false">IF(I28="SUSPENSION",0,IF(I28="TERMINAL",1,2))</f>
        <v>0</v>
      </c>
      <c r="K28" s="5" t="n">
        <f aca="false">1</f>
        <v>1</v>
      </c>
      <c r="L28" s="5" t="n">
        <f aca="false">1</f>
        <v>1</v>
      </c>
      <c r="M28" s="18" t="n">
        <f aca="false">O28*Parametros!$E$6</f>
        <v>0</v>
      </c>
      <c r="N28" s="0" t="str">
        <f aca="false">IF(I28="SUSPENSION","CAC-S",IF(I28="ANGULO","CAC-A",IF(I28="TERMINAL","CAC-T",IF(OR(I28="ANCLAJE",I28="ANCLAJE_PROPUESTO"),"CAC-R","SIN-RECETA"))))</f>
        <v>CAC-S</v>
      </c>
      <c r="O28" s="0" t="n">
        <f aca="false">IF(OR(I28="ANCLAJE",I28="ANCLAJE_PROPUESTO",I28="TERMINAL"),Parametros!$E$5,0)</f>
        <v>0</v>
      </c>
      <c r="P28" s="0" t="n">
        <f aca="false">G28/SIN(RADIANS(Criterios_M01!$C$2))+Criterios_M01!$C$3</f>
        <v>17.9906637611548</v>
      </c>
      <c r="Q28" s="0" t="n">
        <f aca="false">G28+Criterios_M01!$C$4</f>
        <v>13.6</v>
      </c>
      <c r="R28" s="0" t="n">
        <f aca="false">ROUNDUP(G28/Criterios_M01!$C$5,0)+1</f>
        <v>12</v>
      </c>
      <c r="S28" s="0" t="n">
        <f aca="false">(SUMIF(Vanos!$B$7:$B$116,A28,Vanos!$N$7:$N$116)+SUMIF(Vanos!$C$7:$C$116,A28,Vanos!$N$7:$N$116))/2</f>
        <v>186.502519352569</v>
      </c>
    </row>
    <row r="29" customFormat="false" ht="21" hidden="false" customHeight="true" outlineLevel="0" collapsed="false">
      <c r="A29" s="1" t="s">
        <v>210</v>
      </c>
      <c r="B29" s="17" t="n">
        <v>425350.962347794</v>
      </c>
      <c r="C29" s="17" t="n">
        <v>8435561.28631129</v>
      </c>
      <c r="D29" s="17" t="n">
        <v>3369.67398302047</v>
      </c>
      <c r="E29" s="17" t="n">
        <v>15</v>
      </c>
      <c r="F29" s="17" t="n">
        <v>2.1</v>
      </c>
      <c r="G29" s="17" t="n">
        <v>12.4</v>
      </c>
      <c r="H29" s="17" t="n">
        <v>0</v>
      </c>
      <c r="I29" s="9" t="s">
        <v>452</v>
      </c>
      <c r="J29" s="5" t="n">
        <f aca="false">IF(I29="SUSPENSION",0,IF(I29="TERMINAL",1,2))</f>
        <v>0</v>
      </c>
      <c r="K29" s="5" t="n">
        <f aca="false">1</f>
        <v>1</v>
      </c>
      <c r="L29" s="5" t="n">
        <f aca="false">1</f>
        <v>1</v>
      </c>
      <c r="M29" s="18" t="n">
        <f aca="false">O29*Parametros!$E$6</f>
        <v>0</v>
      </c>
      <c r="N29" s="0" t="str">
        <f aca="false">IF(I29="SUSPENSION","CAC-S",IF(I29="ANGULO","CAC-A",IF(I29="TERMINAL","CAC-T",IF(OR(I29="ANCLAJE",I29="ANCLAJE_PROPUESTO"),"CAC-R","SIN-RECETA"))))</f>
        <v>CAC-S</v>
      </c>
      <c r="O29" s="0" t="n">
        <f aca="false">IF(OR(I29="ANCLAJE",I29="ANCLAJE_PROPUESTO",I29="TERMINAL"),Parametros!$E$5,0)</f>
        <v>0</v>
      </c>
      <c r="P29" s="0" t="n">
        <f aca="false">G29/SIN(RADIANS(Criterios_M01!$C$2))+Criterios_M01!$C$3</f>
        <v>20.5362481734264</v>
      </c>
      <c r="Q29" s="0" t="n">
        <f aca="false">G29+Criterios_M01!$C$4</f>
        <v>15.4</v>
      </c>
      <c r="R29" s="0" t="n">
        <f aca="false">ROUNDUP(G29/Criterios_M01!$C$5,0)+1</f>
        <v>14</v>
      </c>
      <c r="S29" s="0" t="n">
        <f aca="false">(SUMIF(Vanos!$B$7:$B$116,A29,Vanos!$N$7:$N$116)+SUMIF(Vanos!$C$7:$C$116,A29,Vanos!$N$7:$N$116))/2</f>
        <v>186.421029241174</v>
      </c>
    </row>
    <row r="30" customFormat="false" ht="21" hidden="false" customHeight="true" outlineLevel="0" collapsed="false">
      <c r="A30" s="1" t="s">
        <v>211</v>
      </c>
      <c r="B30" s="17" t="n">
        <v>425349.629014461</v>
      </c>
      <c r="C30" s="17" t="n">
        <v>8435499.95297796</v>
      </c>
      <c r="D30" s="17" t="n">
        <v>3378.53354719647</v>
      </c>
      <c r="E30" s="17" t="n">
        <v>17</v>
      </c>
      <c r="F30" s="17" t="n">
        <v>2.1</v>
      </c>
      <c r="G30" s="17" t="n">
        <v>14.2</v>
      </c>
      <c r="H30" s="17" t="n">
        <v>4.38172263507031</v>
      </c>
      <c r="I30" s="9" t="s">
        <v>452</v>
      </c>
      <c r="J30" s="5" t="n">
        <f aca="false">IF(I30="SUSPENSION",0,IF(I30="TERMINAL",1,2))</f>
        <v>0</v>
      </c>
      <c r="K30" s="5" t="n">
        <f aca="false">1</f>
        <v>1</v>
      </c>
      <c r="L30" s="5" t="n">
        <f aca="false">1</f>
        <v>1</v>
      </c>
      <c r="M30" s="18" t="n">
        <f aca="false">O30*Parametros!$E$6</f>
        <v>0</v>
      </c>
      <c r="N30" s="0" t="str">
        <f aca="false">IF(I30="SUSPENSION","CAC-S",IF(I30="ANGULO","CAC-A",IF(I30="TERMINAL","CAC-T",IF(OR(I30="ANCLAJE",I30="ANCLAJE_PROPUESTO"),"CAC-R","SIN-RECETA"))))</f>
        <v>CAC-S</v>
      </c>
      <c r="O30" s="0" t="n">
        <f aca="false">IF(OR(I30="ANCLAJE",I30="ANCLAJE_PROPUESTO",I30="TERMINAL"),Parametros!$E$5,0)</f>
        <v>0</v>
      </c>
      <c r="P30" s="0" t="n">
        <f aca="false">G30/SIN(RADIANS(Criterios_M01!$C$2))+Criterios_M01!$C$3</f>
        <v>23.081832585698</v>
      </c>
      <c r="Q30" s="0" t="n">
        <f aca="false">G30+Criterios_M01!$C$4</f>
        <v>17.2</v>
      </c>
      <c r="R30" s="0" t="n">
        <f aca="false">ROUNDUP(G30/Criterios_M01!$C$5,0)+1</f>
        <v>16</v>
      </c>
      <c r="S30" s="0" t="n">
        <f aca="false">(SUMIF(Vanos!$B$7:$B$116,A30,Vanos!$N$7:$N$116)+SUMIF(Vanos!$C$7:$C$116,A30,Vanos!$N$7:$N$116))/2</f>
        <v>203.124695250031</v>
      </c>
    </row>
    <row r="31" customFormat="false" ht="21" hidden="false" customHeight="true" outlineLevel="0" collapsed="false">
      <c r="A31" s="1" t="s">
        <v>212</v>
      </c>
      <c r="B31" s="17" t="n">
        <v>425353.629014461</v>
      </c>
      <c r="C31" s="17" t="n">
        <v>8435426.95297796</v>
      </c>
      <c r="D31" s="17" t="n">
        <v>3376.4162788713</v>
      </c>
      <c r="E31" s="17" t="n">
        <v>17</v>
      </c>
      <c r="F31" s="17" t="n">
        <v>2.1</v>
      </c>
      <c r="G31" s="17" t="n">
        <v>14.2</v>
      </c>
      <c r="H31" s="17" t="n">
        <v>1.20741826972573E-006</v>
      </c>
      <c r="I31" s="9" t="s">
        <v>452</v>
      </c>
      <c r="J31" s="5" t="n">
        <f aca="false">IF(I31="SUSPENSION",0,IF(I31="TERMINAL",1,2))</f>
        <v>0</v>
      </c>
      <c r="K31" s="5" t="n">
        <f aca="false">1</f>
        <v>1</v>
      </c>
      <c r="L31" s="5" t="n">
        <f aca="false">1</f>
        <v>1</v>
      </c>
      <c r="M31" s="18" t="n">
        <f aca="false">O31*Parametros!$E$6</f>
        <v>0</v>
      </c>
      <c r="N31" s="0" t="str">
        <f aca="false">IF(I31="SUSPENSION","CAC-S",IF(I31="ANGULO","CAC-A",IF(I31="TERMINAL","CAC-T",IF(OR(I31="ANCLAJE",I31="ANCLAJE_PROPUESTO"),"CAC-R","SIN-RECETA"))))</f>
        <v>CAC-S</v>
      </c>
      <c r="O31" s="0" t="n">
        <f aca="false">IF(OR(I31="ANCLAJE",I31="ANCLAJE_PROPUESTO",I31="TERMINAL"),Parametros!$E$5,0)</f>
        <v>0</v>
      </c>
      <c r="P31" s="0" t="n">
        <f aca="false">G31/SIN(RADIANS(Criterios_M01!$C$2))+Criterios_M01!$C$3</f>
        <v>23.081832585698</v>
      </c>
      <c r="Q31" s="0" t="n">
        <f aca="false">G31+Criterios_M01!$C$4</f>
        <v>17.2</v>
      </c>
      <c r="R31" s="0" t="n">
        <f aca="false">ROUNDUP(G31/Criterios_M01!$C$5,0)+1</f>
        <v>16</v>
      </c>
      <c r="S31" s="0" t="n">
        <f aca="false">(SUMIF(Vanos!$B$7:$B$116,A31,Vanos!$N$7:$N$116)+SUMIF(Vanos!$C$7:$C$116,A31,Vanos!$N$7:$N$116))/2</f>
        <v>219.414923201065</v>
      </c>
    </row>
    <row r="32" customFormat="false" ht="21" hidden="false" customHeight="true" outlineLevel="0" collapsed="false">
      <c r="A32" s="1" t="s">
        <v>213</v>
      </c>
      <c r="B32" s="17" t="n">
        <v>425357.629014461</v>
      </c>
      <c r="C32" s="17" t="n">
        <v>8435353.95297796</v>
      </c>
      <c r="D32" s="17" t="n">
        <v>3379.70786574612</v>
      </c>
      <c r="E32" s="17" t="n">
        <v>15</v>
      </c>
      <c r="F32" s="17" t="n">
        <v>2.1</v>
      </c>
      <c r="G32" s="17" t="n">
        <v>12.4</v>
      </c>
      <c r="H32" s="17" t="n">
        <v>1.20741826972573E-006</v>
      </c>
      <c r="I32" s="9" t="s">
        <v>455</v>
      </c>
      <c r="J32" s="5" t="n">
        <f aca="false">IF(I32="SUSPENSION",0,IF(I32="TERMINAL",1,2))</f>
        <v>2</v>
      </c>
      <c r="K32" s="5" t="n">
        <f aca="false">1</f>
        <v>1</v>
      </c>
      <c r="L32" s="5" t="n">
        <f aca="false">1</f>
        <v>1</v>
      </c>
      <c r="M32" s="18" t="n">
        <f aca="false">O32*Parametros!$E$6</f>
        <v>6</v>
      </c>
      <c r="N32" s="0" t="str">
        <f aca="false">IF(I32="SUSPENSION","CAC-S",IF(I32="ANGULO","CAC-A",IF(I32="TERMINAL","CAC-T",IF(OR(I32="ANCLAJE",I32="ANCLAJE_PROPUESTO"),"CAC-R","SIN-RECETA"))))</f>
        <v>CAC-R</v>
      </c>
      <c r="O32" s="0" t="n">
        <f aca="false">IF(OR(I32="ANCLAJE",I32="ANCLAJE_PROPUESTO",I32="TERMINAL"),Parametros!$E$5,0)</f>
        <v>3</v>
      </c>
      <c r="P32" s="0" t="n">
        <f aca="false">G32/SIN(RADIANS(Criterios_M01!$C$2))+Criterios_M01!$C$3</f>
        <v>20.5362481734264</v>
      </c>
      <c r="Q32" s="0" t="n">
        <f aca="false">G32+Criterios_M01!$C$4</f>
        <v>15.4</v>
      </c>
      <c r="R32" s="0" t="n">
        <f aca="false">ROUNDUP(G32/Criterios_M01!$C$5,0)+1</f>
        <v>14</v>
      </c>
      <c r="S32" s="0" t="n">
        <f aca="false">(SUMIF(Vanos!$B$7:$B$116,A32,Vanos!$N$7:$N$116)+SUMIF(Vanos!$C$7:$C$116,A32,Vanos!$N$7:$N$116))/2</f>
        <v>219.847054832111</v>
      </c>
    </row>
    <row r="33" customFormat="false" ht="21" hidden="false" customHeight="true" outlineLevel="0" collapsed="false">
      <c r="A33" s="1" t="s">
        <v>214</v>
      </c>
      <c r="B33" s="17" t="n">
        <v>425361.629014461</v>
      </c>
      <c r="C33" s="17" t="n">
        <v>8435280.95297796</v>
      </c>
      <c r="D33" s="17" t="n">
        <v>3386.54239341</v>
      </c>
      <c r="E33" s="17" t="n">
        <v>15</v>
      </c>
      <c r="F33" s="17" t="n">
        <v>2.1</v>
      </c>
      <c r="G33" s="17" t="n">
        <v>12.4</v>
      </c>
      <c r="H33" s="17" t="n">
        <v>1.20741826972573E-006</v>
      </c>
      <c r="I33" s="9" t="s">
        <v>452</v>
      </c>
      <c r="J33" s="5" t="n">
        <f aca="false">IF(I33="SUSPENSION",0,IF(I33="TERMINAL",1,2))</f>
        <v>0</v>
      </c>
      <c r="K33" s="5" t="n">
        <f aca="false">1</f>
        <v>1</v>
      </c>
      <c r="L33" s="5" t="n">
        <f aca="false">1</f>
        <v>1</v>
      </c>
      <c r="M33" s="18" t="n">
        <f aca="false">O33*Parametros!$E$6</f>
        <v>0</v>
      </c>
      <c r="N33" s="0" t="str">
        <f aca="false">IF(I33="SUSPENSION","CAC-S",IF(I33="ANGULO","CAC-A",IF(I33="TERMINAL","CAC-T",IF(OR(I33="ANCLAJE",I33="ANCLAJE_PROPUESTO"),"CAC-R","SIN-RECETA"))))</f>
        <v>CAC-S</v>
      </c>
      <c r="O33" s="0" t="n">
        <f aca="false">IF(OR(I33="ANCLAJE",I33="ANCLAJE_PROPUESTO",I33="TERMINAL"),Parametros!$E$5,0)</f>
        <v>0</v>
      </c>
      <c r="P33" s="0" t="n">
        <f aca="false">G33/SIN(RADIANS(Criterios_M01!$C$2))+Criterios_M01!$C$3</f>
        <v>20.5362481734264</v>
      </c>
      <c r="Q33" s="0" t="n">
        <f aca="false">G33+Criterios_M01!$C$4</f>
        <v>15.4</v>
      </c>
      <c r="R33" s="0" t="n">
        <f aca="false">ROUNDUP(G33/Criterios_M01!$C$5,0)+1</f>
        <v>14</v>
      </c>
      <c r="S33" s="0" t="n">
        <f aca="false">(SUMIF(Vanos!$B$7:$B$116,A33,Vanos!$N$7:$N$116)+SUMIF(Vanos!$C$7:$C$116,A33,Vanos!$N$7:$N$116))/2</f>
        <v>220.508989756291</v>
      </c>
    </row>
    <row r="34" customFormat="false" ht="21" hidden="false" customHeight="true" outlineLevel="0" collapsed="false">
      <c r="A34" s="1" t="s">
        <v>215</v>
      </c>
      <c r="B34" s="17" t="n">
        <v>425365.629014461</v>
      </c>
      <c r="C34" s="17" t="n">
        <v>8435207.95297796</v>
      </c>
      <c r="D34" s="17" t="n">
        <v>3394.72549529827</v>
      </c>
      <c r="E34" s="17" t="n">
        <v>15</v>
      </c>
      <c r="F34" s="17" t="n">
        <v>2.1</v>
      </c>
      <c r="G34" s="17" t="n">
        <v>12.4</v>
      </c>
      <c r="H34" s="17" t="n">
        <v>15.1424662515796</v>
      </c>
      <c r="I34" s="9" t="s">
        <v>454</v>
      </c>
      <c r="J34" s="5" t="n">
        <f aca="false">IF(I34="SUSPENSION",0,IF(I34="TERMINAL",1,2))</f>
        <v>2</v>
      </c>
      <c r="K34" s="5" t="n">
        <f aca="false">1</f>
        <v>1</v>
      </c>
      <c r="L34" s="5" t="n">
        <f aca="false">1</f>
        <v>1</v>
      </c>
      <c r="M34" s="18" t="n">
        <f aca="false">O34*Parametros!$E$6</f>
        <v>0</v>
      </c>
      <c r="N34" s="0" t="str">
        <f aca="false">IF(I34="SUSPENSION","CAC-S",IF(I34="ANGULO","CAC-A",IF(I34="TERMINAL","CAC-T",IF(OR(I34="ANCLAJE",I34="ANCLAJE_PROPUESTO"),"CAC-R","SIN-RECETA"))))</f>
        <v>CAC-A</v>
      </c>
      <c r="O34" s="0" t="n">
        <f aca="false">IF(OR(I34="ANCLAJE",I34="ANCLAJE_PROPUESTO",I34="TERMINAL"),Parametros!$E$5,0)</f>
        <v>0</v>
      </c>
      <c r="P34" s="0" t="n">
        <f aca="false">G34/SIN(RADIANS(Criterios_M01!$C$2))+Criterios_M01!$C$3</f>
        <v>20.5362481734264</v>
      </c>
      <c r="Q34" s="0" t="n">
        <f aca="false">G34+Criterios_M01!$C$4</f>
        <v>15.4</v>
      </c>
      <c r="R34" s="0" t="n">
        <f aca="false">ROUNDUP(G34/Criterios_M01!$C$5,0)+1</f>
        <v>14</v>
      </c>
      <c r="S34" s="0" t="n">
        <f aca="false">(SUMIF(Vanos!$B$7:$B$116,A34,Vanos!$N$7:$N$116)+SUMIF(Vanos!$C$7:$C$116,A34,Vanos!$N$7:$N$116))/2</f>
        <v>199.239732790084</v>
      </c>
    </row>
    <row r="35" customFormat="false" ht="21" hidden="false" customHeight="true" outlineLevel="0" collapsed="false">
      <c r="A35" s="1" t="s">
        <v>216</v>
      </c>
      <c r="B35" s="17" t="n">
        <v>425353.353452577</v>
      </c>
      <c r="C35" s="17" t="n">
        <v>8435150.23125747</v>
      </c>
      <c r="D35" s="17" t="n">
        <v>3401.84131324488</v>
      </c>
      <c r="E35" s="17" t="n">
        <v>13</v>
      </c>
      <c r="F35" s="17" t="n">
        <v>1.9</v>
      </c>
      <c r="G35" s="17" t="n">
        <v>10.6</v>
      </c>
      <c r="H35" s="17" t="n">
        <v>3.87600552909104</v>
      </c>
      <c r="I35" s="9" t="s">
        <v>455</v>
      </c>
      <c r="J35" s="5" t="n">
        <f aca="false">IF(I35="SUSPENSION",0,IF(I35="TERMINAL",1,2))</f>
        <v>2</v>
      </c>
      <c r="K35" s="5" t="n">
        <f aca="false">1</f>
        <v>1</v>
      </c>
      <c r="L35" s="5" t="n">
        <f aca="false">1</f>
        <v>1</v>
      </c>
      <c r="M35" s="18" t="n">
        <f aca="false">O35*Parametros!$E$6</f>
        <v>6</v>
      </c>
      <c r="N35" s="0" t="str">
        <f aca="false">IF(I35="SUSPENSION","CAC-S",IF(I35="ANGULO","CAC-A",IF(I35="TERMINAL","CAC-T",IF(OR(I35="ANCLAJE",I35="ANCLAJE_PROPUESTO"),"CAC-R","SIN-RECETA"))))</f>
        <v>CAC-R</v>
      </c>
      <c r="O35" s="0" t="n">
        <f aca="false">IF(OR(I35="ANCLAJE",I35="ANCLAJE_PROPUESTO",I35="TERMINAL"),Parametros!$E$5,0)</f>
        <v>3</v>
      </c>
      <c r="P35" s="0" t="n">
        <f aca="false">G35/SIN(RADIANS(Criterios_M01!$C$2))+Criterios_M01!$C$3</f>
        <v>17.9906637611548</v>
      </c>
      <c r="Q35" s="0" t="n">
        <f aca="false">G35+Criterios_M01!$C$4</f>
        <v>13.6</v>
      </c>
      <c r="R35" s="0" t="n">
        <f aca="false">ROUNDUP(G35/Criterios_M01!$C$5,0)+1</f>
        <v>12</v>
      </c>
      <c r="S35" s="0" t="n">
        <f aca="false">(SUMIF(Vanos!$B$7:$B$116,A35,Vanos!$N$7:$N$116)+SUMIF(Vanos!$C$7:$C$116,A35,Vanos!$N$7:$N$116))/2</f>
        <v>110.681984519259</v>
      </c>
    </row>
    <row r="36" customFormat="false" ht="21" hidden="false" customHeight="true" outlineLevel="0" collapsed="false">
      <c r="A36" s="1" t="s">
        <v>217</v>
      </c>
      <c r="B36" s="17" t="n">
        <v>425351.353452577</v>
      </c>
      <c r="C36" s="17" t="n">
        <v>8435136.23125747</v>
      </c>
      <c r="D36" s="17" t="n">
        <v>3403.39063409273</v>
      </c>
      <c r="E36" s="17" t="n">
        <v>15</v>
      </c>
      <c r="F36" s="17" t="n">
        <v>2.1</v>
      </c>
      <c r="G36" s="17" t="n">
        <v>12.4</v>
      </c>
      <c r="H36" s="17" t="n">
        <v>6.03094239473359</v>
      </c>
      <c r="I36" s="9" t="s">
        <v>454</v>
      </c>
      <c r="J36" s="5" t="n">
        <f aca="false">IF(I36="SUSPENSION",0,IF(I36="TERMINAL",1,2))</f>
        <v>2</v>
      </c>
      <c r="K36" s="5" t="n">
        <f aca="false">1</f>
        <v>1</v>
      </c>
      <c r="L36" s="5" t="n">
        <f aca="false">1</f>
        <v>1</v>
      </c>
      <c r="M36" s="18" t="n">
        <f aca="false">O36*Parametros!$E$6</f>
        <v>0</v>
      </c>
      <c r="N36" s="0" t="str">
        <f aca="false">IF(I36="SUSPENSION","CAC-S",IF(I36="ANGULO","CAC-A",IF(I36="TERMINAL","CAC-T",IF(OR(I36="ANCLAJE",I36="ANCLAJE_PROPUESTO"),"CAC-R","SIN-RECETA"))))</f>
        <v>CAC-A</v>
      </c>
      <c r="O36" s="0" t="n">
        <f aca="false">IF(OR(I36="ANCLAJE",I36="ANCLAJE_PROPUESTO",I36="TERMINAL"),Parametros!$E$5,0)</f>
        <v>0</v>
      </c>
      <c r="P36" s="0" t="n">
        <f aca="false">G36/SIN(RADIANS(Criterios_M01!$C$2))+Criterios_M01!$C$3</f>
        <v>20.5362481734264</v>
      </c>
      <c r="Q36" s="0" t="n">
        <f aca="false">G36+Criterios_M01!$C$4</f>
        <v>15.4</v>
      </c>
      <c r="R36" s="0" t="n">
        <f aca="false">ROUNDUP(G36/Criterios_M01!$C$5,0)+1</f>
        <v>14</v>
      </c>
      <c r="S36" s="0" t="n">
        <f aca="false">(SUMIF(Vanos!$B$7:$B$116,A36,Vanos!$N$7:$N$116)+SUMIF(Vanos!$C$7:$C$116,A36,Vanos!$N$7:$N$116))/2</f>
        <v>145.268325943029</v>
      </c>
    </row>
    <row r="37" customFormat="false" ht="21" hidden="false" customHeight="true" outlineLevel="0" collapsed="false">
      <c r="A37" s="1" t="s">
        <v>218</v>
      </c>
      <c r="B37" s="17" t="n">
        <v>425348.353452577</v>
      </c>
      <c r="C37" s="17" t="n">
        <v>8435054.38402928</v>
      </c>
      <c r="D37" s="17" t="n">
        <v>3409.71299367583</v>
      </c>
      <c r="E37" s="17" t="n">
        <v>17</v>
      </c>
      <c r="F37" s="17" t="n">
        <v>2.1</v>
      </c>
      <c r="G37" s="17" t="n">
        <v>14.2</v>
      </c>
      <c r="H37" s="17" t="n">
        <v>0</v>
      </c>
      <c r="I37" s="9" t="s">
        <v>452</v>
      </c>
      <c r="J37" s="5" t="n">
        <f aca="false">IF(I37="SUSPENSION",0,IF(I37="TERMINAL",1,2))</f>
        <v>0</v>
      </c>
      <c r="K37" s="5" t="n">
        <f aca="false">1</f>
        <v>1</v>
      </c>
      <c r="L37" s="5" t="n">
        <f aca="false">1</f>
        <v>1</v>
      </c>
      <c r="M37" s="18" t="n">
        <f aca="false">O37*Parametros!$E$6</f>
        <v>0</v>
      </c>
      <c r="N37" s="0" t="str">
        <f aca="false">IF(I37="SUSPENSION","CAC-S",IF(I37="ANGULO","CAC-A",IF(I37="TERMINAL","CAC-T",IF(OR(I37="ANCLAJE",I37="ANCLAJE_PROPUESTO"),"CAC-R","SIN-RECETA"))))</f>
        <v>CAC-S</v>
      </c>
      <c r="O37" s="0" t="n">
        <f aca="false">IF(OR(I37="ANCLAJE",I37="ANCLAJE_PROPUESTO",I37="TERMINAL"),Parametros!$E$5,0)</f>
        <v>0</v>
      </c>
      <c r="P37" s="0" t="n">
        <f aca="false">G37/SIN(RADIANS(Criterios_M01!$C$2))+Criterios_M01!$C$3</f>
        <v>23.081832585698</v>
      </c>
      <c r="Q37" s="0" t="n">
        <f aca="false">G37+Criterios_M01!$C$4</f>
        <v>17.2</v>
      </c>
      <c r="R37" s="0" t="n">
        <f aca="false">ROUNDUP(G37/Criterios_M01!$C$5,0)+1</f>
        <v>16</v>
      </c>
      <c r="S37" s="0" t="n">
        <f aca="false">(SUMIF(Vanos!$B$7:$B$116,A37,Vanos!$N$7:$N$116)+SUMIF(Vanos!$C$7:$C$116,A37,Vanos!$N$7:$N$116))/2</f>
        <v>246.506785874967</v>
      </c>
    </row>
    <row r="38" customFormat="false" ht="21" hidden="false" customHeight="true" outlineLevel="0" collapsed="false">
      <c r="A38" s="1" t="s">
        <v>219</v>
      </c>
      <c r="B38" s="17" t="n">
        <v>425345.353452577</v>
      </c>
      <c r="C38" s="17" t="n">
        <v>8434972.53680109</v>
      </c>
      <c r="D38" s="17" t="n">
        <v>3415.85957344945</v>
      </c>
      <c r="E38" s="17" t="n">
        <v>15</v>
      </c>
      <c r="F38" s="17" t="n">
        <v>2.1</v>
      </c>
      <c r="G38" s="17" t="n">
        <v>12.4</v>
      </c>
      <c r="H38" s="17" t="n">
        <v>5.46193084619526</v>
      </c>
      <c r="I38" s="9" t="s">
        <v>454</v>
      </c>
      <c r="J38" s="5" t="n">
        <f aca="false">IF(I38="SUSPENSION",0,IF(I38="TERMINAL",1,2))</f>
        <v>2</v>
      </c>
      <c r="K38" s="5" t="n">
        <f aca="false">1</f>
        <v>1</v>
      </c>
      <c r="L38" s="5" t="n">
        <f aca="false">1</f>
        <v>1</v>
      </c>
      <c r="M38" s="18" t="n">
        <f aca="false">O38*Parametros!$E$6</f>
        <v>0</v>
      </c>
      <c r="N38" s="0" t="str">
        <f aca="false">IF(I38="SUSPENSION","CAC-S",IF(I38="ANGULO","CAC-A",IF(I38="TERMINAL","CAC-T",IF(OR(I38="ANCLAJE",I38="ANCLAJE_PROPUESTO"),"CAC-R","SIN-RECETA"))))</f>
        <v>CAC-A</v>
      </c>
      <c r="O38" s="0" t="n">
        <f aca="false">IF(OR(I38="ANCLAJE",I38="ANCLAJE_PROPUESTO",I38="TERMINAL"),Parametros!$E$5,0)</f>
        <v>0</v>
      </c>
      <c r="P38" s="0" t="n">
        <f aca="false">G38/SIN(RADIANS(Criterios_M01!$C$2))+Criterios_M01!$C$3</f>
        <v>20.5362481734264</v>
      </c>
      <c r="Q38" s="0" t="n">
        <f aca="false">G38+Criterios_M01!$C$4</f>
        <v>15.4</v>
      </c>
      <c r="R38" s="0" t="n">
        <f aca="false">ROUNDUP(G38/Criterios_M01!$C$5,0)+1</f>
        <v>14</v>
      </c>
      <c r="S38" s="0" t="n">
        <f aca="false">(SUMIF(Vanos!$B$7:$B$116,A38,Vanos!$N$7:$N$116)+SUMIF(Vanos!$C$7:$C$116,A38,Vanos!$N$7:$N$116))/2</f>
        <v>233.459792344273</v>
      </c>
    </row>
    <row r="39" customFormat="false" ht="21" hidden="false" customHeight="true" outlineLevel="0" collapsed="false">
      <c r="A39" s="1" t="s">
        <v>220</v>
      </c>
      <c r="B39" s="17" t="n">
        <v>425349.662439169</v>
      </c>
      <c r="C39" s="17" t="n">
        <v>8434899.20346776</v>
      </c>
      <c r="D39" s="17" t="n">
        <v>3420.53147468304</v>
      </c>
      <c r="E39" s="17" t="n">
        <v>15</v>
      </c>
      <c r="F39" s="17" t="n">
        <v>2.1</v>
      </c>
      <c r="G39" s="17" t="n">
        <v>12.4</v>
      </c>
      <c r="H39" s="17" t="n">
        <v>1.20741826972573E-006</v>
      </c>
      <c r="I39" s="9" t="s">
        <v>452</v>
      </c>
      <c r="J39" s="5" t="n">
        <f aca="false">IF(I39="SUSPENSION",0,IF(I39="TERMINAL",1,2))</f>
        <v>0</v>
      </c>
      <c r="K39" s="5" t="n">
        <f aca="false">1</f>
        <v>1</v>
      </c>
      <c r="L39" s="5" t="n">
        <f aca="false">1</f>
        <v>1</v>
      </c>
      <c r="M39" s="18" t="n">
        <f aca="false">O39*Parametros!$E$6</f>
        <v>0</v>
      </c>
      <c r="N39" s="0" t="str">
        <f aca="false">IF(I39="SUSPENSION","CAC-S",IF(I39="ANGULO","CAC-A",IF(I39="TERMINAL","CAC-T",IF(OR(I39="ANCLAJE",I39="ANCLAJE_PROPUESTO"),"CAC-R","SIN-RECETA"))))</f>
        <v>CAC-S</v>
      </c>
      <c r="O39" s="0" t="n">
        <f aca="false">IF(OR(I39="ANCLAJE",I39="ANCLAJE_PROPUESTO",I39="TERMINAL"),Parametros!$E$5,0)</f>
        <v>0</v>
      </c>
      <c r="P39" s="0" t="n">
        <f aca="false">G39/SIN(RADIANS(Criterios_M01!$C$2))+Criterios_M01!$C$3</f>
        <v>20.5362481734264</v>
      </c>
      <c r="Q39" s="0" t="n">
        <f aca="false">G39+Criterios_M01!$C$4</f>
        <v>15.4</v>
      </c>
      <c r="R39" s="0" t="n">
        <f aca="false">ROUNDUP(G39/Criterios_M01!$C$5,0)+1</f>
        <v>14</v>
      </c>
      <c r="S39" s="0" t="n">
        <f aca="false">(SUMIF(Vanos!$B$7:$B$116,A39,Vanos!$N$7:$N$116)+SUMIF(Vanos!$C$7:$C$116,A39,Vanos!$N$7:$N$116))/2</f>
        <v>221.220154142692</v>
      </c>
    </row>
    <row r="40" customFormat="false" ht="21" hidden="false" customHeight="true" outlineLevel="0" collapsed="false">
      <c r="A40" s="1" t="s">
        <v>221</v>
      </c>
      <c r="B40" s="17" t="n">
        <v>425353.971425761</v>
      </c>
      <c r="C40" s="17" t="n">
        <v>8434825.87013442</v>
      </c>
      <c r="D40" s="17" t="n">
        <v>3428.20971536143</v>
      </c>
      <c r="E40" s="17" t="n">
        <v>15</v>
      </c>
      <c r="F40" s="17" t="n">
        <v>2.1</v>
      </c>
      <c r="G40" s="17" t="n">
        <v>12.4</v>
      </c>
      <c r="H40" s="17" t="n">
        <v>1.20741826972573E-006</v>
      </c>
      <c r="I40" s="9" t="s">
        <v>452</v>
      </c>
      <c r="J40" s="5" t="n">
        <f aca="false">IF(I40="SUSPENSION",0,IF(I40="TERMINAL",1,2))</f>
        <v>0</v>
      </c>
      <c r="K40" s="5" t="n">
        <f aca="false">1</f>
        <v>1</v>
      </c>
      <c r="L40" s="5" t="n">
        <f aca="false">1</f>
        <v>1</v>
      </c>
      <c r="M40" s="18" t="n">
        <f aca="false">O40*Parametros!$E$6</f>
        <v>0</v>
      </c>
      <c r="N40" s="0" t="str">
        <f aca="false">IF(I40="SUSPENSION","CAC-S",IF(I40="ANGULO","CAC-A",IF(I40="TERMINAL","CAC-T",IF(OR(I40="ANCLAJE",I40="ANCLAJE_PROPUESTO"),"CAC-R","SIN-RECETA"))))</f>
        <v>CAC-S</v>
      </c>
      <c r="O40" s="0" t="n">
        <f aca="false">IF(OR(I40="ANCLAJE",I40="ANCLAJE_PROPUESTO",I40="TERMINAL"),Parametros!$E$5,0)</f>
        <v>0</v>
      </c>
      <c r="P40" s="0" t="n">
        <f aca="false">G40/SIN(RADIANS(Criterios_M01!$C$2))+Criterios_M01!$C$3</f>
        <v>20.5362481734264</v>
      </c>
      <c r="Q40" s="0" t="n">
        <f aca="false">G40+Criterios_M01!$C$4</f>
        <v>15.4</v>
      </c>
      <c r="R40" s="0" t="n">
        <f aca="false">ROUNDUP(G40/Criterios_M01!$C$5,0)+1</f>
        <v>14</v>
      </c>
      <c r="S40" s="0" t="n">
        <f aca="false">(SUMIF(Vanos!$B$7:$B$116,A40,Vanos!$N$7:$N$116)+SUMIF(Vanos!$C$7:$C$116,A40,Vanos!$N$7:$N$116))/2</f>
        <v>220.997835420697</v>
      </c>
    </row>
    <row r="41" customFormat="false" ht="21" hidden="false" customHeight="true" outlineLevel="0" collapsed="false">
      <c r="A41" s="1" t="s">
        <v>222</v>
      </c>
      <c r="B41" s="17" t="n">
        <v>425358.280412353</v>
      </c>
      <c r="C41" s="17" t="n">
        <v>8434752.53680109</v>
      </c>
      <c r="D41" s="17" t="n">
        <v>3430.17569487265</v>
      </c>
      <c r="E41" s="17" t="n">
        <v>13</v>
      </c>
      <c r="F41" s="17" t="n">
        <v>1.9</v>
      </c>
      <c r="G41" s="17" t="n">
        <v>10.6</v>
      </c>
      <c r="H41" s="17" t="n">
        <v>152.534869670901</v>
      </c>
      <c r="I41" s="9" t="s">
        <v>453</v>
      </c>
      <c r="J41" s="5" t="n">
        <f aca="false">IF(I41="SUSPENSION",0,IF(I41="TERMINAL",1,2))</f>
        <v>2</v>
      </c>
      <c r="K41" s="5" t="n">
        <f aca="false">1</f>
        <v>1</v>
      </c>
      <c r="L41" s="5" t="n">
        <f aca="false">1</f>
        <v>1</v>
      </c>
      <c r="M41" s="18" t="n">
        <f aca="false">O41*Parametros!$E$6</f>
        <v>6</v>
      </c>
      <c r="N41" s="0" t="str">
        <f aca="false">IF(I41="SUSPENSION","CAC-S",IF(I41="ANGULO","CAC-A",IF(I41="TERMINAL","CAC-T",IF(OR(I41="ANCLAJE",I41="ANCLAJE_PROPUESTO"),"CAC-R","SIN-RECETA"))))</f>
        <v>CAC-R</v>
      </c>
      <c r="O41" s="0" t="n">
        <f aca="false">IF(OR(I41="ANCLAJE",I41="ANCLAJE_PROPUESTO",I41="TERMINAL"),Parametros!$E$5,0)</f>
        <v>3</v>
      </c>
      <c r="P41" s="0" t="n">
        <f aca="false">G41/SIN(RADIANS(Criterios_M01!$C$2))+Criterios_M01!$C$3</f>
        <v>17.9906637611548</v>
      </c>
      <c r="Q41" s="0" t="n">
        <f aca="false">G41+Criterios_M01!$C$4</f>
        <v>13.6</v>
      </c>
      <c r="R41" s="0" t="n">
        <f aca="false">ROUNDUP(G41/Criterios_M01!$C$5,0)+1</f>
        <v>12</v>
      </c>
      <c r="S41" s="0" t="n">
        <f aca="false">(SUMIF(Vanos!$B$7:$B$116,A41,Vanos!$N$7:$N$116)+SUMIF(Vanos!$C$7:$C$116,A41,Vanos!$N$7:$N$116))/2</f>
        <v>149.250544295934</v>
      </c>
    </row>
    <row r="42" customFormat="false" ht="21" hidden="false" customHeight="true" outlineLevel="0" collapsed="false">
      <c r="A42" s="1" t="s">
        <v>223</v>
      </c>
      <c r="B42" s="17" t="n">
        <v>425345.497366831</v>
      </c>
      <c r="C42" s="17" t="n">
        <v>8434773.95683656</v>
      </c>
      <c r="D42" s="17" t="n">
        <v>3437.62916605719</v>
      </c>
      <c r="E42" s="17" t="n">
        <v>13</v>
      </c>
      <c r="F42" s="17" t="n">
        <v>1.9</v>
      </c>
      <c r="G42" s="17" t="n">
        <v>10.6</v>
      </c>
      <c r="H42" s="17" t="n">
        <v>51.7995564269767</v>
      </c>
      <c r="I42" s="9" t="s">
        <v>453</v>
      </c>
      <c r="J42" s="5" t="n">
        <f aca="false">IF(I42="SUSPENSION",0,IF(I42="TERMINAL",1,2))</f>
        <v>2</v>
      </c>
      <c r="K42" s="5" t="n">
        <f aca="false">1</f>
        <v>1</v>
      </c>
      <c r="L42" s="5" t="n">
        <f aca="false">1</f>
        <v>1</v>
      </c>
      <c r="M42" s="18" t="n">
        <f aca="false">O42*Parametros!$E$6</f>
        <v>6</v>
      </c>
      <c r="N42" s="0" t="str">
        <f aca="false">IF(I42="SUSPENSION","CAC-S",IF(I42="ANGULO","CAC-A",IF(I42="TERMINAL","CAC-T",IF(OR(I42="ANCLAJE",I42="ANCLAJE_PROPUESTO"),"CAC-R","SIN-RECETA"))))</f>
        <v>CAC-R</v>
      </c>
      <c r="O42" s="0" t="n">
        <f aca="false">IF(OR(I42="ANCLAJE",I42="ANCLAJE_PROPUESTO",I42="TERMINAL"),Parametros!$E$5,0)</f>
        <v>3</v>
      </c>
      <c r="P42" s="0" t="n">
        <f aca="false">G42/SIN(RADIANS(Criterios_M01!$C$2))+Criterios_M01!$C$3</f>
        <v>17.9906637611548</v>
      </c>
      <c r="Q42" s="0" t="n">
        <f aca="false">G42+Criterios_M01!$C$4</f>
        <v>13.6</v>
      </c>
      <c r="R42" s="0" t="n">
        <f aca="false">ROUNDUP(G42/Criterios_M01!$C$5,0)+1</f>
        <v>12</v>
      </c>
      <c r="S42" s="0" t="n">
        <f aca="false">(SUMIF(Vanos!$B$7:$B$116,A42,Vanos!$N$7:$N$116)+SUMIF(Vanos!$C$7:$C$116,A42,Vanos!$N$7:$N$116))/2</f>
        <v>74.5117114958333</v>
      </c>
    </row>
    <row r="43" customFormat="false" ht="21" hidden="false" customHeight="true" outlineLevel="0" collapsed="false">
      <c r="A43" s="1" t="s">
        <v>224</v>
      </c>
      <c r="B43" s="17" t="n">
        <v>425325.657420272</v>
      </c>
      <c r="C43" s="17" t="n">
        <v>8434776.52392812</v>
      </c>
      <c r="D43" s="17" t="n">
        <v>3450.22419747877</v>
      </c>
      <c r="E43" s="17" t="n">
        <v>13</v>
      </c>
      <c r="F43" s="17" t="n">
        <v>1.9</v>
      </c>
      <c r="G43" s="17" t="n">
        <v>10.6</v>
      </c>
      <c r="H43" s="17" t="n">
        <v>48.7134868672086</v>
      </c>
      <c r="I43" s="9" t="s">
        <v>453</v>
      </c>
      <c r="J43" s="5" t="n">
        <f aca="false">IF(I43="SUSPENSION",0,IF(I43="TERMINAL",1,2))</f>
        <v>2</v>
      </c>
      <c r="K43" s="5" t="n">
        <f aca="false">1</f>
        <v>1</v>
      </c>
      <c r="L43" s="5" t="n">
        <f aca="false">1</f>
        <v>1</v>
      </c>
      <c r="M43" s="18" t="n">
        <f aca="false">O43*Parametros!$E$6</f>
        <v>6</v>
      </c>
      <c r="N43" s="0" t="str">
        <f aca="false">IF(I43="SUSPENSION","CAC-S",IF(I43="ANGULO","CAC-A",IF(I43="TERMINAL","CAC-T",IF(OR(I43="ANCLAJE",I43="ANCLAJE_PROPUESTO"),"CAC-R","SIN-RECETA"))))</f>
        <v>CAC-R</v>
      </c>
      <c r="O43" s="0" t="n">
        <f aca="false">IF(OR(I43="ANCLAJE",I43="ANCLAJE_PROPUESTO",I43="TERMINAL"),Parametros!$E$5,0)</f>
        <v>3</v>
      </c>
      <c r="P43" s="0" t="n">
        <f aca="false">G43/SIN(RADIANS(Criterios_M01!$C$2))+Criterios_M01!$C$3</f>
        <v>17.9906637611548</v>
      </c>
      <c r="Q43" s="0" t="n">
        <f aca="false">G43+Criterios_M01!$C$4</f>
        <v>13.6</v>
      </c>
      <c r="R43" s="0" t="n">
        <f aca="false">ROUNDUP(G43/Criterios_M01!$C$5,0)+1</f>
        <v>12</v>
      </c>
      <c r="S43" s="0" t="n">
        <f aca="false">(SUMIF(Vanos!$B$7:$B$116,A43,Vanos!$N$7:$N$116)+SUMIF(Vanos!$C$7:$C$116,A43,Vanos!$N$7:$N$116))/2</f>
        <v>90.6049944936902</v>
      </c>
    </row>
    <row r="44" customFormat="false" ht="21" hidden="false" customHeight="true" outlineLevel="0" collapsed="false">
      <c r="A44" s="1" t="s">
        <v>225</v>
      </c>
      <c r="B44" s="17" t="n">
        <v>425302.82052006</v>
      </c>
      <c r="C44" s="17" t="n">
        <v>8434756.43228778</v>
      </c>
      <c r="D44" s="17" t="n">
        <v>3470.87155273533</v>
      </c>
      <c r="E44" s="17" t="n">
        <v>13</v>
      </c>
      <c r="F44" s="17" t="n">
        <v>1.9</v>
      </c>
      <c r="G44" s="17" t="n">
        <v>10.6</v>
      </c>
      <c r="H44" s="17" t="n">
        <v>41.9394923616413</v>
      </c>
      <c r="I44" s="9" t="s">
        <v>453</v>
      </c>
      <c r="J44" s="5" t="n">
        <f aca="false">IF(I44="SUSPENSION",0,IF(I44="TERMINAL",1,2))</f>
        <v>2</v>
      </c>
      <c r="K44" s="5" t="n">
        <f aca="false">1</f>
        <v>1</v>
      </c>
      <c r="L44" s="5" t="n">
        <f aca="false">1</f>
        <v>1</v>
      </c>
      <c r="M44" s="18" t="n">
        <f aca="false">O44*Parametros!$E$6</f>
        <v>6</v>
      </c>
      <c r="N44" s="0" t="str">
        <f aca="false">IF(I44="SUSPENSION","CAC-S",IF(I44="ANGULO","CAC-A",IF(I44="TERMINAL","CAC-T",IF(OR(I44="ANCLAJE",I44="ANCLAJE_PROPUESTO"),"CAC-R","SIN-RECETA"))))</f>
        <v>CAC-R</v>
      </c>
      <c r="O44" s="0" t="n">
        <f aca="false">IF(OR(I44="ANCLAJE",I44="ANCLAJE_PROPUESTO",I44="TERMINAL"),Parametros!$E$5,0)</f>
        <v>3</v>
      </c>
      <c r="P44" s="0" t="n">
        <f aca="false">G44/SIN(RADIANS(Criterios_M01!$C$2))+Criterios_M01!$C$3</f>
        <v>17.9906637611548</v>
      </c>
      <c r="Q44" s="0" t="n">
        <f aca="false">G44+Criterios_M01!$C$4</f>
        <v>13.6</v>
      </c>
      <c r="R44" s="0" t="n">
        <f aca="false">ROUNDUP(G44/Criterios_M01!$C$5,0)+1</f>
        <v>12</v>
      </c>
      <c r="S44" s="0" t="n">
        <f aca="false">(SUMIF(Vanos!$B$7:$B$116,A44,Vanos!$N$7:$N$116)+SUMIF(Vanos!$C$7:$C$116,A44,Vanos!$N$7:$N$116))/2</f>
        <v>168.763062039794</v>
      </c>
    </row>
    <row r="45" customFormat="false" ht="21" hidden="false" customHeight="true" outlineLevel="0" collapsed="false">
      <c r="A45" s="1" t="s">
        <v>226</v>
      </c>
      <c r="B45" s="17" t="n">
        <v>425293.960004877</v>
      </c>
      <c r="C45" s="17" t="n">
        <v>8434681.22792739</v>
      </c>
      <c r="D45" s="17" t="n">
        <v>3468.74839367303</v>
      </c>
      <c r="E45" s="17" t="n">
        <v>17</v>
      </c>
      <c r="F45" s="17" t="n">
        <v>2.1</v>
      </c>
      <c r="G45" s="17" t="n">
        <v>14.2</v>
      </c>
      <c r="H45" s="17" t="n">
        <v>10.23144828424</v>
      </c>
      <c r="I45" s="9" t="s">
        <v>454</v>
      </c>
      <c r="J45" s="5" t="n">
        <f aca="false">IF(I45="SUSPENSION",0,IF(I45="TERMINAL",1,2))</f>
        <v>2</v>
      </c>
      <c r="K45" s="5" t="n">
        <f aca="false">1</f>
        <v>1</v>
      </c>
      <c r="L45" s="5" t="n">
        <f aca="false">1</f>
        <v>1</v>
      </c>
      <c r="M45" s="18" t="n">
        <f aca="false">O45*Parametros!$E$6</f>
        <v>0</v>
      </c>
      <c r="N45" s="0" t="str">
        <f aca="false">IF(I45="SUSPENSION","CAC-S",IF(I45="ANGULO","CAC-A",IF(I45="TERMINAL","CAC-T",IF(OR(I45="ANCLAJE",I45="ANCLAJE_PROPUESTO"),"CAC-R","SIN-RECETA"))))</f>
        <v>CAC-A</v>
      </c>
      <c r="O45" s="0" t="n">
        <f aca="false">IF(OR(I45="ANCLAJE",I45="ANCLAJE_PROPUESTO",I45="TERMINAL"),Parametros!$E$5,0)</f>
        <v>0</v>
      </c>
      <c r="P45" s="0" t="n">
        <f aca="false">G45/SIN(RADIANS(Criterios_M01!$C$2))+Criterios_M01!$C$3</f>
        <v>23.081832585698</v>
      </c>
      <c r="Q45" s="0" t="n">
        <f aca="false">G45+Criterios_M01!$C$4</f>
        <v>17.2</v>
      </c>
      <c r="R45" s="0" t="n">
        <f aca="false">ROUNDUP(G45/Criterios_M01!$C$5,0)+1</f>
        <v>16</v>
      </c>
      <c r="S45" s="0" t="n">
        <f aca="false">(SUMIF(Vanos!$B$7:$B$116,A45,Vanos!$N$7:$N$116)+SUMIF(Vanos!$C$7:$C$116,A45,Vanos!$N$7:$N$116))/2</f>
        <v>237.775164627959</v>
      </c>
    </row>
    <row r="46" customFormat="false" ht="21" hidden="false" customHeight="true" outlineLevel="0" collapsed="false">
      <c r="A46" s="1" t="s">
        <v>227</v>
      </c>
      <c r="B46" s="17" t="n">
        <v>425269.943625362</v>
      </c>
      <c r="C46" s="17" t="n">
        <v>8434602.43299583</v>
      </c>
      <c r="D46" s="17" t="n">
        <v>3476.76595094181</v>
      </c>
      <c r="E46" s="17" t="n">
        <v>17</v>
      </c>
      <c r="F46" s="17" t="n">
        <v>2.1</v>
      </c>
      <c r="G46" s="17" t="n">
        <v>14.2</v>
      </c>
      <c r="H46" s="17" t="n">
        <v>0</v>
      </c>
      <c r="I46" s="9" t="s">
        <v>455</v>
      </c>
      <c r="J46" s="5" t="n">
        <f aca="false">IF(I46="SUSPENSION",0,IF(I46="TERMINAL",1,2))</f>
        <v>2</v>
      </c>
      <c r="K46" s="5" t="n">
        <f aca="false">1</f>
        <v>1</v>
      </c>
      <c r="L46" s="5" t="n">
        <f aca="false">1</f>
        <v>1</v>
      </c>
      <c r="M46" s="18" t="n">
        <f aca="false">O46*Parametros!$E$6</f>
        <v>6</v>
      </c>
      <c r="N46" s="0" t="str">
        <f aca="false">IF(I46="SUSPENSION","CAC-S",IF(I46="ANGULO","CAC-A",IF(I46="TERMINAL","CAC-T",IF(OR(I46="ANCLAJE",I46="ANCLAJE_PROPUESTO"),"CAC-R","SIN-RECETA"))))</f>
        <v>CAC-R</v>
      </c>
      <c r="O46" s="0" t="n">
        <f aca="false">IF(OR(I46="ANCLAJE",I46="ANCLAJE_PROPUESTO",I46="TERMINAL"),Parametros!$E$5,0)</f>
        <v>3</v>
      </c>
      <c r="P46" s="0" t="n">
        <f aca="false">G46/SIN(RADIANS(Criterios_M01!$C$2))+Criterios_M01!$C$3</f>
        <v>23.081832585698</v>
      </c>
      <c r="Q46" s="0" t="n">
        <f aca="false">G46+Criterios_M01!$C$4</f>
        <v>17.2</v>
      </c>
      <c r="R46" s="0" t="n">
        <f aca="false">ROUNDUP(G46/Criterios_M01!$C$5,0)+1</f>
        <v>16</v>
      </c>
      <c r="S46" s="0" t="n">
        <f aca="false">(SUMIF(Vanos!$B$7:$B$116,A46,Vanos!$N$7:$N$116)+SUMIF(Vanos!$C$7:$C$116,A46,Vanos!$N$7:$N$116))/2</f>
        <v>252.349104531395</v>
      </c>
    </row>
    <row r="47" customFormat="false" ht="21" hidden="false" customHeight="true" outlineLevel="0" collapsed="false">
      <c r="A47" s="1" t="s">
        <v>228</v>
      </c>
      <c r="B47" s="17" t="n">
        <v>425245.927245847</v>
      </c>
      <c r="C47" s="17" t="n">
        <v>8434523.63806427</v>
      </c>
      <c r="D47" s="17" t="n">
        <v>3499.50010814186</v>
      </c>
      <c r="E47" s="17" t="n">
        <v>17</v>
      </c>
      <c r="F47" s="17" t="n">
        <v>2.1</v>
      </c>
      <c r="G47" s="17" t="n">
        <v>14.2</v>
      </c>
      <c r="H47" s="17" t="n">
        <v>21.7281442987615</v>
      </c>
      <c r="I47" s="9" t="s">
        <v>454</v>
      </c>
      <c r="J47" s="5" t="n">
        <f aca="false">IF(I47="SUSPENSION",0,IF(I47="TERMINAL",1,2))</f>
        <v>2</v>
      </c>
      <c r="K47" s="5" t="n">
        <f aca="false">1</f>
        <v>1</v>
      </c>
      <c r="L47" s="5" t="n">
        <f aca="false">1</f>
        <v>1</v>
      </c>
      <c r="M47" s="18" t="n">
        <f aca="false">O47*Parametros!$E$6</f>
        <v>0</v>
      </c>
      <c r="N47" s="0" t="str">
        <f aca="false">IF(I47="SUSPENSION","CAC-S",IF(I47="ANGULO","CAC-A",IF(I47="TERMINAL","CAC-T",IF(OR(I47="ANCLAJE",I47="ANCLAJE_PROPUESTO"),"CAC-R","SIN-RECETA"))))</f>
        <v>CAC-A</v>
      </c>
      <c r="O47" s="0" t="n">
        <f aca="false">IF(OR(I47="ANCLAJE",I47="ANCLAJE_PROPUESTO",I47="TERMINAL"),Parametros!$E$5,0)</f>
        <v>0</v>
      </c>
      <c r="P47" s="0" t="n">
        <f aca="false">G47/SIN(RADIANS(Criterios_M01!$C$2))+Criterios_M01!$C$3</f>
        <v>23.081832585698</v>
      </c>
      <c r="Q47" s="0" t="n">
        <f aca="false">G47+Criterios_M01!$C$4</f>
        <v>17.2</v>
      </c>
      <c r="R47" s="0" t="n">
        <f aca="false">ROUNDUP(G47/Criterios_M01!$C$5,0)+1</f>
        <v>16</v>
      </c>
      <c r="S47" s="0" t="n">
        <f aca="false">(SUMIF(Vanos!$B$7:$B$116,A47,Vanos!$N$7:$N$116)+SUMIF(Vanos!$C$7:$C$116,A47,Vanos!$N$7:$N$116))/2</f>
        <v>223.050788251794</v>
      </c>
    </row>
    <row r="48" customFormat="false" ht="21" hidden="false" customHeight="true" outlineLevel="0" collapsed="false">
      <c r="A48" s="1" t="s">
        <v>229</v>
      </c>
      <c r="B48" s="17" t="n">
        <v>425251.176242072</v>
      </c>
      <c r="C48" s="17" t="n">
        <v>8434460.82881866</v>
      </c>
      <c r="D48" s="17" t="n">
        <v>3494.38560644687</v>
      </c>
      <c r="E48" s="17" t="n">
        <v>17</v>
      </c>
      <c r="F48" s="17" t="n">
        <v>2.1</v>
      </c>
      <c r="G48" s="17" t="n">
        <v>14.2</v>
      </c>
      <c r="H48" s="17" t="n">
        <v>29.0704501347406</v>
      </c>
      <c r="I48" s="9" t="s">
        <v>454</v>
      </c>
      <c r="J48" s="5" t="n">
        <f aca="false">IF(I48="SUSPENSION",0,IF(I48="TERMINAL",1,2))</f>
        <v>2</v>
      </c>
      <c r="K48" s="5" t="n">
        <f aca="false">1</f>
        <v>1</v>
      </c>
      <c r="L48" s="5" t="n">
        <f aca="false">1</f>
        <v>1</v>
      </c>
      <c r="M48" s="18" t="n">
        <f aca="false">O48*Parametros!$E$6</f>
        <v>0</v>
      </c>
      <c r="N48" s="0" t="str">
        <f aca="false">IF(I48="SUSPENSION","CAC-S",IF(I48="ANGULO","CAC-A",IF(I48="TERMINAL","CAC-T",IF(OR(I48="ANCLAJE",I48="ANCLAJE_PROPUESTO"),"CAC-R","SIN-RECETA"))))</f>
        <v>CAC-A</v>
      </c>
      <c r="O48" s="0" t="n">
        <f aca="false">IF(OR(I48="ANCLAJE",I48="ANCLAJE_PROPUESTO",I48="TERMINAL"),Parametros!$E$5,0)</f>
        <v>0</v>
      </c>
      <c r="P48" s="0" t="n">
        <f aca="false">G48/SIN(RADIANS(Criterios_M01!$C$2))+Criterios_M01!$C$3</f>
        <v>23.081832585698</v>
      </c>
      <c r="Q48" s="0" t="n">
        <f aca="false">G48+Criterios_M01!$C$4</f>
        <v>17.2</v>
      </c>
      <c r="R48" s="0" t="n">
        <f aca="false">ROUNDUP(G48/Criterios_M01!$C$5,0)+1</f>
        <v>16</v>
      </c>
      <c r="S48" s="0" t="n">
        <f aca="false">(SUMIF(Vanos!$B$7:$B$116,A48,Vanos!$N$7:$N$116)+SUMIF(Vanos!$C$7:$C$116,A48,Vanos!$N$7:$N$116))/2</f>
        <v>170.231671575093</v>
      </c>
    </row>
    <row r="49" customFormat="false" ht="21" hidden="false" customHeight="true" outlineLevel="0" collapsed="false">
      <c r="A49" s="1" t="s">
        <v>230</v>
      </c>
      <c r="B49" s="17" t="n">
        <v>425230.655774767</v>
      </c>
      <c r="C49" s="17" t="n">
        <v>8434415.36688424</v>
      </c>
      <c r="D49" s="17" t="n">
        <v>3502.25730712613</v>
      </c>
      <c r="E49" s="17" t="n">
        <v>15</v>
      </c>
      <c r="F49" s="17" t="n">
        <v>2.1</v>
      </c>
      <c r="G49" s="17" t="n">
        <v>12.4</v>
      </c>
      <c r="H49" s="17" t="n">
        <v>23.1364358200368</v>
      </c>
      <c r="I49" s="9" t="s">
        <v>454</v>
      </c>
      <c r="J49" s="5" t="n">
        <f aca="false">IF(I49="SUSPENSION",0,IF(I49="TERMINAL",1,2))</f>
        <v>2</v>
      </c>
      <c r="K49" s="5" t="n">
        <f aca="false">1</f>
        <v>1</v>
      </c>
      <c r="L49" s="5" t="n">
        <f aca="false">1</f>
        <v>1</v>
      </c>
      <c r="M49" s="18" t="n">
        <f aca="false">O49*Parametros!$E$6</f>
        <v>0</v>
      </c>
      <c r="N49" s="0" t="str">
        <f aca="false">IF(I49="SUSPENSION","CAC-S",IF(I49="ANGULO","CAC-A",IF(I49="TERMINAL","CAC-T",IF(OR(I49="ANCLAJE",I49="ANCLAJE_PROPUESTO"),"CAC-R","SIN-RECETA"))))</f>
        <v>CAC-A</v>
      </c>
      <c r="O49" s="0" t="n">
        <f aca="false">IF(OR(I49="ANCLAJE",I49="ANCLAJE_PROPUESTO",I49="TERMINAL"),Parametros!$E$5,0)</f>
        <v>0</v>
      </c>
      <c r="P49" s="0" t="n">
        <f aca="false">G49/SIN(RADIANS(Criterios_M01!$C$2))+Criterios_M01!$C$3</f>
        <v>20.5362481734264</v>
      </c>
      <c r="Q49" s="0" t="n">
        <f aca="false">G49+Criterios_M01!$C$4</f>
        <v>15.4</v>
      </c>
      <c r="R49" s="0" t="n">
        <f aca="false">ROUNDUP(G49/Criterios_M01!$C$5,0)+1</f>
        <v>14</v>
      </c>
      <c r="S49" s="0" t="n">
        <f aca="false">(SUMIF(Vanos!$B$7:$B$116,A49,Vanos!$N$7:$N$116)+SUMIF(Vanos!$C$7:$C$116,A49,Vanos!$N$7:$N$116))/2</f>
        <v>195.53122775811</v>
      </c>
    </row>
    <row r="50" customFormat="false" ht="21" hidden="false" customHeight="true" outlineLevel="0" collapsed="false">
      <c r="A50" s="1" t="s">
        <v>231</v>
      </c>
      <c r="B50" s="17" t="n">
        <v>425229.040211713</v>
      </c>
      <c r="C50" s="17" t="n">
        <v>8434335.36528467</v>
      </c>
      <c r="D50" s="17" t="n">
        <v>3505.83376228927</v>
      </c>
      <c r="E50" s="17" t="n">
        <v>15</v>
      </c>
      <c r="F50" s="17" t="n">
        <v>2.1</v>
      </c>
      <c r="G50" s="17" t="n">
        <v>12.4</v>
      </c>
      <c r="H50" s="17" t="n">
        <v>0</v>
      </c>
      <c r="I50" s="9" t="s">
        <v>455</v>
      </c>
      <c r="J50" s="5" t="n">
        <f aca="false">IF(I50="SUSPENSION",0,IF(I50="TERMINAL",1,2))</f>
        <v>2</v>
      </c>
      <c r="K50" s="5" t="n">
        <f aca="false">1</f>
        <v>1</v>
      </c>
      <c r="L50" s="5" t="n">
        <f aca="false">1</f>
        <v>1</v>
      </c>
      <c r="M50" s="18" t="n">
        <f aca="false">O50*Parametros!$E$6</f>
        <v>6</v>
      </c>
      <c r="N50" s="0" t="str">
        <f aca="false">IF(I50="SUSPENSION","CAC-S",IF(I50="ANGULO","CAC-A",IF(I50="TERMINAL","CAC-T",IF(OR(I50="ANCLAJE",I50="ANCLAJE_PROPUESTO"),"CAC-R","SIN-RECETA"))))</f>
        <v>CAC-R</v>
      </c>
      <c r="O50" s="0" t="n">
        <f aca="false">IF(OR(I50="ANCLAJE",I50="ANCLAJE_PROPUESTO",I50="TERMINAL"),Parametros!$E$5,0)</f>
        <v>3</v>
      </c>
      <c r="P50" s="0" t="n">
        <f aca="false">G50/SIN(RADIANS(Criterios_M01!$C$2))+Criterios_M01!$C$3</f>
        <v>20.5362481734264</v>
      </c>
      <c r="Q50" s="0" t="n">
        <f aca="false">G50+Criterios_M01!$C$4</f>
        <v>15.4</v>
      </c>
      <c r="R50" s="0" t="n">
        <f aca="false">ROUNDUP(G50/Criterios_M01!$C$5,0)+1</f>
        <v>14</v>
      </c>
      <c r="S50" s="0" t="n">
        <f aca="false">(SUMIF(Vanos!$B$7:$B$116,A50,Vanos!$N$7:$N$116)+SUMIF(Vanos!$C$7:$C$116,A50,Vanos!$N$7:$N$116))/2</f>
        <v>240.851201386385</v>
      </c>
    </row>
    <row r="51" customFormat="false" ht="21" hidden="false" customHeight="true" outlineLevel="0" collapsed="false">
      <c r="A51" s="1" t="s">
        <v>232</v>
      </c>
      <c r="B51" s="17" t="n">
        <v>425227.42464866</v>
      </c>
      <c r="C51" s="17" t="n">
        <v>8434255.36368511</v>
      </c>
      <c r="D51" s="17" t="n">
        <v>3516.00233768226</v>
      </c>
      <c r="E51" s="17" t="n">
        <v>13</v>
      </c>
      <c r="F51" s="17" t="n">
        <v>1.9</v>
      </c>
      <c r="G51" s="17" t="n">
        <v>10.6</v>
      </c>
      <c r="H51" s="17" t="n">
        <v>30.9522989893348</v>
      </c>
      <c r="I51" s="9" t="s">
        <v>453</v>
      </c>
      <c r="J51" s="5" t="n">
        <f aca="false">IF(I51="SUSPENSION",0,IF(I51="TERMINAL",1,2))</f>
        <v>2</v>
      </c>
      <c r="K51" s="5" t="n">
        <f aca="false">1</f>
        <v>1</v>
      </c>
      <c r="L51" s="5" t="n">
        <f aca="false">1</f>
        <v>1</v>
      </c>
      <c r="M51" s="18" t="n">
        <f aca="false">O51*Parametros!$E$6</f>
        <v>6</v>
      </c>
      <c r="N51" s="0" t="str">
        <f aca="false">IF(I51="SUSPENSION","CAC-S",IF(I51="ANGULO","CAC-A",IF(I51="TERMINAL","CAC-T",IF(OR(I51="ANCLAJE",I51="ANCLAJE_PROPUESTO"),"CAC-R","SIN-RECETA"))))</f>
        <v>CAC-R</v>
      </c>
      <c r="O51" s="0" t="n">
        <f aca="false">IF(OR(I51="ANCLAJE",I51="ANCLAJE_PROPUESTO",I51="TERMINAL"),Parametros!$E$5,0)</f>
        <v>3</v>
      </c>
      <c r="P51" s="0" t="n">
        <f aca="false">G51/SIN(RADIANS(Criterios_M01!$C$2))+Criterios_M01!$C$3</f>
        <v>17.9906637611548</v>
      </c>
      <c r="Q51" s="0" t="n">
        <f aca="false">G51+Criterios_M01!$C$4</f>
        <v>13.6</v>
      </c>
      <c r="R51" s="0" t="n">
        <f aca="false">ROUNDUP(G51/Criterios_M01!$C$5,0)+1</f>
        <v>12</v>
      </c>
      <c r="S51" s="0" t="n">
        <f aca="false">(SUMIF(Vanos!$B$7:$B$116,A51,Vanos!$N$7:$N$116)+SUMIF(Vanos!$C$7:$C$116,A51,Vanos!$N$7:$N$116))/2</f>
        <v>212.858896737564</v>
      </c>
    </row>
    <row r="52" customFormat="false" ht="21" hidden="false" customHeight="true" outlineLevel="0" collapsed="false">
      <c r="A52" s="1" t="s">
        <v>233</v>
      </c>
      <c r="B52" s="17" t="n">
        <v>425257.948633733</v>
      </c>
      <c r="C52" s="17" t="n">
        <v>8434202.05591695</v>
      </c>
      <c r="D52" s="17" t="n">
        <v>3514.7779191707</v>
      </c>
      <c r="E52" s="17" t="n">
        <v>13</v>
      </c>
      <c r="F52" s="17" t="n">
        <v>1.9</v>
      </c>
      <c r="G52" s="17" t="n">
        <v>10.6</v>
      </c>
      <c r="H52" s="17" t="n">
        <v>0</v>
      </c>
      <c r="I52" s="9" t="s">
        <v>452</v>
      </c>
      <c r="J52" s="5" t="n">
        <f aca="false">IF(I52="SUSPENSION",0,IF(I52="TERMINAL",1,2))</f>
        <v>0</v>
      </c>
      <c r="K52" s="5" t="n">
        <f aca="false">1</f>
        <v>1</v>
      </c>
      <c r="L52" s="5" t="n">
        <f aca="false">1</f>
        <v>1</v>
      </c>
      <c r="M52" s="18" t="n">
        <f aca="false">O52*Parametros!$E$6</f>
        <v>0</v>
      </c>
      <c r="N52" s="0" t="str">
        <f aca="false">IF(I52="SUSPENSION","CAC-S",IF(I52="ANGULO","CAC-A",IF(I52="TERMINAL","CAC-T",IF(OR(I52="ANCLAJE",I52="ANCLAJE_PROPUESTO"),"CAC-R","SIN-RECETA"))))</f>
        <v>CAC-S</v>
      </c>
      <c r="O52" s="0" t="n">
        <f aca="false">IF(OR(I52="ANCLAJE",I52="ANCLAJE_PROPUESTO",I52="TERMINAL"),Parametros!$E$5,0)</f>
        <v>0</v>
      </c>
      <c r="P52" s="0" t="n">
        <f aca="false">G52/SIN(RADIANS(Criterios_M01!$C$2))+Criterios_M01!$C$3</f>
        <v>17.9906637611548</v>
      </c>
      <c r="Q52" s="0" t="n">
        <f aca="false">G52+Criterios_M01!$C$4</f>
        <v>13.6</v>
      </c>
      <c r="R52" s="0" t="n">
        <f aca="false">ROUNDUP(G52/Criterios_M01!$C$5,0)+1</f>
        <v>12</v>
      </c>
      <c r="S52" s="0" t="n">
        <f aca="false">(SUMIF(Vanos!$B$7:$B$116,A52,Vanos!$N$7:$N$116)+SUMIF(Vanos!$C$7:$C$116,A52,Vanos!$N$7:$N$116))/2</f>
        <v>184.337220868659</v>
      </c>
    </row>
    <row r="53" customFormat="false" ht="21" hidden="false" customHeight="true" outlineLevel="0" collapsed="false">
      <c r="A53" s="1" t="s">
        <v>234</v>
      </c>
      <c r="B53" s="17" t="n">
        <v>425288.472618807</v>
      </c>
      <c r="C53" s="17" t="n">
        <v>8434148.74814879</v>
      </c>
      <c r="D53" s="17" t="n">
        <v>3516.17063489049</v>
      </c>
      <c r="E53" s="17" t="n">
        <v>13</v>
      </c>
      <c r="F53" s="17" t="n">
        <v>1.9</v>
      </c>
      <c r="G53" s="17" t="n">
        <v>10.6</v>
      </c>
      <c r="H53" s="17" t="n">
        <v>0</v>
      </c>
      <c r="I53" s="9" t="s">
        <v>455</v>
      </c>
      <c r="J53" s="5" t="n">
        <f aca="false">IF(I53="SUSPENSION",0,IF(I53="TERMINAL",1,2))</f>
        <v>2</v>
      </c>
      <c r="K53" s="5" t="n">
        <f aca="false">1</f>
        <v>1</v>
      </c>
      <c r="L53" s="5" t="n">
        <f aca="false">1</f>
        <v>1</v>
      </c>
      <c r="M53" s="18" t="n">
        <f aca="false">O53*Parametros!$E$6</f>
        <v>6</v>
      </c>
      <c r="N53" s="0" t="str">
        <f aca="false">IF(I53="SUSPENSION","CAC-S",IF(I53="ANGULO","CAC-A",IF(I53="TERMINAL","CAC-T",IF(OR(I53="ANCLAJE",I53="ANCLAJE_PROPUESTO"),"CAC-R","SIN-RECETA"))))</f>
        <v>CAC-R</v>
      </c>
      <c r="O53" s="0" t="n">
        <f aca="false">IF(OR(I53="ANCLAJE",I53="ANCLAJE_PROPUESTO",I53="TERMINAL"),Parametros!$E$5,0)</f>
        <v>3</v>
      </c>
      <c r="P53" s="0" t="n">
        <f aca="false">G53/SIN(RADIANS(Criterios_M01!$C$2))+Criterios_M01!$C$3</f>
        <v>17.9906637611548</v>
      </c>
      <c r="Q53" s="0" t="n">
        <f aca="false">G53+Criterios_M01!$C$4</f>
        <v>13.6</v>
      </c>
      <c r="R53" s="0" t="n">
        <f aca="false">ROUNDUP(G53/Criterios_M01!$C$5,0)+1</f>
        <v>12</v>
      </c>
      <c r="S53" s="0" t="n">
        <f aca="false">(SUMIF(Vanos!$B$7:$B$116,A53,Vanos!$N$7:$N$116)+SUMIF(Vanos!$C$7:$C$116,A53,Vanos!$N$7:$N$116))/2</f>
        <v>184.565711210814</v>
      </c>
    </row>
    <row r="54" customFormat="false" ht="21" hidden="false" customHeight="true" outlineLevel="0" collapsed="false">
      <c r="A54" s="1" t="s">
        <v>235</v>
      </c>
      <c r="B54" s="17" t="n">
        <v>425318.99660388</v>
      </c>
      <c r="C54" s="17" t="n">
        <v>8434095.44038063</v>
      </c>
      <c r="D54" s="17" t="n">
        <v>3520.66969433089</v>
      </c>
      <c r="E54" s="17" t="n">
        <v>13</v>
      </c>
      <c r="F54" s="17" t="n">
        <v>1.9</v>
      </c>
      <c r="G54" s="17" t="n">
        <v>10.6</v>
      </c>
      <c r="H54" s="17" t="n">
        <v>76.9042959115575</v>
      </c>
      <c r="I54" s="9" t="s">
        <v>453</v>
      </c>
      <c r="J54" s="5" t="n">
        <f aca="false">IF(I54="SUSPENSION",0,IF(I54="TERMINAL",1,2))</f>
        <v>2</v>
      </c>
      <c r="K54" s="5" t="n">
        <f aca="false">1</f>
        <v>1</v>
      </c>
      <c r="L54" s="5" t="n">
        <f aca="false">1</f>
        <v>1</v>
      </c>
      <c r="M54" s="18" t="n">
        <f aca="false">O54*Parametros!$E$6</f>
        <v>6</v>
      </c>
      <c r="N54" s="0" t="str">
        <f aca="false">IF(I54="SUSPENSION","CAC-S",IF(I54="ANGULO","CAC-A",IF(I54="TERMINAL","CAC-T",IF(OR(I54="ANCLAJE",I54="ANCLAJE_PROPUESTO"),"CAC-R","SIN-RECETA"))))</f>
        <v>CAC-R</v>
      </c>
      <c r="O54" s="0" t="n">
        <f aca="false">IF(OR(I54="ANCLAJE",I54="ANCLAJE_PROPUESTO",I54="TERMINAL"),Parametros!$E$5,0)</f>
        <v>3</v>
      </c>
      <c r="P54" s="0" t="n">
        <f aca="false">G54/SIN(RADIANS(Criterios_M01!$C$2))+Criterios_M01!$C$3</f>
        <v>17.9906637611548</v>
      </c>
      <c r="Q54" s="0" t="n">
        <f aca="false">G54+Criterios_M01!$C$4</f>
        <v>13.6</v>
      </c>
      <c r="R54" s="0" t="n">
        <f aca="false">ROUNDUP(G54/Criterios_M01!$C$5,0)+1</f>
        <v>12</v>
      </c>
      <c r="S54" s="0" t="n">
        <f aca="false">(SUMIF(Vanos!$B$7:$B$116,A54,Vanos!$N$7:$N$116)+SUMIF(Vanos!$C$7:$C$116,A54,Vanos!$N$7:$N$116))/2</f>
        <v>151.940060595483</v>
      </c>
    </row>
    <row r="55" customFormat="false" ht="21" hidden="false" customHeight="true" outlineLevel="0" collapsed="false">
      <c r="A55" s="1" t="s">
        <v>236</v>
      </c>
      <c r="B55" s="17" t="n">
        <v>425290.835208513</v>
      </c>
      <c r="C55" s="17" t="n">
        <v>8434069.27932798</v>
      </c>
      <c r="D55" s="17" t="n">
        <v>3530.58580222185</v>
      </c>
      <c r="E55" s="17" t="n">
        <v>13</v>
      </c>
      <c r="F55" s="17" t="n">
        <v>1.9</v>
      </c>
      <c r="G55" s="17" t="n">
        <v>10.6</v>
      </c>
      <c r="H55" s="17" t="n">
        <v>65.382423125974</v>
      </c>
      <c r="I55" s="9" t="s">
        <v>453</v>
      </c>
      <c r="J55" s="5" t="n">
        <f aca="false">IF(I55="SUSPENSION",0,IF(I55="TERMINAL",1,2))</f>
        <v>2</v>
      </c>
      <c r="K55" s="5" t="n">
        <f aca="false">1</f>
        <v>1</v>
      </c>
      <c r="L55" s="5" t="n">
        <f aca="false">1</f>
        <v>1</v>
      </c>
      <c r="M55" s="18" t="n">
        <f aca="false">O55*Parametros!$E$6</f>
        <v>6</v>
      </c>
      <c r="N55" s="0" t="str">
        <f aca="false">IF(I55="SUSPENSION","CAC-S",IF(I55="ANGULO","CAC-A",IF(I55="TERMINAL","CAC-T",IF(OR(I55="ANCLAJE",I55="ANCLAJE_PROPUESTO"),"CAC-R","SIN-RECETA"))))</f>
        <v>CAC-R</v>
      </c>
      <c r="O55" s="0" t="n">
        <f aca="false">IF(OR(I55="ANCLAJE",I55="ANCLAJE_PROPUESTO",I55="TERMINAL"),Parametros!$E$5,0)</f>
        <v>3</v>
      </c>
      <c r="P55" s="0" t="n">
        <f aca="false">G55/SIN(RADIANS(Criterios_M01!$C$2))+Criterios_M01!$C$3</f>
        <v>17.9906637611548</v>
      </c>
      <c r="Q55" s="0" t="n">
        <f aca="false">G55+Criterios_M01!$C$4</f>
        <v>13.6</v>
      </c>
      <c r="R55" s="0" t="n">
        <f aca="false">ROUNDUP(G55/Criterios_M01!$C$5,0)+1</f>
        <v>12</v>
      </c>
      <c r="S55" s="0" t="n">
        <f aca="false">(SUMIF(Vanos!$B$7:$B$116,A55,Vanos!$N$7:$N$116)+SUMIF(Vanos!$C$7:$C$116,A55,Vanos!$N$7:$N$116))/2</f>
        <v>179.720250400408</v>
      </c>
    </row>
    <row r="56" customFormat="false" ht="21" hidden="false" customHeight="true" outlineLevel="0" collapsed="false">
      <c r="A56" s="1" t="s">
        <v>237</v>
      </c>
      <c r="B56" s="17" t="n">
        <v>425315.81551379</v>
      </c>
      <c r="C56" s="17" t="n">
        <v>8433993.6287093</v>
      </c>
      <c r="D56" s="17" t="n">
        <v>3538.97602148562</v>
      </c>
      <c r="E56" s="17" t="n">
        <v>13</v>
      </c>
      <c r="F56" s="17" t="n">
        <v>1.9</v>
      </c>
      <c r="G56" s="17" t="n">
        <v>10.6</v>
      </c>
      <c r="H56" s="17" t="n">
        <v>18.0082392971473</v>
      </c>
      <c r="I56" s="9" t="s">
        <v>454</v>
      </c>
      <c r="J56" s="5" t="n">
        <f aca="false">IF(I56="SUSPENSION",0,IF(I56="TERMINAL",1,2))</f>
        <v>2</v>
      </c>
      <c r="K56" s="5" t="n">
        <f aca="false">1</f>
        <v>1</v>
      </c>
      <c r="L56" s="5" t="n">
        <f aca="false">1</f>
        <v>1</v>
      </c>
      <c r="M56" s="18" t="n">
        <f aca="false">O56*Parametros!$E$6</f>
        <v>0</v>
      </c>
      <c r="N56" s="0" t="str">
        <f aca="false">IF(I56="SUSPENSION","CAC-S",IF(I56="ANGULO","CAC-A",IF(I56="TERMINAL","CAC-T",IF(OR(I56="ANCLAJE",I56="ANCLAJE_PROPUESTO"),"CAC-R","SIN-RECETA"))))</f>
        <v>CAC-A</v>
      </c>
      <c r="O56" s="0" t="n">
        <f aca="false">IF(OR(I56="ANCLAJE",I56="ANCLAJE_PROPUESTO",I56="TERMINAL"),Parametros!$E$5,0)</f>
        <v>0</v>
      </c>
      <c r="P56" s="0" t="n">
        <f aca="false">G56/SIN(RADIANS(Criterios_M01!$C$2))+Criterios_M01!$C$3</f>
        <v>17.9906637611548</v>
      </c>
      <c r="Q56" s="0" t="n">
        <f aca="false">G56+Criterios_M01!$C$4</f>
        <v>13.6</v>
      </c>
      <c r="R56" s="0" t="n">
        <f aca="false">ROUNDUP(G56/Criterios_M01!$C$5,0)+1</f>
        <v>12</v>
      </c>
      <c r="S56" s="0" t="n">
        <f aca="false">(SUMIF(Vanos!$B$7:$B$116,A56,Vanos!$N$7:$N$116)+SUMIF(Vanos!$C$7:$C$116,A56,Vanos!$N$7:$N$116))/2</f>
        <v>206.961613589103</v>
      </c>
    </row>
    <row r="57" customFormat="false" ht="21" hidden="false" customHeight="true" outlineLevel="0" collapsed="false">
      <c r="A57" s="1" t="s">
        <v>238</v>
      </c>
      <c r="B57" s="17" t="n">
        <v>425350.051499015</v>
      </c>
      <c r="C57" s="17" t="n">
        <v>8433946.99099343</v>
      </c>
      <c r="D57" s="17" t="n">
        <v>3538.79376988529</v>
      </c>
      <c r="E57" s="17" t="n">
        <v>13</v>
      </c>
      <c r="F57" s="17" t="n">
        <v>1.9</v>
      </c>
      <c r="G57" s="17" t="n">
        <v>10.6</v>
      </c>
      <c r="H57" s="17" t="n">
        <v>0</v>
      </c>
      <c r="I57" s="9" t="s">
        <v>455</v>
      </c>
      <c r="J57" s="5" t="n">
        <f aca="false">IF(I57="SUSPENSION",0,IF(I57="TERMINAL",1,2))</f>
        <v>2</v>
      </c>
      <c r="K57" s="5" t="n">
        <f aca="false">1</f>
        <v>1</v>
      </c>
      <c r="L57" s="5" t="n">
        <f aca="false">1</f>
        <v>1</v>
      </c>
      <c r="M57" s="18" t="n">
        <f aca="false">O57*Parametros!$E$6</f>
        <v>6</v>
      </c>
      <c r="N57" s="0" t="str">
        <f aca="false">IF(I57="SUSPENSION","CAC-S",IF(I57="ANGULO","CAC-A",IF(I57="TERMINAL","CAC-T",IF(OR(I57="ANCLAJE",I57="ANCLAJE_PROPUESTO"),"CAC-R","SIN-RECETA"))))</f>
        <v>CAC-R</v>
      </c>
      <c r="O57" s="0" t="n">
        <f aca="false">IF(OR(I57="ANCLAJE",I57="ANCLAJE_PROPUESTO",I57="TERMINAL"),Parametros!$E$5,0)</f>
        <v>3</v>
      </c>
      <c r="P57" s="0" t="n">
        <f aca="false">G57/SIN(RADIANS(Criterios_M01!$C$2))+Criterios_M01!$C$3</f>
        <v>17.9906637611548</v>
      </c>
      <c r="Q57" s="0" t="n">
        <f aca="false">G57+Criterios_M01!$C$4</f>
        <v>13.6</v>
      </c>
      <c r="R57" s="0" t="n">
        <f aca="false">ROUNDUP(G57/Criterios_M01!$C$5,0)+1</f>
        <v>12</v>
      </c>
      <c r="S57" s="0" t="n">
        <f aca="false">(SUMIF(Vanos!$B$7:$B$116,A57,Vanos!$N$7:$N$116)+SUMIF(Vanos!$C$7:$C$116,A57,Vanos!$N$7:$N$116))/2</f>
        <v>173.700702922641</v>
      </c>
    </row>
    <row r="58" customFormat="false" ht="21" hidden="false" customHeight="true" outlineLevel="0" collapsed="false">
      <c r="A58" s="1" t="s">
        <v>239</v>
      </c>
      <c r="B58" s="17" t="n">
        <v>425384.28748424</v>
      </c>
      <c r="C58" s="17" t="n">
        <v>8433900.35327756</v>
      </c>
      <c r="D58" s="17" t="n">
        <v>3541.92634204803</v>
      </c>
      <c r="E58" s="17" t="n">
        <v>13</v>
      </c>
      <c r="F58" s="17" t="n">
        <v>1.9</v>
      </c>
      <c r="G58" s="17" t="n">
        <v>10.6</v>
      </c>
      <c r="H58" s="17" t="n">
        <v>41.6064639834365</v>
      </c>
      <c r="I58" s="9" t="s">
        <v>453</v>
      </c>
      <c r="J58" s="5" t="n">
        <f aca="false">IF(I58="SUSPENSION",0,IF(I58="TERMINAL",1,2))</f>
        <v>2</v>
      </c>
      <c r="K58" s="5" t="n">
        <f aca="false">1</f>
        <v>1</v>
      </c>
      <c r="L58" s="5" t="n">
        <f aca="false">1</f>
        <v>1</v>
      </c>
      <c r="M58" s="18" t="n">
        <f aca="false">O58*Parametros!$E$6</f>
        <v>6</v>
      </c>
      <c r="N58" s="0" t="str">
        <f aca="false">IF(I58="SUSPENSION","CAC-S",IF(I58="ANGULO","CAC-A",IF(I58="TERMINAL","CAC-T",IF(OR(I58="ANCLAJE",I58="ANCLAJE_PROPUESTO"),"CAC-R","SIN-RECETA"))))</f>
        <v>CAC-R</v>
      </c>
      <c r="O58" s="0" t="n">
        <f aca="false">IF(OR(I58="ANCLAJE",I58="ANCLAJE_PROPUESTO",I58="TERMINAL"),Parametros!$E$5,0)</f>
        <v>3</v>
      </c>
      <c r="P58" s="0" t="n">
        <f aca="false">G58/SIN(RADIANS(Criterios_M01!$C$2))+Criterios_M01!$C$3</f>
        <v>17.9906637611548</v>
      </c>
      <c r="Q58" s="0" t="n">
        <f aca="false">G58+Criterios_M01!$C$4</f>
        <v>13.6</v>
      </c>
      <c r="R58" s="0" t="n">
        <f aca="false">ROUNDUP(G58/Criterios_M01!$C$5,0)+1</f>
        <v>12</v>
      </c>
      <c r="S58" s="0" t="n">
        <f aca="false">(SUMIF(Vanos!$B$7:$B$116,A58,Vanos!$N$7:$N$116)+SUMIF(Vanos!$C$7:$C$116,A58,Vanos!$N$7:$N$116))/2</f>
        <v>215.131802987949</v>
      </c>
    </row>
    <row r="59" customFormat="false" ht="21" hidden="false" customHeight="true" outlineLevel="0" collapsed="false">
      <c r="A59" s="1" t="s">
        <v>240</v>
      </c>
      <c r="B59" s="17" t="n">
        <v>425376.611552129</v>
      </c>
      <c r="C59" s="17" t="n">
        <v>8433817.99496246</v>
      </c>
      <c r="D59" s="17" t="n">
        <v>3563.45299507878</v>
      </c>
      <c r="E59" s="17" t="n">
        <v>13</v>
      </c>
      <c r="F59" s="17" t="n">
        <v>1.9</v>
      </c>
      <c r="G59" s="17" t="n">
        <v>10.6</v>
      </c>
      <c r="H59" s="17" t="n">
        <v>28.1806118805657</v>
      </c>
      <c r="I59" s="9" t="s">
        <v>454</v>
      </c>
      <c r="J59" s="5" t="n">
        <f aca="false">IF(I59="SUSPENSION",0,IF(I59="TERMINAL",1,2))</f>
        <v>2</v>
      </c>
      <c r="K59" s="5" t="n">
        <f aca="false">1</f>
        <v>1</v>
      </c>
      <c r="L59" s="5" t="n">
        <f aca="false">1</f>
        <v>1</v>
      </c>
      <c r="M59" s="18" t="n">
        <f aca="false">O59*Parametros!$E$6</f>
        <v>0</v>
      </c>
      <c r="N59" s="0" t="str">
        <f aca="false">IF(I59="SUSPENSION","CAC-S",IF(I59="ANGULO","CAC-A",IF(I59="TERMINAL","CAC-T",IF(OR(I59="ANCLAJE",I59="ANCLAJE_PROPUESTO"),"CAC-R","SIN-RECETA"))))</f>
        <v>CAC-A</v>
      </c>
      <c r="O59" s="0" t="n">
        <f aca="false">IF(OR(I59="ANCLAJE",I59="ANCLAJE_PROPUESTO",I59="TERMINAL"),Parametros!$E$5,0)</f>
        <v>0</v>
      </c>
      <c r="P59" s="0" t="n">
        <f aca="false">G59/SIN(RADIANS(Criterios_M01!$C$2))+Criterios_M01!$C$3</f>
        <v>17.9906637611548</v>
      </c>
      <c r="Q59" s="0" t="n">
        <f aca="false">G59+Criterios_M01!$C$4</f>
        <v>13.6</v>
      </c>
      <c r="R59" s="0" t="n">
        <f aca="false">ROUNDUP(G59/Criterios_M01!$C$5,0)+1</f>
        <v>12</v>
      </c>
      <c r="S59" s="0" t="n">
        <f aca="false">(SUMIF(Vanos!$B$7:$B$116,A59,Vanos!$N$7:$N$116)+SUMIF(Vanos!$C$7:$C$116,A59,Vanos!$N$7:$N$116))/2</f>
        <v>200.277430497086</v>
      </c>
    </row>
    <row r="60" customFormat="false" ht="21" hidden="false" customHeight="true" outlineLevel="0" collapsed="false">
      <c r="A60" s="1" t="s">
        <v>241</v>
      </c>
      <c r="B60" s="17" t="n">
        <v>425395.25570193</v>
      </c>
      <c r="C60" s="17" t="n">
        <v>8433773.76320171</v>
      </c>
      <c r="D60" s="17" t="n">
        <v>3565.34654738669</v>
      </c>
      <c r="E60" s="17" t="n">
        <v>13</v>
      </c>
      <c r="F60" s="17" t="n">
        <v>1.9</v>
      </c>
      <c r="G60" s="17" t="n">
        <v>10.6</v>
      </c>
      <c r="H60" s="17" t="n">
        <v>1.20741826972573E-006</v>
      </c>
      <c r="I60" s="9" t="s">
        <v>452</v>
      </c>
      <c r="J60" s="5" t="n">
        <f aca="false">IF(I60="SUSPENSION",0,IF(I60="TERMINAL",1,2))</f>
        <v>0</v>
      </c>
      <c r="K60" s="5" t="n">
        <f aca="false">1</f>
        <v>1</v>
      </c>
      <c r="L60" s="5" t="n">
        <f aca="false">1</f>
        <v>1</v>
      </c>
      <c r="M60" s="18" t="n">
        <f aca="false">O60*Parametros!$E$6</f>
        <v>0</v>
      </c>
      <c r="N60" s="0" t="str">
        <f aca="false">IF(I60="SUSPENSION","CAC-S",IF(I60="ANGULO","CAC-A",IF(I60="TERMINAL","CAC-T",IF(OR(I60="ANCLAJE",I60="ANCLAJE_PROPUESTO"),"CAC-R","SIN-RECETA"))))</f>
        <v>CAC-S</v>
      </c>
      <c r="O60" s="0" t="n">
        <f aca="false">IF(OR(I60="ANCLAJE",I60="ANCLAJE_PROPUESTO",I60="TERMINAL"),Parametros!$E$5,0)</f>
        <v>0</v>
      </c>
      <c r="P60" s="0" t="n">
        <f aca="false">G60/SIN(RADIANS(Criterios_M01!$C$2))+Criterios_M01!$C$3</f>
        <v>17.9906637611548</v>
      </c>
      <c r="Q60" s="0" t="n">
        <f aca="false">G60+Criterios_M01!$C$4</f>
        <v>13.6</v>
      </c>
      <c r="R60" s="0" t="n">
        <f aca="false">ROUNDUP(G60/Criterios_M01!$C$5,0)+1</f>
        <v>12</v>
      </c>
      <c r="S60" s="0" t="n">
        <f aca="false">(SUMIF(Vanos!$B$7:$B$116,A60,Vanos!$N$7:$N$116)+SUMIF(Vanos!$C$7:$C$116,A60,Vanos!$N$7:$N$116))/2</f>
        <v>144.088738933964</v>
      </c>
    </row>
    <row r="61" customFormat="false" ht="21" hidden="false" customHeight="true" outlineLevel="0" collapsed="false">
      <c r="A61" s="1" t="s">
        <v>242</v>
      </c>
      <c r="B61" s="17" t="n">
        <v>425413.899851732</v>
      </c>
      <c r="C61" s="17" t="n">
        <v>8433729.53144096</v>
      </c>
      <c r="D61" s="17" t="n">
        <v>3564.05396193266</v>
      </c>
      <c r="E61" s="17" t="n">
        <v>13</v>
      </c>
      <c r="F61" s="17" t="n">
        <v>1.9</v>
      </c>
      <c r="G61" s="17" t="n">
        <v>10.6</v>
      </c>
      <c r="H61" s="17" t="n">
        <v>20.3920650606286</v>
      </c>
      <c r="I61" s="9" t="s">
        <v>454</v>
      </c>
      <c r="J61" s="5" t="n">
        <f aca="false">IF(I61="SUSPENSION",0,IF(I61="TERMINAL",1,2))</f>
        <v>2</v>
      </c>
      <c r="K61" s="5" t="n">
        <f aca="false">1</f>
        <v>1</v>
      </c>
      <c r="L61" s="5" t="n">
        <f aca="false">1</f>
        <v>1</v>
      </c>
      <c r="M61" s="18" t="n">
        <f aca="false">O61*Parametros!$E$6</f>
        <v>0</v>
      </c>
      <c r="N61" s="0" t="str">
        <f aca="false">IF(I61="SUSPENSION","CAC-S",IF(I61="ANGULO","CAC-A",IF(I61="TERMINAL","CAC-T",IF(OR(I61="ANCLAJE",I61="ANCLAJE_PROPUESTO"),"CAC-R","SIN-RECETA"))))</f>
        <v>CAC-A</v>
      </c>
      <c r="O61" s="0" t="n">
        <f aca="false">IF(OR(I61="ANCLAJE",I61="ANCLAJE_PROPUESTO",I61="TERMINAL"),Parametros!$E$5,0)</f>
        <v>0</v>
      </c>
      <c r="P61" s="0" t="n">
        <f aca="false">G61/SIN(RADIANS(Criterios_M01!$C$2))+Criterios_M01!$C$3</f>
        <v>17.9906637611548</v>
      </c>
      <c r="Q61" s="0" t="n">
        <f aca="false">G61+Criterios_M01!$C$4</f>
        <v>13.6</v>
      </c>
      <c r="R61" s="0" t="n">
        <f aca="false">ROUNDUP(G61/Criterios_M01!$C$5,0)+1</f>
        <v>12</v>
      </c>
      <c r="S61" s="0" t="n">
        <f aca="false">(SUMIF(Vanos!$B$7:$B$116,A61,Vanos!$N$7:$N$116)+SUMIF(Vanos!$C$7:$C$116,A61,Vanos!$N$7:$N$116))/2</f>
        <v>184.847225216519</v>
      </c>
    </row>
    <row r="62" customFormat="false" ht="21" hidden="false" customHeight="true" outlineLevel="0" collapsed="false">
      <c r="A62" s="1" t="s">
        <v>243</v>
      </c>
      <c r="B62" s="17" t="n">
        <v>425417.100930876</v>
      </c>
      <c r="C62" s="17" t="n">
        <v>8433655.13811391</v>
      </c>
      <c r="D62" s="17" t="n">
        <v>3574.6032670547</v>
      </c>
      <c r="E62" s="17" t="n">
        <v>13</v>
      </c>
      <c r="F62" s="17" t="n">
        <v>1.9</v>
      </c>
      <c r="G62" s="17" t="n">
        <v>10.6</v>
      </c>
      <c r="H62" s="17" t="n">
        <v>59.2972810322468</v>
      </c>
      <c r="I62" s="9" t="s">
        <v>453</v>
      </c>
      <c r="J62" s="5" t="n">
        <f aca="false">IF(I62="SUSPENSION",0,IF(I62="TERMINAL",1,2))</f>
        <v>2</v>
      </c>
      <c r="K62" s="5" t="n">
        <f aca="false">1</f>
        <v>1</v>
      </c>
      <c r="L62" s="5" t="n">
        <f aca="false">1</f>
        <v>1</v>
      </c>
      <c r="M62" s="18" t="n">
        <f aca="false">O62*Parametros!$E$6</f>
        <v>6</v>
      </c>
      <c r="N62" s="0" t="str">
        <f aca="false">IF(I62="SUSPENSION","CAC-S",IF(I62="ANGULO","CAC-A",IF(I62="TERMINAL","CAC-T",IF(OR(I62="ANCLAJE",I62="ANCLAJE_PROPUESTO"),"CAC-R","SIN-RECETA"))))</f>
        <v>CAC-R</v>
      </c>
      <c r="O62" s="0" t="n">
        <f aca="false">IF(OR(I62="ANCLAJE",I62="ANCLAJE_PROPUESTO",I62="TERMINAL"),Parametros!$E$5,0)</f>
        <v>3</v>
      </c>
      <c r="P62" s="0" t="n">
        <f aca="false">G62/SIN(RADIANS(Criterios_M01!$C$2))+Criterios_M01!$C$3</f>
        <v>17.9906637611548</v>
      </c>
      <c r="Q62" s="0" t="n">
        <f aca="false">G62+Criterios_M01!$C$4</f>
        <v>13.6</v>
      </c>
      <c r="R62" s="0" t="n">
        <f aca="false">ROUNDUP(G62/Criterios_M01!$C$5,0)+1</f>
        <v>12</v>
      </c>
      <c r="S62" s="0" t="n">
        <f aca="false">(SUMIF(Vanos!$B$7:$B$116,A62,Vanos!$N$7:$N$116)+SUMIF(Vanos!$C$7:$C$116,A62,Vanos!$N$7:$N$116))/2</f>
        <v>236.527552953923</v>
      </c>
    </row>
    <row r="63" customFormat="false" ht="21" hidden="false" customHeight="true" outlineLevel="0" collapsed="false">
      <c r="A63" s="1" t="s">
        <v>244</v>
      </c>
      <c r="B63" s="17" t="n">
        <v>425489.263585427</v>
      </c>
      <c r="C63" s="17" t="n">
        <v>8433616.38181331</v>
      </c>
      <c r="D63" s="17" t="n">
        <v>3565.06539968505</v>
      </c>
      <c r="E63" s="17" t="n">
        <v>13</v>
      </c>
      <c r="F63" s="17" t="n">
        <v>1.9</v>
      </c>
      <c r="G63" s="17" t="n">
        <v>10.6</v>
      </c>
      <c r="H63" s="17" t="n">
        <v>102.70650938823</v>
      </c>
      <c r="I63" s="9" t="s">
        <v>453</v>
      </c>
      <c r="J63" s="5" t="n">
        <f aca="false">IF(I63="SUSPENSION",0,IF(I63="TERMINAL",1,2))</f>
        <v>2</v>
      </c>
      <c r="K63" s="5" t="n">
        <f aca="false">1</f>
        <v>1</v>
      </c>
      <c r="L63" s="5" t="n">
        <f aca="false">1</f>
        <v>1</v>
      </c>
      <c r="M63" s="18" t="n">
        <f aca="false">O63*Parametros!$E$6</f>
        <v>6</v>
      </c>
      <c r="N63" s="0" t="str">
        <f aca="false">IF(I63="SUSPENSION","CAC-S",IF(I63="ANGULO","CAC-A",IF(I63="TERMINAL","CAC-T",IF(OR(I63="ANCLAJE",I63="ANCLAJE_PROPUESTO"),"CAC-R","SIN-RECETA"))))</f>
        <v>CAC-R</v>
      </c>
      <c r="O63" s="0" t="n">
        <f aca="false">IF(OR(I63="ANCLAJE",I63="ANCLAJE_PROPUESTO",I63="TERMINAL"),Parametros!$E$5,0)</f>
        <v>3</v>
      </c>
      <c r="P63" s="0" t="n">
        <f aca="false">G63/SIN(RADIANS(Criterios_M01!$C$2))+Criterios_M01!$C$3</f>
        <v>17.9906637611548</v>
      </c>
      <c r="Q63" s="0" t="n">
        <f aca="false">G63+Criterios_M01!$C$4</f>
        <v>13.6</v>
      </c>
      <c r="R63" s="0" t="n">
        <f aca="false">ROUNDUP(G63/Criterios_M01!$C$5,0)+1</f>
        <v>12</v>
      </c>
      <c r="S63" s="0" t="n">
        <f aca="false">(SUMIF(Vanos!$B$7:$B$116,A63,Vanos!$N$7:$N$116)+SUMIF(Vanos!$C$7:$C$116,A63,Vanos!$N$7:$N$116))/2</f>
        <v>195.691347504278</v>
      </c>
    </row>
    <row r="64" customFormat="false" ht="21" hidden="false" customHeight="true" outlineLevel="0" collapsed="false">
      <c r="A64" s="1" t="s">
        <v>245</v>
      </c>
      <c r="B64" s="17" t="n">
        <v>425458.254854534</v>
      </c>
      <c r="C64" s="17" t="n">
        <v>8433580.64157063</v>
      </c>
      <c r="D64" s="17" t="n">
        <v>3573.05073837276</v>
      </c>
      <c r="E64" s="17" t="n">
        <v>13</v>
      </c>
      <c r="F64" s="17" t="n">
        <v>1.9</v>
      </c>
      <c r="G64" s="17" t="n">
        <v>10.6</v>
      </c>
      <c r="H64" s="17" t="n">
        <v>1.20741826972573E-006</v>
      </c>
      <c r="I64" s="9" t="s">
        <v>455</v>
      </c>
      <c r="J64" s="5" t="n">
        <f aca="false">IF(I64="SUSPENSION",0,IF(I64="TERMINAL",1,2))</f>
        <v>2</v>
      </c>
      <c r="K64" s="5" t="n">
        <f aca="false">1</f>
        <v>1</v>
      </c>
      <c r="L64" s="5" t="n">
        <f aca="false">1</f>
        <v>1</v>
      </c>
      <c r="M64" s="18" t="n">
        <f aca="false">O64*Parametros!$E$6</f>
        <v>6</v>
      </c>
      <c r="N64" s="0" t="str">
        <f aca="false">IF(I64="SUSPENSION","CAC-S",IF(I64="ANGULO","CAC-A",IF(I64="TERMINAL","CAC-T",IF(OR(I64="ANCLAJE",I64="ANCLAJE_PROPUESTO"),"CAC-R","SIN-RECETA"))))</f>
        <v>CAC-R</v>
      </c>
      <c r="O64" s="0" t="n">
        <f aca="false">IF(OR(I64="ANCLAJE",I64="ANCLAJE_PROPUESTO",I64="TERMINAL"),Parametros!$E$5,0)</f>
        <v>3</v>
      </c>
      <c r="P64" s="0" t="n">
        <f aca="false">G64/SIN(RADIANS(Criterios_M01!$C$2))+Criterios_M01!$C$3</f>
        <v>17.9906637611548</v>
      </c>
      <c r="Q64" s="0" t="n">
        <f aca="false">G64+Criterios_M01!$C$4</f>
        <v>13.6</v>
      </c>
      <c r="R64" s="0" t="n">
        <f aca="false">ROUNDUP(G64/Criterios_M01!$C$5,0)+1</f>
        <v>12</v>
      </c>
      <c r="S64" s="0" t="n">
        <f aca="false">(SUMIF(Vanos!$B$7:$B$116,A64,Vanos!$N$7:$N$116)+SUMIF(Vanos!$C$7:$C$116,A64,Vanos!$N$7:$N$116))/2</f>
        <v>146.818861593292</v>
      </c>
    </row>
    <row r="65" customFormat="false" ht="21" hidden="false" customHeight="true" outlineLevel="0" collapsed="false">
      <c r="A65" s="1" t="s">
        <v>246</v>
      </c>
      <c r="B65" s="17" t="n">
        <v>425427.246123642</v>
      </c>
      <c r="C65" s="17" t="n">
        <v>8433544.90132795</v>
      </c>
      <c r="D65" s="17" t="n">
        <v>3588.86546581841</v>
      </c>
      <c r="E65" s="17" t="n">
        <v>13</v>
      </c>
      <c r="F65" s="17" t="n">
        <v>1.9</v>
      </c>
      <c r="G65" s="17" t="n">
        <v>10.6</v>
      </c>
      <c r="H65" s="17" t="n">
        <v>18.9547081742985</v>
      </c>
      <c r="I65" s="9" t="s">
        <v>454</v>
      </c>
      <c r="J65" s="5" t="n">
        <f aca="false">IF(I65="SUSPENSION",0,IF(I65="TERMINAL",1,2))</f>
        <v>2</v>
      </c>
      <c r="K65" s="5" t="n">
        <f aca="false">1</f>
        <v>1</v>
      </c>
      <c r="L65" s="5" t="n">
        <f aca="false">1</f>
        <v>1</v>
      </c>
      <c r="M65" s="18" t="n">
        <f aca="false">O65*Parametros!$E$6</f>
        <v>0</v>
      </c>
      <c r="N65" s="0" t="str">
        <f aca="false">IF(I65="SUSPENSION","CAC-S",IF(I65="ANGULO","CAC-A",IF(I65="TERMINAL","CAC-T",IF(OR(I65="ANCLAJE",I65="ANCLAJE_PROPUESTO"),"CAC-R","SIN-RECETA"))))</f>
        <v>CAC-A</v>
      </c>
      <c r="O65" s="0" t="n">
        <f aca="false">IF(OR(I65="ANCLAJE",I65="ANCLAJE_PROPUESTO",I65="TERMINAL"),Parametros!$E$5,0)</f>
        <v>0</v>
      </c>
      <c r="P65" s="0" t="n">
        <f aca="false">G65/SIN(RADIANS(Criterios_M01!$C$2))+Criterios_M01!$C$3</f>
        <v>17.9906637611548</v>
      </c>
      <c r="Q65" s="0" t="n">
        <f aca="false">G65+Criterios_M01!$C$4</f>
        <v>13.6</v>
      </c>
      <c r="R65" s="0" t="n">
        <f aca="false">ROUNDUP(G65/Criterios_M01!$C$5,0)+1</f>
        <v>12</v>
      </c>
      <c r="S65" s="0" t="n">
        <f aca="false">(SUMIF(Vanos!$B$7:$B$116,A65,Vanos!$N$7:$N$116)+SUMIF(Vanos!$C$7:$C$116,A65,Vanos!$N$7:$N$116))/2</f>
        <v>134.4533514117</v>
      </c>
    </row>
    <row r="66" customFormat="false" ht="21" hidden="false" customHeight="true" outlineLevel="0" collapsed="false">
      <c r="A66" s="1" t="s">
        <v>247</v>
      </c>
      <c r="B66" s="17" t="n">
        <v>425412.866971424</v>
      </c>
      <c r="C66" s="17" t="n">
        <v>8433509.29495508</v>
      </c>
      <c r="D66" s="17" t="n">
        <v>3597.31003398548</v>
      </c>
      <c r="E66" s="17" t="n">
        <v>15</v>
      </c>
      <c r="F66" s="17" t="n">
        <v>2.1</v>
      </c>
      <c r="G66" s="17" t="n">
        <v>12.4</v>
      </c>
      <c r="H66" s="17" t="n">
        <v>20.1392196127088</v>
      </c>
      <c r="I66" s="9" t="s">
        <v>454</v>
      </c>
      <c r="J66" s="5" t="n">
        <f aca="false">IF(I66="SUSPENSION",0,IF(I66="TERMINAL",1,2))</f>
        <v>2</v>
      </c>
      <c r="K66" s="5" t="n">
        <f aca="false">1</f>
        <v>1</v>
      </c>
      <c r="L66" s="5" t="n">
        <f aca="false">1</f>
        <v>1</v>
      </c>
      <c r="M66" s="18" t="n">
        <f aca="false">O66*Parametros!$E$6</f>
        <v>0</v>
      </c>
      <c r="N66" s="0" t="str">
        <f aca="false">IF(I66="SUSPENSION","CAC-S",IF(I66="ANGULO","CAC-A",IF(I66="TERMINAL","CAC-T",IF(OR(I66="ANCLAJE",I66="ANCLAJE_PROPUESTO"),"CAC-R","SIN-RECETA"))))</f>
        <v>CAC-A</v>
      </c>
      <c r="O66" s="0" t="n">
        <f aca="false">IF(OR(I66="ANCLAJE",I66="ANCLAJE_PROPUESTO",I66="TERMINAL"),Parametros!$E$5,0)</f>
        <v>0</v>
      </c>
      <c r="P66" s="0" t="n">
        <f aca="false">G66/SIN(RADIANS(Criterios_M01!$C$2))+Criterios_M01!$C$3</f>
        <v>20.5362481734264</v>
      </c>
      <c r="Q66" s="0" t="n">
        <f aca="false">G66+Criterios_M01!$C$4</f>
        <v>15.4</v>
      </c>
      <c r="R66" s="0" t="n">
        <f aca="false">ROUNDUP(G66/Criterios_M01!$C$5,0)+1</f>
        <v>14</v>
      </c>
      <c r="S66" s="0" t="n">
        <f aca="false">(SUMIF(Vanos!$B$7:$B$116,A66,Vanos!$N$7:$N$116)+SUMIF(Vanos!$C$7:$C$116,A66,Vanos!$N$7:$N$116))/2</f>
        <v>161.932937335407</v>
      </c>
    </row>
    <row r="67" customFormat="false" ht="21" hidden="false" customHeight="true" outlineLevel="0" collapsed="false">
      <c r="A67" s="1" t="s">
        <v>248</v>
      </c>
      <c r="B67" s="17" t="n">
        <v>425410.665095088</v>
      </c>
      <c r="C67" s="17" t="n">
        <v>8433441.17784645</v>
      </c>
      <c r="D67" s="17" t="n">
        <v>3600.01839648554</v>
      </c>
      <c r="E67" s="17" t="n">
        <v>15</v>
      </c>
      <c r="F67" s="17" t="n">
        <v>2.1</v>
      </c>
      <c r="G67" s="17" t="n">
        <v>12.4</v>
      </c>
      <c r="H67" s="17" t="n">
        <v>0</v>
      </c>
      <c r="I67" s="9" t="s">
        <v>452</v>
      </c>
      <c r="J67" s="5" t="n">
        <f aca="false">IF(I67="SUSPENSION",0,IF(I67="TERMINAL",1,2))</f>
        <v>0</v>
      </c>
      <c r="K67" s="5" t="n">
        <f aca="false">1</f>
        <v>1</v>
      </c>
      <c r="L67" s="5" t="n">
        <f aca="false">1</f>
        <v>1</v>
      </c>
      <c r="M67" s="18" t="n">
        <f aca="false">O67*Parametros!$E$6</f>
        <v>0</v>
      </c>
      <c r="N67" s="0" t="str">
        <f aca="false">IF(I67="SUSPENSION","CAC-S",IF(I67="ANGULO","CAC-A",IF(I67="TERMINAL","CAC-T",IF(OR(I67="ANCLAJE",I67="ANCLAJE_PROPUESTO"),"CAC-R","SIN-RECETA"))))</f>
        <v>CAC-S</v>
      </c>
      <c r="O67" s="0" t="n">
        <f aca="false">IF(OR(I67="ANCLAJE",I67="ANCLAJE_PROPUESTO",I67="TERMINAL"),Parametros!$E$5,0)</f>
        <v>0</v>
      </c>
      <c r="P67" s="0" t="n">
        <f aca="false">G67/SIN(RADIANS(Criterios_M01!$C$2))+Criterios_M01!$C$3</f>
        <v>20.5362481734264</v>
      </c>
      <c r="Q67" s="0" t="n">
        <f aca="false">G67+Criterios_M01!$C$4</f>
        <v>15.4</v>
      </c>
      <c r="R67" s="0" t="n">
        <f aca="false">ROUNDUP(G67/Criterios_M01!$C$5,0)+1</f>
        <v>14</v>
      </c>
      <c r="S67" s="0" t="n">
        <f aca="false">(SUMIF(Vanos!$B$7:$B$116,A67,Vanos!$N$7:$N$116)+SUMIF(Vanos!$C$7:$C$116,A67,Vanos!$N$7:$N$116))/2</f>
        <v>205.861266690443</v>
      </c>
    </row>
    <row r="68" customFormat="false" ht="21" hidden="false" customHeight="true" outlineLevel="0" collapsed="false">
      <c r="A68" s="1" t="s">
        <v>249</v>
      </c>
      <c r="B68" s="17" t="n">
        <v>425408.463218752</v>
      </c>
      <c r="C68" s="17" t="n">
        <v>8433373.06073783</v>
      </c>
      <c r="D68" s="17" t="n">
        <v>3590.87990604074</v>
      </c>
      <c r="E68" s="17" t="n">
        <v>13</v>
      </c>
      <c r="F68" s="17" t="n">
        <v>1.9</v>
      </c>
      <c r="G68" s="17" t="n">
        <v>10.6</v>
      </c>
      <c r="H68" s="17" t="n">
        <v>0</v>
      </c>
      <c r="I68" s="9" t="s">
        <v>455</v>
      </c>
      <c r="J68" s="5" t="n">
        <f aca="false">IF(I68="SUSPENSION",0,IF(I68="TERMINAL",1,2))</f>
        <v>2</v>
      </c>
      <c r="K68" s="5" t="n">
        <f aca="false">1</f>
        <v>1</v>
      </c>
      <c r="L68" s="5" t="n">
        <f aca="false">1</f>
        <v>1</v>
      </c>
      <c r="M68" s="18" t="n">
        <f aca="false">O68*Parametros!$E$6</f>
        <v>6</v>
      </c>
      <c r="N68" s="0" t="str">
        <f aca="false">IF(I68="SUSPENSION","CAC-S",IF(I68="ANGULO","CAC-A",IF(I68="TERMINAL","CAC-T",IF(OR(I68="ANCLAJE",I68="ANCLAJE_PROPUESTO"),"CAC-R","SIN-RECETA"))))</f>
        <v>CAC-R</v>
      </c>
      <c r="O68" s="0" t="n">
        <f aca="false">IF(OR(I68="ANCLAJE",I68="ANCLAJE_PROPUESTO",I68="TERMINAL"),Parametros!$E$5,0)</f>
        <v>3</v>
      </c>
      <c r="P68" s="0" t="n">
        <f aca="false">G68/SIN(RADIANS(Criterios_M01!$C$2))+Criterios_M01!$C$3</f>
        <v>17.9906637611548</v>
      </c>
      <c r="Q68" s="0" t="n">
        <f aca="false">G68+Criterios_M01!$C$4</f>
        <v>13.6</v>
      </c>
      <c r="R68" s="0" t="n">
        <f aca="false">ROUNDUP(G68/Criterios_M01!$C$5,0)+1</f>
        <v>12</v>
      </c>
      <c r="S68" s="0" t="n">
        <f aca="false">(SUMIF(Vanos!$B$7:$B$116,A68,Vanos!$N$7:$N$116)+SUMIF(Vanos!$C$7:$C$116,A68,Vanos!$N$7:$N$116))/2</f>
        <v>207.567487765967</v>
      </c>
    </row>
    <row r="69" customFormat="false" ht="21" hidden="false" customHeight="true" outlineLevel="0" collapsed="false">
      <c r="A69" s="1" t="s">
        <v>250</v>
      </c>
      <c r="B69" s="17" t="n">
        <v>425406.261342416</v>
      </c>
      <c r="C69" s="17" t="n">
        <v>8433304.9436292</v>
      </c>
      <c r="D69" s="17" t="n">
        <v>3603.67861734244</v>
      </c>
      <c r="E69" s="17" t="n">
        <v>13</v>
      </c>
      <c r="F69" s="17" t="n">
        <v>1.9</v>
      </c>
      <c r="G69" s="17" t="n">
        <v>10.6</v>
      </c>
      <c r="H69" s="17" t="n">
        <v>0</v>
      </c>
      <c r="I69" s="9" t="s">
        <v>452</v>
      </c>
      <c r="J69" s="5" t="n">
        <f aca="false">IF(I69="SUSPENSION",0,IF(I69="TERMINAL",1,2))</f>
        <v>0</v>
      </c>
      <c r="K69" s="5" t="n">
        <f aca="false">1</f>
        <v>1</v>
      </c>
      <c r="L69" s="5" t="n">
        <f aca="false">1</f>
        <v>1</v>
      </c>
      <c r="M69" s="18" t="n">
        <f aca="false">O69*Parametros!$E$6</f>
        <v>0</v>
      </c>
      <c r="N69" s="0" t="str">
        <f aca="false">IF(I69="SUSPENSION","CAC-S",IF(I69="ANGULO","CAC-A",IF(I69="TERMINAL","CAC-T",IF(OR(I69="ANCLAJE",I69="ANCLAJE_PROPUESTO"),"CAC-R","SIN-RECETA"))))</f>
        <v>CAC-S</v>
      </c>
      <c r="O69" s="0" t="n">
        <f aca="false">IF(OR(I69="ANCLAJE",I69="ANCLAJE_PROPUESTO",I69="TERMINAL"),Parametros!$E$5,0)</f>
        <v>0</v>
      </c>
      <c r="P69" s="0" t="n">
        <f aca="false">G69/SIN(RADIANS(Criterios_M01!$C$2))+Criterios_M01!$C$3</f>
        <v>17.9906637611548</v>
      </c>
      <c r="Q69" s="0" t="n">
        <f aca="false">G69+Criterios_M01!$C$4</f>
        <v>13.6</v>
      </c>
      <c r="R69" s="0" t="n">
        <f aca="false">ROUNDUP(G69/Criterios_M01!$C$5,0)+1</f>
        <v>12</v>
      </c>
      <c r="S69" s="0" t="n">
        <f aca="false">(SUMIF(Vanos!$B$7:$B$116,A69,Vanos!$N$7:$N$116)+SUMIF(Vanos!$C$7:$C$116,A69,Vanos!$N$7:$N$116))/2</f>
        <v>206.444383226727</v>
      </c>
    </row>
    <row r="70" customFormat="false" ht="21" hidden="false" customHeight="true" outlineLevel="0" collapsed="false">
      <c r="A70" s="1" t="s">
        <v>251</v>
      </c>
      <c r="B70" s="17" t="n">
        <v>425404.059466079</v>
      </c>
      <c r="C70" s="17" t="n">
        <v>8433236.82652057</v>
      </c>
      <c r="D70" s="17" t="n">
        <v>3599.57481212918</v>
      </c>
      <c r="E70" s="17" t="n">
        <v>13</v>
      </c>
      <c r="F70" s="17" t="n">
        <v>1.9</v>
      </c>
      <c r="G70" s="17" t="n">
        <v>10.6</v>
      </c>
      <c r="H70" s="17" t="n">
        <v>44.6190666256055</v>
      </c>
      <c r="I70" s="9" t="s">
        <v>453</v>
      </c>
      <c r="J70" s="5" t="n">
        <f aca="false">IF(I70="SUSPENSION",0,IF(I70="TERMINAL",1,2))</f>
        <v>2</v>
      </c>
      <c r="K70" s="5" t="n">
        <f aca="false">1</f>
        <v>1</v>
      </c>
      <c r="L70" s="5" t="n">
        <f aca="false">1</f>
        <v>1</v>
      </c>
      <c r="M70" s="18" t="n">
        <f aca="false">O70*Parametros!$E$6</f>
        <v>6</v>
      </c>
      <c r="N70" s="0" t="str">
        <f aca="false">IF(I70="SUSPENSION","CAC-S",IF(I70="ANGULO","CAC-A",IF(I70="TERMINAL","CAC-T",IF(OR(I70="ANCLAJE",I70="ANCLAJE_PROPUESTO"),"CAC-R","SIN-RECETA"))))</f>
        <v>CAC-R</v>
      </c>
      <c r="O70" s="0" t="n">
        <f aca="false">IF(OR(I70="ANCLAJE",I70="ANCLAJE_PROPUESTO",I70="TERMINAL"),Parametros!$E$5,0)</f>
        <v>3</v>
      </c>
      <c r="P70" s="0" t="n">
        <f aca="false">G70/SIN(RADIANS(Criterios_M01!$C$2))+Criterios_M01!$C$3</f>
        <v>17.9906637611548</v>
      </c>
      <c r="Q70" s="0" t="n">
        <f aca="false">G70+Criterios_M01!$C$4</f>
        <v>13.6</v>
      </c>
      <c r="R70" s="0" t="n">
        <f aca="false">ROUNDUP(G70/Criterios_M01!$C$5,0)+1</f>
        <v>12</v>
      </c>
      <c r="S70" s="0" t="n">
        <f aca="false">(SUMIF(Vanos!$B$7:$B$116,A70,Vanos!$N$7:$N$116)+SUMIF(Vanos!$C$7:$C$116,A70,Vanos!$N$7:$N$116))/2</f>
        <v>188.182347108993</v>
      </c>
    </row>
    <row r="71" customFormat="false" ht="21" hidden="false" customHeight="true" outlineLevel="0" collapsed="false">
      <c r="A71" s="1" t="s">
        <v>252</v>
      </c>
      <c r="B71" s="17" t="n">
        <v>425363.45149875</v>
      </c>
      <c r="C71" s="17" t="n">
        <v>8433198.25124322</v>
      </c>
      <c r="D71" s="17" t="n">
        <v>3609.24277004226</v>
      </c>
      <c r="E71" s="17" t="n">
        <v>15</v>
      </c>
      <c r="F71" s="17" t="n">
        <v>2.1</v>
      </c>
      <c r="G71" s="17" t="n">
        <v>12.4</v>
      </c>
      <c r="H71" s="17" t="n">
        <v>26.2749807000703</v>
      </c>
      <c r="I71" s="9" t="s">
        <v>454</v>
      </c>
      <c r="J71" s="5" t="n">
        <f aca="false">IF(I71="SUSPENSION",0,IF(I71="TERMINAL",1,2))</f>
        <v>2</v>
      </c>
      <c r="K71" s="5" t="n">
        <f aca="false">1</f>
        <v>1</v>
      </c>
      <c r="L71" s="5" t="n">
        <f aca="false">1</f>
        <v>1</v>
      </c>
      <c r="M71" s="18" t="n">
        <f aca="false">O71*Parametros!$E$6</f>
        <v>0</v>
      </c>
      <c r="N71" s="0" t="str">
        <f aca="false">IF(I71="SUSPENSION","CAC-S",IF(I71="ANGULO","CAC-A",IF(I71="TERMINAL","CAC-T",IF(OR(I71="ANCLAJE",I71="ANCLAJE_PROPUESTO"),"CAC-R","SIN-RECETA"))))</f>
        <v>CAC-A</v>
      </c>
      <c r="O71" s="0" t="n">
        <f aca="false">IF(OR(I71="ANCLAJE",I71="ANCLAJE_PROPUESTO",I71="TERMINAL"),Parametros!$E$5,0)</f>
        <v>0</v>
      </c>
      <c r="P71" s="0" t="n">
        <f aca="false">G71/SIN(RADIANS(Criterios_M01!$C$2))+Criterios_M01!$C$3</f>
        <v>20.5362481734264</v>
      </c>
      <c r="Q71" s="0" t="n">
        <f aca="false">G71+Criterios_M01!$C$4</f>
        <v>15.4</v>
      </c>
      <c r="R71" s="0" t="n">
        <f aca="false">ROUNDUP(G71/Criterios_M01!$C$5,0)+1</f>
        <v>14</v>
      </c>
      <c r="S71" s="0" t="n">
        <f aca="false">(SUMIF(Vanos!$B$7:$B$116,A71,Vanos!$N$7:$N$116)+SUMIF(Vanos!$C$7:$C$116,A71,Vanos!$N$7:$N$116))/2</f>
        <v>192.044433119102</v>
      </c>
    </row>
    <row r="72" customFormat="false" ht="21" hidden="false" customHeight="true" outlineLevel="0" collapsed="false">
      <c r="A72" s="1" t="s">
        <v>253</v>
      </c>
      <c r="B72" s="17" t="n">
        <v>425339.356545603</v>
      </c>
      <c r="C72" s="17" t="n">
        <v>8433132.74727216</v>
      </c>
      <c r="D72" s="17" t="n">
        <v>3621.42744198809</v>
      </c>
      <c r="E72" s="17" t="n">
        <v>15</v>
      </c>
      <c r="F72" s="17" t="n">
        <v>2.1</v>
      </c>
      <c r="G72" s="17" t="n">
        <v>12.4</v>
      </c>
      <c r="H72" s="17" t="n">
        <v>0</v>
      </c>
      <c r="I72" s="9" t="s">
        <v>452</v>
      </c>
      <c r="J72" s="5" t="n">
        <f aca="false">IF(I72="SUSPENSION",0,IF(I72="TERMINAL",1,2))</f>
        <v>0</v>
      </c>
      <c r="K72" s="5" t="n">
        <f aca="false">1</f>
        <v>1</v>
      </c>
      <c r="L72" s="5" t="n">
        <f aca="false">1</f>
        <v>1</v>
      </c>
      <c r="M72" s="18" t="n">
        <f aca="false">O72*Parametros!$E$6</f>
        <v>0</v>
      </c>
      <c r="N72" s="0" t="str">
        <f aca="false">IF(I72="SUSPENSION","CAC-S",IF(I72="ANGULO","CAC-A",IF(I72="TERMINAL","CAC-T",IF(OR(I72="ANCLAJE",I72="ANCLAJE_PROPUESTO"),"CAC-R","SIN-RECETA"))))</f>
        <v>CAC-S</v>
      </c>
      <c r="O72" s="0" t="n">
        <f aca="false">IF(OR(I72="ANCLAJE",I72="ANCLAJE_PROPUESTO",I72="TERMINAL"),Parametros!$E$5,0)</f>
        <v>0</v>
      </c>
      <c r="P72" s="0" t="n">
        <f aca="false">G72/SIN(RADIANS(Criterios_M01!$C$2))+Criterios_M01!$C$3</f>
        <v>20.5362481734264</v>
      </c>
      <c r="Q72" s="0" t="n">
        <f aca="false">G72+Criterios_M01!$C$4</f>
        <v>15.4</v>
      </c>
      <c r="R72" s="0" t="n">
        <f aca="false">ROUNDUP(G72/Criterios_M01!$C$5,0)+1</f>
        <v>14</v>
      </c>
      <c r="S72" s="0" t="n">
        <f aca="false">(SUMIF(Vanos!$B$7:$B$116,A72,Vanos!$N$7:$N$116)+SUMIF(Vanos!$C$7:$C$116,A72,Vanos!$N$7:$N$116))/2</f>
        <v>211.111135069087</v>
      </c>
    </row>
    <row r="73" customFormat="false" ht="21" hidden="false" customHeight="true" outlineLevel="0" collapsed="false">
      <c r="A73" s="1" t="s">
        <v>254</v>
      </c>
      <c r="B73" s="17" t="n">
        <v>425315.261592456</v>
      </c>
      <c r="C73" s="17" t="n">
        <v>8433067.24330109</v>
      </c>
      <c r="D73" s="17" t="n">
        <v>3624.87492718263</v>
      </c>
      <c r="E73" s="17" t="n">
        <v>15</v>
      </c>
      <c r="F73" s="17" t="n">
        <v>2.1</v>
      </c>
      <c r="G73" s="17" t="n">
        <v>12.4</v>
      </c>
      <c r="H73" s="17" t="n">
        <v>19.9367515837838</v>
      </c>
      <c r="I73" s="9" t="s">
        <v>454</v>
      </c>
      <c r="J73" s="5" t="n">
        <f aca="false">IF(I73="SUSPENSION",0,IF(I73="TERMINAL",1,2))</f>
        <v>2</v>
      </c>
      <c r="K73" s="5" t="n">
        <f aca="false">1</f>
        <v>1</v>
      </c>
      <c r="L73" s="5" t="n">
        <f aca="false">1</f>
        <v>1</v>
      </c>
      <c r="M73" s="18" t="n">
        <f aca="false">O73*Parametros!$E$6</f>
        <v>0</v>
      </c>
      <c r="N73" s="0" t="str">
        <f aca="false">IF(I73="SUSPENSION","CAC-S",IF(I73="ANGULO","CAC-A",IF(I73="TERMINAL","CAC-T",IF(OR(I73="ANCLAJE",I73="ANCLAJE_PROPUESTO"),"CAC-R","SIN-RECETA"))))</f>
        <v>CAC-A</v>
      </c>
      <c r="O73" s="0" t="n">
        <f aca="false">IF(OR(I73="ANCLAJE",I73="ANCLAJE_PROPUESTO",I73="TERMINAL"),Parametros!$E$5,0)</f>
        <v>0</v>
      </c>
      <c r="P73" s="0" t="n">
        <f aca="false">G73/SIN(RADIANS(Criterios_M01!$C$2))+Criterios_M01!$C$3</f>
        <v>20.5362481734264</v>
      </c>
      <c r="Q73" s="0" t="n">
        <f aca="false">G73+Criterios_M01!$C$4</f>
        <v>15.4</v>
      </c>
      <c r="R73" s="0" t="n">
        <f aca="false">ROUNDUP(G73/Criterios_M01!$C$5,0)+1</f>
        <v>14</v>
      </c>
      <c r="S73" s="0" t="n">
        <f aca="false">(SUMIF(Vanos!$B$7:$B$116,A73,Vanos!$N$7:$N$116)+SUMIF(Vanos!$C$7:$C$116,A73,Vanos!$N$7:$N$116))/2</f>
        <v>191.980345522836</v>
      </c>
    </row>
    <row r="74" customFormat="false" ht="21" hidden="false" customHeight="true" outlineLevel="0" collapsed="false">
      <c r="A74" s="1" t="s">
        <v>255</v>
      </c>
      <c r="B74" s="17" t="n">
        <v>425278.595969427</v>
      </c>
      <c r="C74" s="17" t="n">
        <v>8433023.75121587</v>
      </c>
      <c r="D74" s="17" t="n">
        <v>3636.68883104864</v>
      </c>
      <c r="E74" s="17" t="n">
        <v>15</v>
      </c>
      <c r="F74" s="17" t="n">
        <v>2.1</v>
      </c>
      <c r="G74" s="17" t="n">
        <v>12.4</v>
      </c>
      <c r="H74" s="17" t="n">
        <v>8.53773646251594E-007</v>
      </c>
      <c r="I74" s="9" t="s">
        <v>452</v>
      </c>
      <c r="J74" s="5" t="n">
        <f aca="false">IF(I74="SUSPENSION",0,IF(I74="TERMINAL",1,2))</f>
        <v>0</v>
      </c>
      <c r="K74" s="5" t="n">
        <f aca="false">1</f>
        <v>1</v>
      </c>
      <c r="L74" s="5" t="n">
        <f aca="false">1</f>
        <v>1</v>
      </c>
      <c r="M74" s="18" t="n">
        <f aca="false">O74*Parametros!$E$6</f>
        <v>0</v>
      </c>
      <c r="N74" s="0" t="str">
        <f aca="false">IF(I74="SUSPENSION","CAC-S",IF(I74="ANGULO","CAC-A",IF(I74="TERMINAL","CAC-T",IF(OR(I74="ANCLAJE",I74="ANCLAJE_PROPUESTO"),"CAC-R","SIN-RECETA"))))</f>
        <v>CAC-S</v>
      </c>
      <c r="O74" s="0" t="n">
        <f aca="false">IF(OR(I74="ANCLAJE",I74="ANCLAJE_PROPUESTO",I74="TERMINAL"),Parametros!$E$5,0)</f>
        <v>0</v>
      </c>
      <c r="P74" s="0" t="n">
        <f aca="false">G74/SIN(RADIANS(Criterios_M01!$C$2))+Criterios_M01!$C$3</f>
        <v>20.5362481734264</v>
      </c>
      <c r="Q74" s="0" t="n">
        <f aca="false">G74+Criterios_M01!$C$4</f>
        <v>15.4</v>
      </c>
      <c r="R74" s="0" t="n">
        <f aca="false">ROUNDUP(G74/Criterios_M01!$C$5,0)+1</f>
        <v>14</v>
      </c>
      <c r="S74" s="0" t="n">
        <f aca="false">(SUMIF(Vanos!$B$7:$B$116,A74,Vanos!$N$7:$N$116)+SUMIF(Vanos!$C$7:$C$116,A74,Vanos!$N$7:$N$116))/2</f>
        <v>173.721431007013</v>
      </c>
    </row>
    <row r="75" customFormat="false" ht="21" hidden="false" customHeight="true" outlineLevel="0" collapsed="false">
      <c r="A75" s="1" t="s">
        <v>256</v>
      </c>
      <c r="B75" s="17" t="n">
        <v>425241.930346399</v>
      </c>
      <c r="C75" s="17" t="n">
        <v>8432980.25913064</v>
      </c>
      <c r="D75" s="17" t="n">
        <v>3648.20963643004</v>
      </c>
      <c r="E75" s="17" t="n">
        <v>13</v>
      </c>
      <c r="F75" s="17" t="n">
        <v>1.9</v>
      </c>
      <c r="G75" s="17" t="n">
        <v>10.6</v>
      </c>
      <c r="H75" s="17" t="n">
        <v>12.2293274950797</v>
      </c>
      <c r="I75" s="9" t="s">
        <v>454</v>
      </c>
      <c r="J75" s="5" t="n">
        <f aca="false">IF(I75="SUSPENSION",0,IF(I75="TERMINAL",1,2))</f>
        <v>2</v>
      </c>
      <c r="K75" s="5" t="n">
        <f aca="false">1</f>
        <v>1</v>
      </c>
      <c r="L75" s="5" t="n">
        <f aca="false">1</f>
        <v>1</v>
      </c>
      <c r="M75" s="18" t="n">
        <f aca="false">O75*Parametros!$E$6</f>
        <v>0</v>
      </c>
      <c r="N75" s="0" t="str">
        <f aca="false">IF(I75="SUSPENSION","CAC-S",IF(I75="ANGULO","CAC-A",IF(I75="TERMINAL","CAC-T",IF(OR(I75="ANCLAJE",I75="ANCLAJE_PROPUESTO"),"CAC-R","SIN-RECETA"))))</f>
        <v>CAC-A</v>
      </c>
      <c r="O75" s="0" t="n">
        <f aca="false">IF(OR(I75="ANCLAJE",I75="ANCLAJE_PROPUESTO",I75="TERMINAL"),Parametros!$E$5,0)</f>
        <v>0</v>
      </c>
      <c r="P75" s="0" t="n">
        <f aca="false">G75/SIN(RADIANS(Criterios_M01!$C$2))+Criterios_M01!$C$3</f>
        <v>17.9906637611548</v>
      </c>
      <c r="Q75" s="0" t="n">
        <f aca="false">G75+Criterios_M01!$C$4</f>
        <v>13.6</v>
      </c>
      <c r="R75" s="0" t="n">
        <f aca="false">ROUNDUP(G75/Criterios_M01!$C$5,0)+1</f>
        <v>12</v>
      </c>
      <c r="S75" s="0" t="n">
        <f aca="false">(SUMIF(Vanos!$B$7:$B$116,A75,Vanos!$N$7:$N$116)+SUMIF(Vanos!$C$7:$C$116,A75,Vanos!$N$7:$N$116))/2</f>
        <v>188.893904102415</v>
      </c>
    </row>
    <row r="76" customFormat="false" ht="21" hidden="false" customHeight="true" outlineLevel="0" collapsed="false">
      <c r="A76" s="1" t="s">
        <v>257</v>
      </c>
      <c r="B76" s="17" t="n">
        <v>425210.038319296</v>
      </c>
      <c r="C76" s="17" t="n">
        <v>8432920.03305551</v>
      </c>
      <c r="D76" s="17" t="n">
        <v>3645.27846410896</v>
      </c>
      <c r="E76" s="17" t="n">
        <v>13</v>
      </c>
      <c r="F76" s="17" t="n">
        <v>1.9</v>
      </c>
      <c r="G76" s="17" t="n">
        <v>10.6</v>
      </c>
      <c r="H76" s="17" t="n">
        <v>0</v>
      </c>
      <c r="I76" s="9" t="s">
        <v>455</v>
      </c>
      <c r="J76" s="5" t="n">
        <f aca="false">IF(I76="SUSPENSION",0,IF(I76="TERMINAL",1,2))</f>
        <v>2</v>
      </c>
      <c r="K76" s="5" t="n">
        <f aca="false">1</f>
        <v>1</v>
      </c>
      <c r="L76" s="5" t="n">
        <f aca="false">1</f>
        <v>1</v>
      </c>
      <c r="M76" s="18" t="n">
        <f aca="false">O76*Parametros!$E$6</f>
        <v>6</v>
      </c>
      <c r="N76" s="0" t="str">
        <f aca="false">IF(I76="SUSPENSION","CAC-S",IF(I76="ANGULO","CAC-A",IF(I76="TERMINAL","CAC-T",IF(OR(I76="ANCLAJE",I76="ANCLAJE_PROPUESTO"),"CAC-R","SIN-RECETA"))))</f>
        <v>CAC-R</v>
      </c>
      <c r="O76" s="0" t="n">
        <f aca="false">IF(OR(I76="ANCLAJE",I76="ANCLAJE_PROPUESTO",I76="TERMINAL"),Parametros!$E$5,0)</f>
        <v>3</v>
      </c>
      <c r="P76" s="0" t="n">
        <f aca="false">G76/SIN(RADIANS(Criterios_M01!$C$2))+Criterios_M01!$C$3</f>
        <v>17.9906637611548</v>
      </c>
      <c r="Q76" s="0" t="n">
        <f aca="false">G76+Criterios_M01!$C$4</f>
        <v>13.6</v>
      </c>
      <c r="R76" s="0" t="n">
        <f aca="false">ROUNDUP(G76/Criterios_M01!$C$5,0)+1</f>
        <v>12</v>
      </c>
      <c r="S76" s="0" t="n">
        <f aca="false">(SUMIF(Vanos!$B$7:$B$116,A76,Vanos!$N$7:$N$116)+SUMIF(Vanos!$C$7:$C$116,A76,Vanos!$N$7:$N$116))/2</f>
        <v>204.589595995882</v>
      </c>
    </row>
    <row r="77" customFormat="false" ht="21" hidden="false" customHeight="true" outlineLevel="0" collapsed="false">
      <c r="A77" s="1" t="s">
        <v>258</v>
      </c>
      <c r="B77" s="17" t="n">
        <v>425178.146292192</v>
      </c>
      <c r="C77" s="17" t="n">
        <v>8432859.80698038</v>
      </c>
      <c r="D77" s="17" t="n">
        <v>3647.03458771134</v>
      </c>
      <c r="E77" s="17" t="n">
        <v>13</v>
      </c>
      <c r="F77" s="17" t="n">
        <v>1.9</v>
      </c>
      <c r="G77" s="17" t="n">
        <v>10.6</v>
      </c>
      <c r="H77" s="17" t="n">
        <v>12.6743163440496</v>
      </c>
      <c r="I77" s="9" t="s">
        <v>454</v>
      </c>
      <c r="J77" s="5" t="n">
        <f aca="false">IF(I77="SUSPENSION",0,IF(I77="TERMINAL",1,2))</f>
        <v>2</v>
      </c>
      <c r="K77" s="5" t="n">
        <f aca="false">1</f>
        <v>1</v>
      </c>
      <c r="L77" s="5" t="n">
        <f aca="false">1</f>
        <v>1</v>
      </c>
      <c r="M77" s="18" t="n">
        <f aca="false">O77*Parametros!$E$6</f>
        <v>0</v>
      </c>
      <c r="N77" s="0" t="str">
        <f aca="false">IF(I77="SUSPENSION","CAC-S",IF(I77="ANGULO","CAC-A",IF(I77="TERMINAL","CAC-T",IF(OR(I77="ANCLAJE",I77="ANCLAJE_PROPUESTO"),"CAC-R","SIN-RECETA"))))</f>
        <v>CAC-A</v>
      </c>
      <c r="O77" s="0" t="n">
        <f aca="false">IF(OR(I77="ANCLAJE",I77="ANCLAJE_PROPUESTO",I77="TERMINAL"),Parametros!$E$5,0)</f>
        <v>0</v>
      </c>
      <c r="P77" s="0" t="n">
        <f aca="false">G77/SIN(RADIANS(Criterios_M01!$C$2))+Criterios_M01!$C$3</f>
        <v>17.9906637611548</v>
      </c>
      <c r="Q77" s="0" t="n">
        <f aca="false">G77+Criterios_M01!$C$4</f>
        <v>13.6</v>
      </c>
      <c r="R77" s="0" t="n">
        <f aca="false">ROUNDUP(G77/Criterios_M01!$C$5,0)+1</f>
        <v>12</v>
      </c>
      <c r="S77" s="0" t="n">
        <f aca="false">(SUMIF(Vanos!$B$7:$B$116,A77,Vanos!$N$7:$N$116)+SUMIF(Vanos!$C$7:$C$116,A77,Vanos!$N$7:$N$116))/2</f>
        <v>190.292157815716</v>
      </c>
    </row>
    <row r="78" customFormat="false" ht="21" hidden="false" customHeight="true" outlineLevel="0" collapsed="false">
      <c r="A78" s="1" t="s">
        <v>259</v>
      </c>
      <c r="B78" s="17" t="n">
        <v>425139.977774739</v>
      </c>
      <c r="C78" s="17" t="n">
        <v>8432815.23922095</v>
      </c>
      <c r="D78" s="17" t="n">
        <v>3646.35369941772</v>
      </c>
      <c r="E78" s="17" t="n">
        <v>13</v>
      </c>
      <c r="F78" s="17" t="n">
        <v>1.9</v>
      </c>
      <c r="G78" s="17" t="n">
        <v>10.6</v>
      </c>
      <c r="H78" s="17" t="n">
        <v>0</v>
      </c>
      <c r="I78" s="9" t="s">
        <v>455</v>
      </c>
      <c r="J78" s="5" t="n">
        <f aca="false">IF(I78="SUSPENSION",0,IF(I78="TERMINAL",1,2))</f>
        <v>2</v>
      </c>
      <c r="K78" s="5" t="n">
        <f aca="false">1</f>
        <v>1</v>
      </c>
      <c r="L78" s="5" t="n">
        <f aca="false">1</f>
        <v>1</v>
      </c>
      <c r="M78" s="18" t="n">
        <f aca="false">O78*Parametros!$E$6</f>
        <v>6</v>
      </c>
      <c r="N78" s="0" t="str">
        <f aca="false">IF(I78="SUSPENSION","CAC-S",IF(I78="ANGULO","CAC-A",IF(I78="TERMINAL","CAC-T",IF(OR(I78="ANCLAJE",I78="ANCLAJE_PROPUESTO"),"CAC-R","SIN-RECETA"))))</f>
        <v>CAC-R</v>
      </c>
      <c r="O78" s="0" t="n">
        <f aca="false">IF(OR(I78="ANCLAJE",I78="ANCLAJE_PROPUESTO",I78="TERMINAL"),Parametros!$E$5,0)</f>
        <v>3</v>
      </c>
      <c r="P78" s="0" t="n">
        <f aca="false">G78/SIN(RADIANS(Criterios_M01!$C$2))+Criterios_M01!$C$3</f>
        <v>17.9906637611548</v>
      </c>
      <c r="Q78" s="0" t="n">
        <f aca="false">G78+Criterios_M01!$C$4</f>
        <v>13.6</v>
      </c>
      <c r="R78" s="0" t="n">
        <f aca="false">ROUNDUP(G78/Criterios_M01!$C$5,0)+1</f>
        <v>12</v>
      </c>
      <c r="S78" s="0" t="n">
        <f aca="false">(SUMIF(Vanos!$B$7:$B$116,A78,Vanos!$N$7:$N$116)+SUMIF(Vanos!$C$7:$C$116,A78,Vanos!$N$7:$N$116))/2</f>
        <v>177.707610106836</v>
      </c>
    </row>
    <row r="79" customFormat="false" ht="21" hidden="false" customHeight="true" outlineLevel="0" collapsed="false">
      <c r="A79" s="1" t="s">
        <v>260</v>
      </c>
      <c r="B79" s="17" t="n">
        <v>425101.809257287</v>
      </c>
      <c r="C79" s="17" t="n">
        <v>8432770.67146153</v>
      </c>
      <c r="D79" s="17" t="n">
        <v>3655.99771882577</v>
      </c>
      <c r="E79" s="17" t="n">
        <v>15</v>
      </c>
      <c r="F79" s="17" t="n">
        <v>2.1</v>
      </c>
      <c r="G79" s="17" t="n">
        <v>12.4</v>
      </c>
      <c r="H79" s="17" t="n">
        <v>8.09495379775225</v>
      </c>
      <c r="I79" s="9" t="s">
        <v>454</v>
      </c>
      <c r="J79" s="5" t="n">
        <f aca="false">IF(I79="SUSPENSION",0,IF(I79="TERMINAL",1,2))</f>
        <v>2</v>
      </c>
      <c r="K79" s="5" t="n">
        <f aca="false">1</f>
        <v>1</v>
      </c>
      <c r="L79" s="5" t="n">
        <f aca="false">1</f>
        <v>1</v>
      </c>
      <c r="M79" s="18" t="n">
        <f aca="false">O79*Parametros!$E$6</f>
        <v>0</v>
      </c>
      <c r="N79" s="0" t="str">
        <f aca="false">IF(I79="SUSPENSION","CAC-S",IF(I79="ANGULO","CAC-A",IF(I79="TERMINAL","CAC-T",IF(OR(I79="ANCLAJE",I79="ANCLAJE_PROPUESTO"),"CAC-R","SIN-RECETA"))))</f>
        <v>CAC-A</v>
      </c>
      <c r="O79" s="0" t="n">
        <f aca="false">IF(OR(I79="ANCLAJE",I79="ANCLAJE_PROPUESTO",I79="TERMINAL"),Parametros!$E$5,0)</f>
        <v>0</v>
      </c>
      <c r="P79" s="0" t="n">
        <f aca="false">G79/SIN(RADIANS(Criterios_M01!$C$2))+Criterios_M01!$C$3</f>
        <v>20.5362481734264</v>
      </c>
      <c r="Q79" s="0" t="n">
        <f aca="false">G79+Criterios_M01!$C$4</f>
        <v>15.4</v>
      </c>
      <c r="R79" s="0" t="n">
        <f aca="false">ROUNDUP(G79/Criterios_M01!$C$5,0)+1</f>
        <v>14</v>
      </c>
      <c r="S79" s="0" t="n">
        <f aca="false">(SUMIF(Vanos!$B$7:$B$116,A79,Vanos!$N$7:$N$116)+SUMIF(Vanos!$C$7:$C$116,A79,Vanos!$N$7:$N$116))/2</f>
        <v>198.472419809553</v>
      </c>
    </row>
    <row r="80" customFormat="false" ht="21" hidden="false" customHeight="true" outlineLevel="0" collapsed="false">
      <c r="A80" s="1" t="s">
        <v>261</v>
      </c>
      <c r="B80" s="17" t="n">
        <v>425063.285264057</v>
      </c>
      <c r="C80" s="17" t="n">
        <v>8432710.15967561</v>
      </c>
      <c r="D80" s="17" t="n">
        <v>3664.86472793903</v>
      </c>
      <c r="E80" s="17" t="n">
        <v>17</v>
      </c>
      <c r="F80" s="17" t="n">
        <v>2.1</v>
      </c>
      <c r="G80" s="17" t="n">
        <v>14.2</v>
      </c>
      <c r="H80" s="17" t="n">
        <v>0</v>
      </c>
      <c r="I80" s="9" t="s">
        <v>452</v>
      </c>
      <c r="J80" s="5" t="n">
        <f aca="false">IF(I80="SUSPENSION",0,IF(I80="TERMINAL",1,2))</f>
        <v>0</v>
      </c>
      <c r="K80" s="5" t="n">
        <f aca="false">1</f>
        <v>1</v>
      </c>
      <c r="L80" s="5" t="n">
        <f aca="false">1</f>
        <v>1</v>
      </c>
      <c r="M80" s="18" t="n">
        <f aca="false">O80*Parametros!$E$6</f>
        <v>0</v>
      </c>
      <c r="N80" s="0" t="str">
        <f aca="false">IF(I80="SUSPENSION","CAC-S",IF(I80="ANGULO","CAC-A",IF(I80="TERMINAL","CAC-T",IF(OR(I80="ANCLAJE",I80="ANCLAJE_PROPUESTO"),"CAC-R","SIN-RECETA"))))</f>
        <v>CAC-S</v>
      </c>
      <c r="O80" s="0" t="n">
        <f aca="false">IF(OR(I80="ANCLAJE",I80="ANCLAJE_PROPUESTO",I80="TERMINAL"),Parametros!$E$5,0)</f>
        <v>0</v>
      </c>
      <c r="P80" s="0" t="n">
        <f aca="false">G80/SIN(RADIANS(Criterios_M01!$C$2))+Criterios_M01!$C$3</f>
        <v>23.081832585698</v>
      </c>
      <c r="Q80" s="0" t="n">
        <f aca="false">G80+Criterios_M01!$C$4</f>
        <v>17.2</v>
      </c>
      <c r="R80" s="0" t="n">
        <f aca="false">ROUNDUP(G80/Criterios_M01!$C$5,0)+1</f>
        <v>16</v>
      </c>
      <c r="S80" s="0" t="n">
        <f aca="false">(SUMIF(Vanos!$B$7:$B$116,A80,Vanos!$N$7:$N$116)+SUMIF(Vanos!$C$7:$C$116,A80,Vanos!$N$7:$N$116))/2</f>
        <v>216.66781157706</v>
      </c>
    </row>
    <row r="81" customFormat="false" ht="21" hidden="false" customHeight="true" outlineLevel="0" collapsed="false">
      <c r="A81" s="1" t="s">
        <v>262</v>
      </c>
      <c r="B81" s="17" t="n">
        <v>425024.761270827</v>
      </c>
      <c r="C81" s="17" t="n">
        <v>8432649.64788969</v>
      </c>
      <c r="D81" s="17" t="n">
        <v>3661.61782158183</v>
      </c>
      <c r="E81" s="17" t="n">
        <v>15</v>
      </c>
      <c r="F81" s="17" t="n">
        <v>2.1</v>
      </c>
      <c r="G81" s="17" t="n">
        <v>12.4</v>
      </c>
      <c r="H81" s="17" t="n">
        <v>16.10138796052</v>
      </c>
      <c r="I81" s="9" t="s">
        <v>454</v>
      </c>
      <c r="J81" s="5" t="n">
        <f aca="false">IF(I81="SUSPENSION",0,IF(I81="TERMINAL",1,2))</f>
        <v>2</v>
      </c>
      <c r="K81" s="5" t="n">
        <f aca="false">1</f>
        <v>1</v>
      </c>
      <c r="L81" s="5" t="n">
        <f aca="false">1</f>
        <v>1</v>
      </c>
      <c r="M81" s="18" t="n">
        <f aca="false">O81*Parametros!$E$6</f>
        <v>0</v>
      </c>
      <c r="N81" s="0" t="str">
        <f aca="false">IF(I81="SUSPENSION","CAC-S",IF(I81="ANGULO","CAC-A",IF(I81="TERMINAL","CAC-T",IF(OR(I81="ANCLAJE",I81="ANCLAJE_PROPUESTO"),"CAC-R","SIN-RECETA"))))</f>
        <v>CAC-A</v>
      </c>
      <c r="O81" s="0" t="n">
        <f aca="false">IF(OR(I81="ANCLAJE",I81="ANCLAJE_PROPUESTO",I81="TERMINAL"),Parametros!$E$5,0)</f>
        <v>0</v>
      </c>
      <c r="P81" s="0" t="n">
        <f aca="false">G81/SIN(RADIANS(Criterios_M01!$C$2))+Criterios_M01!$C$3</f>
        <v>20.5362481734264</v>
      </c>
      <c r="Q81" s="0" t="n">
        <f aca="false">G81+Criterios_M01!$C$4</f>
        <v>15.4</v>
      </c>
      <c r="R81" s="0" t="n">
        <f aca="false">ROUNDUP(G81/Criterios_M01!$C$5,0)+1</f>
        <v>14</v>
      </c>
      <c r="S81" s="0" t="n">
        <f aca="false">(SUMIF(Vanos!$B$7:$B$116,A81,Vanos!$N$7:$N$116)+SUMIF(Vanos!$C$7:$C$116,A81,Vanos!$N$7:$N$116))/2</f>
        <v>180.781395584175</v>
      </c>
    </row>
    <row r="82" customFormat="false" ht="21" hidden="false" customHeight="true" outlineLevel="0" collapsed="false">
      <c r="A82" s="1" t="s">
        <v>263</v>
      </c>
      <c r="B82" s="17" t="n">
        <v>424988.407022433</v>
      </c>
      <c r="C82" s="17" t="n">
        <v>8432617.57891623</v>
      </c>
      <c r="D82" s="17" t="n">
        <v>3666.90136211198</v>
      </c>
      <c r="E82" s="17" t="n">
        <v>13</v>
      </c>
      <c r="F82" s="17" t="n">
        <v>1.9</v>
      </c>
      <c r="G82" s="17" t="n">
        <v>10.6</v>
      </c>
      <c r="H82" s="17" t="n">
        <v>20.8469878029126</v>
      </c>
      <c r="I82" s="9" t="s">
        <v>454</v>
      </c>
      <c r="J82" s="5" t="n">
        <f aca="false">IF(I82="SUSPENSION",0,IF(I82="TERMINAL",1,2))</f>
        <v>2</v>
      </c>
      <c r="K82" s="5" t="n">
        <f aca="false">1</f>
        <v>1</v>
      </c>
      <c r="L82" s="5" t="n">
        <f aca="false">1</f>
        <v>1</v>
      </c>
      <c r="M82" s="18" t="n">
        <f aca="false">O82*Parametros!$E$6</f>
        <v>0</v>
      </c>
      <c r="N82" s="0" t="str">
        <f aca="false">IF(I82="SUSPENSION","CAC-S",IF(I82="ANGULO","CAC-A",IF(I82="TERMINAL","CAC-T",IF(OR(I82="ANCLAJE",I82="ANCLAJE_PROPUESTO"),"CAC-R","SIN-RECETA"))))</f>
        <v>CAC-A</v>
      </c>
      <c r="O82" s="0" t="n">
        <f aca="false">IF(OR(I82="ANCLAJE",I82="ANCLAJE_PROPUESTO",I82="TERMINAL"),Parametros!$E$5,0)</f>
        <v>0</v>
      </c>
      <c r="P82" s="0" t="n">
        <f aca="false">G82/SIN(RADIANS(Criterios_M01!$C$2))+Criterios_M01!$C$3</f>
        <v>17.9906637611548</v>
      </c>
      <c r="Q82" s="0" t="n">
        <f aca="false">G82+Criterios_M01!$C$4</f>
        <v>13.6</v>
      </c>
      <c r="R82" s="0" t="n">
        <f aca="false">ROUNDUP(G82/Criterios_M01!$C$5,0)+1</f>
        <v>12</v>
      </c>
      <c r="S82" s="0" t="n">
        <f aca="false">(SUMIF(Vanos!$B$7:$B$116,A82,Vanos!$N$7:$N$116)+SUMIF(Vanos!$C$7:$C$116,A82,Vanos!$N$7:$N$116))/2</f>
        <v>152.538542855006</v>
      </c>
    </row>
    <row r="83" customFormat="false" ht="21" hidden="false" customHeight="true" outlineLevel="0" collapsed="false">
      <c r="A83" s="1" t="s">
        <v>264</v>
      </c>
      <c r="B83" s="17" t="n">
        <v>424963.704093446</v>
      </c>
      <c r="C83" s="17" t="n">
        <v>8432570.59992223</v>
      </c>
      <c r="D83" s="17" t="n">
        <v>3665.96737707602</v>
      </c>
      <c r="E83" s="17" t="n">
        <v>13</v>
      </c>
      <c r="F83" s="17" t="n">
        <v>1.9</v>
      </c>
      <c r="G83" s="17" t="n">
        <v>10.6</v>
      </c>
      <c r="H83" s="17" t="n">
        <v>0</v>
      </c>
      <c r="I83" s="9" t="s">
        <v>455</v>
      </c>
      <c r="J83" s="5" t="n">
        <f aca="false">IF(I83="SUSPENSION",0,IF(I83="TERMINAL",1,2))</f>
        <v>2</v>
      </c>
      <c r="K83" s="5" t="n">
        <f aca="false">1</f>
        <v>1</v>
      </c>
      <c r="L83" s="5" t="n">
        <f aca="false">1</f>
        <v>1</v>
      </c>
      <c r="M83" s="18" t="n">
        <f aca="false">O83*Parametros!$E$6</f>
        <v>6</v>
      </c>
      <c r="N83" s="0" t="str">
        <f aca="false">IF(I83="SUSPENSION","CAC-S",IF(I83="ANGULO","CAC-A",IF(I83="TERMINAL","CAC-T",IF(OR(I83="ANCLAJE",I83="ANCLAJE_PROPUESTO"),"CAC-R","SIN-RECETA"))))</f>
        <v>CAC-R</v>
      </c>
      <c r="O83" s="0" t="n">
        <f aca="false">IF(OR(I83="ANCLAJE",I83="ANCLAJE_PROPUESTO",I83="TERMINAL"),Parametros!$E$5,0)</f>
        <v>3</v>
      </c>
      <c r="P83" s="0" t="n">
        <f aca="false">G83/SIN(RADIANS(Criterios_M01!$C$2))+Criterios_M01!$C$3</f>
        <v>17.9906637611548</v>
      </c>
      <c r="Q83" s="0" t="n">
        <f aca="false">G83+Criterios_M01!$C$4</f>
        <v>13.6</v>
      </c>
      <c r="R83" s="0" t="n">
        <f aca="false">ROUNDUP(G83/Criterios_M01!$C$5,0)+1</f>
        <v>12</v>
      </c>
      <c r="S83" s="0" t="n">
        <f aca="false">(SUMIF(Vanos!$B$7:$B$116,A83,Vanos!$N$7:$N$116)+SUMIF(Vanos!$C$7:$C$116,A83,Vanos!$N$7:$N$116))/2</f>
        <v>159.770060331407</v>
      </c>
    </row>
    <row r="84" customFormat="false" ht="21" hidden="false" customHeight="true" outlineLevel="0" collapsed="false">
      <c r="A84" s="1" t="s">
        <v>265</v>
      </c>
      <c r="B84" s="17" t="n">
        <v>424939.001164458</v>
      </c>
      <c r="C84" s="17" t="n">
        <v>8432523.62092824</v>
      </c>
      <c r="D84" s="17" t="n">
        <v>3672.02837489407</v>
      </c>
      <c r="E84" s="17" t="n">
        <v>13</v>
      </c>
      <c r="F84" s="17" t="n">
        <v>1.9</v>
      </c>
      <c r="G84" s="17" t="n">
        <v>10.6</v>
      </c>
      <c r="H84" s="17" t="n">
        <v>12.7003788094166</v>
      </c>
      <c r="I84" s="9" t="s">
        <v>454</v>
      </c>
      <c r="J84" s="5" t="n">
        <f aca="false">IF(I84="SUSPENSION",0,IF(I84="TERMINAL",1,2))</f>
        <v>2</v>
      </c>
      <c r="K84" s="5" t="n">
        <f aca="false">1</f>
        <v>1</v>
      </c>
      <c r="L84" s="5" t="n">
        <f aca="false">1</f>
        <v>1</v>
      </c>
      <c r="M84" s="18" t="n">
        <f aca="false">O84*Parametros!$E$6</f>
        <v>0</v>
      </c>
      <c r="N84" s="0" t="str">
        <f aca="false">IF(I84="SUSPENSION","CAC-S",IF(I84="ANGULO","CAC-A",IF(I84="TERMINAL","CAC-T",IF(OR(I84="ANCLAJE",I84="ANCLAJE_PROPUESTO"),"CAC-R","SIN-RECETA"))))</f>
        <v>CAC-A</v>
      </c>
      <c r="O84" s="0" t="n">
        <f aca="false">IF(OR(I84="ANCLAJE",I84="ANCLAJE_PROPUESTO",I84="TERMINAL"),Parametros!$E$5,0)</f>
        <v>0</v>
      </c>
      <c r="P84" s="0" t="n">
        <f aca="false">G84/SIN(RADIANS(Criterios_M01!$C$2))+Criterios_M01!$C$3</f>
        <v>17.9906637611548</v>
      </c>
      <c r="Q84" s="0" t="n">
        <f aca="false">G84+Criterios_M01!$C$4</f>
        <v>13.6</v>
      </c>
      <c r="R84" s="0" t="n">
        <f aca="false">ROUNDUP(G84/Criterios_M01!$C$5,0)+1</f>
        <v>12</v>
      </c>
      <c r="S84" s="0" t="n">
        <f aca="false">(SUMIF(Vanos!$B$7:$B$116,A84,Vanos!$N$7:$N$116)+SUMIF(Vanos!$C$7:$C$116,A84,Vanos!$N$7:$N$116))/2</f>
        <v>187.808139066138</v>
      </c>
    </row>
    <row r="85" customFormat="false" ht="21" hidden="false" customHeight="true" outlineLevel="0" collapsed="false">
      <c r="A85" s="1" t="s">
        <v>266</v>
      </c>
      <c r="B85" s="17" t="n">
        <v>424920.3818776</v>
      </c>
      <c r="C85" s="17" t="n">
        <v>8432454.30861949</v>
      </c>
      <c r="D85" s="17" t="n">
        <v>3671.1606131333</v>
      </c>
      <c r="E85" s="17" t="n">
        <v>13</v>
      </c>
      <c r="F85" s="17" t="n">
        <v>1.9</v>
      </c>
      <c r="G85" s="17" t="n">
        <v>10.6</v>
      </c>
      <c r="H85" s="17" t="n">
        <v>17.0830116538479</v>
      </c>
      <c r="I85" s="9" t="s">
        <v>454</v>
      </c>
      <c r="J85" s="5" t="n">
        <f aca="false">IF(I85="SUSPENSION",0,IF(I85="TERMINAL",1,2))</f>
        <v>2</v>
      </c>
      <c r="K85" s="5" t="n">
        <f aca="false">1</f>
        <v>1</v>
      </c>
      <c r="L85" s="5" t="n">
        <f aca="false">1</f>
        <v>1</v>
      </c>
      <c r="M85" s="18" t="n">
        <f aca="false">O85*Parametros!$E$6</f>
        <v>0</v>
      </c>
      <c r="N85" s="0" t="str">
        <f aca="false">IF(I85="SUSPENSION","CAC-S",IF(I85="ANGULO","CAC-A",IF(I85="TERMINAL","CAC-T",IF(OR(I85="ANCLAJE",I85="ANCLAJE_PROPUESTO"),"CAC-R","SIN-RECETA"))))</f>
        <v>CAC-A</v>
      </c>
      <c r="O85" s="0" t="n">
        <f aca="false">IF(OR(I85="ANCLAJE",I85="ANCLAJE_PROPUESTO",I85="TERMINAL"),Parametros!$E$5,0)</f>
        <v>0</v>
      </c>
      <c r="P85" s="0" t="n">
        <f aca="false">G85/SIN(RADIANS(Criterios_M01!$C$2))+Criterios_M01!$C$3</f>
        <v>17.9906637611548</v>
      </c>
      <c r="Q85" s="0" t="n">
        <f aca="false">G85+Criterios_M01!$C$4</f>
        <v>13.6</v>
      </c>
      <c r="R85" s="0" t="n">
        <f aca="false">ROUNDUP(G85/Criterios_M01!$C$5,0)+1</f>
        <v>12</v>
      </c>
      <c r="S85" s="0" t="n">
        <f aca="false">(SUMIF(Vanos!$B$7:$B$116,A85,Vanos!$N$7:$N$116)+SUMIF(Vanos!$C$7:$C$116,A85,Vanos!$N$7:$N$116))/2</f>
        <v>209.801989976839</v>
      </c>
    </row>
    <row r="86" customFormat="false" ht="21" hidden="false" customHeight="true" outlineLevel="0" collapsed="false">
      <c r="A86" s="1" t="s">
        <v>267</v>
      </c>
      <c r="B86" s="17" t="n">
        <v>424884.232860741</v>
      </c>
      <c r="C86" s="17" t="n">
        <v>8432396.72533445</v>
      </c>
      <c r="D86" s="17" t="n">
        <v>3674.72346806817</v>
      </c>
      <c r="E86" s="17" t="n">
        <v>13</v>
      </c>
      <c r="F86" s="17" t="n">
        <v>1.9</v>
      </c>
      <c r="G86" s="17" t="n">
        <v>10.6</v>
      </c>
      <c r="H86" s="17" t="n">
        <v>21.810718193323</v>
      </c>
      <c r="I86" s="9" t="s">
        <v>454</v>
      </c>
      <c r="J86" s="5" t="n">
        <f aca="false">IF(I86="SUSPENSION",0,IF(I86="TERMINAL",1,2))</f>
        <v>2</v>
      </c>
      <c r="K86" s="5" t="n">
        <f aca="false">1</f>
        <v>1</v>
      </c>
      <c r="L86" s="5" t="n">
        <f aca="false">1</f>
        <v>1</v>
      </c>
      <c r="M86" s="18" t="n">
        <f aca="false">O86*Parametros!$E$6</f>
        <v>0</v>
      </c>
      <c r="N86" s="0" t="str">
        <f aca="false">IF(I86="SUSPENSION","CAC-S",IF(I86="ANGULO","CAC-A",IF(I86="TERMINAL","CAC-T",IF(OR(I86="ANCLAJE",I86="ANCLAJE_PROPUESTO"),"CAC-R","SIN-RECETA"))))</f>
        <v>CAC-A</v>
      </c>
      <c r="O86" s="0" t="n">
        <f aca="false">IF(OR(I86="ANCLAJE",I86="ANCLAJE_PROPUESTO",I86="TERMINAL"),Parametros!$E$5,0)</f>
        <v>0</v>
      </c>
      <c r="P86" s="0" t="n">
        <f aca="false">G86/SIN(RADIANS(Criterios_M01!$C$2))+Criterios_M01!$C$3</f>
        <v>17.9906637611548</v>
      </c>
      <c r="Q86" s="0" t="n">
        <f aca="false">G86+Criterios_M01!$C$4</f>
        <v>13.6</v>
      </c>
      <c r="R86" s="0" t="n">
        <f aca="false">ROUNDUP(G86/Criterios_M01!$C$5,0)+1</f>
        <v>12</v>
      </c>
      <c r="S86" s="0" t="n">
        <f aca="false">(SUMIF(Vanos!$B$7:$B$116,A86,Vanos!$N$7:$N$116)+SUMIF(Vanos!$C$7:$C$116,A86,Vanos!$N$7:$N$116))/2</f>
        <v>223.13051236046</v>
      </c>
    </row>
    <row r="87" customFormat="false" ht="21" hidden="false" customHeight="true" outlineLevel="0" collapsed="false">
      <c r="A87" s="1" t="s">
        <v>268</v>
      </c>
      <c r="B87" s="17" t="n">
        <v>424819.561465319</v>
      </c>
      <c r="C87" s="17" t="n">
        <v>8432349.61808913</v>
      </c>
      <c r="D87" s="17" t="n">
        <v>3684.93628695236</v>
      </c>
      <c r="E87" s="17" t="n">
        <v>13</v>
      </c>
      <c r="F87" s="17" t="n">
        <v>1.9</v>
      </c>
      <c r="G87" s="17" t="n">
        <v>10.6</v>
      </c>
      <c r="H87" s="17" t="n">
        <v>0</v>
      </c>
      <c r="I87" s="9" t="s">
        <v>452</v>
      </c>
      <c r="J87" s="5" t="n">
        <f aca="false">IF(I87="SUSPENSION",0,IF(I87="TERMINAL",1,2))</f>
        <v>0</v>
      </c>
      <c r="K87" s="5" t="n">
        <f aca="false">1</f>
        <v>1</v>
      </c>
      <c r="L87" s="5" t="n">
        <f aca="false">1</f>
        <v>1</v>
      </c>
      <c r="M87" s="18" t="n">
        <f aca="false">O87*Parametros!$E$6</f>
        <v>0</v>
      </c>
      <c r="N87" s="0" t="str">
        <f aca="false">IF(I87="SUSPENSION","CAC-S",IF(I87="ANGULO","CAC-A",IF(I87="TERMINAL","CAC-T",IF(OR(I87="ANCLAJE",I87="ANCLAJE_PROPUESTO"),"CAC-R","SIN-RECETA"))))</f>
        <v>CAC-S</v>
      </c>
      <c r="O87" s="0" t="n">
        <f aca="false">IF(OR(I87="ANCLAJE",I87="ANCLAJE_PROPUESTO",I87="TERMINAL"),Parametros!$E$5,0)</f>
        <v>0</v>
      </c>
      <c r="P87" s="0" t="n">
        <f aca="false">G87/SIN(RADIANS(Criterios_M01!$C$2))+Criterios_M01!$C$3</f>
        <v>17.9906637611548</v>
      </c>
      <c r="Q87" s="0" t="n">
        <f aca="false">G87+Criterios_M01!$C$4</f>
        <v>13.6</v>
      </c>
      <c r="R87" s="0" t="n">
        <f aca="false">ROUNDUP(G87/Criterios_M01!$C$5,0)+1</f>
        <v>12</v>
      </c>
      <c r="S87" s="0" t="n">
        <f aca="false">(SUMIF(Vanos!$B$7:$B$116,A87,Vanos!$N$7:$N$116)+SUMIF(Vanos!$C$7:$C$116,A87,Vanos!$N$7:$N$116))/2</f>
        <v>241.1953450279</v>
      </c>
    </row>
    <row r="88" customFormat="false" ht="21" hidden="false" customHeight="true" outlineLevel="0" collapsed="false">
      <c r="A88" s="1" t="s">
        <v>269</v>
      </c>
      <c r="B88" s="17" t="n">
        <v>424754.890069898</v>
      </c>
      <c r="C88" s="17" t="n">
        <v>8432302.51084381</v>
      </c>
      <c r="D88" s="17" t="n">
        <v>3689.20669718662</v>
      </c>
      <c r="E88" s="17" t="n">
        <v>13</v>
      </c>
      <c r="F88" s="17" t="n">
        <v>1.9</v>
      </c>
      <c r="G88" s="17" t="n">
        <v>10.6</v>
      </c>
      <c r="H88" s="17" t="n">
        <v>0</v>
      </c>
      <c r="I88" s="9" t="s">
        <v>455</v>
      </c>
      <c r="J88" s="5" t="n">
        <f aca="false">IF(I88="SUSPENSION",0,IF(I88="TERMINAL",1,2))</f>
        <v>2</v>
      </c>
      <c r="K88" s="5" t="n">
        <f aca="false">1</f>
        <v>1</v>
      </c>
      <c r="L88" s="5" t="n">
        <f aca="false">1</f>
        <v>1</v>
      </c>
      <c r="M88" s="18" t="n">
        <f aca="false">O88*Parametros!$E$6</f>
        <v>6</v>
      </c>
      <c r="N88" s="0" t="str">
        <f aca="false">IF(I88="SUSPENSION","CAC-S",IF(I88="ANGULO","CAC-A",IF(I88="TERMINAL","CAC-T",IF(OR(I88="ANCLAJE",I88="ANCLAJE_PROPUESTO"),"CAC-R","SIN-RECETA"))))</f>
        <v>CAC-R</v>
      </c>
      <c r="O88" s="0" t="n">
        <f aca="false">IF(OR(I88="ANCLAJE",I88="ANCLAJE_PROPUESTO",I88="TERMINAL"),Parametros!$E$5,0)</f>
        <v>3</v>
      </c>
      <c r="P88" s="0" t="n">
        <f aca="false">G88/SIN(RADIANS(Criterios_M01!$C$2))+Criterios_M01!$C$3</f>
        <v>17.9906637611548</v>
      </c>
      <c r="Q88" s="0" t="n">
        <f aca="false">G88+Criterios_M01!$C$4</f>
        <v>13.6</v>
      </c>
      <c r="R88" s="0" t="n">
        <f aca="false">ROUNDUP(G88/Criterios_M01!$C$5,0)+1</f>
        <v>12</v>
      </c>
      <c r="S88" s="0" t="n">
        <f aca="false">(SUMIF(Vanos!$B$7:$B$116,A88,Vanos!$N$7:$N$116)+SUMIF(Vanos!$C$7:$C$116,A88,Vanos!$N$7:$N$116))/2</f>
        <v>241.245607806802</v>
      </c>
    </row>
    <row r="89" customFormat="false" ht="21" hidden="false" customHeight="true" outlineLevel="0" collapsed="false">
      <c r="A89" s="1" t="s">
        <v>270</v>
      </c>
      <c r="B89" s="17" t="n">
        <v>424690.218674476</v>
      </c>
      <c r="C89" s="17" t="n">
        <v>8432255.40359849</v>
      </c>
      <c r="D89" s="17" t="n">
        <v>3699.68089374114</v>
      </c>
      <c r="E89" s="17" t="n">
        <v>13</v>
      </c>
      <c r="F89" s="17" t="n">
        <v>1.9</v>
      </c>
      <c r="G89" s="17" t="n">
        <v>10.6</v>
      </c>
      <c r="H89" s="17" t="n">
        <v>12.4878649335097</v>
      </c>
      <c r="I89" s="9" t="s">
        <v>454</v>
      </c>
      <c r="J89" s="5" t="n">
        <f aca="false">IF(I89="SUSPENSION",0,IF(I89="TERMINAL",1,2))</f>
        <v>2</v>
      </c>
      <c r="K89" s="5" t="n">
        <f aca="false">1</f>
        <v>1</v>
      </c>
      <c r="L89" s="5" t="n">
        <f aca="false">1</f>
        <v>1</v>
      </c>
      <c r="M89" s="18" t="n">
        <f aca="false">O89*Parametros!$E$6</f>
        <v>0</v>
      </c>
      <c r="N89" s="0" t="str">
        <f aca="false">IF(I89="SUSPENSION","CAC-S",IF(I89="ANGULO","CAC-A",IF(I89="TERMINAL","CAC-T",IF(OR(I89="ANCLAJE",I89="ANCLAJE_PROPUESTO"),"CAC-R","SIN-RECETA"))))</f>
        <v>CAC-A</v>
      </c>
      <c r="O89" s="0" t="n">
        <f aca="false">IF(OR(I89="ANCLAJE",I89="ANCLAJE_PROPUESTO",I89="TERMINAL"),Parametros!$E$5,0)</f>
        <v>0</v>
      </c>
      <c r="P89" s="0" t="n">
        <f aca="false">G89/SIN(RADIANS(Criterios_M01!$C$2))+Criterios_M01!$C$3</f>
        <v>17.9906637611548</v>
      </c>
      <c r="Q89" s="0" t="n">
        <f aca="false">G89+Criterios_M01!$C$4</f>
        <v>13.6</v>
      </c>
      <c r="R89" s="0" t="n">
        <f aca="false">ROUNDUP(G89/Criterios_M01!$C$5,0)+1</f>
        <v>12</v>
      </c>
      <c r="S89" s="0" t="n">
        <f aca="false">(SUMIF(Vanos!$B$7:$B$116,A89,Vanos!$N$7:$N$116)+SUMIF(Vanos!$C$7:$C$116,A89,Vanos!$N$7:$N$116))/2</f>
        <v>233.164776373221</v>
      </c>
    </row>
    <row r="90" customFormat="false" ht="21" hidden="false" customHeight="true" outlineLevel="0" collapsed="false">
      <c r="A90" s="1" t="s">
        <v>271</v>
      </c>
      <c r="B90" s="17" t="n">
        <v>424641.066661124</v>
      </c>
      <c r="C90" s="17" t="n">
        <v>8432199.73427796</v>
      </c>
      <c r="D90" s="17" t="n">
        <v>3708.0891795473</v>
      </c>
      <c r="E90" s="17" t="n">
        <v>13</v>
      </c>
      <c r="F90" s="17" t="n">
        <v>1.9</v>
      </c>
      <c r="G90" s="17" t="n">
        <v>10.6</v>
      </c>
      <c r="H90" s="17" t="n">
        <v>0</v>
      </c>
      <c r="I90" s="9" t="s">
        <v>452</v>
      </c>
      <c r="J90" s="5" t="n">
        <f aca="false">IF(I90="SUSPENSION",0,IF(I90="TERMINAL",1,2))</f>
        <v>0</v>
      </c>
      <c r="K90" s="5" t="n">
        <f aca="false">1</f>
        <v>1</v>
      </c>
      <c r="L90" s="5" t="n">
        <f aca="false">1</f>
        <v>1</v>
      </c>
      <c r="M90" s="18" t="n">
        <f aca="false">O90*Parametros!$E$6</f>
        <v>0</v>
      </c>
      <c r="N90" s="0" t="str">
        <f aca="false">IF(I90="SUSPENSION","CAC-S",IF(I90="ANGULO","CAC-A",IF(I90="TERMINAL","CAC-T",IF(OR(I90="ANCLAJE",I90="ANCLAJE_PROPUESTO"),"CAC-R","SIN-RECETA"))))</f>
        <v>CAC-S</v>
      </c>
      <c r="O90" s="0" t="n">
        <f aca="false">IF(OR(I90="ANCLAJE",I90="ANCLAJE_PROPUESTO",I90="TERMINAL"),Parametros!$E$5,0)</f>
        <v>0</v>
      </c>
      <c r="P90" s="0" t="n">
        <f aca="false">G90/SIN(RADIANS(Criterios_M01!$C$2))+Criterios_M01!$C$3</f>
        <v>17.9906637611548</v>
      </c>
      <c r="Q90" s="0" t="n">
        <f aca="false">G90+Criterios_M01!$C$4</f>
        <v>13.6</v>
      </c>
      <c r="R90" s="0" t="n">
        <f aca="false">ROUNDUP(G90/Criterios_M01!$C$5,0)+1</f>
        <v>12</v>
      </c>
      <c r="S90" s="0" t="n">
        <f aca="false">(SUMIF(Vanos!$B$7:$B$116,A90,Vanos!$N$7:$N$116)+SUMIF(Vanos!$C$7:$C$116,A90,Vanos!$N$7:$N$116))/2</f>
        <v>224.059450309166</v>
      </c>
    </row>
    <row r="91" customFormat="false" ht="21" hidden="false" customHeight="true" outlineLevel="0" collapsed="false">
      <c r="A91" s="1" t="s">
        <v>272</v>
      </c>
      <c r="B91" s="17" t="n">
        <v>424591.914647771</v>
      </c>
      <c r="C91" s="17" t="n">
        <v>8432144.06495742</v>
      </c>
      <c r="D91" s="17" t="n">
        <v>3715.41270554867</v>
      </c>
      <c r="E91" s="17" t="n">
        <v>13</v>
      </c>
      <c r="F91" s="17" t="n">
        <v>1.9</v>
      </c>
      <c r="G91" s="17" t="n">
        <v>10.6</v>
      </c>
      <c r="H91" s="17" t="n">
        <v>0</v>
      </c>
      <c r="I91" s="9" t="s">
        <v>455</v>
      </c>
      <c r="J91" s="5" t="n">
        <f aca="false">IF(I91="SUSPENSION",0,IF(I91="TERMINAL",1,2))</f>
        <v>2</v>
      </c>
      <c r="K91" s="5" t="n">
        <f aca="false">1</f>
        <v>1</v>
      </c>
      <c r="L91" s="5" t="n">
        <f aca="false">1</f>
        <v>1</v>
      </c>
      <c r="M91" s="18" t="n">
        <f aca="false">O91*Parametros!$E$6</f>
        <v>6</v>
      </c>
      <c r="N91" s="0" t="str">
        <f aca="false">IF(I91="SUSPENSION","CAC-S",IF(I91="ANGULO","CAC-A",IF(I91="TERMINAL","CAC-T",IF(OR(I91="ANCLAJE",I91="ANCLAJE_PROPUESTO"),"CAC-R","SIN-RECETA"))))</f>
        <v>CAC-R</v>
      </c>
      <c r="O91" s="0" t="n">
        <f aca="false">IF(OR(I91="ANCLAJE",I91="ANCLAJE_PROPUESTO",I91="TERMINAL"),Parametros!$E$5,0)</f>
        <v>3</v>
      </c>
      <c r="P91" s="0" t="n">
        <f aca="false">G91/SIN(RADIANS(Criterios_M01!$C$2))+Criterios_M01!$C$3</f>
        <v>17.9906637611548</v>
      </c>
      <c r="Q91" s="0" t="n">
        <f aca="false">G91+Criterios_M01!$C$4</f>
        <v>13.6</v>
      </c>
      <c r="R91" s="0" t="n">
        <f aca="false">ROUNDUP(G91/Criterios_M01!$C$5,0)+1</f>
        <v>12</v>
      </c>
      <c r="S91" s="0" t="n">
        <f aca="false">(SUMIF(Vanos!$B$7:$B$116,A91,Vanos!$N$7:$N$116)+SUMIF(Vanos!$C$7:$C$116,A91,Vanos!$N$7:$N$116))/2</f>
        <v>224.85401223592</v>
      </c>
    </row>
    <row r="92" customFormat="false" ht="21" hidden="false" customHeight="true" outlineLevel="0" collapsed="false">
      <c r="A92" s="1" t="s">
        <v>273</v>
      </c>
      <c r="B92" s="17" t="n">
        <v>424542.762634419</v>
      </c>
      <c r="C92" s="17" t="n">
        <v>8432088.39563688</v>
      </c>
      <c r="D92" s="17" t="n">
        <v>3727.66686508217</v>
      </c>
      <c r="E92" s="17" t="n">
        <v>13</v>
      </c>
      <c r="F92" s="17" t="n">
        <v>1.9</v>
      </c>
      <c r="G92" s="17" t="n">
        <v>10.6</v>
      </c>
      <c r="H92" s="17" t="n">
        <v>27.8289659352091</v>
      </c>
      <c r="I92" s="9" t="s">
        <v>454</v>
      </c>
      <c r="J92" s="5" t="n">
        <f aca="false">IF(I92="SUSPENSION",0,IF(I92="TERMINAL",1,2))</f>
        <v>2</v>
      </c>
      <c r="K92" s="5" t="n">
        <f aca="false">1</f>
        <v>1</v>
      </c>
      <c r="L92" s="5" t="n">
        <f aca="false">1</f>
        <v>1</v>
      </c>
      <c r="M92" s="18" t="n">
        <f aca="false">O92*Parametros!$E$6</f>
        <v>0</v>
      </c>
      <c r="N92" s="0" t="str">
        <f aca="false">IF(I92="SUSPENSION","CAC-S",IF(I92="ANGULO","CAC-A",IF(I92="TERMINAL","CAC-T",IF(OR(I92="ANCLAJE",I92="ANCLAJE_PROPUESTO"),"CAC-R","SIN-RECETA"))))</f>
        <v>CAC-A</v>
      </c>
      <c r="O92" s="0" t="n">
        <f aca="false">IF(OR(I92="ANCLAJE",I92="ANCLAJE_PROPUESTO",I92="TERMINAL"),Parametros!$E$5,0)</f>
        <v>0</v>
      </c>
      <c r="P92" s="0" t="n">
        <f aca="false">G92/SIN(RADIANS(Criterios_M01!$C$2))+Criterios_M01!$C$3</f>
        <v>17.9906637611548</v>
      </c>
      <c r="Q92" s="0" t="n">
        <f aca="false">G92+Criterios_M01!$C$4</f>
        <v>13.6</v>
      </c>
      <c r="R92" s="0" t="n">
        <f aca="false">ROUNDUP(G92/Criterios_M01!$C$5,0)+1</f>
        <v>12</v>
      </c>
      <c r="S92" s="0" t="n">
        <f aca="false">(SUMIF(Vanos!$B$7:$B$116,A92,Vanos!$N$7:$N$116)+SUMIF(Vanos!$C$7:$C$116,A92,Vanos!$N$7:$N$116))/2</f>
        <v>168.733865235231</v>
      </c>
    </row>
    <row r="93" customFormat="false" ht="21" hidden="false" customHeight="true" outlineLevel="0" collapsed="false">
      <c r="A93" s="1" t="s">
        <v>274</v>
      </c>
      <c r="B93" s="17" t="n">
        <v>424534.04980394</v>
      </c>
      <c r="C93" s="17" t="n">
        <v>8432052.41745417</v>
      </c>
      <c r="D93" s="17" t="n">
        <v>3723.84247925058</v>
      </c>
      <c r="E93" s="17" t="n">
        <v>13</v>
      </c>
      <c r="F93" s="17" t="n">
        <v>1.9</v>
      </c>
      <c r="G93" s="17" t="n">
        <v>10.6</v>
      </c>
      <c r="H93" s="17" t="n">
        <v>22.7655328835673</v>
      </c>
      <c r="I93" s="9" t="s">
        <v>454</v>
      </c>
      <c r="J93" s="5" t="n">
        <f aca="false">IF(I93="SUSPENSION",0,IF(I93="TERMINAL",1,2))</f>
        <v>2</v>
      </c>
      <c r="K93" s="5" t="n">
        <f aca="false">1</f>
        <v>1</v>
      </c>
      <c r="L93" s="5" t="n">
        <f aca="false">1</f>
        <v>1</v>
      </c>
      <c r="M93" s="18" t="n">
        <f aca="false">O93*Parametros!$E$6</f>
        <v>0</v>
      </c>
      <c r="N93" s="0" t="str">
        <f aca="false">IF(I93="SUSPENSION","CAC-S",IF(I93="ANGULO","CAC-A",IF(I93="TERMINAL","CAC-T",IF(OR(I93="ANCLAJE",I93="ANCLAJE_PROPUESTO"),"CAC-R","SIN-RECETA"))))</f>
        <v>CAC-A</v>
      </c>
      <c r="O93" s="0" t="n">
        <f aca="false">IF(OR(I93="ANCLAJE",I93="ANCLAJE_PROPUESTO",I93="TERMINAL"),Parametros!$E$5,0)</f>
        <v>0</v>
      </c>
      <c r="P93" s="0" t="n">
        <f aca="false">G93/SIN(RADIANS(Criterios_M01!$C$2))+Criterios_M01!$C$3</f>
        <v>17.9906637611548</v>
      </c>
      <c r="Q93" s="0" t="n">
        <f aca="false">G93+Criterios_M01!$C$4</f>
        <v>13.6</v>
      </c>
      <c r="R93" s="0" t="n">
        <f aca="false">ROUNDUP(G93/Criterios_M01!$C$5,0)+1</f>
        <v>12</v>
      </c>
      <c r="S93" s="0" t="n">
        <f aca="false">(SUMIF(Vanos!$B$7:$B$116,A93,Vanos!$N$7:$N$116)+SUMIF(Vanos!$C$7:$C$116,A93,Vanos!$N$7:$N$116))/2</f>
        <v>161.916227270957</v>
      </c>
    </row>
    <row r="94" customFormat="false" ht="21" hidden="false" customHeight="true" outlineLevel="0" collapsed="false">
      <c r="A94" s="1" t="s">
        <v>275</v>
      </c>
      <c r="B94" s="17" t="n">
        <v>424545.294531482</v>
      </c>
      <c r="C94" s="17" t="n">
        <v>8431982.62233979</v>
      </c>
      <c r="D94" s="17" t="n">
        <v>3721.86027345835</v>
      </c>
      <c r="E94" s="17" t="n">
        <v>13</v>
      </c>
      <c r="F94" s="17" t="n">
        <v>1.9</v>
      </c>
      <c r="G94" s="17" t="n">
        <v>10.6</v>
      </c>
      <c r="H94" s="17" t="n">
        <v>37.5642247957031</v>
      </c>
      <c r="I94" s="9" t="s">
        <v>453</v>
      </c>
      <c r="J94" s="5" t="n">
        <f aca="false">IF(I94="SUSPENSION",0,IF(I94="TERMINAL",1,2))</f>
        <v>2</v>
      </c>
      <c r="K94" s="5" t="n">
        <f aca="false">1</f>
        <v>1</v>
      </c>
      <c r="L94" s="5" t="n">
        <f aca="false">1</f>
        <v>1</v>
      </c>
      <c r="M94" s="18" t="n">
        <f aca="false">O94*Parametros!$E$6</f>
        <v>6</v>
      </c>
      <c r="N94" s="0" t="str">
        <f aca="false">IF(I94="SUSPENSION","CAC-S",IF(I94="ANGULO","CAC-A",IF(I94="TERMINAL","CAC-T",IF(OR(I94="ANCLAJE",I94="ANCLAJE_PROPUESTO"),"CAC-R","SIN-RECETA"))))</f>
        <v>CAC-R</v>
      </c>
      <c r="O94" s="0" t="n">
        <f aca="false">IF(OR(I94="ANCLAJE",I94="ANCLAJE_PROPUESTO",I94="TERMINAL"),Parametros!$E$5,0)</f>
        <v>3</v>
      </c>
      <c r="P94" s="0" t="n">
        <f aca="false">G94/SIN(RADIANS(Criterios_M01!$C$2))+Criterios_M01!$C$3</f>
        <v>17.9906637611548</v>
      </c>
      <c r="Q94" s="0" t="n">
        <f aca="false">G94+Criterios_M01!$C$4</f>
        <v>13.6</v>
      </c>
      <c r="R94" s="0" t="n">
        <f aca="false">ROUNDUP(G94/Criterios_M01!$C$5,0)+1</f>
        <v>12</v>
      </c>
      <c r="S94" s="0" t="n">
        <f aca="false">(SUMIF(Vanos!$B$7:$B$116,A94,Vanos!$N$7:$N$116)+SUMIF(Vanos!$C$7:$C$116,A94,Vanos!$N$7:$N$116))/2</f>
        <v>190.111133712947</v>
      </c>
    </row>
    <row r="95" customFormat="false" ht="21" hidden="false" customHeight="true" outlineLevel="0" collapsed="false">
      <c r="A95" s="1" t="s">
        <v>276</v>
      </c>
      <c r="B95" s="17" t="n">
        <v>424518.930865137</v>
      </c>
      <c r="C95" s="17" t="n">
        <v>8431933.88799196</v>
      </c>
      <c r="D95" s="17" t="n">
        <v>3730.04814193758</v>
      </c>
      <c r="E95" s="17" t="n">
        <v>13</v>
      </c>
      <c r="F95" s="17" t="n">
        <v>1.9</v>
      </c>
      <c r="G95" s="17" t="n">
        <v>10.6</v>
      </c>
      <c r="H95" s="17" t="n">
        <v>0</v>
      </c>
      <c r="I95" s="9" t="s">
        <v>452</v>
      </c>
      <c r="J95" s="5" t="n">
        <f aca="false">IF(I95="SUSPENSION",0,IF(I95="TERMINAL",1,2))</f>
        <v>0</v>
      </c>
      <c r="K95" s="5" t="n">
        <f aca="false">1</f>
        <v>1</v>
      </c>
      <c r="L95" s="5" t="n">
        <f aca="false">1</f>
        <v>1</v>
      </c>
      <c r="M95" s="18" t="n">
        <f aca="false">O95*Parametros!$E$6</f>
        <v>0</v>
      </c>
      <c r="N95" s="0" t="str">
        <f aca="false">IF(I95="SUSPENSION","CAC-S",IF(I95="ANGULO","CAC-A",IF(I95="TERMINAL","CAC-T",IF(OR(I95="ANCLAJE",I95="ANCLAJE_PROPUESTO"),"CAC-R","SIN-RECETA"))))</f>
        <v>CAC-S</v>
      </c>
      <c r="O95" s="0" t="n">
        <f aca="false">IF(OR(I95="ANCLAJE",I95="ANCLAJE_PROPUESTO",I95="TERMINAL"),Parametros!$E$5,0)</f>
        <v>0</v>
      </c>
      <c r="P95" s="0" t="n">
        <f aca="false">G95/SIN(RADIANS(Criterios_M01!$C$2))+Criterios_M01!$C$3</f>
        <v>17.9906637611548</v>
      </c>
      <c r="Q95" s="0" t="n">
        <f aca="false">G95+Criterios_M01!$C$4</f>
        <v>13.6</v>
      </c>
      <c r="R95" s="0" t="n">
        <f aca="false">ROUNDUP(G95/Criterios_M01!$C$5,0)+1</f>
        <v>12</v>
      </c>
      <c r="S95" s="0" t="n">
        <f aca="false">(SUMIF(Vanos!$B$7:$B$116,A95,Vanos!$N$7:$N$116)+SUMIF(Vanos!$C$7:$C$116,A95,Vanos!$N$7:$N$116))/2</f>
        <v>168.167037970984</v>
      </c>
    </row>
    <row r="96" customFormat="false" ht="21" hidden="false" customHeight="true" outlineLevel="0" collapsed="false">
      <c r="A96" s="1" t="s">
        <v>277</v>
      </c>
      <c r="B96" s="17" t="n">
        <v>424492.567198793</v>
      </c>
      <c r="C96" s="17" t="n">
        <v>8431885.15364413</v>
      </c>
      <c r="D96" s="17" t="n">
        <v>3737.00687853406</v>
      </c>
      <c r="E96" s="17" t="n">
        <v>15</v>
      </c>
      <c r="F96" s="17" t="n">
        <v>2.1</v>
      </c>
      <c r="G96" s="17" t="n">
        <v>12.4</v>
      </c>
      <c r="H96" s="17" t="n">
        <v>27.2033688110686</v>
      </c>
      <c r="I96" s="9" t="s">
        <v>454</v>
      </c>
      <c r="J96" s="5" t="n">
        <f aca="false">IF(I96="SUSPENSION",0,IF(I96="TERMINAL",1,2))</f>
        <v>2</v>
      </c>
      <c r="K96" s="5" t="n">
        <f aca="false">1</f>
        <v>1</v>
      </c>
      <c r="L96" s="5" t="n">
        <f aca="false">1</f>
        <v>1</v>
      </c>
      <c r="M96" s="18" t="n">
        <f aca="false">O96*Parametros!$E$6</f>
        <v>0</v>
      </c>
      <c r="N96" s="0" t="str">
        <f aca="false">IF(I96="SUSPENSION","CAC-S",IF(I96="ANGULO","CAC-A",IF(I96="TERMINAL","CAC-T",IF(OR(I96="ANCLAJE",I96="ANCLAJE_PROPUESTO"),"CAC-R","SIN-RECETA"))))</f>
        <v>CAC-A</v>
      </c>
      <c r="O96" s="0" t="n">
        <f aca="false">IF(OR(I96="ANCLAJE",I96="ANCLAJE_PROPUESTO",I96="TERMINAL"),Parametros!$E$5,0)</f>
        <v>0</v>
      </c>
      <c r="P96" s="0" t="n">
        <f aca="false">G96/SIN(RADIANS(Criterios_M01!$C$2))+Criterios_M01!$C$3</f>
        <v>20.5362481734264</v>
      </c>
      <c r="Q96" s="0" t="n">
        <f aca="false">G96+Criterios_M01!$C$4</f>
        <v>15.4</v>
      </c>
      <c r="R96" s="0" t="n">
        <f aca="false">ROUNDUP(G96/Criterios_M01!$C$5,0)+1</f>
        <v>14</v>
      </c>
      <c r="S96" s="0" t="n">
        <f aca="false">(SUMIF(Vanos!$B$7:$B$116,A96,Vanos!$N$7:$N$116)+SUMIF(Vanos!$C$7:$C$116,A96,Vanos!$N$7:$N$116))/2</f>
        <v>179.137318763853</v>
      </c>
    </row>
    <row r="97" customFormat="false" ht="21" hidden="false" customHeight="true" outlineLevel="0" collapsed="false">
      <c r="A97" s="1" t="s">
        <v>278</v>
      </c>
      <c r="B97" s="17" t="n">
        <v>424491.233847935</v>
      </c>
      <c r="C97" s="17" t="n">
        <v>8431821.9505756</v>
      </c>
      <c r="D97" s="17" t="n">
        <v>3740.65428989674</v>
      </c>
      <c r="E97" s="17" t="n">
        <v>15</v>
      </c>
      <c r="F97" s="17" t="n">
        <v>2.1</v>
      </c>
      <c r="G97" s="17" t="n">
        <v>12.4</v>
      </c>
      <c r="H97" s="17" t="n">
        <v>33.6154857040435</v>
      </c>
      <c r="I97" s="9" t="s">
        <v>453</v>
      </c>
      <c r="J97" s="5" t="n">
        <f aca="false">IF(I97="SUSPENSION",0,IF(I97="TERMINAL",1,2))</f>
        <v>2</v>
      </c>
      <c r="K97" s="5" t="n">
        <f aca="false">1</f>
        <v>1</v>
      </c>
      <c r="L97" s="5" t="n">
        <f aca="false">1</f>
        <v>1</v>
      </c>
      <c r="M97" s="18" t="n">
        <f aca="false">O97*Parametros!$E$6</f>
        <v>6</v>
      </c>
      <c r="N97" s="0" t="str">
        <f aca="false">IF(I97="SUSPENSION","CAC-S",IF(I97="ANGULO","CAC-A",IF(I97="TERMINAL","CAC-T",IF(OR(I97="ANCLAJE",I97="ANCLAJE_PROPUESTO"),"CAC-R","SIN-RECETA"))))</f>
        <v>CAC-R</v>
      </c>
      <c r="O97" s="0" t="n">
        <f aca="false">IF(OR(I97="ANCLAJE",I97="ANCLAJE_PROPUESTO",I97="TERMINAL"),Parametros!$E$5,0)</f>
        <v>3</v>
      </c>
      <c r="P97" s="0" t="n">
        <f aca="false">G97/SIN(RADIANS(Criterios_M01!$C$2))+Criterios_M01!$C$3</f>
        <v>20.5362481734264</v>
      </c>
      <c r="Q97" s="0" t="n">
        <f aca="false">G97+Criterios_M01!$C$4</f>
        <v>15.4</v>
      </c>
      <c r="R97" s="0" t="n">
        <f aca="false">ROUNDUP(G97/Criterios_M01!$C$5,0)+1</f>
        <v>14</v>
      </c>
      <c r="S97" s="0" t="n">
        <f aca="false">(SUMIF(Vanos!$B$7:$B$116,A97,Vanos!$N$7:$N$116)+SUMIF(Vanos!$C$7:$C$116,A97,Vanos!$N$7:$N$116))/2</f>
        <v>162.926953644777</v>
      </c>
    </row>
    <row r="98" customFormat="false" ht="21" hidden="false" customHeight="true" outlineLevel="0" collapsed="false">
      <c r="A98" s="1" t="s">
        <v>279</v>
      </c>
      <c r="B98" s="17" t="n">
        <v>424515.398446889</v>
      </c>
      <c r="C98" s="17" t="n">
        <v>8431783.88344731</v>
      </c>
      <c r="D98" s="17" t="n">
        <v>3738.18822559371</v>
      </c>
      <c r="E98" s="17" t="n">
        <v>13</v>
      </c>
      <c r="F98" s="17" t="n">
        <v>1.9</v>
      </c>
      <c r="G98" s="17" t="n">
        <v>10.6</v>
      </c>
      <c r="H98" s="17" t="n">
        <v>41.8569757085897</v>
      </c>
      <c r="I98" s="9" t="s">
        <v>453</v>
      </c>
      <c r="J98" s="5" t="n">
        <f aca="false">IF(I98="SUSPENSION",0,IF(I98="TERMINAL",1,2))</f>
        <v>2</v>
      </c>
      <c r="K98" s="5" t="n">
        <f aca="false">1</f>
        <v>1</v>
      </c>
      <c r="L98" s="5" t="n">
        <f aca="false">1</f>
        <v>1</v>
      </c>
      <c r="M98" s="18" t="n">
        <f aca="false">O98*Parametros!$E$6</f>
        <v>6</v>
      </c>
      <c r="N98" s="0" t="str">
        <f aca="false">IF(I98="SUSPENSION","CAC-S",IF(I98="ANGULO","CAC-A",IF(I98="TERMINAL","CAC-T",IF(OR(I98="ANCLAJE",I98="ANCLAJE_PROPUESTO"),"CAC-R","SIN-RECETA"))))</f>
        <v>CAC-R</v>
      </c>
      <c r="O98" s="0" t="n">
        <f aca="false">IF(OR(I98="ANCLAJE",I98="ANCLAJE_PROPUESTO",I98="TERMINAL"),Parametros!$E$5,0)</f>
        <v>3</v>
      </c>
      <c r="P98" s="0" t="n">
        <f aca="false">G98/SIN(RADIANS(Criterios_M01!$C$2))+Criterios_M01!$C$3</f>
        <v>17.9906637611548</v>
      </c>
      <c r="Q98" s="0" t="n">
        <f aca="false">G98+Criterios_M01!$C$4</f>
        <v>13.6</v>
      </c>
      <c r="R98" s="0" t="n">
        <f aca="false">ROUNDUP(G98/Criterios_M01!$C$5,0)+1</f>
        <v>12</v>
      </c>
      <c r="S98" s="0" t="n">
        <f aca="false">(SUMIF(Vanos!$B$7:$B$116,A98,Vanos!$N$7:$N$116)+SUMIF(Vanos!$C$7:$C$116,A98,Vanos!$N$7:$N$116))/2</f>
        <v>146.557364332447</v>
      </c>
    </row>
    <row r="99" customFormat="false" ht="21" hidden="false" customHeight="true" outlineLevel="0" collapsed="false">
      <c r="A99" s="1" t="s">
        <v>280</v>
      </c>
      <c r="B99" s="17" t="n">
        <v>424506.796418876</v>
      </c>
      <c r="C99" s="17" t="n">
        <v>8431732.20296243</v>
      </c>
      <c r="D99" s="17" t="n">
        <v>3739.61238958055</v>
      </c>
      <c r="E99" s="17" t="n">
        <v>13</v>
      </c>
      <c r="F99" s="17" t="n">
        <v>1.9</v>
      </c>
      <c r="G99" s="17" t="n">
        <v>10.6</v>
      </c>
      <c r="H99" s="17" t="n">
        <v>71.0085504940887</v>
      </c>
      <c r="I99" s="9" t="s">
        <v>453</v>
      </c>
      <c r="J99" s="5" t="n">
        <f aca="false">IF(I99="SUSPENSION",0,IF(I99="TERMINAL",1,2))</f>
        <v>2</v>
      </c>
      <c r="K99" s="5" t="n">
        <f aca="false">1</f>
        <v>1</v>
      </c>
      <c r="L99" s="5" t="n">
        <f aca="false">1</f>
        <v>1</v>
      </c>
      <c r="M99" s="18" t="n">
        <f aca="false">O99*Parametros!$E$6</f>
        <v>6</v>
      </c>
      <c r="N99" s="0" t="str">
        <f aca="false">IF(I99="SUSPENSION","CAC-S",IF(I99="ANGULO","CAC-A",IF(I99="TERMINAL","CAC-T",IF(OR(I99="ANCLAJE",I99="ANCLAJE_PROPUESTO"),"CAC-R","SIN-RECETA"))))</f>
        <v>CAC-R</v>
      </c>
      <c r="O99" s="0" t="n">
        <f aca="false">IF(OR(I99="ANCLAJE",I99="ANCLAJE_PROPUESTO",I99="TERMINAL"),Parametros!$E$5,0)</f>
        <v>3</v>
      </c>
      <c r="P99" s="0" t="n">
        <f aca="false">G99/SIN(RADIANS(Criterios_M01!$C$2))+Criterios_M01!$C$3</f>
        <v>17.9906637611548</v>
      </c>
      <c r="Q99" s="0" t="n">
        <f aca="false">G99+Criterios_M01!$C$4</f>
        <v>13.6</v>
      </c>
      <c r="R99" s="0" t="n">
        <f aca="false">ROUNDUP(G99/Criterios_M01!$C$5,0)+1</f>
        <v>12</v>
      </c>
      <c r="S99" s="0" t="n">
        <f aca="false">(SUMIF(Vanos!$B$7:$B$116,A99,Vanos!$N$7:$N$116)+SUMIF(Vanos!$C$7:$C$116,A99,Vanos!$N$7:$N$116))/2</f>
        <v>151.971023287661</v>
      </c>
    </row>
    <row r="100" customFormat="false" ht="21" hidden="false" customHeight="true" outlineLevel="0" collapsed="false">
      <c r="A100" s="1" t="s">
        <v>281</v>
      </c>
      <c r="B100" s="17" t="n">
        <v>424459.209047103</v>
      </c>
      <c r="C100" s="17" t="n">
        <v>8431724.20420685</v>
      </c>
      <c r="D100" s="17" t="n">
        <v>3747.52496998136</v>
      </c>
      <c r="E100" s="17" t="n">
        <v>13</v>
      </c>
      <c r="F100" s="17" t="n">
        <v>1.9</v>
      </c>
      <c r="G100" s="17" t="n">
        <v>10.6</v>
      </c>
      <c r="H100" s="17" t="n">
        <v>36.9488449594005</v>
      </c>
      <c r="I100" s="9" t="s">
        <v>453</v>
      </c>
      <c r="J100" s="5" t="n">
        <f aca="false">IF(I100="SUSPENSION",0,IF(I100="TERMINAL",1,2))</f>
        <v>2</v>
      </c>
      <c r="K100" s="5" t="n">
        <f aca="false">1</f>
        <v>1</v>
      </c>
      <c r="L100" s="5" t="n">
        <f aca="false">1</f>
        <v>1</v>
      </c>
      <c r="M100" s="18" t="n">
        <f aca="false">O100*Parametros!$E$6</f>
        <v>6</v>
      </c>
      <c r="N100" s="0" t="str">
        <f aca="false">IF(I100="SUSPENSION","CAC-S",IF(I100="ANGULO","CAC-A",IF(I100="TERMINAL","CAC-T",IF(OR(I100="ANCLAJE",I100="ANCLAJE_PROPUESTO"),"CAC-R","SIN-RECETA"))))</f>
        <v>CAC-R</v>
      </c>
      <c r="O100" s="0" t="n">
        <f aca="false">IF(OR(I100="ANCLAJE",I100="ANCLAJE_PROPUESTO",I100="TERMINAL"),Parametros!$E$5,0)</f>
        <v>3</v>
      </c>
      <c r="P100" s="0" t="n">
        <f aca="false">G100/SIN(RADIANS(Criterios_M01!$C$2))+Criterios_M01!$C$3</f>
        <v>17.9906637611548</v>
      </c>
      <c r="Q100" s="0" t="n">
        <f aca="false">G100+Criterios_M01!$C$4</f>
        <v>13.6</v>
      </c>
      <c r="R100" s="0" t="n">
        <f aca="false">ROUNDUP(G100/Criterios_M01!$C$5,0)+1</f>
        <v>12</v>
      </c>
      <c r="S100" s="0" t="n">
        <f aca="false">(SUMIF(Vanos!$B$7:$B$116,A100,Vanos!$N$7:$N$116)+SUMIF(Vanos!$C$7:$C$116,A100,Vanos!$N$7:$N$116))/2</f>
        <v>148.149985878454</v>
      </c>
    </row>
    <row r="101" customFormat="false" ht="21" hidden="false" customHeight="true" outlineLevel="0" collapsed="false">
      <c r="A101" s="1" t="s">
        <v>282</v>
      </c>
      <c r="B101" s="17" t="n">
        <v>424425.22569917</v>
      </c>
      <c r="C101" s="17" t="n">
        <v>8431688.4054266</v>
      </c>
      <c r="D101" s="17" t="n">
        <v>3754.59481713757</v>
      </c>
      <c r="E101" s="17" t="n">
        <v>13</v>
      </c>
      <c r="F101" s="17" t="n">
        <v>1.9</v>
      </c>
      <c r="G101" s="17" t="n">
        <v>10.6</v>
      </c>
      <c r="H101" s="17" t="n">
        <v>21.1227605137927</v>
      </c>
      <c r="I101" s="9" t="s">
        <v>454</v>
      </c>
      <c r="J101" s="5" t="n">
        <f aca="false">IF(I101="SUSPENSION",0,IF(I101="TERMINAL",1,2))</f>
        <v>2</v>
      </c>
      <c r="K101" s="5" t="n">
        <f aca="false">1</f>
        <v>1</v>
      </c>
      <c r="L101" s="5" t="n">
        <f aca="false">1</f>
        <v>1</v>
      </c>
      <c r="M101" s="18" t="n">
        <f aca="false">O101*Parametros!$E$6</f>
        <v>0</v>
      </c>
      <c r="N101" s="0" t="str">
        <f aca="false">IF(I101="SUSPENSION","CAC-S",IF(I101="ANGULO","CAC-A",IF(I101="TERMINAL","CAC-T",IF(OR(I101="ANCLAJE",I101="ANCLAJE_PROPUESTO"),"CAC-R","SIN-RECETA"))))</f>
        <v>CAC-A</v>
      </c>
      <c r="O101" s="0" t="n">
        <f aca="false">IF(OR(I101="ANCLAJE",I101="ANCLAJE_PROPUESTO",I101="TERMINAL"),Parametros!$E$5,0)</f>
        <v>0</v>
      </c>
      <c r="P101" s="0" t="n">
        <f aca="false">G101/SIN(RADIANS(Criterios_M01!$C$2))+Criterios_M01!$C$3</f>
        <v>17.9906637611548</v>
      </c>
      <c r="Q101" s="0" t="n">
        <f aca="false">G101+Criterios_M01!$C$4</f>
        <v>13.6</v>
      </c>
      <c r="R101" s="0" t="n">
        <f aca="false">ROUNDUP(G101/Criterios_M01!$C$5,0)+1</f>
        <v>12</v>
      </c>
      <c r="S101" s="0" t="n">
        <f aca="false">(SUMIF(Vanos!$B$7:$B$116,A101,Vanos!$N$7:$N$116)+SUMIF(Vanos!$C$7:$C$116,A101,Vanos!$N$7:$N$116))/2</f>
        <v>182.78052130108</v>
      </c>
    </row>
    <row r="102" customFormat="false" ht="21" hidden="false" customHeight="true" outlineLevel="0" collapsed="false">
      <c r="A102" s="1" t="s">
        <v>283</v>
      </c>
      <c r="B102" s="17" t="n">
        <v>424397.894166034</v>
      </c>
      <c r="C102" s="17" t="n">
        <v>8431622.05137828</v>
      </c>
      <c r="D102" s="17" t="n">
        <v>3758.41703890024</v>
      </c>
      <c r="E102" s="17" t="n">
        <v>15</v>
      </c>
      <c r="F102" s="17" t="n">
        <v>2.1</v>
      </c>
      <c r="G102" s="17" t="n">
        <v>12.4</v>
      </c>
      <c r="H102" s="17" t="n">
        <v>0</v>
      </c>
      <c r="I102" s="9" t="s">
        <v>452</v>
      </c>
      <c r="J102" s="5" t="n">
        <f aca="false">IF(I102="SUSPENSION",0,IF(I102="TERMINAL",1,2))</f>
        <v>0</v>
      </c>
      <c r="K102" s="5" t="n">
        <f aca="false">1</f>
        <v>1</v>
      </c>
      <c r="L102" s="5" t="n">
        <f aca="false">1</f>
        <v>1</v>
      </c>
      <c r="M102" s="18" t="n">
        <f aca="false">O102*Parametros!$E$6</f>
        <v>0</v>
      </c>
      <c r="N102" s="0" t="str">
        <f aca="false">IF(I102="SUSPENSION","CAC-S",IF(I102="ANGULO","CAC-A",IF(I102="TERMINAL","CAC-T",IF(OR(I102="ANCLAJE",I102="ANCLAJE_PROPUESTO"),"CAC-R","SIN-RECETA"))))</f>
        <v>CAC-S</v>
      </c>
      <c r="O102" s="0" t="n">
        <f aca="false">IF(OR(I102="ANCLAJE",I102="ANCLAJE_PROPUESTO",I102="TERMINAL"),Parametros!$E$5,0)</f>
        <v>0</v>
      </c>
      <c r="P102" s="0" t="n">
        <f aca="false">G102/SIN(RADIANS(Criterios_M01!$C$2))+Criterios_M01!$C$3</f>
        <v>20.5362481734264</v>
      </c>
      <c r="Q102" s="0" t="n">
        <f aca="false">G102+Criterios_M01!$C$4</f>
        <v>15.4</v>
      </c>
      <c r="R102" s="0" t="n">
        <f aca="false">ROUNDUP(G102/Criterios_M01!$C$5,0)+1</f>
        <v>14</v>
      </c>
      <c r="S102" s="0" t="n">
        <f aca="false">(SUMIF(Vanos!$B$7:$B$116,A102,Vanos!$N$7:$N$116)+SUMIF(Vanos!$C$7:$C$116,A102,Vanos!$N$7:$N$116))/2</f>
        <v>215.679713311476</v>
      </c>
    </row>
    <row r="103" customFormat="false" ht="21" hidden="false" customHeight="true" outlineLevel="0" collapsed="false">
      <c r="A103" s="1" t="s">
        <v>284</v>
      </c>
      <c r="B103" s="17" t="n">
        <v>424370.562632899</v>
      </c>
      <c r="C103" s="17" t="n">
        <v>8431555.69732996</v>
      </c>
      <c r="D103" s="17" t="n">
        <v>3756.33245757833</v>
      </c>
      <c r="E103" s="17" t="n">
        <v>15</v>
      </c>
      <c r="F103" s="17" t="n">
        <v>2.1</v>
      </c>
      <c r="G103" s="17" t="n">
        <v>12.4</v>
      </c>
      <c r="H103" s="17" t="n">
        <v>0</v>
      </c>
      <c r="I103" s="9" t="s">
        <v>452</v>
      </c>
      <c r="J103" s="5" t="n">
        <f aca="false">IF(I103="SUSPENSION",0,IF(I103="TERMINAL",1,2))</f>
        <v>0</v>
      </c>
      <c r="K103" s="5" t="n">
        <f aca="false">1</f>
        <v>1</v>
      </c>
      <c r="L103" s="5" t="n">
        <f aca="false">1</f>
        <v>1</v>
      </c>
      <c r="M103" s="18" t="n">
        <f aca="false">O103*Parametros!$E$6</f>
        <v>0</v>
      </c>
      <c r="N103" s="0" t="str">
        <f aca="false">IF(I103="SUSPENSION","CAC-S",IF(I103="ANGULO","CAC-A",IF(I103="TERMINAL","CAC-T",IF(OR(I103="ANCLAJE",I103="ANCLAJE_PROPUESTO"),"CAC-R","SIN-RECETA"))))</f>
        <v>CAC-S</v>
      </c>
      <c r="O103" s="0" t="n">
        <f aca="false">IF(OR(I103="ANCLAJE",I103="ANCLAJE_PROPUESTO",I103="TERMINAL"),Parametros!$E$5,0)</f>
        <v>0</v>
      </c>
      <c r="P103" s="0" t="n">
        <f aca="false">G103/SIN(RADIANS(Criterios_M01!$C$2))+Criterios_M01!$C$3</f>
        <v>20.5362481734264</v>
      </c>
      <c r="Q103" s="0" t="n">
        <f aca="false">G103+Criterios_M01!$C$4</f>
        <v>15.4</v>
      </c>
      <c r="R103" s="0" t="n">
        <f aca="false">ROUNDUP(G103/Criterios_M01!$C$5,0)+1</f>
        <v>14</v>
      </c>
      <c r="S103" s="0" t="n">
        <f aca="false">(SUMIF(Vanos!$B$7:$B$116,A103,Vanos!$N$7:$N$116)+SUMIF(Vanos!$C$7:$C$116,A103,Vanos!$N$7:$N$116))/2</f>
        <v>215.996255084365</v>
      </c>
    </row>
    <row r="104" customFormat="false" ht="21" hidden="false" customHeight="true" outlineLevel="0" collapsed="false">
      <c r="A104" s="1" t="s">
        <v>285</v>
      </c>
      <c r="B104" s="17" t="n">
        <v>424343.231099763</v>
      </c>
      <c r="C104" s="17" t="n">
        <v>8431489.34328164</v>
      </c>
      <c r="D104" s="17" t="n">
        <v>3750.25610850795</v>
      </c>
      <c r="E104" s="17" t="n">
        <v>13</v>
      </c>
      <c r="F104" s="17" t="n">
        <v>1.9</v>
      </c>
      <c r="G104" s="17" t="n">
        <v>10.6</v>
      </c>
      <c r="H104" s="17" t="n">
        <v>0</v>
      </c>
      <c r="I104" s="9" t="s">
        <v>455</v>
      </c>
      <c r="J104" s="5" t="n">
        <f aca="false">IF(I104="SUSPENSION",0,IF(I104="TERMINAL",1,2))</f>
        <v>2</v>
      </c>
      <c r="K104" s="5" t="n">
        <f aca="false">1</f>
        <v>1</v>
      </c>
      <c r="L104" s="5" t="n">
        <f aca="false">1</f>
        <v>1</v>
      </c>
      <c r="M104" s="18" t="n">
        <f aca="false">O104*Parametros!$E$6</f>
        <v>6</v>
      </c>
      <c r="N104" s="0" t="str">
        <f aca="false">IF(I104="SUSPENSION","CAC-S",IF(I104="ANGULO","CAC-A",IF(I104="TERMINAL","CAC-T",IF(OR(I104="ANCLAJE",I104="ANCLAJE_PROPUESTO"),"CAC-R","SIN-RECETA"))))</f>
        <v>CAC-R</v>
      </c>
      <c r="O104" s="0" t="n">
        <f aca="false">IF(OR(I104="ANCLAJE",I104="ANCLAJE_PROPUESTO",I104="TERMINAL"),Parametros!$E$5,0)</f>
        <v>3</v>
      </c>
      <c r="P104" s="0" t="n">
        <f aca="false">G104/SIN(RADIANS(Criterios_M01!$C$2))+Criterios_M01!$C$3</f>
        <v>17.9906637611548</v>
      </c>
      <c r="Q104" s="0" t="n">
        <f aca="false">G104+Criterios_M01!$C$4</f>
        <v>13.6</v>
      </c>
      <c r="R104" s="0" t="n">
        <f aca="false">ROUNDUP(G104/Criterios_M01!$C$5,0)+1</f>
        <v>12</v>
      </c>
      <c r="S104" s="0" t="n">
        <f aca="false">(SUMIF(Vanos!$B$7:$B$116,A104,Vanos!$N$7:$N$116)+SUMIF(Vanos!$C$7:$C$116,A104,Vanos!$N$7:$N$116))/2</f>
        <v>217.398332271441</v>
      </c>
    </row>
    <row r="105" customFormat="false" ht="21" hidden="false" customHeight="true" outlineLevel="0" collapsed="false">
      <c r="A105" s="1" t="s">
        <v>286</v>
      </c>
      <c r="B105" s="17" t="n">
        <v>424315.899566627</v>
      </c>
      <c r="C105" s="17" t="n">
        <v>8431422.98923332</v>
      </c>
      <c r="D105" s="17" t="n">
        <v>3760.26465484503</v>
      </c>
      <c r="E105" s="17" t="n">
        <v>15</v>
      </c>
      <c r="F105" s="17" t="n">
        <v>2.1</v>
      </c>
      <c r="G105" s="17" t="n">
        <v>12.4</v>
      </c>
      <c r="H105" s="17" t="n">
        <v>0</v>
      </c>
      <c r="I105" s="9" t="s">
        <v>452</v>
      </c>
      <c r="J105" s="5" t="n">
        <f aca="false">IF(I105="SUSPENSION",0,IF(I105="TERMINAL",1,2))</f>
        <v>0</v>
      </c>
      <c r="K105" s="5" t="n">
        <f aca="false">1</f>
        <v>1</v>
      </c>
      <c r="L105" s="5" t="n">
        <f aca="false">1</f>
        <v>1</v>
      </c>
      <c r="M105" s="18" t="n">
        <f aca="false">O105*Parametros!$E$6</f>
        <v>0</v>
      </c>
      <c r="N105" s="0" t="str">
        <f aca="false">IF(I105="SUSPENSION","CAC-S",IF(I105="ANGULO","CAC-A",IF(I105="TERMINAL","CAC-T",IF(OR(I105="ANCLAJE",I105="ANCLAJE_PROPUESTO"),"CAC-R","SIN-RECETA"))))</f>
        <v>CAC-S</v>
      </c>
      <c r="O105" s="0" t="n">
        <f aca="false">IF(OR(I105="ANCLAJE",I105="ANCLAJE_PROPUESTO",I105="TERMINAL"),Parametros!$E$5,0)</f>
        <v>0</v>
      </c>
      <c r="P105" s="0" t="n">
        <f aca="false">G105/SIN(RADIANS(Criterios_M01!$C$2))+Criterios_M01!$C$3</f>
        <v>20.5362481734264</v>
      </c>
      <c r="Q105" s="0" t="n">
        <f aca="false">G105+Criterios_M01!$C$4</f>
        <v>15.4</v>
      </c>
      <c r="R105" s="0" t="n">
        <f aca="false">ROUNDUP(G105/Criterios_M01!$C$5,0)+1</f>
        <v>14</v>
      </c>
      <c r="S105" s="0" t="n">
        <f aca="false">(SUMIF(Vanos!$B$7:$B$116,A105,Vanos!$N$7:$N$116)+SUMIF(Vanos!$C$7:$C$116,A105,Vanos!$N$7:$N$116))/2</f>
        <v>216.78140927962</v>
      </c>
    </row>
    <row r="106" customFormat="false" ht="21" hidden="false" customHeight="true" outlineLevel="0" collapsed="false">
      <c r="A106" s="1" t="s">
        <v>287</v>
      </c>
      <c r="B106" s="17" t="n">
        <v>424288.568033492</v>
      </c>
      <c r="C106" s="17" t="n">
        <v>8431356.635185</v>
      </c>
      <c r="D106" s="17" t="n">
        <v>3758.58606303591</v>
      </c>
      <c r="E106" s="17" t="n">
        <v>15</v>
      </c>
      <c r="F106" s="17" t="n">
        <v>2.1</v>
      </c>
      <c r="G106" s="17" t="n">
        <v>12.4</v>
      </c>
      <c r="H106" s="17" t="n">
        <v>27.5794049778367</v>
      </c>
      <c r="I106" s="9" t="s">
        <v>454</v>
      </c>
      <c r="J106" s="5" t="n">
        <f aca="false">IF(I106="SUSPENSION",0,IF(I106="TERMINAL",1,2))</f>
        <v>2</v>
      </c>
      <c r="K106" s="5" t="n">
        <f aca="false">1</f>
        <v>1</v>
      </c>
      <c r="L106" s="5" t="n">
        <f aca="false">1</f>
        <v>1</v>
      </c>
      <c r="M106" s="18" t="n">
        <f aca="false">O106*Parametros!$E$6</f>
        <v>0</v>
      </c>
      <c r="N106" s="0" t="str">
        <f aca="false">IF(I106="SUSPENSION","CAC-S",IF(I106="ANGULO","CAC-A",IF(I106="TERMINAL","CAC-T",IF(OR(I106="ANCLAJE",I106="ANCLAJE_PROPUESTO"),"CAC-R","SIN-RECETA"))))</f>
        <v>CAC-A</v>
      </c>
      <c r="O106" s="0" t="n">
        <f aca="false">IF(OR(I106="ANCLAJE",I106="ANCLAJE_PROPUESTO",I106="TERMINAL"),Parametros!$E$5,0)</f>
        <v>0</v>
      </c>
      <c r="P106" s="0" t="n">
        <f aca="false">G106/SIN(RADIANS(Criterios_M01!$C$2))+Criterios_M01!$C$3</f>
        <v>20.5362481734264</v>
      </c>
      <c r="Q106" s="0" t="n">
        <f aca="false">G106+Criterios_M01!$C$4</f>
        <v>15.4</v>
      </c>
      <c r="R106" s="0" t="n">
        <f aca="false">ROUNDUP(G106/Criterios_M01!$C$5,0)+1</f>
        <v>14</v>
      </c>
      <c r="S106" s="0" t="n">
        <f aca="false">(SUMIF(Vanos!$B$7:$B$116,A106,Vanos!$N$7:$N$116)+SUMIF(Vanos!$C$7:$C$116,A106,Vanos!$N$7:$N$116))/2</f>
        <v>176.258331650073</v>
      </c>
    </row>
    <row r="107" customFormat="false" ht="21" hidden="false" customHeight="true" outlineLevel="0" collapsed="false">
      <c r="A107" s="1" t="s">
        <v>288</v>
      </c>
      <c r="B107" s="17" t="n">
        <v>424253.70236988</v>
      </c>
      <c r="C107" s="17" t="n">
        <v>8431327.34454934</v>
      </c>
      <c r="D107" s="17" t="n">
        <v>3764.43932511577</v>
      </c>
      <c r="E107" s="17" t="n">
        <v>13</v>
      </c>
      <c r="F107" s="17" t="n">
        <v>1.9</v>
      </c>
      <c r="G107" s="17" t="n">
        <v>10.6</v>
      </c>
      <c r="H107" s="17" t="n">
        <v>0</v>
      </c>
      <c r="I107" s="9" t="s">
        <v>452</v>
      </c>
      <c r="J107" s="5" t="n">
        <f aca="false">IF(I107="SUSPENSION",0,IF(I107="TERMINAL",1,2))</f>
        <v>0</v>
      </c>
      <c r="K107" s="5" t="n">
        <f aca="false">1</f>
        <v>1</v>
      </c>
      <c r="L107" s="5" t="n">
        <f aca="false">1</f>
        <v>1</v>
      </c>
      <c r="M107" s="18" t="n">
        <f aca="false">O107*Parametros!$E$6</f>
        <v>0</v>
      </c>
      <c r="N107" s="0" t="str">
        <f aca="false">IF(I107="SUSPENSION","CAC-S",IF(I107="ANGULO","CAC-A",IF(I107="TERMINAL","CAC-T",IF(OR(I107="ANCLAJE",I107="ANCLAJE_PROPUESTO"),"CAC-R","SIN-RECETA"))))</f>
        <v>CAC-S</v>
      </c>
      <c r="O107" s="0" t="n">
        <f aca="false">IF(OR(I107="ANCLAJE",I107="ANCLAJE_PROPUESTO",I107="TERMINAL"),Parametros!$E$5,0)</f>
        <v>0</v>
      </c>
      <c r="P107" s="0" t="n">
        <f aca="false">G107/SIN(RADIANS(Criterios_M01!$C$2))+Criterios_M01!$C$3</f>
        <v>17.9906637611548</v>
      </c>
      <c r="Q107" s="0" t="n">
        <f aca="false">G107+Criterios_M01!$C$4</f>
        <v>13.6</v>
      </c>
      <c r="R107" s="0" t="n">
        <f aca="false">ROUNDUP(G107/Criterios_M01!$C$5,0)+1</f>
        <v>12</v>
      </c>
      <c r="S107" s="0" t="n">
        <f aca="false">(SUMIF(Vanos!$B$7:$B$116,A107,Vanos!$N$7:$N$116)+SUMIF(Vanos!$C$7:$C$116,A107,Vanos!$N$7:$N$116))/2</f>
        <v>136.973716695977</v>
      </c>
    </row>
    <row r="108" customFormat="false" ht="21" hidden="false" customHeight="true" outlineLevel="0" collapsed="false">
      <c r="A108" s="1" t="s">
        <v>289</v>
      </c>
      <c r="B108" s="17" t="n">
        <v>424218.836706268</v>
      </c>
      <c r="C108" s="17" t="n">
        <v>8431298.05391368</v>
      </c>
      <c r="D108" s="17" t="n">
        <v>3762.09477694059</v>
      </c>
      <c r="E108" s="17" t="n">
        <v>13</v>
      </c>
      <c r="F108" s="17" t="n">
        <v>1.9</v>
      </c>
      <c r="G108" s="17" t="n">
        <v>10.6</v>
      </c>
      <c r="H108" s="17" t="n">
        <v>15.8175444905601</v>
      </c>
      <c r="I108" s="9" t="s">
        <v>454</v>
      </c>
      <c r="J108" s="5" t="n">
        <f aca="false">IF(I108="SUSPENSION",0,IF(I108="TERMINAL",1,2))</f>
        <v>2</v>
      </c>
      <c r="K108" s="5" t="n">
        <f aca="false">1</f>
        <v>1</v>
      </c>
      <c r="L108" s="5" t="n">
        <f aca="false">1</f>
        <v>1</v>
      </c>
      <c r="M108" s="18" t="n">
        <f aca="false">O108*Parametros!$E$6</f>
        <v>0</v>
      </c>
      <c r="N108" s="0" t="str">
        <f aca="false">IF(I108="SUSPENSION","CAC-S",IF(I108="ANGULO","CAC-A",IF(I108="TERMINAL","CAC-T",IF(OR(I108="ANCLAJE",I108="ANCLAJE_PROPUESTO"),"CAC-R","SIN-RECETA"))))</f>
        <v>CAC-A</v>
      </c>
      <c r="O108" s="0" t="n">
        <f aca="false">IF(OR(I108="ANCLAJE",I108="ANCLAJE_PROPUESTO",I108="TERMINAL"),Parametros!$E$5,0)</f>
        <v>0</v>
      </c>
      <c r="P108" s="0" t="n">
        <f aca="false">G108/SIN(RADIANS(Criterios_M01!$C$2))+Criterios_M01!$C$3</f>
        <v>17.9906637611548</v>
      </c>
      <c r="Q108" s="0" t="n">
        <f aca="false">G108+Criterios_M01!$C$4</f>
        <v>13.6</v>
      </c>
      <c r="R108" s="0" t="n">
        <f aca="false">ROUNDUP(G108/Criterios_M01!$C$5,0)+1</f>
        <v>12</v>
      </c>
      <c r="S108" s="0" t="n">
        <f aca="false">(SUMIF(Vanos!$B$7:$B$116,A108,Vanos!$N$7:$N$116)+SUMIF(Vanos!$C$7:$C$116,A108,Vanos!$N$7:$N$116))/2</f>
        <v>141.455560500881</v>
      </c>
    </row>
    <row r="109" customFormat="false" ht="21" hidden="false" customHeight="true" outlineLevel="0" collapsed="false">
      <c r="A109" s="1" t="s">
        <v>290</v>
      </c>
      <c r="B109" s="17" t="n">
        <v>424175.079502945</v>
      </c>
      <c r="C109" s="17" t="n">
        <v>8431278.37389713</v>
      </c>
      <c r="D109" s="17" t="n">
        <v>3770.46652736262</v>
      </c>
      <c r="E109" s="17" t="n">
        <v>13</v>
      </c>
      <c r="F109" s="17" t="n">
        <v>1.9</v>
      </c>
      <c r="G109" s="17" t="n">
        <v>10.6</v>
      </c>
      <c r="H109" s="17" t="n">
        <v>0</v>
      </c>
      <c r="I109" s="9" t="s">
        <v>452</v>
      </c>
      <c r="J109" s="5" t="n">
        <f aca="false">IF(I109="SUSPENSION",0,IF(I109="TERMINAL",1,2))</f>
        <v>0</v>
      </c>
      <c r="K109" s="5" t="n">
        <f aca="false">1</f>
        <v>1</v>
      </c>
      <c r="L109" s="5" t="n">
        <f aca="false">1</f>
        <v>1</v>
      </c>
      <c r="M109" s="18" t="n">
        <f aca="false">O109*Parametros!$E$6</f>
        <v>0</v>
      </c>
      <c r="N109" s="0" t="str">
        <f aca="false">IF(I109="SUSPENSION","CAC-S",IF(I109="ANGULO","CAC-A",IF(I109="TERMINAL","CAC-T",IF(OR(I109="ANCLAJE",I109="ANCLAJE_PROPUESTO"),"CAC-R","SIN-RECETA"))))</f>
        <v>CAC-S</v>
      </c>
      <c r="O109" s="0" t="n">
        <f aca="false">IF(OR(I109="ANCLAJE",I109="ANCLAJE_PROPUESTO",I109="TERMINAL"),Parametros!$E$5,0)</f>
        <v>0</v>
      </c>
      <c r="P109" s="0" t="n">
        <f aca="false">G109/SIN(RADIANS(Criterios_M01!$C$2))+Criterios_M01!$C$3</f>
        <v>17.9906637611548</v>
      </c>
      <c r="Q109" s="0" t="n">
        <f aca="false">G109+Criterios_M01!$C$4</f>
        <v>13.6</v>
      </c>
      <c r="R109" s="0" t="n">
        <f aca="false">ROUNDUP(G109/Criterios_M01!$C$5,0)+1</f>
        <v>12</v>
      </c>
      <c r="S109" s="0" t="n">
        <f aca="false">(SUMIF(Vanos!$B$7:$B$116,A109,Vanos!$N$7:$N$116)+SUMIF(Vanos!$C$7:$C$116,A109,Vanos!$N$7:$N$116))/2</f>
        <v>145.043578337363</v>
      </c>
    </row>
    <row r="110" customFormat="false" ht="21" hidden="false" customHeight="true" outlineLevel="0" collapsed="false">
      <c r="A110" s="1" t="s">
        <v>291</v>
      </c>
      <c r="B110" s="17" t="n">
        <v>424131.322299623</v>
      </c>
      <c r="C110" s="17" t="n">
        <v>8431258.69388058</v>
      </c>
      <c r="D110" s="17" t="n">
        <v>3771.41028758293</v>
      </c>
      <c r="E110" s="17" t="n">
        <v>13</v>
      </c>
      <c r="F110" s="17" t="n">
        <v>1.9</v>
      </c>
      <c r="G110" s="17" t="n">
        <v>10.6</v>
      </c>
      <c r="H110" s="17" t="n">
        <v>19.821554534501</v>
      </c>
      <c r="I110" s="9" t="s">
        <v>454</v>
      </c>
      <c r="J110" s="5" t="n">
        <f aca="false">IF(I110="SUSPENSION",0,IF(I110="TERMINAL",1,2))</f>
        <v>2</v>
      </c>
      <c r="K110" s="5" t="n">
        <f aca="false">1</f>
        <v>1</v>
      </c>
      <c r="L110" s="5" t="n">
        <f aca="false">1</f>
        <v>1</v>
      </c>
      <c r="M110" s="18" t="n">
        <f aca="false">O110*Parametros!$E$6</f>
        <v>0</v>
      </c>
      <c r="N110" s="0" t="str">
        <f aca="false">IF(I110="SUSPENSION","CAC-S",IF(I110="ANGULO","CAC-A",IF(I110="TERMINAL","CAC-T",IF(OR(I110="ANCLAJE",I110="ANCLAJE_PROPUESTO"),"CAC-R","SIN-RECETA"))))</f>
        <v>CAC-A</v>
      </c>
      <c r="O110" s="0" t="n">
        <f aca="false">IF(OR(I110="ANCLAJE",I110="ANCLAJE_PROPUESTO",I110="TERMINAL"),Parametros!$E$5,0)</f>
        <v>0</v>
      </c>
      <c r="P110" s="0" t="n">
        <f aca="false">G110/SIN(RADIANS(Criterios_M01!$C$2))+Criterios_M01!$C$3</f>
        <v>17.9906637611548</v>
      </c>
      <c r="Q110" s="0" t="n">
        <f aca="false">G110+Criterios_M01!$C$4</f>
        <v>13.6</v>
      </c>
      <c r="R110" s="0" t="n">
        <f aca="false">ROUNDUP(G110/Criterios_M01!$C$5,0)+1</f>
        <v>12</v>
      </c>
      <c r="S110" s="0" t="n">
        <f aca="false">(SUMIF(Vanos!$B$7:$B$116,A110,Vanos!$N$7:$N$116)+SUMIF(Vanos!$C$7:$C$116,A110,Vanos!$N$7:$N$116))/2</f>
        <v>189.003298830062</v>
      </c>
    </row>
    <row r="111" customFormat="false" ht="21" hidden="false" customHeight="true" outlineLevel="0" collapsed="false">
      <c r="A111" s="1" t="s">
        <v>292</v>
      </c>
      <c r="B111" s="17" t="n">
        <v>424075.52620313</v>
      </c>
      <c r="C111" s="17" t="n">
        <v>8431204.7413711</v>
      </c>
      <c r="D111" s="17" t="n">
        <v>3763.61759232759</v>
      </c>
      <c r="E111" s="17" t="n">
        <v>13</v>
      </c>
      <c r="F111" s="17" t="n">
        <v>1.9</v>
      </c>
      <c r="G111" s="17" t="n">
        <v>10.6</v>
      </c>
      <c r="H111" s="17" t="n">
        <v>8.53773646251594E-007</v>
      </c>
      <c r="I111" s="9" t="s">
        <v>452</v>
      </c>
      <c r="J111" s="5" t="n">
        <f aca="false">IF(I111="SUSPENSION",0,IF(I111="TERMINAL",1,2))</f>
        <v>0</v>
      </c>
      <c r="K111" s="5" t="n">
        <f aca="false">1</f>
        <v>1</v>
      </c>
      <c r="L111" s="5" t="n">
        <f aca="false">1</f>
        <v>1</v>
      </c>
      <c r="M111" s="18" t="n">
        <f aca="false">O111*Parametros!$E$6</f>
        <v>0</v>
      </c>
      <c r="N111" s="0" t="str">
        <f aca="false">IF(I111="SUSPENSION","CAC-S",IF(I111="ANGULO","CAC-A",IF(I111="TERMINAL","CAC-T",IF(OR(I111="ANCLAJE",I111="ANCLAJE_PROPUESTO"),"CAC-R","SIN-RECETA"))))</f>
        <v>CAC-S</v>
      </c>
      <c r="O111" s="0" t="n">
        <f aca="false">IF(OR(I111="ANCLAJE",I111="ANCLAJE_PROPUESTO",I111="TERMINAL"),Parametros!$E$5,0)</f>
        <v>0</v>
      </c>
      <c r="P111" s="0" t="n">
        <f aca="false">G111/SIN(RADIANS(Criterios_M01!$C$2))+Criterios_M01!$C$3</f>
        <v>17.9906637611548</v>
      </c>
      <c r="Q111" s="0" t="n">
        <f aca="false">G111+Criterios_M01!$C$4</f>
        <v>13.6</v>
      </c>
      <c r="R111" s="0" t="n">
        <f aca="false">ROUNDUP(G111/Criterios_M01!$C$5,0)+1</f>
        <v>12</v>
      </c>
      <c r="S111" s="0" t="n">
        <f aca="false">(SUMIF(Vanos!$B$7:$B$116,A111,Vanos!$N$7:$N$116)+SUMIF(Vanos!$C$7:$C$116,A111,Vanos!$N$7:$N$116))/2</f>
        <v>233.706504517003</v>
      </c>
    </row>
    <row r="112" customFormat="false" ht="21" hidden="false" customHeight="true" outlineLevel="0" collapsed="false">
      <c r="A112" s="1" t="s">
        <v>293</v>
      </c>
      <c r="B112" s="17" t="n">
        <v>424019.730106638</v>
      </c>
      <c r="C112" s="17" t="n">
        <v>8431150.78886161</v>
      </c>
      <c r="D112" s="17" t="n">
        <v>3758.47386907948</v>
      </c>
      <c r="E112" s="17" t="n">
        <v>13</v>
      </c>
      <c r="F112" s="17" t="n">
        <v>1.9</v>
      </c>
      <c r="G112" s="17" t="n">
        <v>10.6</v>
      </c>
      <c r="H112" s="17" t="n">
        <v>18.4086239160056</v>
      </c>
      <c r="I112" s="9" t="s">
        <v>454</v>
      </c>
      <c r="J112" s="5" t="n">
        <f aca="false">IF(I112="SUSPENSION",0,IF(I112="TERMINAL",1,2))</f>
        <v>2</v>
      </c>
      <c r="K112" s="5" t="n">
        <f aca="false">1</f>
        <v>1</v>
      </c>
      <c r="L112" s="5" t="n">
        <f aca="false">1</f>
        <v>1</v>
      </c>
      <c r="M112" s="18" t="n">
        <f aca="false">O112*Parametros!$E$6</f>
        <v>0</v>
      </c>
      <c r="N112" s="0" t="str">
        <f aca="false">IF(I112="SUSPENSION","CAC-S",IF(I112="ANGULO","CAC-A",IF(I112="TERMINAL","CAC-T",IF(OR(I112="ANCLAJE",I112="ANCLAJE_PROPUESTO"),"CAC-R","SIN-RECETA"))))</f>
        <v>CAC-A</v>
      </c>
      <c r="O112" s="0" t="n">
        <f aca="false">IF(OR(I112="ANCLAJE",I112="ANCLAJE_PROPUESTO",I112="TERMINAL"),Parametros!$E$5,0)</f>
        <v>0</v>
      </c>
      <c r="P112" s="0" t="n">
        <f aca="false">G112/SIN(RADIANS(Criterios_M01!$C$2))+Criterios_M01!$C$3</f>
        <v>17.9906637611548</v>
      </c>
      <c r="Q112" s="0" t="n">
        <f aca="false">G112+Criterios_M01!$C$4</f>
        <v>13.6</v>
      </c>
      <c r="R112" s="0" t="n">
        <f aca="false">ROUNDUP(G112/Criterios_M01!$C$5,0)+1</f>
        <v>12</v>
      </c>
      <c r="S112" s="0" t="n">
        <f aca="false">(SUMIF(Vanos!$B$7:$B$116,A112,Vanos!$N$7:$N$116)+SUMIF(Vanos!$C$7:$C$116,A112,Vanos!$N$7:$N$116))/2</f>
        <v>204.593992790384</v>
      </c>
    </row>
    <row r="113" customFormat="false" ht="21" hidden="false" customHeight="true" outlineLevel="0" collapsed="false">
      <c r="A113" s="1" t="s">
        <v>294</v>
      </c>
      <c r="B113" s="17" t="n">
        <v>423992.622796447</v>
      </c>
      <c r="C113" s="17" t="n">
        <v>8431098.83527126</v>
      </c>
      <c r="D113" s="17" t="n">
        <v>3758.73687935864</v>
      </c>
      <c r="E113" s="17" t="n">
        <v>13</v>
      </c>
      <c r="F113" s="17" t="n">
        <v>1.9</v>
      </c>
      <c r="G113" s="17" t="n">
        <v>10.6</v>
      </c>
      <c r="H113" s="17" t="n">
        <v>0</v>
      </c>
      <c r="I113" s="9" t="s">
        <v>455</v>
      </c>
      <c r="J113" s="5" t="n">
        <f aca="false">IF(I113="SUSPENSION",0,IF(I113="TERMINAL",1,2))</f>
        <v>2</v>
      </c>
      <c r="K113" s="5" t="n">
        <f aca="false">1</f>
        <v>1</v>
      </c>
      <c r="L113" s="5" t="n">
        <f aca="false">1</f>
        <v>1</v>
      </c>
      <c r="M113" s="18" t="n">
        <f aca="false">O113*Parametros!$E$6</f>
        <v>6</v>
      </c>
      <c r="N113" s="0" t="str">
        <f aca="false">IF(I113="SUSPENSION","CAC-S",IF(I113="ANGULO","CAC-A",IF(I113="TERMINAL","CAC-T",IF(OR(I113="ANCLAJE",I113="ANCLAJE_PROPUESTO"),"CAC-R","SIN-RECETA"))))</f>
        <v>CAC-R</v>
      </c>
      <c r="O113" s="0" t="n">
        <f aca="false">IF(OR(I113="ANCLAJE",I113="ANCLAJE_PROPUESTO",I113="TERMINAL"),Parametros!$E$5,0)</f>
        <v>3</v>
      </c>
      <c r="P113" s="0" t="n">
        <f aca="false">G113/SIN(RADIANS(Criterios_M01!$C$2))+Criterios_M01!$C$3</f>
        <v>17.9906637611548</v>
      </c>
      <c r="Q113" s="0" t="n">
        <f aca="false">G113+Criterios_M01!$C$4</f>
        <v>13.6</v>
      </c>
      <c r="R113" s="0" t="n">
        <f aca="false">ROUNDUP(G113/Criterios_M01!$C$5,0)+1</f>
        <v>12</v>
      </c>
      <c r="S113" s="0" t="n">
        <f aca="false">(SUMIF(Vanos!$B$7:$B$116,A113,Vanos!$N$7:$N$116)+SUMIF(Vanos!$C$7:$C$116,A113,Vanos!$N$7:$N$116))/2</f>
        <v>176.104626616842</v>
      </c>
    </row>
    <row r="114" customFormat="false" ht="21" hidden="false" customHeight="true" outlineLevel="0" collapsed="false">
      <c r="A114" s="1" t="s">
        <v>295</v>
      </c>
      <c r="B114" s="17" t="n">
        <v>423965.515486256</v>
      </c>
      <c r="C114" s="17" t="n">
        <v>8431046.8816809</v>
      </c>
      <c r="D114" s="17" t="n">
        <v>3763.53478422528</v>
      </c>
      <c r="E114" s="17" t="n">
        <v>13</v>
      </c>
      <c r="F114" s="17" t="n">
        <v>1.9</v>
      </c>
      <c r="G114" s="17" t="n">
        <v>10.6</v>
      </c>
      <c r="H114" s="17" t="n">
        <v>35.1043056465208</v>
      </c>
      <c r="I114" s="9" t="s">
        <v>453</v>
      </c>
      <c r="J114" s="5" t="n">
        <f aca="false">IF(I114="SUSPENSION",0,IF(I114="TERMINAL",1,2))</f>
        <v>2</v>
      </c>
      <c r="K114" s="5" t="n">
        <f aca="false">1</f>
        <v>1</v>
      </c>
      <c r="L114" s="5" t="n">
        <f aca="false">1</f>
        <v>1</v>
      </c>
      <c r="M114" s="18" t="n">
        <f aca="false">O114*Parametros!$E$6</f>
        <v>6</v>
      </c>
      <c r="N114" s="0" t="str">
        <f aca="false">IF(I114="SUSPENSION","CAC-S",IF(I114="ANGULO","CAC-A",IF(I114="TERMINAL","CAC-T",IF(OR(I114="ANCLAJE",I114="ANCLAJE_PROPUESTO"),"CAC-R","SIN-RECETA"))))</f>
        <v>CAC-R</v>
      </c>
      <c r="O114" s="0" t="n">
        <f aca="false">IF(OR(I114="ANCLAJE",I114="ANCLAJE_PROPUESTO",I114="TERMINAL"),Parametros!$E$5,0)</f>
        <v>3</v>
      </c>
      <c r="P114" s="0" t="n">
        <f aca="false">G114/SIN(RADIANS(Criterios_M01!$C$2))+Criterios_M01!$C$3</f>
        <v>17.9906637611548</v>
      </c>
      <c r="Q114" s="0" t="n">
        <f aca="false">G114+Criterios_M01!$C$4</f>
        <v>13.6</v>
      </c>
      <c r="R114" s="0" t="n">
        <f aca="false">ROUNDUP(G114/Criterios_M01!$C$5,0)+1</f>
        <v>12</v>
      </c>
      <c r="S114" s="0" t="n">
        <f aca="false">(SUMIF(Vanos!$B$7:$B$116,A114,Vanos!$N$7:$N$116)+SUMIF(Vanos!$C$7:$C$116,A114,Vanos!$N$7:$N$116))/2</f>
        <v>154.414556893653</v>
      </c>
    </row>
    <row r="115" customFormat="false" ht="21" hidden="false" customHeight="true" outlineLevel="0" collapsed="false">
      <c r="A115" s="1" t="s">
        <v>296</v>
      </c>
      <c r="B115" s="17" t="n">
        <v>423971.291915681</v>
      </c>
      <c r="C115" s="17" t="n">
        <v>8431003.30248371</v>
      </c>
      <c r="D115" s="17" t="n">
        <v>3759.52914757616</v>
      </c>
      <c r="E115" s="17" t="n">
        <v>13</v>
      </c>
      <c r="F115" s="17" t="n">
        <v>1.9</v>
      </c>
      <c r="G115" s="17" t="n">
        <v>10.6</v>
      </c>
      <c r="H115" s="17" t="n">
        <v>37.2838697158071</v>
      </c>
      <c r="I115" s="9" t="s">
        <v>453</v>
      </c>
      <c r="J115" s="5" t="n">
        <f aca="false">IF(I115="SUSPENSION",0,IF(I115="TERMINAL",1,2))</f>
        <v>2</v>
      </c>
      <c r="K115" s="5" t="n">
        <f aca="false">1</f>
        <v>1</v>
      </c>
      <c r="L115" s="5" t="n">
        <f aca="false">1</f>
        <v>1</v>
      </c>
      <c r="M115" s="18" t="n">
        <f aca="false">O115*Parametros!$E$6</f>
        <v>6</v>
      </c>
      <c r="N115" s="0" t="str">
        <f aca="false">IF(I115="SUSPENSION","CAC-S",IF(I115="ANGULO","CAC-A",IF(I115="TERMINAL","CAC-T",IF(OR(I115="ANCLAJE",I115="ANCLAJE_PROPUESTO"),"CAC-R","SIN-RECETA"))))</f>
        <v>CAC-R</v>
      </c>
      <c r="O115" s="0" t="n">
        <f aca="false">IF(OR(I115="ANCLAJE",I115="ANCLAJE_PROPUESTO",I115="TERMINAL"),Parametros!$E$5,0)</f>
        <v>3</v>
      </c>
      <c r="P115" s="0" t="n">
        <f aca="false">G115/SIN(RADIANS(Criterios_M01!$C$2))+Criterios_M01!$C$3</f>
        <v>17.9906637611548</v>
      </c>
      <c r="Q115" s="0" t="n">
        <f aca="false">G115+Criterios_M01!$C$4</f>
        <v>13.6</v>
      </c>
      <c r="R115" s="0" t="n">
        <f aca="false">ROUNDUP(G115/Criterios_M01!$C$5,0)+1</f>
        <v>12</v>
      </c>
      <c r="S115" s="0" t="n">
        <f aca="false">(SUMIF(Vanos!$B$7:$B$116,A115,Vanos!$N$7:$N$116)+SUMIF(Vanos!$C$7:$C$116,A115,Vanos!$N$7:$N$116))/2</f>
        <v>123.365614005434</v>
      </c>
    </row>
    <row r="116" customFormat="false" ht="21" hidden="false" customHeight="true" outlineLevel="0" collapsed="false">
      <c r="A116" s="1" t="s">
        <v>297</v>
      </c>
      <c r="B116" s="17" t="n">
        <v>423952.397153116</v>
      </c>
      <c r="C116" s="17" t="n">
        <v>8430970.2211546</v>
      </c>
      <c r="D116" s="17" t="n">
        <v>3759.92862453076</v>
      </c>
      <c r="E116" s="17" t="n">
        <v>13</v>
      </c>
      <c r="F116" s="17" t="n">
        <v>1.9</v>
      </c>
      <c r="G116" s="17" t="n">
        <v>10.6</v>
      </c>
      <c r="H116" s="17" t="n">
        <v>8.33215972798185</v>
      </c>
      <c r="I116" s="9" t="s">
        <v>454</v>
      </c>
      <c r="J116" s="5" t="n">
        <f aca="false">IF(I116="SUSPENSION",0,IF(I116="TERMINAL",1,2))</f>
        <v>2</v>
      </c>
      <c r="K116" s="5" t="n">
        <f aca="false">1</f>
        <v>1</v>
      </c>
      <c r="L116" s="5" t="n">
        <f aca="false">1</f>
        <v>1</v>
      </c>
      <c r="M116" s="18" t="n">
        <f aca="false">O116*Parametros!$E$6</f>
        <v>0</v>
      </c>
      <c r="N116" s="0" t="str">
        <f aca="false">IF(I116="SUSPENSION","CAC-S",IF(I116="ANGULO","CAC-A",IF(I116="TERMINAL","CAC-T",IF(OR(I116="ANCLAJE",I116="ANCLAJE_PROPUESTO"),"CAC-R","SIN-RECETA"))))</f>
        <v>CAC-A</v>
      </c>
      <c r="O116" s="0" t="n">
        <f aca="false">IF(OR(I116="ANCLAJE",I116="ANCLAJE_PROPUESTO",I116="TERMINAL"),Parametros!$E$5,0)</f>
        <v>0</v>
      </c>
      <c r="P116" s="0" t="n">
        <f aca="false">G116/SIN(RADIANS(Criterios_M01!$C$2))+Criterios_M01!$C$3</f>
        <v>17.9906637611548</v>
      </c>
      <c r="Q116" s="0" t="n">
        <f aca="false">G116+Criterios_M01!$C$4</f>
        <v>13.6</v>
      </c>
      <c r="R116" s="0" t="n">
        <f aca="false">ROUNDUP(G116/Criterios_M01!$C$5,0)+1</f>
        <v>12</v>
      </c>
      <c r="S116" s="0" t="n">
        <f aca="false">(SUMIF(Vanos!$B$7:$B$116,A116,Vanos!$N$7:$N$116)+SUMIF(Vanos!$C$7:$C$116,A116,Vanos!$N$7:$N$116))/2</f>
        <v>86.7387720314298</v>
      </c>
    </row>
    <row r="117" customFormat="false" ht="21" hidden="false" customHeight="true" outlineLevel="0" collapsed="false">
      <c r="A117" s="1" t="s">
        <v>298</v>
      </c>
      <c r="B117" s="17" t="n">
        <v>423945.20799879</v>
      </c>
      <c r="C117" s="17" t="n">
        <v>8430951.87768815</v>
      </c>
      <c r="D117" s="17" t="n">
        <v>3760.89725214739</v>
      </c>
      <c r="E117" s="17" t="n">
        <v>13</v>
      </c>
      <c r="F117" s="17" t="n">
        <v>1.9</v>
      </c>
      <c r="G117" s="17" t="n">
        <v>10.6</v>
      </c>
      <c r="H117" s="17" t="n">
        <v>0</v>
      </c>
      <c r="I117" s="9" t="s">
        <v>451</v>
      </c>
      <c r="J117" s="5" t="n">
        <f aca="false">IF(I117="SUSPENSION",0,IF(I117="TERMINAL",1,2))</f>
        <v>1</v>
      </c>
      <c r="K117" s="5" t="n">
        <f aca="false">1</f>
        <v>1</v>
      </c>
      <c r="L117" s="5" t="n">
        <f aca="false">1</f>
        <v>1</v>
      </c>
      <c r="M117" s="18" t="n">
        <f aca="false">O117*Parametros!$E$6</f>
        <v>6</v>
      </c>
      <c r="N117" s="0" t="str">
        <f aca="false">IF(I117="SUSPENSION","CAC-S",IF(I117="ANGULO","CAC-A",IF(I117="TERMINAL","CAC-T",IF(OR(I117="ANCLAJE",I117="ANCLAJE_PROPUESTO"),"CAC-R","SIN-RECETA"))))</f>
        <v>CAC-T</v>
      </c>
      <c r="O117" s="0" t="n">
        <f aca="false">IF(OR(I117="ANCLAJE",I117="ANCLAJE_PROPUESTO",I117="TERMINAL"),Parametros!$E$5,0)</f>
        <v>3</v>
      </c>
      <c r="P117" s="0" t="n">
        <f aca="false">G117/SIN(RADIANS(Criterios_M01!$C$2))+Criterios_M01!$C$3</f>
        <v>17.9906637611548</v>
      </c>
      <c r="Q117" s="0" t="n">
        <f aca="false">G117+Criterios_M01!$C$4</f>
        <v>13.6</v>
      </c>
      <c r="R117" s="0" t="n">
        <f aca="false">ROUNDUP(G117/Criterios_M01!$C$5,0)+1</f>
        <v>12</v>
      </c>
      <c r="S117" s="0" t="n">
        <f aca="false">(SUMIF(Vanos!$B$7:$B$116,A117,Vanos!$N$7:$N$116)+SUMIF(Vanos!$C$7:$C$116,A117,Vanos!$N$7:$N$116))/2</f>
        <v>29.5887867449061</v>
      </c>
    </row>
    <row r="118" customFormat="false" ht="21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customFormat="false" ht="21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customFormat="false" ht="21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customFormat="false" ht="21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customFormat="false" ht="21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customFormat="false" ht="21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customFormat="false" ht="21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customFormat="false" ht="21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customFormat="false" ht="21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customFormat="false" ht="21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customFormat="false" ht="21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customFormat="false" ht="21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customFormat="false" ht="21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customFormat="false" ht="21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customFormat="false" ht="21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customFormat="false" ht="21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customFormat="false" ht="21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customFormat="false" ht="21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customFormat="false" ht="21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customFormat="false" ht="21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customFormat="false" ht="21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customFormat="false" ht="21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customFormat="false" ht="21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</sheetData>
  <dataValidations count="1">
    <dataValidation allowBlank="false" errorStyle="stop" operator="between" showDropDown="false" showErrorMessage="false" showInputMessage="false" sqref="I7:I117" type="list">
      <formula1>"SUSPENSION,ANGULO,ANCLAJE,ANCLAJE_PROPUESTO,TERMINAL"</formula1>
      <formula2>0</formula2>
    </dataValidation>
  </dataValidations>
  <printOptions headings="false" gridLines="false" gridLinesSet="true" horizontalCentered="false" verticalCentered="false"/>
  <pageMargins left="0.39375" right="0.39375" top="0.551388888888889" bottom="0.551388888888889" header="0.511811023622047" footer="0.3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&amp;CInstalaciones Eléctricas II | Aquiles Taylor Ramos Yapo | 227368&amp;RHoja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4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3" min="2" style="0" width="10"/>
    <col collapsed="false" customWidth="true" hidden="false" outlineLevel="0" max="7" min="4" style="0" width="14"/>
    <col collapsed="false" customWidth="true" hidden="false" outlineLevel="0" max="8" min="8" style="0" width="16"/>
    <col collapsed="false" customWidth="true" hidden="false" outlineLevel="0" max="12" min="9" style="0" width="14"/>
    <col collapsed="false" customWidth="true" hidden="false" outlineLevel="0" max="14" min="13" style="0" width="17"/>
  </cols>
  <sheetData>
    <row r="1" customFormat="false" ht="21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" hidden="false" customHeight="true" outlineLevel="0" collapsed="false">
      <c r="A2" s="2" t="s">
        <v>456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1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21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21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customFormat="false" ht="36" hidden="false" customHeight="true" outlineLevel="0" collapsed="false">
      <c r="A6" s="4" t="s">
        <v>301</v>
      </c>
      <c r="B6" s="4" t="s">
        <v>457</v>
      </c>
      <c r="C6" s="4" t="s">
        <v>458</v>
      </c>
      <c r="D6" s="4" t="s">
        <v>459</v>
      </c>
      <c r="E6" s="4" t="s">
        <v>460</v>
      </c>
      <c r="F6" s="4" t="s">
        <v>461</v>
      </c>
      <c r="G6" s="4" t="s">
        <v>308</v>
      </c>
      <c r="H6" s="4" t="s">
        <v>462</v>
      </c>
      <c r="I6" s="4" t="s">
        <v>463</v>
      </c>
      <c r="J6" s="4" t="s">
        <v>312</v>
      </c>
      <c r="K6" s="4" t="s">
        <v>464</v>
      </c>
      <c r="L6" s="4" t="s">
        <v>465</v>
      </c>
      <c r="M6" s="4" t="s">
        <v>466</v>
      </c>
      <c r="N6" s="4" t="s">
        <v>467</v>
      </c>
    </row>
    <row r="7" customFormat="false" ht="21" hidden="false" customHeight="true" outlineLevel="0" collapsed="false">
      <c r="A7" s="1" t="s">
        <v>318</v>
      </c>
      <c r="B7" s="1" t="s">
        <v>188</v>
      </c>
      <c r="C7" s="1" t="s">
        <v>189</v>
      </c>
      <c r="D7" s="8" t="n">
        <f aca="false">SQRT((INDEX(Postes!$B$7:$B$117,MATCH(C7,Postes!$A$7:$A$117,0))-INDEX(Postes!$B$7:$B$117,MATCH(B7,Postes!$A$7:$A$117,0)))^2+(INDEX(Postes!$C$7:$C$117,MATCH(C7,Postes!$A$7:$A$117,0))-INDEX(Postes!$C$7:$C$117,MATCH(B7,Postes!$A$7:$A$117,0)))^2)</f>
        <v>47.1465965707166</v>
      </c>
      <c r="E7" s="8" t="n">
        <f aca="false">INDEX(Postes!$D$7:$D$117,MATCH(C7,Postes!$A$7:$A$117,0))+INDEX(Postes!$G$7:$G$117,MATCH(C7,Postes!$A$7:$A$117,0))-INDEX(Postes!$D$7:$D$117,MATCH(B7,Postes!$A$7:$A$117,0))-INDEX(Postes!$G$7:$G$117,MATCH(B7,Postes!$A$7:$A$117,0))</f>
        <v>14.3153865381791</v>
      </c>
      <c r="F7" s="8" t="n">
        <f aca="false">Parametros!$E$8*Parametros!$E$9</f>
        <v>2205</v>
      </c>
      <c r="G7" s="8" t="n">
        <f aca="false">Parametros!$E$10/1000*Parametros!$E$11</f>
        <v>1.32389775</v>
      </c>
      <c r="H7" s="8" t="n">
        <f aca="false">F7/G7</f>
        <v>1665.53648119728</v>
      </c>
      <c r="I7" s="8" t="n">
        <f aca="false">ASINH(E7/(2*H7*SINH(D7/(2*H7))))</f>
        <v>0.299143901667475</v>
      </c>
      <c r="J7" s="8" t="n">
        <f aca="false">D7/2-H7*I7</f>
        <v>-474.661783069514</v>
      </c>
      <c r="K7" s="8" t="n">
        <f aca="false">-J7/H7</f>
        <v>0.284990324996244</v>
      </c>
      <c r="L7" s="8" t="n">
        <f aca="false">(D7-J7)/H7</f>
        <v>0.313297478338706</v>
      </c>
      <c r="M7" s="8" t="n">
        <f aca="false">H7*(SINH(L7)-SINH(K7))</f>
        <v>49.2735252497684</v>
      </c>
      <c r="N7" s="8" t="n">
        <f aca="false">M7*Parametros!$E$5</f>
        <v>147.820575749305</v>
      </c>
    </row>
    <row r="8" customFormat="false" ht="21" hidden="false" customHeight="true" outlineLevel="0" collapsed="false">
      <c r="A8" s="1" t="s">
        <v>325</v>
      </c>
      <c r="B8" s="1" t="s">
        <v>189</v>
      </c>
      <c r="C8" s="1" t="s">
        <v>190</v>
      </c>
      <c r="D8" s="8" t="n">
        <f aca="false">SQRT((INDEX(Postes!$B$7:$B$117,MATCH(C8,Postes!$A$7:$A$117,0))-INDEX(Postes!$B$7:$B$117,MATCH(B8,Postes!$A$7:$A$117,0)))^2+(INDEX(Postes!$C$7:$C$117,MATCH(C8,Postes!$A$7:$A$117,0))-INDEX(Postes!$C$7:$C$117,MATCH(B8,Postes!$A$7:$A$117,0)))^2)</f>
        <v>47.146596569136</v>
      </c>
      <c r="E8" s="8" t="n">
        <f aca="false">INDEX(Postes!$D$7:$D$117,MATCH(C8,Postes!$A$7:$A$117,0))+INDEX(Postes!$G$7:$G$117,MATCH(C8,Postes!$A$7:$A$117,0))-INDEX(Postes!$D$7:$D$117,MATCH(B8,Postes!$A$7:$A$117,0))-INDEX(Postes!$G$7:$G$117,MATCH(B8,Postes!$A$7:$A$117,0))</f>
        <v>13.2652472247409</v>
      </c>
      <c r="F8" s="8" t="n">
        <f aca="false">Parametros!$E$8*Parametros!$E$9</f>
        <v>2205</v>
      </c>
      <c r="G8" s="8" t="n">
        <f aca="false">Parametros!$E$10/1000*Parametros!$E$11</f>
        <v>1.32389775</v>
      </c>
      <c r="H8" s="8" t="n">
        <f aca="false">F8/G8</f>
        <v>1665.53648119728</v>
      </c>
      <c r="I8" s="8" t="n">
        <f aca="false">ASINH(E8/(2*H8*SINH(D8/(2*H8))))</f>
        <v>0.27776669836035</v>
      </c>
      <c r="J8" s="8" t="n">
        <f aca="false">D8/2-H8*I8</f>
        <v>-439.057271096316</v>
      </c>
      <c r="K8" s="8" t="n">
        <f aca="false">-J8/H8</f>
        <v>0.263613121689593</v>
      </c>
      <c r="L8" s="8" t="n">
        <f aca="false">(D8-J8)/H8</f>
        <v>0.291920275031106</v>
      </c>
      <c r="M8" s="8" t="n">
        <f aca="false">H8*(SINH(L8)-SINH(K8))</f>
        <v>48.9787380664967</v>
      </c>
      <c r="N8" s="8" t="n">
        <f aca="false">M8*Parametros!$E$5</f>
        <v>146.93621419949</v>
      </c>
    </row>
    <row r="9" customFormat="false" ht="21" hidden="false" customHeight="true" outlineLevel="0" collapsed="false">
      <c r="A9" s="1" t="s">
        <v>326</v>
      </c>
      <c r="B9" s="1" t="s">
        <v>190</v>
      </c>
      <c r="C9" s="1" t="s">
        <v>191</v>
      </c>
      <c r="D9" s="8" t="n">
        <f aca="false">SQRT((INDEX(Postes!$B$7:$B$117,MATCH(C9,Postes!$A$7:$A$117,0))-INDEX(Postes!$B$7:$B$117,MATCH(B9,Postes!$A$7:$A$117,0)))^2+(INDEX(Postes!$C$7:$C$117,MATCH(C9,Postes!$A$7:$A$117,0))-INDEX(Postes!$C$7:$C$117,MATCH(B9,Postes!$A$7:$A$117,0)))^2)</f>
        <v>75.5646489241475</v>
      </c>
      <c r="E9" s="8" t="n">
        <f aca="false">INDEX(Postes!$D$7:$D$117,MATCH(C9,Postes!$A$7:$A$117,0))+INDEX(Postes!$G$7:$G$117,MATCH(C9,Postes!$A$7:$A$117,0))-INDEX(Postes!$D$7:$D$117,MATCH(B9,Postes!$A$7:$A$117,0))-INDEX(Postes!$G$7:$G$117,MATCH(B9,Postes!$A$7:$A$117,0))</f>
        <v>0.0139079407941605</v>
      </c>
      <c r="F9" s="8" t="n">
        <f aca="false">Parametros!$E$8*Parametros!$E$9</f>
        <v>2205</v>
      </c>
      <c r="G9" s="8" t="n">
        <f aca="false">Parametros!$E$10/1000*Parametros!$E$11</f>
        <v>1.32389775</v>
      </c>
      <c r="H9" s="8" t="n">
        <f aca="false">F9/G9</f>
        <v>1665.53648119728</v>
      </c>
      <c r="I9" s="8" t="n">
        <f aca="false">ASINH(E9/(2*H9*SINH(D9/(2*H9))))</f>
        <v>0.000184037749788565</v>
      </c>
      <c r="J9" s="8" t="n">
        <f aca="false">D9/2-H9*I9</f>
        <v>37.4758028758834</v>
      </c>
      <c r="K9" s="8" t="n">
        <f aca="false">-J9/H9</f>
        <v>-0.0225007397309867</v>
      </c>
      <c r="L9" s="8" t="n">
        <f aca="false">(D9-J9)/H9</f>
        <v>0.0228688152305638</v>
      </c>
      <c r="M9" s="8" t="n">
        <f aca="false">H9*(SINH(L9)-SINH(K9))</f>
        <v>75.5711312877873</v>
      </c>
      <c r="N9" s="8" t="n">
        <f aca="false">M9*Parametros!$E$5</f>
        <v>226.713393863362</v>
      </c>
    </row>
    <row r="10" customFormat="false" ht="21" hidden="false" customHeight="true" outlineLevel="0" collapsed="false">
      <c r="A10" s="1" t="s">
        <v>327</v>
      </c>
      <c r="B10" s="1" t="s">
        <v>191</v>
      </c>
      <c r="C10" s="1" t="s">
        <v>192</v>
      </c>
      <c r="D10" s="8" t="n">
        <f aca="false">SQRT((INDEX(Postes!$B$7:$B$117,MATCH(C10,Postes!$A$7:$A$117,0))-INDEX(Postes!$B$7:$B$117,MATCH(B10,Postes!$A$7:$A$117,0)))^2+(INDEX(Postes!$C$7:$C$117,MATCH(C10,Postes!$A$7:$A$117,0))-INDEX(Postes!$C$7:$C$117,MATCH(B10,Postes!$A$7:$A$117,0)))^2)</f>
        <v>75.5646489241475</v>
      </c>
      <c r="E10" s="8" t="n">
        <f aca="false">INDEX(Postes!$D$7:$D$117,MATCH(C10,Postes!$A$7:$A$117,0))+INDEX(Postes!$G$7:$G$117,MATCH(C10,Postes!$A$7:$A$117,0))-INDEX(Postes!$D$7:$D$117,MATCH(B10,Postes!$A$7:$A$117,0))-INDEX(Postes!$G$7:$G$117,MATCH(B10,Postes!$A$7:$A$117,0))</f>
        <v>-0.986426915368975</v>
      </c>
      <c r="F10" s="8" t="n">
        <f aca="false">Parametros!$E$8*Parametros!$E$9</f>
        <v>2205</v>
      </c>
      <c r="G10" s="8" t="n">
        <f aca="false">Parametros!$E$10/1000*Parametros!$E$11</f>
        <v>1.32389775</v>
      </c>
      <c r="H10" s="8" t="n">
        <f aca="false">F10/G10</f>
        <v>1665.53648119728</v>
      </c>
      <c r="I10" s="8" t="n">
        <f aca="false">ASINH(E10/(2*H10*SINH(D10/(2*H10))))</f>
        <v>-0.0130525890801905</v>
      </c>
      <c r="J10" s="8" t="n">
        <f aca="false">D10/2-H10*I10</f>
        <v>59.5218877492084</v>
      </c>
      <c r="K10" s="8" t="n">
        <f aca="false">-J10/H10</f>
        <v>-0.0357373665609658</v>
      </c>
      <c r="L10" s="8" t="n">
        <f aca="false">(D10-J10)/H10</f>
        <v>0.00963218840058469</v>
      </c>
      <c r="M10" s="8" t="n">
        <f aca="false">H10*(SINH(L10)-SINH(K10))</f>
        <v>75.5775676291883</v>
      </c>
      <c r="N10" s="8" t="n">
        <f aca="false">M10*Parametros!$E$5</f>
        <v>226.732702887565</v>
      </c>
    </row>
    <row r="11" customFormat="false" ht="21" hidden="false" customHeight="true" outlineLevel="0" collapsed="false">
      <c r="A11" s="1" t="s">
        <v>328</v>
      </c>
      <c r="B11" s="1" t="s">
        <v>192</v>
      </c>
      <c r="C11" s="1" t="s">
        <v>193</v>
      </c>
      <c r="D11" s="8" t="n">
        <f aca="false">SQRT((INDEX(Postes!$B$7:$B$117,MATCH(C11,Postes!$A$7:$A$117,0))-INDEX(Postes!$B$7:$B$117,MATCH(B11,Postes!$A$7:$A$117,0)))^2+(INDEX(Postes!$C$7:$C$117,MATCH(C11,Postes!$A$7:$A$117,0))-INDEX(Postes!$C$7:$C$117,MATCH(B11,Postes!$A$7:$A$117,0)))^2)</f>
        <v>71.0245484987083</v>
      </c>
      <c r="E11" s="8" t="n">
        <f aca="false">INDEX(Postes!$D$7:$D$117,MATCH(C11,Postes!$A$7:$A$117,0))+INDEX(Postes!$G$7:$G$117,MATCH(C11,Postes!$A$7:$A$117,0))-INDEX(Postes!$D$7:$D$117,MATCH(B11,Postes!$A$7:$A$117,0))-INDEX(Postes!$G$7:$G$117,MATCH(B11,Postes!$A$7:$A$117,0))</f>
        <v>7.39403427773696</v>
      </c>
      <c r="F11" s="8" t="n">
        <f aca="false">Parametros!$E$8*Parametros!$E$9</f>
        <v>2205</v>
      </c>
      <c r="G11" s="8" t="n">
        <f aca="false">Parametros!$E$10/1000*Parametros!$E$11</f>
        <v>1.32389775</v>
      </c>
      <c r="H11" s="8" t="n">
        <f aca="false">F11/G11</f>
        <v>1665.53648119728</v>
      </c>
      <c r="I11" s="8" t="n">
        <f aca="false">ASINH(E11/(2*H11*SINH(D11/(2*H11))))</f>
        <v>0.103910351517085</v>
      </c>
      <c r="J11" s="8" t="n">
        <f aca="false">D11/2-H11*I11</f>
        <v>-137.554206976385</v>
      </c>
      <c r="K11" s="8" t="n">
        <f aca="false">-J11/H11</f>
        <v>0.0825885283986712</v>
      </c>
      <c r="L11" s="8" t="n">
        <f aca="false">(D11-J11)/H11</f>
        <v>0.125232174635499</v>
      </c>
      <c r="M11" s="8" t="n">
        <f aca="false">H11*(SINH(L11)-SINH(K11))</f>
        <v>71.4137432179863</v>
      </c>
      <c r="N11" s="8" t="n">
        <f aca="false">M11*Parametros!$E$5</f>
        <v>214.241229653959</v>
      </c>
    </row>
    <row r="12" customFormat="false" ht="21" hidden="false" customHeight="true" outlineLevel="0" collapsed="false">
      <c r="A12" s="1" t="s">
        <v>329</v>
      </c>
      <c r="B12" s="1" t="s">
        <v>193</v>
      </c>
      <c r="C12" s="1" t="s">
        <v>194</v>
      </c>
      <c r="D12" s="8" t="n">
        <f aca="false">SQRT((INDEX(Postes!$B$7:$B$117,MATCH(C12,Postes!$A$7:$A$117,0))-INDEX(Postes!$B$7:$B$117,MATCH(B12,Postes!$A$7:$A$117,0)))^2+(INDEX(Postes!$C$7:$C$117,MATCH(C12,Postes!$A$7:$A$117,0))-INDEX(Postes!$C$7:$C$117,MATCH(B12,Postes!$A$7:$A$117,0)))^2)</f>
        <v>71.0245485000148</v>
      </c>
      <c r="E12" s="8" t="n">
        <f aca="false">INDEX(Postes!$D$7:$D$117,MATCH(C12,Postes!$A$7:$A$117,0))+INDEX(Postes!$G$7:$G$117,MATCH(C12,Postes!$A$7:$A$117,0))-INDEX(Postes!$D$7:$D$117,MATCH(B12,Postes!$A$7:$A$117,0))-INDEX(Postes!$G$7:$G$117,MATCH(B12,Postes!$A$7:$A$117,0))</f>
        <v>2.59166161774674</v>
      </c>
      <c r="F12" s="8" t="n">
        <f aca="false">Parametros!$E$8*Parametros!$E$9</f>
        <v>2205</v>
      </c>
      <c r="G12" s="8" t="n">
        <f aca="false">Parametros!$E$10/1000*Parametros!$E$11</f>
        <v>1.32389775</v>
      </c>
      <c r="H12" s="8" t="n">
        <f aca="false">F12/G12</f>
        <v>1665.53648119728</v>
      </c>
      <c r="I12" s="8" t="n">
        <f aca="false">ASINH(E12/(2*H12*SINH(D12/(2*H12))))</f>
        <v>0.0364788042538183</v>
      </c>
      <c r="J12" s="8" t="n">
        <f aca="false">D12/2-H12*I12</f>
        <v>-25.2445050251816</v>
      </c>
      <c r="K12" s="8" t="n">
        <f aca="false">-J12/H12</f>
        <v>0.015156981135012</v>
      </c>
      <c r="L12" s="8" t="n">
        <f aca="false">(D12-J12)/H12</f>
        <v>0.0578006273726245</v>
      </c>
      <c r="M12" s="8" t="n">
        <f aca="false">H12*(SINH(L12)-SINH(K12))</f>
        <v>71.0771952712731</v>
      </c>
      <c r="N12" s="8" t="n">
        <f aca="false">M12*Parametros!$E$5</f>
        <v>213.231585813819</v>
      </c>
    </row>
    <row r="13" customFormat="false" ht="21" hidden="false" customHeight="true" outlineLevel="0" collapsed="false">
      <c r="A13" s="1" t="s">
        <v>330</v>
      </c>
      <c r="B13" s="1" t="s">
        <v>194</v>
      </c>
      <c r="C13" s="1" t="s">
        <v>195</v>
      </c>
      <c r="D13" s="8" t="n">
        <f aca="false">SQRT((INDEX(Postes!$B$7:$B$117,MATCH(C13,Postes!$A$7:$A$117,0))-INDEX(Postes!$B$7:$B$117,MATCH(B13,Postes!$A$7:$A$117,0)))^2+(INDEX(Postes!$C$7:$C$117,MATCH(C13,Postes!$A$7:$A$117,0))-INDEX(Postes!$C$7:$C$117,MATCH(B13,Postes!$A$7:$A$117,0)))^2)</f>
        <v>57.5073916922193</v>
      </c>
      <c r="E13" s="8" t="n">
        <f aca="false">INDEX(Postes!$D$7:$D$117,MATCH(C13,Postes!$A$7:$A$117,0))+INDEX(Postes!$G$7:$G$117,MATCH(C13,Postes!$A$7:$A$117,0))-INDEX(Postes!$D$7:$D$117,MATCH(B13,Postes!$A$7:$A$117,0))-INDEX(Postes!$G$7:$G$117,MATCH(B13,Postes!$A$7:$A$117,0))</f>
        <v>-1.50501791644083</v>
      </c>
      <c r="F13" s="8" t="n">
        <f aca="false">Parametros!$E$8*Parametros!$E$9</f>
        <v>2205</v>
      </c>
      <c r="G13" s="8" t="n">
        <f aca="false">Parametros!$E$10/1000*Parametros!$E$11</f>
        <v>1.32389775</v>
      </c>
      <c r="H13" s="8" t="n">
        <f aca="false">F13/G13</f>
        <v>1665.53648119728</v>
      </c>
      <c r="I13" s="8" t="n">
        <f aca="false">ASINH(E13/(2*H13*SINH(D13/(2*H13))))</f>
        <v>-0.0261665742777945</v>
      </c>
      <c r="J13" s="8" t="n">
        <f aca="false">D13/2-H13*I13</f>
        <v>72.3350798937348</v>
      </c>
      <c r="K13" s="8" t="n">
        <f aca="false">-J13/H13</f>
        <v>-0.0434304986473405</v>
      </c>
      <c r="L13" s="8" t="n">
        <f aca="false">(D13-J13)/H13</f>
        <v>-0.0089026499082485</v>
      </c>
      <c r="M13" s="8" t="n">
        <f aca="false">H13*(SINH(L13)-SINH(K13))</f>
        <v>57.529937806323</v>
      </c>
      <c r="N13" s="8" t="n">
        <f aca="false">M13*Parametros!$E$5</f>
        <v>172.589813418969</v>
      </c>
    </row>
    <row r="14" customFormat="false" ht="21" hidden="false" customHeight="true" outlineLevel="0" collapsed="false">
      <c r="A14" s="1" t="s">
        <v>331</v>
      </c>
      <c r="B14" s="1" t="s">
        <v>195</v>
      </c>
      <c r="C14" s="1" t="s">
        <v>196</v>
      </c>
      <c r="D14" s="8" t="n">
        <f aca="false">SQRT((INDEX(Postes!$B$7:$B$117,MATCH(C14,Postes!$A$7:$A$117,0))-INDEX(Postes!$B$7:$B$117,MATCH(B14,Postes!$A$7:$A$117,0)))^2+(INDEX(Postes!$C$7:$C$117,MATCH(C14,Postes!$A$7:$A$117,0))-INDEX(Postes!$C$7:$C$117,MATCH(B14,Postes!$A$7:$A$117,0)))^2)</f>
        <v>70.1143197817548</v>
      </c>
      <c r="E14" s="8" t="n">
        <f aca="false">INDEX(Postes!$D$7:$D$117,MATCH(C14,Postes!$A$7:$A$117,0))+INDEX(Postes!$G$7:$G$117,MATCH(C14,Postes!$A$7:$A$117,0))-INDEX(Postes!$D$7:$D$117,MATCH(B14,Postes!$A$7:$A$117,0))-INDEX(Postes!$G$7:$G$117,MATCH(B14,Postes!$A$7:$A$117,0))</f>
        <v>1.85401415717606</v>
      </c>
      <c r="F14" s="8" t="n">
        <f aca="false">Parametros!$E$8*Parametros!$E$9</f>
        <v>2205</v>
      </c>
      <c r="G14" s="8" t="n">
        <f aca="false">Parametros!$E$10/1000*Parametros!$E$11</f>
        <v>1.32389775</v>
      </c>
      <c r="H14" s="8" t="n">
        <f aca="false">F14/G14</f>
        <v>1665.53648119728</v>
      </c>
      <c r="I14" s="8" t="n">
        <f aca="false">ASINH(E14/(2*H14*SINH(D14/(2*H14))))</f>
        <v>0.0264376995265577</v>
      </c>
      <c r="J14" s="8" t="n">
        <f aca="false">D14/2-H14*I14</f>
        <v>-8.9757931495365</v>
      </c>
      <c r="K14" s="8" t="n">
        <f aca="false">-J14/H14</f>
        <v>0.00538913031978993</v>
      </c>
      <c r="L14" s="8" t="n">
        <f aca="false">(D14-J14)/H14</f>
        <v>0.0474862687333254</v>
      </c>
      <c r="M14" s="8" t="n">
        <f aca="false">H14*(SINH(L14)-SINH(K14))</f>
        <v>70.1440036715053</v>
      </c>
      <c r="N14" s="8" t="n">
        <f aca="false">M14*Parametros!$E$5</f>
        <v>210.432011014516</v>
      </c>
    </row>
    <row r="15" customFormat="false" ht="21" hidden="false" customHeight="true" outlineLevel="0" collapsed="false">
      <c r="A15" s="1" t="s">
        <v>332</v>
      </c>
      <c r="B15" s="1" t="s">
        <v>196</v>
      </c>
      <c r="C15" s="1" t="s">
        <v>197</v>
      </c>
      <c r="D15" s="8" t="n">
        <f aca="false">SQRT((INDEX(Postes!$B$7:$B$117,MATCH(C15,Postes!$A$7:$A$117,0))-INDEX(Postes!$B$7:$B$117,MATCH(B15,Postes!$A$7:$A$117,0)))^2+(INDEX(Postes!$C$7:$C$117,MATCH(C15,Postes!$A$7:$A$117,0))-INDEX(Postes!$C$7:$C$117,MATCH(B15,Postes!$A$7:$A$117,0)))^2)</f>
        <v>70.1143197835491</v>
      </c>
      <c r="E15" s="8" t="n">
        <f aca="false">INDEX(Postes!$D$7:$D$117,MATCH(C15,Postes!$A$7:$A$117,0))+INDEX(Postes!$G$7:$G$117,MATCH(C15,Postes!$A$7:$A$117,0))-INDEX(Postes!$D$7:$D$117,MATCH(B15,Postes!$A$7:$A$117,0))-INDEX(Postes!$G$7:$G$117,MATCH(B15,Postes!$A$7:$A$117,0))</f>
        <v>6.29282935238589</v>
      </c>
      <c r="F15" s="8" t="n">
        <f aca="false">Parametros!$E$8*Parametros!$E$9</f>
        <v>2205</v>
      </c>
      <c r="G15" s="8" t="n">
        <f aca="false">Parametros!$E$10/1000*Parametros!$E$11</f>
        <v>1.32389775</v>
      </c>
      <c r="H15" s="8" t="n">
        <f aca="false">F15/G15</f>
        <v>1665.53648119728</v>
      </c>
      <c r="I15" s="8" t="n">
        <f aca="false">ASINH(E15/(2*H15*SINH(D15/(2*H15))))</f>
        <v>0.0896243263062868</v>
      </c>
      <c r="J15" s="8" t="n">
        <f aca="false">D15/2-H15*I15</f>
        <v>-114.215425174075</v>
      </c>
      <c r="K15" s="8" t="n">
        <f aca="false">-J15/H15</f>
        <v>0.0685757570989804</v>
      </c>
      <c r="L15" s="8" t="n">
        <f aca="false">(D15-J15)/H15</f>
        <v>0.110672895513593</v>
      </c>
      <c r="M15" s="8" t="n">
        <f aca="false">H15*(SINH(L15)-SINH(K15))</f>
        <v>70.4013038521523</v>
      </c>
      <c r="N15" s="8" t="n">
        <f aca="false">M15*Parametros!$E$5</f>
        <v>211.203911556457</v>
      </c>
    </row>
    <row r="16" customFormat="false" ht="21" hidden="false" customHeight="true" outlineLevel="0" collapsed="false">
      <c r="A16" s="1" t="s">
        <v>333</v>
      </c>
      <c r="B16" s="1" t="s">
        <v>197</v>
      </c>
      <c r="C16" s="1" t="s">
        <v>198</v>
      </c>
      <c r="D16" s="8" t="n">
        <f aca="false">SQRT((INDEX(Postes!$B$7:$B$117,MATCH(C16,Postes!$A$7:$A$117,0))-INDEX(Postes!$B$7:$B$117,MATCH(B16,Postes!$A$7:$A$117,0)))^2+(INDEX(Postes!$C$7:$C$117,MATCH(C16,Postes!$A$7:$A$117,0))-INDEX(Postes!$C$7:$C$117,MATCH(B16,Postes!$A$7:$A$117,0)))^2)</f>
        <v>50.2141967354048</v>
      </c>
      <c r="E16" s="8" t="n">
        <f aca="false">INDEX(Postes!$D$7:$D$117,MATCH(C16,Postes!$A$7:$A$117,0))+INDEX(Postes!$G$7:$G$117,MATCH(C16,Postes!$A$7:$A$117,0))-INDEX(Postes!$D$7:$D$117,MATCH(B16,Postes!$A$7:$A$117,0))-INDEX(Postes!$G$7:$G$117,MATCH(B16,Postes!$A$7:$A$117,0))</f>
        <v>10.4809519003856</v>
      </c>
      <c r="F16" s="8" t="n">
        <f aca="false">Parametros!$E$8*Parametros!$E$9</f>
        <v>2205</v>
      </c>
      <c r="G16" s="8" t="n">
        <f aca="false">Parametros!$E$10/1000*Parametros!$E$11</f>
        <v>1.32389775</v>
      </c>
      <c r="H16" s="8" t="n">
        <f aca="false">F16/G16</f>
        <v>1665.53648119728</v>
      </c>
      <c r="I16" s="8" t="n">
        <f aca="false">ASINH(E16/(2*H16*SINH(D16/(2*H16))))</f>
        <v>0.207230545944635</v>
      </c>
      <c r="J16" s="8" t="n">
        <f aca="false">D16/2-H16*I16</f>
        <v>-320.042935921517</v>
      </c>
      <c r="K16" s="8" t="n">
        <f aca="false">-J16/H16</f>
        <v>0.19215606474825</v>
      </c>
      <c r="L16" s="8" t="n">
        <f aca="false">(D16-J16)/H16</f>
        <v>0.22230502714102</v>
      </c>
      <c r="M16" s="8" t="n">
        <f aca="false">H16*(SINH(L16)-SINH(K16))</f>
        <v>51.2982154163657</v>
      </c>
      <c r="N16" s="8" t="n">
        <f aca="false">M16*Parametros!$E$5</f>
        <v>153.894646249097</v>
      </c>
    </row>
    <row r="17" customFormat="false" ht="21" hidden="false" customHeight="true" outlineLevel="0" collapsed="false">
      <c r="A17" s="1" t="s">
        <v>334</v>
      </c>
      <c r="B17" s="1" t="s">
        <v>198</v>
      </c>
      <c r="C17" s="1" t="s">
        <v>199</v>
      </c>
      <c r="D17" s="8" t="n">
        <f aca="false">SQRT((INDEX(Postes!$B$7:$B$117,MATCH(C17,Postes!$A$7:$A$117,0))-INDEX(Postes!$B$7:$B$117,MATCH(B17,Postes!$A$7:$A$117,0)))^2+(INDEX(Postes!$C$7:$C$117,MATCH(C17,Postes!$A$7:$A$117,0))-INDEX(Postes!$C$7:$C$117,MATCH(B17,Postes!$A$7:$A$117,0)))^2)</f>
        <v>60.9689454913138</v>
      </c>
      <c r="E17" s="8" t="n">
        <f aca="false">INDEX(Postes!$D$7:$D$117,MATCH(C17,Postes!$A$7:$A$117,0))+INDEX(Postes!$G$7:$G$117,MATCH(C17,Postes!$A$7:$A$117,0))-INDEX(Postes!$D$7:$D$117,MATCH(B17,Postes!$A$7:$A$117,0))-INDEX(Postes!$G$7:$G$117,MATCH(B17,Postes!$A$7:$A$117,0))</f>
        <v>3.73923043857203</v>
      </c>
      <c r="F17" s="8" t="n">
        <f aca="false">Parametros!$E$8*Parametros!$E$9</f>
        <v>2205</v>
      </c>
      <c r="G17" s="8" t="n">
        <f aca="false">Parametros!$E$10/1000*Parametros!$E$11</f>
        <v>1.32389775</v>
      </c>
      <c r="H17" s="8" t="n">
        <f aca="false">F17/G17</f>
        <v>1665.53648119728</v>
      </c>
      <c r="I17" s="8" t="n">
        <f aca="false">ASINH(E17/(2*H17*SINH(D17/(2*H17))))</f>
        <v>0.0612882817758125</v>
      </c>
      <c r="J17" s="8" t="n">
        <f aca="false">D17/2-H17*I17</f>
        <v>-71.5933964218574</v>
      </c>
      <c r="K17" s="8" t="n">
        <f aca="false">-J17/H17</f>
        <v>0.0429851865930862</v>
      </c>
      <c r="L17" s="8" t="n">
        <f aca="false">(D17-J17)/H17</f>
        <v>0.0795913769585388</v>
      </c>
      <c r="M17" s="8" t="n">
        <f aca="false">H17*(SINH(L17)-SINH(K17))</f>
        <v>61.0868993314115</v>
      </c>
      <c r="N17" s="8" t="n">
        <f aca="false">M17*Parametros!$E$5</f>
        <v>183.260697994235</v>
      </c>
    </row>
    <row r="18" customFormat="false" ht="21" hidden="false" customHeight="true" outlineLevel="0" collapsed="false">
      <c r="A18" s="1" t="s">
        <v>335</v>
      </c>
      <c r="B18" s="1" t="s">
        <v>199</v>
      </c>
      <c r="C18" s="1" t="s">
        <v>200</v>
      </c>
      <c r="D18" s="8" t="n">
        <f aca="false">SQRT((INDEX(Postes!$B$7:$B$117,MATCH(C18,Postes!$A$7:$A$117,0))-INDEX(Postes!$B$7:$B$117,MATCH(B18,Postes!$A$7:$A$117,0)))^2+(INDEX(Postes!$C$7:$C$117,MATCH(C18,Postes!$A$7:$A$117,0))-INDEX(Postes!$C$7:$C$117,MATCH(B18,Postes!$A$7:$A$117,0)))^2)</f>
        <v>54.3081891666986</v>
      </c>
      <c r="E18" s="8" t="n">
        <f aca="false">INDEX(Postes!$D$7:$D$117,MATCH(C18,Postes!$A$7:$A$117,0))+INDEX(Postes!$G$7:$G$117,MATCH(C18,Postes!$A$7:$A$117,0))-INDEX(Postes!$D$7:$D$117,MATCH(B18,Postes!$A$7:$A$117,0))-INDEX(Postes!$G$7:$G$117,MATCH(B18,Postes!$A$7:$A$117,0))</f>
        <v>3.54968131670912</v>
      </c>
      <c r="F18" s="8" t="n">
        <f aca="false">Parametros!$E$8*Parametros!$E$9</f>
        <v>2205</v>
      </c>
      <c r="G18" s="8" t="n">
        <f aca="false">Parametros!$E$10/1000*Parametros!$E$11</f>
        <v>1.32389775</v>
      </c>
      <c r="H18" s="8" t="n">
        <f aca="false">F18/G18</f>
        <v>1665.53648119728</v>
      </c>
      <c r="I18" s="8" t="n">
        <f aca="false">ASINH(E18/(2*H18*SINH(D18/(2*H18))))</f>
        <v>0.0653124663671823</v>
      </c>
      <c r="J18" s="8" t="n">
        <f aca="false">D18/2-H18*I18</f>
        <v>-81.6262008281634</v>
      </c>
      <c r="K18" s="8" t="n">
        <f aca="false">-J18/H18</f>
        <v>0.049008954021521</v>
      </c>
      <c r="L18" s="8" t="n">
        <f aca="false">(D18-J18)/H18</f>
        <v>0.0816159787128437</v>
      </c>
      <c r="M18" s="8" t="n">
        <f aca="false">H18*(SINH(L18)-SINH(K18))</f>
        <v>54.4264731241333</v>
      </c>
      <c r="N18" s="8" t="n">
        <f aca="false">M18*Parametros!$E$5</f>
        <v>163.2794193724</v>
      </c>
    </row>
    <row r="19" customFormat="false" ht="21" hidden="false" customHeight="true" outlineLevel="0" collapsed="false">
      <c r="A19" s="1" t="s">
        <v>336</v>
      </c>
      <c r="B19" s="1" t="s">
        <v>200</v>
      </c>
      <c r="C19" s="1" t="s">
        <v>201</v>
      </c>
      <c r="D19" s="8" t="n">
        <f aca="false">SQRT((INDEX(Postes!$B$7:$B$117,MATCH(C19,Postes!$A$7:$A$117,0))-INDEX(Postes!$B$7:$B$117,MATCH(B19,Postes!$A$7:$A$117,0)))^2+(INDEX(Postes!$C$7:$C$117,MATCH(C19,Postes!$A$7:$A$117,0))-INDEX(Postes!$C$7:$C$117,MATCH(B19,Postes!$A$7:$A$117,0)))^2)</f>
        <v>39.6609039110073</v>
      </c>
      <c r="E19" s="8" t="n">
        <f aca="false">INDEX(Postes!$D$7:$D$117,MATCH(C19,Postes!$A$7:$A$117,0))+INDEX(Postes!$G$7:$G$117,MATCH(C19,Postes!$A$7:$A$117,0))-INDEX(Postes!$D$7:$D$117,MATCH(B19,Postes!$A$7:$A$117,0))-INDEX(Postes!$G$7:$G$117,MATCH(B19,Postes!$A$7:$A$117,0))</f>
        <v>11.7147598495448</v>
      </c>
      <c r="F19" s="8" t="n">
        <f aca="false">Parametros!$E$8*Parametros!$E$9</f>
        <v>2205</v>
      </c>
      <c r="G19" s="8" t="n">
        <f aca="false">Parametros!$E$10/1000*Parametros!$E$11</f>
        <v>1.32389775</v>
      </c>
      <c r="H19" s="8" t="n">
        <f aca="false">F19/G19</f>
        <v>1665.53648119728</v>
      </c>
      <c r="I19" s="8" t="n">
        <f aca="false">ASINH(E19/(2*H19*SINH(D19/(2*H19))))</f>
        <v>0.291231673792657</v>
      </c>
      <c r="J19" s="8" t="n">
        <f aca="false">D19/2-H19*I19</f>
        <v>-465.226525226313</v>
      </c>
      <c r="K19" s="8" t="n">
        <f aca="false">-J19/H19</f>
        <v>0.279325328792487</v>
      </c>
      <c r="L19" s="8" t="n">
        <f aca="false">(D19-J19)/H19</f>
        <v>0.303138018792827</v>
      </c>
      <c r="M19" s="8" t="n">
        <f aca="false">H19*(SINH(L19)-SINH(K19))</f>
        <v>41.3557399670226</v>
      </c>
      <c r="N19" s="8" t="n">
        <f aca="false">M19*Parametros!$E$5</f>
        <v>124.067219901068</v>
      </c>
    </row>
    <row r="20" customFormat="false" ht="21" hidden="false" customHeight="true" outlineLevel="0" collapsed="false">
      <c r="A20" s="1" t="s">
        <v>337</v>
      </c>
      <c r="B20" s="1" t="s">
        <v>201</v>
      </c>
      <c r="C20" s="1" t="s">
        <v>202</v>
      </c>
      <c r="D20" s="8" t="n">
        <f aca="false">SQRT((INDEX(Postes!$B$7:$B$117,MATCH(C20,Postes!$A$7:$A$117,0))-INDEX(Postes!$B$7:$B$117,MATCH(B20,Postes!$A$7:$A$117,0)))^2+(INDEX(Postes!$C$7:$C$117,MATCH(C20,Postes!$A$7:$A$117,0))-INDEX(Postes!$C$7:$C$117,MATCH(B20,Postes!$A$7:$A$117,0)))^2)</f>
        <v>71.8252161363924</v>
      </c>
      <c r="E20" s="8" t="n">
        <f aca="false">INDEX(Postes!$D$7:$D$117,MATCH(C20,Postes!$A$7:$A$117,0))+INDEX(Postes!$G$7:$G$117,MATCH(C20,Postes!$A$7:$A$117,0))-INDEX(Postes!$D$7:$D$117,MATCH(B20,Postes!$A$7:$A$117,0))-INDEX(Postes!$G$7:$G$117,MATCH(B20,Postes!$A$7:$A$117,0))</f>
        <v>12.506880037556</v>
      </c>
      <c r="F20" s="8" t="n">
        <f aca="false">Parametros!$E$8*Parametros!$E$9</f>
        <v>2205</v>
      </c>
      <c r="G20" s="8" t="n">
        <f aca="false">Parametros!$E$10/1000*Parametros!$E$11</f>
        <v>1.32389775</v>
      </c>
      <c r="H20" s="8" t="n">
        <f aca="false">F20/G20</f>
        <v>1665.53648119728</v>
      </c>
      <c r="I20" s="8" t="n">
        <f aca="false">ASINH(E20/(2*H20*SINH(D20/(2*H20))))</f>
        <v>0.173247913757015</v>
      </c>
      <c r="J20" s="8" t="n">
        <f aca="false">D20/2-H20*I20</f>
        <v>-252.638112585433</v>
      </c>
      <c r="K20" s="8" t="n">
        <f aca="false">-J20/H20</f>
        <v>0.151685727354241</v>
      </c>
      <c r="L20" s="8" t="n">
        <f aca="false">(D20-J20)/H20</f>
        <v>0.194810100159789</v>
      </c>
      <c r="M20" s="8" t="n">
        <f aca="false">H20*(SINH(L20)-SINH(K20))</f>
        <v>72.9114755742933</v>
      </c>
      <c r="N20" s="8" t="n">
        <f aca="false">M20*Parametros!$E$5</f>
        <v>218.73442672288</v>
      </c>
    </row>
    <row r="21" customFormat="false" ht="21" hidden="false" customHeight="true" outlineLevel="0" collapsed="false">
      <c r="A21" s="1" t="s">
        <v>338</v>
      </c>
      <c r="B21" s="1" t="s">
        <v>202</v>
      </c>
      <c r="C21" s="1" t="s">
        <v>203</v>
      </c>
      <c r="D21" s="8" t="n">
        <f aca="false">SQRT((INDEX(Postes!$B$7:$B$117,MATCH(C21,Postes!$A$7:$A$117,0))-INDEX(Postes!$B$7:$B$117,MATCH(B21,Postes!$A$7:$A$117,0)))^2+(INDEX(Postes!$C$7:$C$117,MATCH(C21,Postes!$A$7:$A$117,0))-INDEX(Postes!$C$7:$C$117,MATCH(B21,Postes!$A$7:$A$117,0)))^2)</f>
        <v>71.8252161346343</v>
      </c>
      <c r="E21" s="8" t="n">
        <f aca="false">INDEX(Postes!$D$7:$D$117,MATCH(C21,Postes!$A$7:$A$117,0))+INDEX(Postes!$G$7:$G$117,MATCH(C21,Postes!$A$7:$A$117,0))-INDEX(Postes!$D$7:$D$117,MATCH(B21,Postes!$A$7:$A$117,0))-INDEX(Postes!$G$7:$G$117,MATCH(B21,Postes!$A$7:$A$117,0))</f>
        <v>11.3305582491281</v>
      </c>
      <c r="F21" s="8" t="n">
        <f aca="false">Parametros!$E$8*Parametros!$E$9</f>
        <v>2205</v>
      </c>
      <c r="G21" s="8" t="n">
        <f aca="false">Parametros!$E$10/1000*Parametros!$E$11</f>
        <v>1.32389775</v>
      </c>
      <c r="H21" s="8" t="n">
        <f aca="false">F21/G21</f>
        <v>1665.53648119728</v>
      </c>
      <c r="I21" s="8" t="n">
        <f aca="false">ASINH(E21/(2*H21*SINH(D21/(2*H21))))</f>
        <v>0.157092669691765</v>
      </c>
      <c r="J21" s="8" t="n">
        <f aca="false">D21/2-H21*I21</f>
        <v>-225.730964232992</v>
      </c>
      <c r="K21" s="8" t="n">
        <f aca="false">-J21/H21</f>
        <v>0.135530483289518</v>
      </c>
      <c r="L21" s="8" t="n">
        <f aca="false">(D21-J21)/H21</f>
        <v>0.178654856094011</v>
      </c>
      <c r="M21" s="8" t="n">
        <f aca="false">H21*(SINH(L21)-SINH(K21))</f>
        <v>72.7189299435244</v>
      </c>
      <c r="N21" s="8" t="n">
        <f aca="false">M21*Parametros!$E$5</f>
        <v>218.156789830573</v>
      </c>
    </row>
    <row r="22" customFormat="false" ht="21" hidden="false" customHeight="true" outlineLevel="0" collapsed="false">
      <c r="A22" s="1" t="s">
        <v>339</v>
      </c>
      <c r="B22" s="1" t="s">
        <v>203</v>
      </c>
      <c r="C22" s="1" t="s">
        <v>204</v>
      </c>
      <c r="D22" s="8" t="n">
        <f aca="false">SQRT((INDEX(Postes!$B$7:$B$117,MATCH(C22,Postes!$A$7:$A$117,0))-INDEX(Postes!$B$7:$B$117,MATCH(B22,Postes!$A$7:$A$117,0)))^2+(INDEX(Postes!$C$7:$C$117,MATCH(C22,Postes!$A$7:$A$117,0))-INDEX(Postes!$C$7:$C$117,MATCH(B22,Postes!$A$7:$A$117,0)))^2)</f>
        <v>71.8252161363924</v>
      </c>
      <c r="E22" s="8" t="n">
        <f aca="false">INDEX(Postes!$D$7:$D$117,MATCH(C22,Postes!$A$7:$A$117,0))+INDEX(Postes!$G$7:$G$117,MATCH(C22,Postes!$A$7:$A$117,0))-INDEX(Postes!$D$7:$D$117,MATCH(B22,Postes!$A$7:$A$117,0))-INDEX(Postes!$G$7:$G$117,MATCH(B22,Postes!$A$7:$A$117,0))</f>
        <v>5.48674506713596</v>
      </c>
      <c r="F22" s="8" t="n">
        <f aca="false">Parametros!$E$8*Parametros!$E$9</f>
        <v>2205</v>
      </c>
      <c r="G22" s="8" t="n">
        <f aca="false">Parametros!$E$10/1000*Parametros!$E$11</f>
        <v>1.32389775</v>
      </c>
      <c r="H22" s="8" t="n">
        <f aca="false">F22/G22</f>
        <v>1665.53648119728</v>
      </c>
      <c r="I22" s="8" t="n">
        <f aca="false">ASINH(E22/(2*H22*SINH(D22/(2*H22))))</f>
        <v>0.0763102311438332</v>
      </c>
      <c r="J22" s="8" t="n">
        <f aca="false">D22/2-H22*I22</f>
        <v>-91.1848657904551</v>
      </c>
      <c r="K22" s="8" t="n">
        <f aca="false">-J22/H22</f>
        <v>0.0547480447410592</v>
      </c>
      <c r="L22" s="8" t="n">
        <f aca="false">(D22-J22)/H22</f>
        <v>0.0978724175466073</v>
      </c>
      <c r="M22" s="8" t="n">
        <f aca="false">H22*(SINH(L22)-SINH(K22))</f>
        <v>72.0400277177812</v>
      </c>
      <c r="N22" s="8" t="n">
        <f aca="false">M22*Parametros!$E$5</f>
        <v>216.120083153344</v>
      </c>
    </row>
    <row r="23" customFormat="false" ht="21" hidden="false" customHeight="true" outlineLevel="0" collapsed="false">
      <c r="A23" s="1" t="s">
        <v>340</v>
      </c>
      <c r="B23" s="1" t="s">
        <v>204</v>
      </c>
      <c r="C23" s="1" t="s">
        <v>205</v>
      </c>
      <c r="D23" s="8" t="n">
        <f aca="false">SQRT((INDEX(Postes!$B$7:$B$117,MATCH(C23,Postes!$A$7:$A$117,0))-INDEX(Postes!$B$7:$B$117,MATCH(B23,Postes!$A$7:$A$117,0)))^2+(INDEX(Postes!$C$7:$C$117,MATCH(C23,Postes!$A$7:$A$117,0))-INDEX(Postes!$C$7:$C$117,MATCH(B23,Postes!$A$7:$A$117,0)))^2)</f>
        <v>48.1663783151692</v>
      </c>
      <c r="E23" s="8" t="n">
        <f aca="false">INDEX(Postes!$D$7:$D$117,MATCH(C23,Postes!$A$7:$A$117,0))+INDEX(Postes!$G$7:$G$117,MATCH(C23,Postes!$A$7:$A$117,0))-INDEX(Postes!$D$7:$D$117,MATCH(B23,Postes!$A$7:$A$117,0))-INDEX(Postes!$G$7:$G$117,MATCH(B23,Postes!$A$7:$A$117,0))</f>
        <v>2.3357816921929</v>
      </c>
      <c r="F23" s="8" t="n">
        <f aca="false">Parametros!$E$8*Parametros!$E$9</f>
        <v>2205</v>
      </c>
      <c r="G23" s="8" t="n">
        <f aca="false">Parametros!$E$10/1000*Parametros!$E$11</f>
        <v>1.32389775</v>
      </c>
      <c r="H23" s="8" t="n">
        <f aca="false">F23/G23</f>
        <v>1665.53648119728</v>
      </c>
      <c r="I23" s="8" t="n">
        <f aca="false">ASINH(E23/(2*H23*SINH(D23/(2*H23))))</f>
        <v>0.0484733530951724</v>
      </c>
      <c r="J23" s="8" t="n">
        <f aca="false">D23/2-H23*I23</f>
        <v>-56.6509487883822</v>
      </c>
      <c r="K23" s="8" t="n">
        <f aca="false">-J23/H23</f>
        <v>0.0340136343021789</v>
      </c>
      <c r="L23" s="8" t="n">
        <f aca="false">(D23-J23)/H23</f>
        <v>0.0629330718881658</v>
      </c>
      <c r="M23" s="8" t="n">
        <f aca="false">H23*(SINH(L23)-SINH(K23))</f>
        <v>48.2246573013865</v>
      </c>
      <c r="N23" s="8" t="n">
        <f aca="false">M23*Parametros!$E$5</f>
        <v>144.673971904159</v>
      </c>
    </row>
    <row r="24" customFormat="false" ht="21" hidden="false" customHeight="true" outlineLevel="0" collapsed="false">
      <c r="A24" s="1" t="s">
        <v>341</v>
      </c>
      <c r="B24" s="1" t="s">
        <v>205</v>
      </c>
      <c r="C24" s="1" t="s">
        <v>206</v>
      </c>
      <c r="D24" s="8" t="n">
        <f aca="false">SQRT((INDEX(Postes!$B$7:$B$117,MATCH(C24,Postes!$A$7:$A$117,0))-INDEX(Postes!$B$7:$B$117,MATCH(B24,Postes!$A$7:$A$117,0)))^2+(INDEX(Postes!$C$7:$C$117,MATCH(C24,Postes!$A$7:$A$117,0))-INDEX(Postes!$C$7:$C$117,MATCH(B24,Postes!$A$7:$A$117,0)))^2)</f>
        <v>48.0464084334921</v>
      </c>
      <c r="E24" s="8" t="n">
        <f aca="false">INDEX(Postes!$D$7:$D$117,MATCH(C24,Postes!$A$7:$A$117,0))+INDEX(Postes!$G$7:$G$117,MATCH(C24,Postes!$A$7:$A$117,0))-INDEX(Postes!$D$7:$D$117,MATCH(B24,Postes!$A$7:$A$117,0))-INDEX(Postes!$G$7:$G$117,MATCH(B24,Postes!$A$7:$A$117,0))</f>
        <v>4.08132371244883</v>
      </c>
      <c r="F24" s="8" t="n">
        <f aca="false">Parametros!$E$8*Parametros!$E$9</f>
        <v>2205</v>
      </c>
      <c r="G24" s="8" t="n">
        <f aca="false">Parametros!$E$10/1000*Parametros!$E$11</f>
        <v>1.32389775</v>
      </c>
      <c r="H24" s="8" t="n">
        <f aca="false">F24/G24</f>
        <v>1665.53648119728</v>
      </c>
      <c r="I24" s="8" t="n">
        <f aca="false">ASINH(E24/(2*H24*SINH(D24/(2*H24))))</f>
        <v>0.0848406868062088</v>
      </c>
      <c r="J24" s="8" t="n">
        <f aca="false">D24/2-H24*I24</f>
        <v>-117.282054748828</v>
      </c>
      <c r="K24" s="8" t="n">
        <f aca="false">-J24/H24</f>
        <v>0.0704169834001587</v>
      </c>
      <c r="L24" s="8" t="n">
        <f aca="false">(D24-J24)/H24</f>
        <v>0.099264390212259</v>
      </c>
      <c r="M24" s="8" t="n">
        <f aca="false">H24*(SINH(L24)-SINH(K24))</f>
        <v>48.221101784856</v>
      </c>
      <c r="N24" s="8" t="n">
        <f aca="false">M24*Parametros!$E$5</f>
        <v>144.663305354568</v>
      </c>
    </row>
    <row r="25" customFormat="false" ht="21" hidden="false" customHeight="true" outlineLevel="0" collapsed="false">
      <c r="A25" s="1" t="s">
        <v>342</v>
      </c>
      <c r="B25" s="1" t="s">
        <v>206</v>
      </c>
      <c r="C25" s="1" t="s">
        <v>207</v>
      </c>
      <c r="D25" s="8" t="n">
        <f aca="false">SQRT((INDEX(Postes!$B$7:$B$117,MATCH(C25,Postes!$A$7:$A$117,0))-INDEX(Postes!$B$7:$B$117,MATCH(B25,Postes!$A$7:$A$117,0)))^2+(INDEX(Postes!$C$7:$C$117,MATCH(C25,Postes!$A$7:$A$117,0))-INDEX(Postes!$C$7:$C$117,MATCH(B25,Postes!$A$7:$A$117,0)))^2)</f>
        <v>26</v>
      </c>
      <c r="E25" s="8" t="n">
        <f aca="false">INDEX(Postes!$D$7:$D$117,MATCH(C25,Postes!$A$7:$A$117,0))+INDEX(Postes!$G$7:$G$117,MATCH(C25,Postes!$A$7:$A$117,0))-INDEX(Postes!$D$7:$D$117,MATCH(B25,Postes!$A$7:$A$117,0))-INDEX(Postes!$G$7:$G$117,MATCH(B25,Postes!$A$7:$A$117,0))</f>
        <v>4.79572382813503</v>
      </c>
      <c r="F25" s="8" t="n">
        <f aca="false">Parametros!$E$8*Parametros!$E$9</f>
        <v>2205</v>
      </c>
      <c r="G25" s="8" t="n">
        <f aca="false">Parametros!$E$10/1000*Parametros!$E$11</f>
        <v>1.32389775</v>
      </c>
      <c r="H25" s="8" t="n">
        <f aca="false">F25/G25</f>
        <v>1665.53648119728</v>
      </c>
      <c r="I25" s="8" t="n">
        <f aca="false">ASINH(E25/(2*H25*SINH(D25/(2*H25))))</f>
        <v>0.183418867950948</v>
      </c>
      <c r="J25" s="8" t="n">
        <f aca="false">D25/2-H25*I25</f>
        <v>-292.490815912211</v>
      </c>
      <c r="K25" s="8" t="n">
        <f aca="false">-J25/H25</f>
        <v>0.175613575093805</v>
      </c>
      <c r="L25" s="8" t="n">
        <f aca="false">(D25-J25)/H25</f>
        <v>0.191224160808091</v>
      </c>
      <c r="M25" s="8" t="n">
        <f aca="false">H25*(SINH(L25)-SINH(K25))</f>
        <v>26.4388482169519</v>
      </c>
      <c r="N25" s="8" t="n">
        <f aca="false">M25*Parametros!$E$5</f>
        <v>79.3165446508556</v>
      </c>
    </row>
    <row r="26" customFormat="false" ht="21" hidden="false" customHeight="true" outlineLevel="0" collapsed="false">
      <c r="A26" s="1" t="s">
        <v>343</v>
      </c>
      <c r="B26" s="1" t="s">
        <v>207</v>
      </c>
      <c r="C26" s="1" t="s">
        <v>208</v>
      </c>
      <c r="D26" s="8" t="n">
        <f aca="false">SQRT((INDEX(Postes!$B$7:$B$117,MATCH(C26,Postes!$A$7:$A$117,0))-INDEX(Postes!$B$7:$B$117,MATCH(B26,Postes!$A$7:$A$117,0)))^2+(INDEX(Postes!$C$7:$C$117,MATCH(C26,Postes!$A$7:$A$117,0))-INDEX(Postes!$C$7:$C$117,MATCH(B26,Postes!$A$7:$A$117,0)))^2)</f>
        <v>26.3058928759318</v>
      </c>
      <c r="E26" s="8" t="n">
        <f aca="false">INDEX(Postes!$D$7:$D$117,MATCH(C26,Postes!$A$7:$A$117,0))+INDEX(Postes!$G$7:$G$117,MATCH(C26,Postes!$A$7:$A$117,0))-INDEX(Postes!$D$7:$D$117,MATCH(B26,Postes!$A$7:$A$117,0))-INDEX(Postes!$G$7:$G$117,MATCH(B26,Postes!$A$7:$A$117,0))</f>
        <v>2.90293645517195</v>
      </c>
      <c r="F26" s="8" t="n">
        <f aca="false">Parametros!$E$8*Parametros!$E$9</f>
        <v>2205</v>
      </c>
      <c r="G26" s="8" t="n">
        <f aca="false">Parametros!$E$10/1000*Parametros!$E$11</f>
        <v>1.32389775</v>
      </c>
      <c r="H26" s="8" t="n">
        <f aca="false">F26/G26</f>
        <v>1665.53648119728</v>
      </c>
      <c r="I26" s="8" t="n">
        <f aca="false">ASINH(E26/(2*H26*SINH(D26/(2*H26))))</f>
        <v>0.110129187971662</v>
      </c>
      <c r="J26" s="8" t="n">
        <f aca="false">D26/2-H26*I26</f>
        <v>-170.271233773469</v>
      </c>
      <c r="K26" s="8" t="n">
        <f aca="false">-J26/H26</f>
        <v>0.102232064980689</v>
      </c>
      <c r="L26" s="8" t="n">
        <f aca="false">(D26-J26)/H26</f>
        <v>0.118026310962634</v>
      </c>
      <c r="M26" s="8" t="n">
        <f aca="false">H26*(SINH(L26)-SINH(K26))</f>
        <v>26.465853955722</v>
      </c>
      <c r="N26" s="8" t="n">
        <f aca="false">M26*Parametros!$E$5</f>
        <v>79.397561867166</v>
      </c>
    </row>
    <row r="27" customFormat="false" ht="21" hidden="false" customHeight="true" outlineLevel="0" collapsed="false">
      <c r="A27" s="1" t="s">
        <v>344</v>
      </c>
      <c r="B27" s="1" t="s">
        <v>208</v>
      </c>
      <c r="C27" s="1" t="s">
        <v>209</v>
      </c>
      <c r="D27" s="8" t="n">
        <f aca="false">SQRT((INDEX(Postes!$B$7:$B$117,MATCH(C27,Postes!$A$7:$A$117,0))-INDEX(Postes!$B$7:$B$117,MATCH(B27,Postes!$A$7:$A$117,0)))^2+(INDEX(Postes!$C$7:$C$117,MATCH(C27,Postes!$A$7:$A$117,0))-INDEX(Postes!$C$7:$C$117,MATCH(B27,Postes!$A$7:$A$117,0)))^2)</f>
        <v>61.3478243756995</v>
      </c>
      <c r="E27" s="8" t="n">
        <f aca="false">INDEX(Postes!$D$7:$D$117,MATCH(C27,Postes!$A$7:$A$117,0))+INDEX(Postes!$G$7:$G$117,MATCH(C27,Postes!$A$7:$A$117,0))-INDEX(Postes!$D$7:$D$117,MATCH(B27,Postes!$A$7:$A$117,0))-INDEX(Postes!$G$7:$G$117,MATCH(B27,Postes!$A$7:$A$117,0))</f>
        <v>10.972472814823</v>
      </c>
      <c r="F27" s="8" t="n">
        <f aca="false">Parametros!$E$8*Parametros!$E$9</f>
        <v>2205</v>
      </c>
      <c r="G27" s="8" t="n">
        <f aca="false">Parametros!$E$10/1000*Parametros!$E$11</f>
        <v>1.32389775</v>
      </c>
      <c r="H27" s="8" t="n">
        <f aca="false">F27/G27</f>
        <v>1665.53648119728</v>
      </c>
      <c r="I27" s="8" t="n">
        <f aca="false">ASINH(E27/(2*H27*SINH(D27/(2*H27))))</f>
        <v>0.177906677637675</v>
      </c>
      <c r="J27" s="8" t="n">
        <f aca="false">D27/2-H27*I27</f>
        <v>-265.636149666303</v>
      </c>
      <c r="K27" s="8" t="n">
        <f aca="false">-J27/H27</f>
        <v>0.159489841660717</v>
      </c>
      <c r="L27" s="8" t="n">
        <f aca="false">(D27-J27)/H27</f>
        <v>0.196323513614633</v>
      </c>
      <c r="M27" s="8" t="n">
        <f aca="false">H27*(SINH(L27)-SINH(K27))</f>
        <v>62.3247642751016</v>
      </c>
      <c r="N27" s="8" t="n">
        <f aca="false">M27*Parametros!$E$5</f>
        <v>186.974292825305</v>
      </c>
    </row>
    <row r="28" customFormat="false" ht="21" hidden="false" customHeight="true" outlineLevel="0" collapsed="false">
      <c r="A28" s="1" t="s">
        <v>345</v>
      </c>
      <c r="B28" s="1" t="s">
        <v>209</v>
      </c>
      <c r="C28" s="1" t="s">
        <v>210</v>
      </c>
      <c r="D28" s="8" t="n">
        <f aca="false">SQRT((INDEX(Postes!$B$7:$B$117,MATCH(C28,Postes!$A$7:$A$117,0))-INDEX(Postes!$B$7:$B$117,MATCH(B28,Postes!$A$7:$A$117,0)))^2+(INDEX(Postes!$C$7:$C$117,MATCH(C28,Postes!$A$7:$A$117,0))-INDEX(Postes!$C$7:$C$117,MATCH(B28,Postes!$A$7:$A$117,0)))^2)</f>
        <v>61.3478243738385</v>
      </c>
      <c r="E28" s="8" t="n">
        <f aca="false">INDEX(Postes!$D$7:$D$117,MATCH(C28,Postes!$A$7:$A$117,0))+INDEX(Postes!$G$7:$G$117,MATCH(C28,Postes!$A$7:$A$117,0))-INDEX(Postes!$D$7:$D$117,MATCH(B28,Postes!$A$7:$A$117,0))-INDEX(Postes!$G$7:$G$117,MATCH(B28,Postes!$A$7:$A$117,0))</f>
        <v>9.0160885470099</v>
      </c>
      <c r="F28" s="8" t="n">
        <f aca="false">Parametros!$E$8*Parametros!$E$9</f>
        <v>2205</v>
      </c>
      <c r="G28" s="8" t="n">
        <f aca="false">Parametros!$E$10/1000*Parametros!$E$11</f>
        <v>1.32389775</v>
      </c>
      <c r="H28" s="8" t="n">
        <f aca="false">F28/G28</f>
        <v>1665.53648119728</v>
      </c>
      <c r="I28" s="8" t="n">
        <f aca="false">ASINH(E28/(2*H28*SINH(D28/(2*H28))))</f>
        <v>0.146434517030712</v>
      </c>
      <c r="J28" s="8" t="n">
        <f aca="false">D28/2-H28*I28</f>
        <v>-213.218118034236</v>
      </c>
      <c r="K28" s="8" t="n">
        <f aca="false">-J28/H28</f>
        <v>0.128017681054313</v>
      </c>
      <c r="L28" s="8" t="n">
        <f aca="false">(D28-J28)/H28</f>
        <v>0.164851353007111</v>
      </c>
      <c r="M28" s="8" t="n">
        <f aca="false">H28*(SINH(L28)-SINH(K28))</f>
        <v>62.0102486266109</v>
      </c>
      <c r="N28" s="8" t="n">
        <f aca="false">M28*Parametros!$E$5</f>
        <v>186.030745879833</v>
      </c>
    </row>
    <row r="29" customFormat="false" ht="21" hidden="false" customHeight="true" outlineLevel="0" collapsed="false">
      <c r="A29" s="1" t="s">
        <v>346</v>
      </c>
      <c r="B29" s="1" t="s">
        <v>210</v>
      </c>
      <c r="C29" s="1" t="s">
        <v>211</v>
      </c>
      <c r="D29" s="8" t="n">
        <f aca="false">SQRT((INDEX(Postes!$B$7:$B$117,MATCH(C29,Postes!$A$7:$A$117,0))-INDEX(Postes!$B$7:$B$117,MATCH(B29,Postes!$A$7:$A$117,0)))^2+(INDEX(Postes!$C$7:$C$117,MATCH(C29,Postes!$A$7:$A$117,0))-INDEX(Postes!$C$7:$C$117,MATCH(B29,Postes!$A$7:$A$117,0)))^2)</f>
        <v>61.3478243756995</v>
      </c>
      <c r="E29" s="8" t="n">
        <f aca="false">INDEX(Postes!$D$7:$D$117,MATCH(C29,Postes!$A$7:$A$117,0))+INDEX(Postes!$G$7:$G$117,MATCH(C29,Postes!$A$7:$A$117,0))-INDEX(Postes!$D$7:$D$117,MATCH(B29,Postes!$A$7:$A$117,0))-INDEX(Postes!$G$7:$G$117,MATCH(B29,Postes!$A$7:$A$117,0))</f>
        <v>10.6595641759978</v>
      </c>
      <c r="F29" s="8" t="n">
        <f aca="false">Parametros!$E$8*Parametros!$E$9</f>
        <v>2205</v>
      </c>
      <c r="G29" s="8" t="n">
        <f aca="false">Parametros!$E$10/1000*Parametros!$E$11</f>
        <v>1.32389775</v>
      </c>
      <c r="H29" s="8" t="n">
        <f aca="false">F29/G29</f>
        <v>1665.53648119728</v>
      </c>
      <c r="I29" s="8" t="n">
        <f aca="false">ASINH(E29/(2*H29*SINH(D29/(2*H29))))</f>
        <v>0.172883863080828</v>
      </c>
      <c r="J29" s="8" t="n">
        <f aca="false">D29/2-H29*I29</f>
        <v>-257.270468783585</v>
      </c>
      <c r="K29" s="8" t="n">
        <f aca="false">-J29/H29</f>
        <v>0.15446702710387</v>
      </c>
      <c r="L29" s="8" t="n">
        <f aca="false">(D29-J29)/H29</f>
        <v>0.191300699057785</v>
      </c>
      <c r="M29" s="8" t="n">
        <f aca="false">H29*(SINH(L29)-SINH(K29))</f>
        <v>62.2704375341716</v>
      </c>
      <c r="N29" s="8" t="n">
        <f aca="false">M29*Parametros!$E$5</f>
        <v>186.811312602515</v>
      </c>
    </row>
    <row r="30" customFormat="false" ht="21" hidden="false" customHeight="true" outlineLevel="0" collapsed="false">
      <c r="A30" s="1" t="s">
        <v>347</v>
      </c>
      <c r="B30" s="1" t="s">
        <v>211</v>
      </c>
      <c r="C30" s="1" t="s">
        <v>212</v>
      </c>
      <c r="D30" s="8" t="n">
        <f aca="false">SQRT((INDEX(Postes!$B$7:$B$117,MATCH(C30,Postes!$A$7:$A$117,0))-INDEX(Postes!$B$7:$B$117,MATCH(B30,Postes!$A$7:$A$117,0)))^2+(INDEX(Postes!$C$7:$C$117,MATCH(C30,Postes!$A$7:$A$117,0))-INDEX(Postes!$C$7:$C$117,MATCH(B30,Postes!$A$7:$A$117,0)))^2)</f>
        <v>73.109506905737</v>
      </c>
      <c r="E30" s="8" t="n">
        <f aca="false">INDEX(Postes!$D$7:$D$117,MATCH(C30,Postes!$A$7:$A$117,0))+INDEX(Postes!$G$7:$G$117,MATCH(C30,Postes!$A$7:$A$117,0))-INDEX(Postes!$D$7:$D$117,MATCH(B30,Postes!$A$7:$A$117,0))-INDEX(Postes!$G$7:$G$117,MATCH(B30,Postes!$A$7:$A$117,0))</f>
        <v>-2.11726832516724</v>
      </c>
      <c r="F30" s="8" t="n">
        <f aca="false">Parametros!$E$8*Parametros!$E$9</f>
        <v>2205</v>
      </c>
      <c r="G30" s="8" t="n">
        <f aca="false">Parametros!$E$10/1000*Parametros!$E$11</f>
        <v>1.32389775</v>
      </c>
      <c r="H30" s="8" t="n">
        <f aca="false">F30/G30</f>
        <v>1665.53648119728</v>
      </c>
      <c r="I30" s="8" t="n">
        <f aca="false">ASINH(E30/(2*H30*SINH(D30/(2*H30))))</f>
        <v>-0.0289538620577665</v>
      </c>
      <c r="J30" s="8" t="n">
        <f aca="false">D30/2-H30*I30</f>
        <v>84.7784669816324</v>
      </c>
      <c r="K30" s="8" t="n">
        <f aca="false">-J30/H30</f>
        <v>-0.0509015971362506</v>
      </c>
      <c r="L30" s="8" t="n">
        <f aca="false">(D30-J30)/H30</f>
        <v>-0.00700612697928247</v>
      </c>
      <c r="M30" s="8" t="n">
        <f aca="false">H30*(SINH(L30)-SINH(K30))</f>
        <v>73.1460259658488</v>
      </c>
      <c r="N30" s="8" t="n">
        <f aca="false">M30*Parametros!$E$5</f>
        <v>219.438077897546</v>
      </c>
    </row>
    <row r="31" customFormat="false" ht="21" hidden="false" customHeight="true" outlineLevel="0" collapsed="false">
      <c r="A31" s="1" t="s">
        <v>348</v>
      </c>
      <c r="B31" s="1" t="s">
        <v>212</v>
      </c>
      <c r="C31" s="1" t="s">
        <v>213</v>
      </c>
      <c r="D31" s="8" t="n">
        <f aca="false">SQRT((INDEX(Postes!$B$7:$B$117,MATCH(C31,Postes!$A$7:$A$117,0))-INDEX(Postes!$B$7:$B$117,MATCH(B31,Postes!$A$7:$A$117,0)))^2+(INDEX(Postes!$C$7:$C$117,MATCH(C31,Postes!$A$7:$A$117,0))-INDEX(Postes!$C$7:$C$117,MATCH(B31,Postes!$A$7:$A$117,0)))^2)</f>
        <v>73.109506905737</v>
      </c>
      <c r="E31" s="8" t="n">
        <f aca="false">INDEX(Postes!$D$7:$D$117,MATCH(C31,Postes!$A$7:$A$117,0))+INDEX(Postes!$G$7:$G$117,MATCH(C31,Postes!$A$7:$A$117,0))-INDEX(Postes!$D$7:$D$117,MATCH(B31,Postes!$A$7:$A$117,0))-INDEX(Postes!$G$7:$G$117,MATCH(B31,Postes!$A$7:$A$117,0))</f>
        <v>1.49158687482104</v>
      </c>
      <c r="F31" s="8" t="n">
        <f aca="false">Parametros!$E$8*Parametros!$E$9</f>
        <v>2205</v>
      </c>
      <c r="G31" s="8" t="n">
        <f aca="false">Parametros!$E$10/1000*Parametros!$E$11</f>
        <v>1.32389775</v>
      </c>
      <c r="H31" s="8" t="n">
        <f aca="false">F31/G31</f>
        <v>1665.53648119728</v>
      </c>
      <c r="I31" s="8" t="n">
        <f aca="false">ASINH(E31/(2*H31*SINH(D31/(2*H31))))</f>
        <v>0.0203990392076915</v>
      </c>
      <c r="J31" s="8" t="n">
        <f aca="false">D31/2-H31*I31</f>
        <v>2.57940947108461</v>
      </c>
      <c r="K31" s="8" t="n">
        <f aca="false">-J31/H31</f>
        <v>-0.00154869587079256</v>
      </c>
      <c r="L31" s="8" t="n">
        <f aca="false">(D31-J31)/H31</f>
        <v>0.0423467742861755</v>
      </c>
      <c r="M31" s="8" t="n">
        <f aca="false">H31*(SINH(L31)-SINH(K31))</f>
        <v>73.1305895015281</v>
      </c>
      <c r="N31" s="8" t="n">
        <f aca="false">M31*Parametros!$E$5</f>
        <v>219.391768504584</v>
      </c>
    </row>
    <row r="32" customFormat="false" ht="21" hidden="false" customHeight="true" outlineLevel="0" collapsed="false">
      <c r="A32" s="1" t="s">
        <v>349</v>
      </c>
      <c r="B32" s="1" t="s">
        <v>213</v>
      </c>
      <c r="C32" s="1" t="s">
        <v>214</v>
      </c>
      <c r="D32" s="8" t="n">
        <f aca="false">SQRT((INDEX(Postes!$B$7:$B$117,MATCH(C32,Postes!$A$7:$A$117,0))-INDEX(Postes!$B$7:$B$117,MATCH(B32,Postes!$A$7:$A$117,0)))^2+(INDEX(Postes!$C$7:$C$117,MATCH(C32,Postes!$A$7:$A$117,0))-INDEX(Postes!$C$7:$C$117,MATCH(B32,Postes!$A$7:$A$117,0)))^2)</f>
        <v>73.109506905737</v>
      </c>
      <c r="E32" s="8" t="n">
        <f aca="false">INDEX(Postes!$D$7:$D$117,MATCH(C32,Postes!$A$7:$A$117,0))+INDEX(Postes!$G$7:$G$117,MATCH(C32,Postes!$A$7:$A$117,0))-INDEX(Postes!$D$7:$D$117,MATCH(B32,Postes!$A$7:$A$117,0))-INDEX(Postes!$G$7:$G$117,MATCH(B32,Postes!$A$7:$A$117,0))</f>
        <v>6.83452766387709</v>
      </c>
      <c r="F32" s="8" t="n">
        <f aca="false">Parametros!$E$8*Parametros!$E$9</f>
        <v>2205</v>
      </c>
      <c r="G32" s="8" t="n">
        <f aca="false">Parametros!$E$10/1000*Parametros!$E$11</f>
        <v>1.32389775</v>
      </c>
      <c r="H32" s="8" t="n">
        <f aca="false">F32/G32</f>
        <v>1665.53648119728</v>
      </c>
      <c r="I32" s="8" t="n">
        <f aca="false">ASINH(E32/(2*H32*SINH(D32/(2*H32))))</f>
        <v>0.0933403321346725</v>
      </c>
      <c r="J32" s="8" t="n">
        <f aca="false">D32/2-H32*I32</f>
        <v>-118.9069748845</v>
      </c>
      <c r="K32" s="8" t="n">
        <f aca="false">-J32/H32</f>
        <v>0.0713925970561885</v>
      </c>
      <c r="L32" s="8" t="n">
        <f aca="false">(D32-J32)/H32</f>
        <v>0.115288067213157</v>
      </c>
      <c r="M32" s="8" t="n">
        <f aca="false">H32*(SINH(L32)-SINH(K32))</f>
        <v>73.4341137198793</v>
      </c>
      <c r="N32" s="8" t="n">
        <f aca="false">M32*Parametros!$E$5</f>
        <v>220.302341159638</v>
      </c>
    </row>
    <row r="33" customFormat="false" ht="21" hidden="false" customHeight="true" outlineLevel="0" collapsed="false">
      <c r="A33" s="1" t="s">
        <v>350</v>
      </c>
      <c r="B33" s="1" t="s">
        <v>214</v>
      </c>
      <c r="C33" s="1" t="s">
        <v>215</v>
      </c>
      <c r="D33" s="8" t="n">
        <f aca="false">SQRT((INDEX(Postes!$B$7:$B$117,MATCH(C33,Postes!$A$7:$A$117,0))-INDEX(Postes!$B$7:$B$117,MATCH(B33,Postes!$A$7:$A$117,0)))^2+(INDEX(Postes!$C$7:$C$117,MATCH(C33,Postes!$A$7:$A$117,0))-INDEX(Postes!$C$7:$C$117,MATCH(B33,Postes!$A$7:$A$117,0)))^2)</f>
        <v>73.109506905737</v>
      </c>
      <c r="E33" s="8" t="n">
        <f aca="false">INDEX(Postes!$D$7:$D$117,MATCH(C33,Postes!$A$7:$A$117,0))+INDEX(Postes!$G$7:$G$117,MATCH(C33,Postes!$A$7:$A$117,0))-INDEX(Postes!$D$7:$D$117,MATCH(B33,Postes!$A$7:$A$117,0))-INDEX(Postes!$G$7:$G$117,MATCH(B33,Postes!$A$7:$A$117,0))</f>
        <v>8.18310188827318</v>
      </c>
      <c r="F33" s="8" t="n">
        <f aca="false">Parametros!$E$8*Parametros!$E$9</f>
        <v>2205</v>
      </c>
      <c r="G33" s="8" t="n">
        <f aca="false">Parametros!$E$10/1000*Parametros!$E$11</f>
        <v>1.32389775</v>
      </c>
      <c r="H33" s="8" t="n">
        <f aca="false">F33/G33</f>
        <v>1665.53648119728</v>
      </c>
      <c r="I33" s="8" t="n">
        <f aca="false">ASINH(E33/(2*H33*SINH(D33/(2*H33))))</f>
        <v>0.111688047448125</v>
      </c>
      <c r="J33" s="8" t="n">
        <f aca="false">D33/2-H33*I33</f>
        <v>-149.465764085677</v>
      </c>
      <c r="K33" s="8" t="n">
        <f aca="false">-J33/H33</f>
        <v>0.0897403123696413</v>
      </c>
      <c r="L33" s="8" t="n">
        <f aca="false">(D33-J33)/H33</f>
        <v>0.133635782526609</v>
      </c>
      <c r="M33" s="8" t="n">
        <f aca="false">H33*(SINH(L33)-SINH(K33))</f>
        <v>73.5718794509813</v>
      </c>
      <c r="N33" s="8" t="n">
        <f aca="false">M33*Parametros!$E$5</f>
        <v>220.715638352944</v>
      </c>
    </row>
    <row r="34" customFormat="false" ht="21" hidden="false" customHeight="true" outlineLevel="0" collapsed="false">
      <c r="A34" s="1" t="s">
        <v>351</v>
      </c>
      <c r="B34" s="1" t="s">
        <v>215</v>
      </c>
      <c r="C34" s="1" t="s">
        <v>216</v>
      </c>
      <c r="D34" s="8" t="n">
        <f aca="false">SQRT((INDEX(Postes!$B$7:$B$117,MATCH(C34,Postes!$A$7:$A$117,0))-INDEX(Postes!$B$7:$B$117,MATCH(B34,Postes!$A$7:$A$117,0)))^2+(INDEX(Postes!$C$7:$C$117,MATCH(C34,Postes!$A$7:$A$117,0))-INDEX(Postes!$C$7:$C$117,MATCH(B34,Postes!$A$7:$A$117,0)))^2)</f>
        <v>59.012595568569</v>
      </c>
      <c r="E34" s="8" t="n">
        <f aca="false">INDEX(Postes!$D$7:$D$117,MATCH(C34,Postes!$A$7:$A$117,0))+INDEX(Postes!$G$7:$G$117,MATCH(C34,Postes!$A$7:$A$117,0))-INDEX(Postes!$D$7:$D$117,MATCH(B34,Postes!$A$7:$A$117,0))-INDEX(Postes!$G$7:$G$117,MATCH(B34,Postes!$A$7:$A$117,0))</f>
        <v>5.31581794660506</v>
      </c>
      <c r="F34" s="8" t="n">
        <f aca="false">Parametros!$E$8*Parametros!$E$9</f>
        <v>2205</v>
      </c>
      <c r="G34" s="8" t="n">
        <f aca="false">Parametros!$E$10/1000*Parametros!$E$11</f>
        <v>1.32389775</v>
      </c>
      <c r="H34" s="8" t="n">
        <f aca="false">F34/G34</f>
        <v>1665.53648119728</v>
      </c>
      <c r="I34" s="8" t="n">
        <f aca="false">ASINH(E34/(2*H34*SINH(D34/(2*H34))))</f>
        <v>0.0899533069396683</v>
      </c>
      <c r="J34" s="8" t="n">
        <f aca="false">D34/2-H34*I34</f>
        <v>-120.31421652807</v>
      </c>
      <c r="K34" s="8" t="n">
        <f aca="false">-J34/H34</f>
        <v>0.072237514990714</v>
      </c>
      <c r="L34" s="8" t="n">
        <f aca="false">(D34-J34)/H34</f>
        <v>0.107669098888623</v>
      </c>
      <c r="M34" s="8" t="n">
        <f aca="false">H34*(SINH(L34)-SINH(K34))</f>
        <v>59.2546090757415</v>
      </c>
      <c r="N34" s="8" t="n">
        <f aca="false">M34*Parametros!$E$5</f>
        <v>177.763827227225</v>
      </c>
    </row>
    <row r="35" customFormat="false" ht="21" hidden="false" customHeight="true" outlineLevel="0" collapsed="false">
      <c r="A35" s="1" t="s">
        <v>352</v>
      </c>
      <c r="B35" s="1" t="s">
        <v>216</v>
      </c>
      <c r="C35" s="1" t="s">
        <v>217</v>
      </c>
      <c r="D35" s="8" t="n">
        <f aca="false">SQRT((INDEX(Postes!$B$7:$B$117,MATCH(C35,Postes!$A$7:$A$117,0))-INDEX(Postes!$B$7:$B$117,MATCH(B35,Postes!$A$7:$A$117,0)))^2+(INDEX(Postes!$C$7:$C$117,MATCH(C35,Postes!$A$7:$A$117,0))-INDEX(Postes!$C$7:$C$117,MATCH(B35,Postes!$A$7:$A$117,0)))^2)</f>
        <v>14.142135623731</v>
      </c>
      <c r="E35" s="8" t="n">
        <f aca="false">INDEX(Postes!$D$7:$D$117,MATCH(C35,Postes!$A$7:$A$117,0))+INDEX(Postes!$G$7:$G$117,MATCH(C35,Postes!$A$7:$A$117,0))-INDEX(Postes!$D$7:$D$117,MATCH(B35,Postes!$A$7:$A$117,0))-INDEX(Postes!$G$7:$G$117,MATCH(B35,Postes!$A$7:$A$117,0))</f>
        <v>3.34932084785523</v>
      </c>
      <c r="F35" s="8" t="n">
        <f aca="false">Parametros!$E$8*Parametros!$E$9</f>
        <v>2205</v>
      </c>
      <c r="G35" s="8" t="n">
        <f aca="false">Parametros!$E$10/1000*Parametros!$E$11</f>
        <v>1.32389775</v>
      </c>
      <c r="H35" s="8" t="n">
        <f aca="false">F35/G35</f>
        <v>1665.53648119728</v>
      </c>
      <c r="I35" s="8" t="n">
        <f aca="false">ASINH(E35/(2*H35*SINH(D35/(2*H35))))</f>
        <v>0.234672158885935</v>
      </c>
      <c r="J35" s="8" t="n">
        <f aca="false">D35/2-H35*I35</f>
        <v>-383.783973933984</v>
      </c>
      <c r="K35" s="8" t="n">
        <f aca="false">-J35/H35</f>
        <v>0.230426639264064</v>
      </c>
      <c r="L35" s="8" t="n">
        <f aca="false">(D35-J35)/H35</f>
        <v>0.238917678507806</v>
      </c>
      <c r="M35" s="8" t="n">
        <f aca="false">H35*(SINH(L35)-SINH(K35))</f>
        <v>14.5333806037648</v>
      </c>
      <c r="N35" s="8" t="n">
        <f aca="false">M35*Parametros!$E$5</f>
        <v>43.6001418112944</v>
      </c>
    </row>
    <row r="36" customFormat="false" ht="21" hidden="false" customHeight="true" outlineLevel="0" collapsed="false">
      <c r="A36" s="1" t="s">
        <v>353</v>
      </c>
      <c r="B36" s="1" t="s">
        <v>217</v>
      </c>
      <c r="C36" s="1" t="s">
        <v>218</v>
      </c>
      <c r="D36" s="8" t="n">
        <f aca="false">SQRT((INDEX(Postes!$B$7:$B$117,MATCH(C36,Postes!$A$7:$A$117,0))-INDEX(Postes!$B$7:$B$117,MATCH(B36,Postes!$A$7:$A$117,0)))^2+(INDEX(Postes!$C$7:$C$117,MATCH(C36,Postes!$A$7:$A$117,0))-INDEX(Postes!$C$7:$C$117,MATCH(B36,Postes!$A$7:$A$117,0)))^2)</f>
        <v>81.9021902153393</v>
      </c>
      <c r="E36" s="8" t="n">
        <f aca="false">INDEX(Postes!$D$7:$D$117,MATCH(C36,Postes!$A$7:$A$117,0))+INDEX(Postes!$G$7:$G$117,MATCH(C36,Postes!$A$7:$A$117,0))-INDEX(Postes!$D$7:$D$117,MATCH(B36,Postes!$A$7:$A$117,0))-INDEX(Postes!$G$7:$G$117,MATCH(B36,Postes!$A$7:$A$117,0))</f>
        <v>8.12235958309939</v>
      </c>
      <c r="F36" s="8" t="n">
        <f aca="false">Parametros!$E$8*Parametros!$E$9</f>
        <v>2205</v>
      </c>
      <c r="G36" s="8" t="n">
        <f aca="false">Parametros!$E$10/1000*Parametros!$E$11</f>
        <v>1.32389775</v>
      </c>
      <c r="H36" s="8" t="n">
        <f aca="false">F36/G36</f>
        <v>1665.53648119728</v>
      </c>
      <c r="I36" s="8" t="n">
        <f aca="false">ASINH(E36/(2*H36*SINH(D36/(2*H36))))</f>
        <v>0.0989996719986421</v>
      </c>
      <c r="J36" s="8" t="n">
        <f aca="false">D36/2-H36*I36</f>
        <v>-123.936470232634</v>
      </c>
      <c r="K36" s="8" t="n">
        <f aca="false">-J36/H36</f>
        <v>0.0744123419881751</v>
      </c>
      <c r="L36" s="8" t="n">
        <f aca="false">(D36-J36)/H36</f>
        <v>0.123587002009109</v>
      </c>
      <c r="M36" s="8" t="n">
        <f aca="false">H36*(SINH(L36)-SINH(K36))</f>
        <v>82.3121700249214</v>
      </c>
      <c r="N36" s="8" t="n">
        <f aca="false">M36*Parametros!$E$5</f>
        <v>246.936510074764</v>
      </c>
    </row>
    <row r="37" customFormat="false" ht="21" hidden="false" customHeight="true" outlineLevel="0" collapsed="false">
      <c r="A37" s="1" t="s">
        <v>354</v>
      </c>
      <c r="B37" s="1" t="s">
        <v>218</v>
      </c>
      <c r="C37" s="1" t="s">
        <v>219</v>
      </c>
      <c r="D37" s="8" t="n">
        <f aca="false">SQRT((INDEX(Postes!$B$7:$B$117,MATCH(C37,Postes!$A$7:$A$117,0))-INDEX(Postes!$B$7:$B$117,MATCH(B37,Postes!$A$7:$A$117,0)))^2+(INDEX(Postes!$C$7:$C$117,MATCH(C37,Postes!$A$7:$A$117,0))-INDEX(Postes!$C$7:$C$117,MATCH(B37,Postes!$A$7:$A$117,0)))^2)</f>
        <v>81.9021902153393</v>
      </c>
      <c r="E37" s="8" t="n">
        <f aca="false">INDEX(Postes!$D$7:$D$117,MATCH(C37,Postes!$A$7:$A$117,0))+INDEX(Postes!$G$7:$G$117,MATCH(C37,Postes!$A$7:$A$117,0))-INDEX(Postes!$D$7:$D$117,MATCH(B37,Postes!$A$7:$A$117,0))-INDEX(Postes!$G$7:$G$117,MATCH(B37,Postes!$A$7:$A$117,0))</f>
        <v>4.34657977362013</v>
      </c>
      <c r="F37" s="8" t="n">
        <f aca="false">Parametros!$E$8*Parametros!$E$9</f>
        <v>2205</v>
      </c>
      <c r="G37" s="8" t="n">
        <f aca="false">Parametros!$E$10/1000*Parametros!$E$11</f>
        <v>1.32389775</v>
      </c>
      <c r="H37" s="8" t="n">
        <f aca="false">F37/G37</f>
        <v>1665.53648119728</v>
      </c>
      <c r="I37" s="8" t="n">
        <f aca="false">ASINH(E37/(2*H37*SINH(D37/(2*H37))))</f>
        <v>0.053040153312028</v>
      </c>
      <c r="J37" s="8" t="n">
        <f aca="false">D37/2-H37*I37</f>
        <v>-47.3892152018099</v>
      </c>
      <c r="K37" s="8" t="n">
        <f aca="false">-J37/H37</f>
        <v>0.0284528233015609</v>
      </c>
      <c r="L37" s="8" t="n">
        <f aca="false">(D37-J37)/H37</f>
        <v>0.077627483322495</v>
      </c>
      <c r="M37" s="8" t="n">
        <f aca="false">H37*(SINH(L37)-SINH(K37))</f>
        <v>82.0256872250568</v>
      </c>
      <c r="N37" s="8" t="n">
        <f aca="false">M37*Parametros!$E$5</f>
        <v>246.07706167517</v>
      </c>
    </row>
    <row r="38" customFormat="false" ht="21" hidden="false" customHeight="true" outlineLevel="0" collapsed="false">
      <c r="A38" s="1" t="s">
        <v>355</v>
      </c>
      <c r="B38" s="1" t="s">
        <v>219</v>
      </c>
      <c r="C38" s="1" t="s">
        <v>220</v>
      </c>
      <c r="D38" s="8" t="n">
        <f aca="false">SQRT((INDEX(Postes!$B$7:$B$117,MATCH(C38,Postes!$A$7:$A$117,0))-INDEX(Postes!$B$7:$B$117,MATCH(B38,Postes!$A$7:$A$117,0)))^2+(INDEX(Postes!$C$7:$C$117,MATCH(C38,Postes!$A$7:$A$117,0))-INDEX(Postes!$C$7:$C$117,MATCH(B38,Postes!$A$7:$A$117,0)))^2)</f>
        <v>73.4598199243593</v>
      </c>
      <c r="E38" s="8" t="n">
        <f aca="false">INDEX(Postes!$D$7:$D$117,MATCH(C38,Postes!$A$7:$A$117,0))+INDEX(Postes!$G$7:$G$117,MATCH(C38,Postes!$A$7:$A$117,0))-INDEX(Postes!$D$7:$D$117,MATCH(B38,Postes!$A$7:$A$117,0))-INDEX(Postes!$G$7:$G$117,MATCH(B38,Postes!$A$7:$A$117,0))</f>
        <v>4.67190123358441</v>
      </c>
      <c r="F38" s="8" t="n">
        <f aca="false">Parametros!$E$8*Parametros!$E$9</f>
        <v>2205</v>
      </c>
      <c r="G38" s="8" t="n">
        <f aca="false">Parametros!$E$10/1000*Parametros!$E$11</f>
        <v>1.32389775</v>
      </c>
      <c r="H38" s="8" t="n">
        <f aca="false">F38/G38</f>
        <v>1665.53648119728</v>
      </c>
      <c r="I38" s="8" t="n">
        <f aca="false">ASINH(E38/(2*H38*SINH(D38/(2*H38))))</f>
        <v>0.0635501100445075</v>
      </c>
      <c r="J38" s="8" t="n">
        <f aca="false">D38/2-H38*I38</f>
        <v>-69.1151167010494</v>
      </c>
      <c r="K38" s="8" t="n">
        <f aca="false">-J38/H38</f>
        <v>0.0414972097467151</v>
      </c>
      <c r="L38" s="8" t="n">
        <f aca="false">(D38-J38)/H38</f>
        <v>0.0856030103422999</v>
      </c>
      <c r="M38" s="8" t="n">
        <f aca="false">H38*(SINH(L38)-SINH(K38))</f>
        <v>73.6141743377919</v>
      </c>
      <c r="N38" s="8" t="n">
        <f aca="false">M38*Parametros!$E$5</f>
        <v>220.842523013376</v>
      </c>
    </row>
    <row r="39" customFormat="false" ht="21" hidden="false" customHeight="true" outlineLevel="0" collapsed="false">
      <c r="A39" s="1" t="s">
        <v>356</v>
      </c>
      <c r="B39" s="1" t="s">
        <v>220</v>
      </c>
      <c r="C39" s="1" t="s">
        <v>221</v>
      </c>
      <c r="D39" s="8" t="n">
        <f aca="false">SQRT((INDEX(Postes!$B$7:$B$117,MATCH(C39,Postes!$A$7:$A$117,0))-INDEX(Postes!$B$7:$B$117,MATCH(B39,Postes!$A$7:$A$117,0)))^2+(INDEX(Postes!$C$7:$C$117,MATCH(C39,Postes!$A$7:$A$117,0))-INDEX(Postes!$C$7:$C$117,MATCH(B39,Postes!$A$7:$A$117,0)))^2)</f>
        <v>73.4598199224964</v>
      </c>
      <c r="E39" s="8" t="n">
        <f aca="false">INDEX(Postes!$D$7:$D$117,MATCH(C39,Postes!$A$7:$A$117,0))+INDEX(Postes!$G$7:$G$117,MATCH(C39,Postes!$A$7:$A$117,0))-INDEX(Postes!$D$7:$D$117,MATCH(B39,Postes!$A$7:$A$117,0))-INDEX(Postes!$G$7:$G$117,MATCH(B39,Postes!$A$7:$A$117,0))</f>
        <v>7.67824067838783</v>
      </c>
      <c r="F39" s="8" t="n">
        <f aca="false">Parametros!$E$8*Parametros!$E$9</f>
        <v>2205</v>
      </c>
      <c r="G39" s="8" t="n">
        <f aca="false">Parametros!$E$10/1000*Parametros!$E$11</f>
        <v>1.32389775</v>
      </c>
      <c r="H39" s="8" t="n">
        <f aca="false">F39/G39</f>
        <v>1665.53648119728</v>
      </c>
      <c r="I39" s="8" t="n">
        <f aca="false">ASINH(E39/(2*H39*SINH(D39/(2*H39))))</f>
        <v>0.104325182845329</v>
      </c>
      <c r="J39" s="8" t="n">
        <f aca="false">D39/2-H39*I39</f>
        <v>-137.027487975223</v>
      </c>
      <c r="K39" s="8" t="n">
        <f aca="false">-J39/H39</f>
        <v>0.0822722825480954</v>
      </c>
      <c r="L39" s="8" t="n">
        <f aca="false">(D39-J39)/H39</f>
        <v>0.126378083142562</v>
      </c>
      <c r="M39" s="8" t="n">
        <f aca="false">H39*(SINH(L39)-SINH(K39))</f>
        <v>73.865928424003</v>
      </c>
      <c r="N39" s="8" t="n">
        <f aca="false">M39*Parametros!$E$5</f>
        <v>221.597785272009</v>
      </c>
    </row>
    <row r="40" customFormat="false" ht="21" hidden="false" customHeight="true" outlineLevel="0" collapsed="false">
      <c r="A40" s="1" t="s">
        <v>357</v>
      </c>
      <c r="B40" s="1" t="s">
        <v>221</v>
      </c>
      <c r="C40" s="1" t="s">
        <v>222</v>
      </c>
      <c r="D40" s="8" t="n">
        <f aca="false">SQRT((INDEX(Postes!$B$7:$B$117,MATCH(C40,Postes!$A$7:$A$117,0))-INDEX(Postes!$B$7:$B$117,MATCH(B40,Postes!$A$7:$A$117,0)))^2+(INDEX(Postes!$C$7:$C$117,MATCH(C40,Postes!$A$7:$A$117,0))-INDEX(Postes!$C$7:$C$117,MATCH(B40,Postes!$A$7:$A$117,0)))^2)</f>
        <v>73.459819924349</v>
      </c>
      <c r="E40" s="8" t="n">
        <f aca="false">INDEX(Postes!$D$7:$D$117,MATCH(C40,Postes!$A$7:$A$117,0))+INDEX(Postes!$G$7:$G$117,MATCH(C40,Postes!$A$7:$A$117,0))-INDEX(Postes!$D$7:$D$117,MATCH(B40,Postes!$A$7:$A$117,0))-INDEX(Postes!$G$7:$G$117,MATCH(B40,Postes!$A$7:$A$117,0))</f>
        <v>0.165979511226032</v>
      </c>
      <c r="F40" s="8" t="n">
        <f aca="false">Parametros!$E$8*Parametros!$E$9</f>
        <v>2205</v>
      </c>
      <c r="G40" s="8" t="n">
        <f aca="false">Parametros!$E$10/1000*Parametros!$E$11</f>
        <v>1.32389775</v>
      </c>
      <c r="H40" s="8" t="n">
        <f aca="false">F40/G40</f>
        <v>1665.53648119728</v>
      </c>
      <c r="I40" s="8" t="n">
        <f aca="false">ASINH(E40/(2*H40*SINH(D40/(2*H40))))</f>
        <v>0.00225927476393141</v>
      </c>
      <c r="J40" s="8" t="n">
        <f aca="false">D40/2-H40*I40</f>
        <v>32.9670054217984</v>
      </c>
      <c r="K40" s="8" t="n">
        <f aca="false">-J40/H40</f>
        <v>-0.0197936255338579</v>
      </c>
      <c r="L40" s="8" t="n">
        <f aca="false">(D40-J40)/H40</f>
        <v>0.0243121750617207</v>
      </c>
      <c r="M40" s="8" t="n">
        <f aca="false">H40*(SINH(L40)-SINH(K40))</f>
        <v>73.4659618564617</v>
      </c>
      <c r="N40" s="8" t="n">
        <f aca="false">M40*Parametros!$E$5</f>
        <v>220.397885569385</v>
      </c>
    </row>
    <row r="41" customFormat="false" ht="21" hidden="false" customHeight="true" outlineLevel="0" collapsed="false">
      <c r="A41" s="1" t="s">
        <v>358</v>
      </c>
      <c r="B41" s="1" t="s">
        <v>222</v>
      </c>
      <c r="C41" s="1" t="s">
        <v>223</v>
      </c>
      <c r="D41" s="8" t="n">
        <f aca="false">SQRT((INDEX(Postes!$B$7:$B$117,MATCH(C41,Postes!$A$7:$A$117,0))-INDEX(Postes!$B$7:$B$117,MATCH(B41,Postes!$A$7:$A$117,0)))^2+(INDEX(Postes!$C$7:$C$117,MATCH(C41,Postes!$A$7:$A$117,0))-INDEX(Postes!$C$7:$C$117,MATCH(B41,Postes!$A$7:$A$117,0)))^2)</f>
        <v>24.9444216685263</v>
      </c>
      <c r="E41" s="8" t="n">
        <f aca="false">INDEX(Postes!$D$7:$D$117,MATCH(C41,Postes!$A$7:$A$117,0))+INDEX(Postes!$G$7:$G$117,MATCH(C41,Postes!$A$7:$A$117,0))-INDEX(Postes!$D$7:$D$117,MATCH(B41,Postes!$A$7:$A$117,0))-INDEX(Postes!$G$7:$G$117,MATCH(B41,Postes!$A$7:$A$117,0))</f>
        <v>7.45347118454211</v>
      </c>
      <c r="F41" s="8" t="n">
        <f aca="false">Parametros!$E$8*Parametros!$E$9</f>
        <v>2205</v>
      </c>
      <c r="G41" s="8" t="n">
        <f aca="false">Parametros!$E$10/1000*Parametros!$E$11</f>
        <v>1.32389775</v>
      </c>
      <c r="H41" s="8" t="n">
        <f aca="false">F41/G41</f>
        <v>1665.53648119728</v>
      </c>
      <c r="I41" s="8" t="n">
        <f aca="false">ASINH(E41/(2*H41*SINH(D41/(2*H41))))</f>
        <v>0.29452378637013</v>
      </c>
      <c r="J41" s="8" t="n">
        <f aca="false">D41/2-H41*I41</f>
        <v>-478.067899945544</v>
      </c>
      <c r="K41" s="8" t="n">
        <f aca="false">-J41/H41</f>
        <v>0.287035381898019</v>
      </c>
      <c r="L41" s="8" t="n">
        <f aca="false">(D41-J41)/H41</f>
        <v>0.302012190842242</v>
      </c>
      <c r="M41" s="8" t="n">
        <f aca="false">H41*(SINH(L41)-SINH(K41))</f>
        <v>26.0344010074946</v>
      </c>
      <c r="N41" s="8" t="n">
        <f aca="false">M41*Parametros!$E$5</f>
        <v>78.1032030224837</v>
      </c>
    </row>
    <row r="42" customFormat="false" ht="21" hidden="false" customHeight="true" outlineLevel="0" collapsed="false">
      <c r="A42" s="1" t="s">
        <v>359</v>
      </c>
      <c r="B42" s="1" t="s">
        <v>223</v>
      </c>
      <c r="C42" s="1" t="s">
        <v>224</v>
      </c>
      <c r="D42" s="8" t="n">
        <f aca="false">SQRT((INDEX(Postes!$B$7:$B$117,MATCH(C42,Postes!$A$7:$A$117,0))-INDEX(Postes!$B$7:$B$117,MATCH(B42,Postes!$A$7:$A$117,0)))^2+(INDEX(Postes!$C$7:$C$117,MATCH(C42,Postes!$A$7:$A$117,0))-INDEX(Postes!$C$7:$C$117,MATCH(B42,Postes!$A$7:$A$117,0)))^2)</f>
        <v>20.0053352518434</v>
      </c>
      <c r="E42" s="8" t="n">
        <f aca="false">INDEX(Postes!$D$7:$D$117,MATCH(C42,Postes!$A$7:$A$117,0))+INDEX(Postes!$G$7:$G$117,MATCH(C42,Postes!$A$7:$A$117,0))-INDEX(Postes!$D$7:$D$117,MATCH(B42,Postes!$A$7:$A$117,0))-INDEX(Postes!$G$7:$G$117,MATCH(B42,Postes!$A$7:$A$117,0))</f>
        <v>12.5950314215796</v>
      </c>
      <c r="F42" s="8" t="n">
        <f aca="false">Parametros!$E$8*Parametros!$E$9</f>
        <v>2205</v>
      </c>
      <c r="G42" s="8" t="n">
        <f aca="false">Parametros!$E$10/1000*Parametros!$E$11</f>
        <v>1.32389775</v>
      </c>
      <c r="H42" s="8" t="n">
        <f aca="false">F42/G42</f>
        <v>1665.53648119728</v>
      </c>
      <c r="I42" s="8" t="n">
        <f aca="false">ASINH(E42/(2*H42*SINH(D42/(2*H42))))</f>
        <v>0.594023381344888</v>
      </c>
      <c r="J42" s="8" t="n">
        <f aca="false">D42/2-H42*I42</f>
        <v>-979.364944688155</v>
      </c>
      <c r="K42" s="8" t="n">
        <f aca="false">-J42/H42</f>
        <v>0.588017708254659</v>
      </c>
      <c r="L42" s="8" t="n">
        <f aca="false">(D42-J42)/H42</f>
        <v>0.600029054435117</v>
      </c>
      <c r="M42" s="8" t="n">
        <f aca="false">H42*(SINH(L42)-SINH(K42))</f>
        <v>23.640073323061</v>
      </c>
      <c r="N42" s="8" t="n">
        <f aca="false">M42*Parametros!$E$5</f>
        <v>70.9202199691829</v>
      </c>
    </row>
    <row r="43" customFormat="false" ht="21" hidden="false" customHeight="true" outlineLevel="0" collapsed="false">
      <c r="A43" s="1" t="s">
        <v>360</v>
      </c>
      <c r="B43" s="1" t="s">
        <v>224</v>
      </c>
      <c r="C43" s="1" t="s">
        <v>225</v>
      </c>
      <c r="D43" s="8" t="n">
        <f aca="false">SQRT((INDEX(Postes!$B$7:$B$117,MATCH(C43,Postes!$A$7:$A$117,0))-INDEX(Postes!$B$7:$B$117,MATCH(B43,Postes!$A$7:$A$117,0)))^2+(INDEX(Postes!$C$7:$C$117,MATCH(C43,Postes!$A$7:$A$117,0))-INDEX(Postes!$C$7:$C$117,MATCH(B43,Postes!$A$7:$A$117,0)))^2)</f>
        <v>30.4170679503427</v>
      </c>
      <c r="E43" s="8" t="n">
        <f aca="false">INDEX(Postes!$D$7:$D$117,MATCH(C43,Postes!$A$7:$A$117,0))+INDEX(Postes!$G$7:$G$117,MATCH(C43,Postes!$A$7:$A$117,0))-INDEX(Postes!$D$7:$D$117,MATCH(B43,Postes!$A$7:$A$117,0))-INDEX(Postes!$G$7:$G$117,MATCH(B43,Postes!$A$7:$A$117,0))</f>
        <v>20.6473552565548</v>
      </c>
      <c r="F43" s="8" t="n">
        <f aca="false">Parametros!$E$8*Parametros!$E$9</f>
        <v>2205</v>
      </c>
      <c r="G43" s="8" t="n">
        <f aca="false">Parametros!$E$10/1000*Parametros!$E$11</f>
        <v>1.32389775</v>
      </c>
      <c r="H43" s="8" t="n">
        <f aca="false">F43/G43</f>
        <v>1665.53648119728</v>
      </c>
      <c r="I43" s="8" t="n">
        <f aca="false">ASINH(E43/(2*H43*SINH(D43/(2*H43))))</f>
        <v>0.635211363880692</v>
      </c>
      <c r="J43" s="8" t="n">
        <f aca="false">D43/2-H43*I43</f>
        <v>-1042.7591658392</v>
      </c>
      <c r="K43" s="8" t="n">
        <f aca="false">-J43/H43</f>
        <v>0.626080051449613</v>
      </c>
      <c r="L43" s="8" t="n">
        <f aca="false">(D43-J43)/H43</f>
        <v>0.64434267631177</v>
      </c>
      <c r="M43" s="8" t="n">
        <f aca="false">H43*(SINH(L43)-SINH(K43))</f>
        <v>36.7632563393992</v>
      </c>
      <c r="N43" s="8" t="n">
        <f aca="false">M43*Parametros!$E$5</f>
        <v>110.289769018197</v>
      </c>
    </row>
    <row r="44" customFormat="false" ht="21" hidden="false" customHeight="true" outlineLevel="0" collapsed="false">
      <c r="A44" s="1" t="s">
        <v>361</v>
      </c>
      <c r="B44" s="1" t="s">
        <v>225</v>
      </c>
      <c r="C44" s="1" t="s">
        <v>226</v>
      </c>
      <c r="D44" s="8" t="n">
        <f aca="false">SQRT((INDEX(Postes!$B$7:$B$117,MATCH(C44,Postes!$A$7:$A$117,0))-INDEX(Postes!$B$7:$B$117,MATCH(B44,Postes!$A$7:$A$117,0)))^2+(INDEX(Postes!$C$7:$C$117,MATCH(C44,Postes!$A$7:$A$117,0))-INDEX(Postes!$C$7:$C$117,MATCH(B44,Postes!$A$7:$A$117,0)))^2)</f>
        <v>75.7245307138192</v>
      </c>
      <c r="E44" s="8" t="n">
        <f aca="false">INDEX(Postes!$D$7:$D$117,MATCH(C44,Postes!$A$7:$A$117,0))+INDEX(Postes!$G$7:$G$117,MATCH(C44,Postes!$A$7:$A$117,0))-INDEX(Postes!$D$7:$D$117,MATCH(B44,Postes!$A$7:$A$117,0))-INDEX(Postes!$G$7:$G$117,MATCH(B44,Postes!$A$7:$A$117,0))</f>
        <v>1.47684093770513</v>
      </c>
      <c r="F44" s="8" t="n">
        <f aca="false">Parametros!$E$8*Parametros!$E$9</f>
        <v>2205</v>
      </c>
      <c r="G44" s="8" t="n">
        <f aca="false">Parametros!$E$10/1000*Parametros!$E$11</f>
        <v>1.32389775</v>
      </c>
      <c r="H44" s="8" t="n">
        <f aca="false">F44/G44</f>
        <v>1665.53648119728</v>
      </c>
      <c r="I44" s="8" t="n">
        <f aca="false">ASINH(E44/(2*H44*SINH(D44/(2*H44))))</f>
        <v>0.0194998919086879</v>
      </c>
      <c r="J44" s="8" t="n">
        <f aca="false">D44/2-H44*I44</f>
        <v>5.38448400358619</v>
      </c>
      <c r="K44" s="8" t="n">
        <f aca="false">-J44/H44</f>
        <v>-0.00323288265635317</v>
      </c>
      <c r="L44" s="8" t="n">
        <f aca="false">(D44-J44)/H44</f>
        <v>0.042232666473729</v>
      </c>
      <c r="M44" s="8" t="n">
        <f aca="false">H44*(SINH(L44)-SINH(K44))</f>
        <v>75.7454516871298</v>
      </c>
      <c r="N44" s="8" t="n">
        <f aca="false">M44*Parametros!$E$5</f>
        <v>227.23635506139</v>
      </c>
    </row>
    <row r="45" customFormat="false" ht="21" hidden="false" customHeight="true" outlineLevel="0" collapsed="false">
      <c r="A45" s="1" t="s">
        <v>362</v>
      </c>
      <c r="B45" s="1" t="s">
        <v>226</v>
      </c>
      <c r="C45" s="1" t="s">
        <v>227</v>
      </c>
      <c r="D45" s="8" t="n">
        <f aca="false">SQRT((INDEX(Postes!$B$7:$B$117,MATCH(C45,Postes!$A$7:$A$117,0))-INDEX(Postes!$B$7:$B$117,MATCH(B45,Postes!$A$7:$A$117,0)))^2+(INDEX(Postes!$C$7:$C$117,MATCH(C45,Postes!$A$7:$A$117,0))-INDEX(Postes!$C$7:$C$117,MATCH(B45,Postes!$A$7:$A$117,0)))^2)</f>
        <v>82.3737077251268</v>
      </c>
      <c r="E45" s="8" t="n">
        <f aca="false">INDEX(Postes!$D$7:$D$117,MATCH(C45,Postes!$A$7:$A$117,0))+INDEX(Postes!$G$7:$G$117,MATCH(C45,Postes!$A$7:$A$117,0))-INDEX(Postes!$D$7:$D$117,MATCH(B45,Postes!$A$7:$A$117,0))-INDEX(Postes!$G$7:$G$117,MATCH(B45,Postes!$A$7:$A$117,0))</f>
        <v>8.01755726877382</v>
      </c>
      <c r="F45" s="8" t="n">
        <f aca="false">Parametros!$E$8*Parametros!$E$9</f>
        <v>2205</v>
      </c>
      <c r="G45" s="8" t="n">
        <f aca="false">Parametros!$E$10/1000*Parametros!$E$11</f>
        <v>1.32389775</v>
      </c>
      <c r="H45" s="8" t="n">
        <f aca="false">F45/G45</f>
        <v>1665.53648119728</v>
      </c>
      <c r="I45" s="8" t="n">
        <f aca="false">ASINH(E45/(2*H45*SINH(D45/(2*H45))))</f>
        <v>0.0971686106697327</v>
      </c>
      <c r="J45" s="8" t="n">
        <f aca="false">D45/2-H45*I45</f>
        <v>-120.651012035132</v>
      </c>
      <c r="K45" s="8" t="n">
        <f aca="false">-J45/H45</f>
        <v>0.0724397294188363</v>
      </c>
      <c r="L45" s="8" t="n">
        <f aca="false">(D45-J45)/H45</f>
        <v>0.121897491920629</v>
      </c>
      <c r="M45" s="8" t="n">
        <f aca="false">H45*(SINH(L45)-SINH(K45))</f>
        <v>82.7713247315094</v>
      </c>
      <c r="N45" s="8" t="n">
        <f aca="false">M45*Parametros!$E$5</f>
        <v>248.313974194528</v>
      </c>
    </row>
    <row r="46" customFormat="false" ht="21" hidden="false" customHeight="true" outlineLevel="0" collapsed="false">
      <c r="A46" s="1" t="s">
        <v>363</v>
      </c>
      <c r="B46" s="1" t="s">
        <v>227</v>
      </c>
      <c r="C46" s="1" t="s">
        <v>228</v>
      </c>
      <c r="D46" s="8" t="n">
        <f aca="false">SQRT((INDEX(Postes!$B$7:$B$117,MATCH(C46,Postes!$A$7:$A$117,0))-INDEX(Postes!$B$7:$B$117,MATCH(B46,Postes!$A$7:$A$117,0)))^2+(INDEX(Postes!$C$7:$C$117,MATCH(C46,Postes!$A$7:$A$117,0))-INDEX(Postes!$C$7:$C$117,MATCH(B46,Postes!$A$7:$A$117,0)))^2)</f>
        <v>82.373707723345</v>
      </c>
      <c r="E46" s="8" t="n">
        <f aca="false">INDEX(Postes!$D$7:$D$117,MATCH(C46,Postes!$A$7:$A$117,0))+INDEX(Postes!$G$7:$G$117,MATCH(C46,Postes!$A$7:$A$117,0))-INDEX(Postes!$D$7:$D$117,MATCH(B46,Postes!$A$7:$A$117,0))-INDEX(Postes!$G$7:$G$117,MATCH(B46,Postes!$A$7:$A$117,0))</f>
        <v>22.7341572000499</v>
      </c>
      <c r="F46" s="8" t="n">
        <f aca="false">Parametros!$E$8*Parametros!$E$9</f>
        <v>2205</v>
      </c>
      <c r="G46" s="8" t="n">
        <f aca="false">Parametros!$E$10/1000*Parametros!$E$11</f>
        <v>1.32389775</v>
      </c>
      <c r="H46" s="8" t="n">
        <f aca="false">F46/G46</f>
        <v>1665.53648119728</v>
      </c>
      <c r="I46" s="8" t="n">
        <f aca="false">ASINH(E46/(2*H46*SINH(D46/(2*H46))))</f>
        <v>0.272572189507154</v>
      </c>
      <c r="J46" s="8" t="n">
        <f aca="false">D46/2-H46*I46</f>
        <v>-412.792071522311</v>
      </c>
      <c r="K46" s="8" t="n">
        <f aca="false">-J46/H46</f>
        <v>0.247843308256792</v>
      </c>
      <c r="L46" s="8" t="n">
        <f aca="false">(D46-J46)/H46</f>
        <v>0.297301070757515</v>
      </c>
      <c r="M46" s="8" t="n">
        <f aca="false">H46*(SINH(L46)-SINH(K46))</f>
        <v>85.4614116227542</v>
      </c>
      <c r="N46" s="8" t="n">
        <f aca="false">M46*Parametros!$E$5</f>
        <v>256.384234868263</v>
      </c>
    </row>
    <row r="47" customFormat="false" ht="21" hidden="false" customHeight="true" outlineLevel="0" collapsed="false">
      <c r="A47" s="1" t="s">
        <v>364</v>
      </c>
      <c r="B47" s="1" t="s">
        <v>228</v>
      </c>
      <c r="C47" s="1" t="s">
        <v>229</v>
      </c>
      <c r="D47" s="8" t="n">
        <f aca="false">SQRT((INDEX(Postes!$B$7:$B$117,MATCH(C47,Postes!$A$7:$A$117,0))-INDEX(Postes!$B$7:$B$117,MATCH(B47,Postes!$A$7:$A$117,0)))^2+(INDEX(Postes!$C$7:$C$117,MATCH(C47,Postes!$A$7:$A$117,0))-INDEX(Postes!$C$7:$C$117,MATCH(B47,Postes!$A$7:$A$117,0)))^2)</f>
        <v>63.0281944512418</v>
      </c>
      <c r="E47" s="8" t="n">
        <f aca="false">INDEX(Postes!$D$7:$D$117,MATCH(C47,Postes!$A$7:$A$117,0))+INDEX(Postes!$G$7:$G$117,MATCH(C47,Postes!$A$7:$A$117,0))-INDEX(Postes!$D$7:$D$117,MATCH(B47,Postes!$A$7:$A$117,0))-INDEX(Postes!$G$7:$G$117,MATCH(B47,Postes!$A$7:$A$117,0))</f>
        <v>-5.11450169498421</v>
      </c>
      <c r="F47" s="8" t="n">
        <f aca="false">Parametros!$E$8*Parametros!$E$9</f>
        <v>2205</v>
      </c>
      <c r="G47" s="8" t="n">
        <f aca="false">Parametros!$E$10/1000*Parametros!$E$11</f>
        <v>1.32389775</v>
      </c>
      <c r="H47" s="8" t="n">
        <f aca="false">F47/G47</f>
        <v>1665.53648119728</v>
      </c>
      <c r="I47" s="8" t="n">
        <f aca="false">ASINH(E47/(2*H47*SINH(D47/(2*H47))))</f>
        <v>-0.0810526339634497</v>
      </c>
      <c r="J47" s="8" t="n">
        <f aca="false">D47/2-H47*I47</f>
        <v>166.510215988876</v>
      </c>
      <c r="K47" s="8" t="n">
        <f aca="false">-J47/H47</f>
        <v>-0.099973923038407</v>
      </c>
      <c r="L47" s="8" t="n">
        <f aca="false">(D47-J47)/H47</f>
        <v>-0.0621313448884925</v>
      </c>
      <c r="M47" s="8" t="n">
        <f aca="false">H47*(SINH(L47)-SINH(K47))</f>
        <v>63.2391138784416</v>
      </c>
      <c r="N47" s="8" t="n">
        <f aca="false">M47*Parametros!$E$5</f>
        <v>189.717341635325</v>
      </c>
    </row>
    <row r="48" customFormat="false" ht="21" hidden="false" customHeight="true" outlineLevel="0" collapsed="false">
      <c r="A48" s="1" t="s">
        <v>365</v>
      </c>
      <c r="B48" s="1" t="s">
        <v>229</v>
      </c>
      <c r="C48" s="1" t="s">
        <v>230</v>
      </c>
      <c r="D48" s="8" t="n">
        <f aca="false">SQRT((INDEX(Postes!$B$7:$B$117,MATCH(C48,Postes!$A$7:$A$117,0))-INDEX(Postes!$B$7:$B$117,MATCH(B48,Postes!$A$7:$A$117,0)))^2+(INDEX(Postes!$C$7:$C$117,MATCH(C48,Postes!$A$7:$A$117,0))-INDEX(Postes!$C$7:$C$117,MATCH(B48,Postes!$A$7:$A$117,0)))^2)</f>
        <v>49.8786232746179</v>
      </c>
      <c r="E48" s="8" t="n">
        <f aca="false">INDEX(Postes!$D$7:$D$117,MATCH(C48,Postes!$A$7:$A$117,0))+INDEX(Postes!$G$7:$G$117,MATCH(C48,Postes!$A$7:$A$117,0))-INDEX(Postes!$D$7:$D$117,MATCH(B48,Postes!$A$7:$A$117,0))-INDEX(Postes!$G$7:$G$117,MATCH(B48,Postes!$A$7:$A$117,0))</f>
        <v>6.07170067925818</v>
      </c>
      <c r="F48" s="8" t="n">
        <f aca="false">Parametros!$E$8*Parametros!$E$9</f>
        <v>2205</v>
      </c>
      <c r="G48" s="8" t="n">
        <f aca="false">Parametros!$E$10/1000*Parametros!$E$11</f>
        <v>1.32389775</v>
      </c>
      <c r="H48" s="8" t="n">
        <f aca="false">F48/G48</f>
        <v>1665.53648119728</v>
      </c>
      <c r="I48" s="8" t="n">
        <f aca="false">ASINH(E48/(2*H48*SINH(D48/(2*H48))))</f>
        <v>0.121426355050262</v>
      </c>
      <c r="J48" s="8" t="n">
        <f aca="false">D48/2-H48*I48</f>
        <v>-177.300712477717</v>
      </c>
      <c r="K48" s="8" t="n">
        <f aca="false">-J48/H48</f>
        <v>0.106452614205282</v>
      </c>
      <c r="L48" s="8" t="n">
        <f aca="false">(D48-J48)/H48</f>
        <v>0.136400095895243</v>
      </c>
      <c r="M48" s="8" t="n">
        <f aca="false">H48*(SINH(L48)-SINH(K48))</f>
        <v>50.2486671716206</v>
      </c>
      <c r="N48" s="8" t="n">
        <f aca="false">M48*Parametros!$E$5</f>
        <v>150.746001514862</v>
      </c>
    </row>
    <row r="49" customFormat="false" ht="21" hidden="false" customHeight="true" outlineLevel="0" collapsed="false">
      <c r="A49" s="1" t="s">
        <v>366</v>
      </c>
      <c r="B49" s="1" t="s">
        <v>230</v>
      </c>
      <c r="C49" s="1" t="s">
        <v>231</v>
      </c>
      <c r="D49" s="8" t="n">
        <f aca="false">SQRT((INDEX(Postes!$B$7:$B$117,MATCH(C49,Postes!$A$7:$A$117,0))-INDEX(Postes!$B$7:$B$117,MATCH(B49,Postes!$A$7:$A$117,0)))^2+(INDEX(Postes!$C$7:$C$117,MATCH(C49,Postes!$A$7:$A$117,0))-INDEX(Postes!$C$7:$C$117,MATCH(B49,Postes!$A$7:$A$117,0)))^2)</f>
        <v>80.0179103511325</v>
      </c>
      <c r="E49" s="8" t="n">
        <f aca="false">INDEX(Postes!$D$7:$D$117,MATCH(C49,Postes!$A$7:$A$117,0))+INDEX(Postes!$G$7:$G$117,MATCH(C49,Postes!$A$7:$A$117,0))-INDEX(Postes!$D$7:$D$117,MATCH(B49,Postes!$A$7:$A$117,0))-INDEX(Postes!$G$7:$G$117,MATCH(B49,Postes!$A$7:$A$117,0))</f>
        <v>3.57645516314196</v>
      </c>
      <c r="F49" s="8" t="n">
        <f aca="false">Parametros!$E$8*Parametros!$E$9</f>
        <v>2205</v>
      </c>
      <c r="G49" s="8" t="n">
        <f aca="false">Parametros!$E$10/1000*Parametros!$E$11</f>
        <v>1.32389775</v>
      </c>
      <c r="H49" s="8" t="n">
        <f aca="false">F49/G49</f>
        <v>1665.53648119728</v>
      </c>
      <c r="I49" s="8" t="n">
        <f aca="false">ASINH(E49/(2*H49*SINH(D49/(2*H49))))</f>
        <v>0.0446765210419806</v>
      </c>
      <c r="J49" s="8" t="n">
        <f aca="false">D49/2-H49*I49</f>
        <v>-34.4014204728305</v>
      </c>
      <c r="K49" s="8" t="n">
        <f aca="false">-J49/H49</f>
        <v>0.0206548585763194</v>
      </c>
      <c r="L49" s="8" t="n">
        <f aca="false">(D49-J49)/H49</f>
        <v>0.0686981835076418</v>
      </c>
      <c r="M49" s="8" t="n">
        <f aca="false">H49*(SINH(L49)-SINH(K49))</f>
        <v>80.1054846671196</v>
      </c>
      <c r="N49" s="8" t="n">
        <f aca="false">M49*Parametros!$E$5</f>
        <v>240.316454001359</v>
      </c>
    </row>
    <row r="50" customFormat="false" ht="21" hidden="false" customHeight="true" outlineLevel="0" collapsed="false">
      <c r="A50" s="1" t="s">
        <v>367</v>
      </c>
      <c r="B50" s="1" t="s">
        <v>231</v>
      </c>
      <c r="C50" s="1" t="s">
        <v>232</v>
      </c>
      <c r="D50" s="8" t="n">
        <f aca="false">SQRT((INDEX(Postes!$B$7:$B$117,MATCH(C50,Postes!$A$7:$A$117,0))-INDEX(Postes!$B$7:$B$117,MATCH(B50,Postes!$A$7:$A$117,0)))^2+(INDEX(Postes!$C$7:$C$117,MATCH(C50,Postes!$A$7:$A$117,0))-INDEX(Postes!$C$7:$C$117,MATCH(B50,Postes!$A$7:$A$117,0)))^2)</f>
        <v>80.0179103492725</v>
      </c>
      <c r="E50" s="8" t="n">
        <f aca="false">INDEX(Postes!$D$7:$D$117,MATCH(C50,Postes!$A$7:$A$117,0))+INDEX(Postes!$G$7:$G$117,MATCH(C50,Postes!$A$7:$A$117,0))-INDEX(Postes!$D$7:$D$117,MATCH(B50,Postes!$A$7:$A$117,0))-INDEX(Postes!$G$7:$G$117,MATCH(B50,Postes!$A$7:$A$117,0))</f>
        <v>8.36857539298862</v>
      </c>
      <c r="F50" s="8" t="n">
        <f aca="false">Parametros!$E$8*Parametros!$E$9</f>
        <v>2205</v>
      </c>
      <c r="G50" s="8" t="n">
        <f aca="false">Parametros!$E$10/1000*Parametros!$E$11</f>
        <v>1.32389775</v>
      </c>
      <c r="H50" s="8" t="n">
        <f aca="false">F50/G50</f>
        <v>1665.53648119728</v>
      </c>
      <c r="I50" s="8" t="n">
        <f aca="false">ASINH(E50/(2*H50*SINH(D50/(2*H50))))</f>
        <v>0.10438405547906</v>
      </c>
      <c r="J50" s="8" t="n">
        <f aca="false">D50/2-H50*I50</f>
        <v>-133.846497281059</v>
      </c>
      <c r="K50" s="8" t="n">
        <f aca="false">-J50/H50</f>
        <v>0.0803623930139571</v>
      </c>
      <c r="L50" s="8" t="n">
        <f aca="false">(D50-J50)/H50</f>
        <v>0.128405717944163</v>
      </c>
      <c r="M50" s="8" t="n">
        <f aca="false">H50*(SINH(L50)-SINH(K50))</f>
        <v>80.461982923804</v>
      </c>
      <c r="N50" s="8" t="n">
        <f aca="false">M50*Parametros!$E$5</f>
        <v>241.385948771412</v>
      </c>
    </row>
    <row r="51" customFormat="false" ht="21" hidden="false" customHeight="true" outlineLevel="0" collapsed="false">
      <c r="A51" s="1" t="s">
        <v>368</v>
      </c>
      <c r="B51" s="1" t="s">
        <v>232</v>
      </c>
      <c r="C51" s="1" t="s">
        <v>233</v>
      </c>
      <c r="D51" s="8" t="n">
        <f aca="false">SQRT((INDEX(Postes!$B$7:$B$117,MATCH(C51,Postes!$A$7:$A$117,0))-INDEX(Postes!$B$7:$B$117,MATCH(B51,Postes!$A$7:$A$117,0)))^2+(INDEX(Postes!$C$7:$C$117,MATCH(C51,Postes!$A$7:$A$117,0))-INDEX(Postes!$C$7:$C$117,MATCH(B51,Postes!$A$7:$A$117,0)))^2)</f>
        <v>61.4282655706483</v>
      </c>
      <c r="E51" s="8" t="n">
        <f aca="false">INDEX(Postes!$D$7:$D$117,MATCH(C51,Postes!$A$7:$A$117,0))+INDEX(Postes!$G$7:$G$117,MATCH(C51,Postes!$A$7:$A$117,0))-INDEX(Postes!$D$7:$D$117,MATCH(B51,Postes!$A$7:$A$117,0))-INDEX(Postes!$G$7:$G$117,MATCH(B51,Postes!$A$7:$A$117,0))</f>
        <v>-1.22441851156609</v>
      </c>
      <c r="F51" s="8" t="n">
        <f aca="false">Parametros!$E$8*Parametros!$E$9</f>
        <v>2205</v>
      </c>
      <c r="G51" s="8" t="n">
        <f aca="false">Parametros!$E$10/1000*Parametros!$E$11</f>
        <v>1.32389775</v>
      </c>
      <c r="H51" s="8" t="n">
        <f aca="false">F51/G51</f>
        <v>1665.53648119728</v>
      </c>
      <c r="I51" s="8" t="n">
        <f aca="false">ASINH(E51/(2*H51*SINH(D51/(2*H51))))</f>
        <v>-0.0199300445071205</v>
      </c>
      <c r="J51" s="8" t="n">
        <f aca="false">D51/2-H51*I51</f>
        <v>63.9083489838189</v>
      </c>
      <c r="K51" s="8" t="n">
        <f aca="false">-J51/H51</f>
        <v>-0.0383710292180919</v>
      </c>
      <c r="L51" s="8" t="n">
        <f aca="false">(D51-J51)/H51</f>
        <v>-0.00148905979614914</v>
      </c>
      <c r="M51" s="8" t="n">
        <f aca="false">H51*(SINH(L51)-SINH(K51))</f>
        <v>61.4439482345722</v>
      </c>
      <c r="N51" s="8" t="n">
        <f aca="false">M51*Parametros!$E$5</f>
        <v>184.331844703717</v>
      </c>
    </row>
    <row r="52" customFormat="false" ht="21" hidden="false" customHeight="true" outlineLevel="0" collapsed="false">
      <c r="A52" s="1" t="s">
        <v>369</v>
      </c>
      <c r="B52" s="1" t="s">
        <v>233</v>
      </c>
      <c r="C52" s="1" t="s">
        <v>234</v>
      </c>
      <c r="D52" s="8" t="n">
        <f aca="false">SQRT((INDEX(Postes!$B$7:$B$117,MATCH(C52,Postes!$A$7:$A$117,0))-INDEX(Postes!$B$7:$B$117,MATCH(B52,Postes!$A$7:$A$117,0)))^2+(INDEX(Postes!$C$7:$C$117,MATCH(C52,Postes!$A$7:$A$117,0))-INDEX(Postes!$C$7:$C$117,MATCH(B52,Postes!$A$7:$A$117,0)))^2)</f>
        <v>61.4282655722358</v>
      </c>
      <c r="E52" s="8" t="n">
        <f aca="false">INDEX(Postes!$D$7:$D$117,MATCH(C52,Postes!$A$7:$A$117,0))+INDEX(Postes!$G$7:$G$117,MATCH(C52,Postes!$A$7:$A$117,0))-INDEX(Postes!$D$7:$D$117,MATCH(B52,Postes!$A$7:$A$117,0))-INDEX(Postes!$G$7:$G$117,MATCH(B52,Postes!$A$7:$A$117,0))</f>
        <v>1.39271571979216</v>
      </c>
      <c r="F52" s="8" t="n">
        <f aca="false">Parametros!$E$8*Parametros!$E$9</f>
        <v>2205</v>
      </c>
      <c r="G52" s="8" t="n">
        <f aca="false">Parametros!$E$10/1000*Parametros!$E$11</f>
        <v>1.32389775</v>
      </c>
      <c r="H52" s="8" t="n">
        <f aca="false">F52/G52</f>
        <v>1665.53648119728</v>
      </c>
      <c r="I52" s="8" t="n">
        <f aca="false">ASINH(E52/(2*H52*SINH(D52/(2*H52))))</f>
        <v>0.0226690026938304</v>
      </c>
      <c r="J52" s="8" t="n">
        <f aca="false">D52/2-H52*I52</f>
        <v>-7.04191819281618</v>
      </c>
      <c r="K52" s="8" t="n">
        <f aca="false">-J52/H52</f>
        <v>0.0042280179823825</v>
      </c>
      <c r="L52" s="8" t="n">
        <f aca="false">(D52-J52)/H52</f>
        <v>0.0411099874052784</v>
      </c>
      <c r="M52" s="8" t="n">
        <f aca="false">H52*(SINH(L52)-SINH(K52))</f>
        <v>61.4475323445341</v>
      </c>
      <c r="N52" s="8" t="n">
        <f aca="false">M52*Parametros!$E$5</f>
        <v>184.342597033602</v>
      </c>
    </row>
    <row r="53" customFormat="false" ht="21" hidden="false" customHeight="true" outlineLevel="0" collapsed="false">
      <c r="A53" s="1" t="s">
        <v>370</v>
      </c>
      <c r="B53" s="1" t="s">
        <v>234</v>
      </c>
      <c r="C53" s="1" t="s">
        <v>235</v>
      </c>
      <c r="D53" s="8" t="n">
        <f aca="false">SQRT((INDEX(Postes!$B$7:$B$117,MATCH(C53,Postes!$A$7:$A$117,0))-INDEX(Postes!$B$7:$B$117,MATCH(B53,Postes!$A$7:$A$117,0)))^2+(INDEX(Postes!$C$7:$C$117,MATCH(C53,Postes!$A$7:$A$117,0))-INDEX(Postes!$C$7:$C$117,MATCH(B53,Postes!$A$7:$A$117,0)))^2)</f>
        <v>61.4282655706483</v>
      </c>
      <c r="E53" s="8" t="n">
        <f aca="false">INDEX(Postes!$D$7:$D$117,MATCH(C53,Postes!$A$7:$A$117,0))+INDEX(Postes!$G$7:$G$117,MATCH(C53,Postes!$A$7:$A$117,0))-INDEX(Postes!$D$7:$D$117,MATCH(B53,Postes!$A$7:$A$117,0))-INDEX(Postes!$G$7:$G$117,MATCH(B53,Postes!$A$7:$A$117,0))</f>
        <v>4.49905944039792</v>
      </c>
      <c r="F53" s="8" t="n">
        <f aca="false">Parametros!$E$8*Parametros!$E$9</f>
        <v>2205</v>
      </c>
      <c r="G53" s="8" t="n">
        <f aca="false">Parametros!$E$10/1000*Parametros!$E$11</f>
        <v>1.32389775</v>
      </c>
      <c r="H53" s="8" t="n">
        <f aca="false">F53/G53</f>
        <v>1665.53648119728</v>
      </c>
      <c r="I53" s="8" t="n">
        <f aca="false">ASINH(E53/(2*H53*SINH(D53/(2*H53))))</f>
        <v>0.0731714047564116</v>
      </c>
      <c r="J53" s="8" t="n">
        <f aca="false">D53/2-H53*I53</f>
        <v>-91.1555112169318</v>
      </c>
      <c r="K53" s="8" t="n">
        <f aca="false">-J53/H53</f>
        <v>0.0547304200454403</v>
      </c>
      <c r="L53" s="8" t="n">
        <f aca="false">(D53-J53)/H53</f>
        <v>0.091612389467383</v>
      </c>
      <c r="M53" s="8" t="n">
        <f aca="false">H53*(SINH(L53)-SINH(K53))</f>
        <v>61.5962751293417</v>
      </c>
      <c r="N53" s="8" t="n">
        <f aca="false">M53*Parametros!$E$5</f>
        <v>184.788825388025</v>
      </c>
    </row>
    <row r="54" customFormat="false" ht="21" hidden="false" customHeight="true" outlineLevel="0" collapsed="false">
      <c r="A54" s="1" t="s">
        <v>371</v>
      </c>
      <c r="B54" s="1" t="s">
        <v>235</v>
      </c>
      <c r="C54" s="1" t="s">
        <v>236</v>
      </c>
      <c r="D54" s="8" t="n">
        <f aca="false">SQRT((INDEX(Postes!$B$7:$B$117,MATCH(C54,Postes!$A$7:$A$117,0))-INDEX(Postes!$B$7:$B$117,MATCH(B54,Postes!$A$7:$A$117,0)))^2+(INDEX(Postes!$C$7:$C$117,MATCH(C54,Postes!$A$7:$A$117,0))-INDEX(Postes!$C$7:$C$117,MATCH(B54,Postes!$A$7:$A$117,0)))^2)</f>
        <v>38.4378051466049</v>
      </c>
      <c r="E54" s="8" t="n">
        <f aca="false">INDEX(Postes!$D$7:$D$117,MATCH(C54,Postes!$A$7:$A$117,0))+INDEX(Postes!$G$7:$G$117,MATCH(C54,Postes!$A$7:$A$117,0))-INDEX(Postes!$D$7:$D$117,MATCH(B54,Postes!$A$7:$A$117,0))-INDEX(Postes!$G$7:$G$117,MATCH(B54,Postes!$A$7:$A$117,0))</f>
        <v>9.91610789095776</v>
      </c>
      <c r="F54" s="8" t="n">
        <f aca="false">Parametros!$E$8*Parametros!$E$9</f>
        <v>2205</v>
      </c>
      <c r="G54" s="8" t="n">
        <f aca="false">Parametros!$E$10/1000*Parametros!$E$11</f>
        <v>1.32389775</v>
      </c>
      <c r="H54" s="8" t="n">
        <f aca="false">F54/G54</f>
        <v>1665.53648119728</v>
      </c>
      <c r="I54" s="8" t="n">
        <f aca="false">ASINH(E54/(2*H54*SINH(D54/(2*H54))))</f>
        <v>0.255193381937781</v>
      </c>
      <c r="J54" s="8" t="n">
        <f aca="false">D54/2-H54*I54</f>
        <v>-405.814984804183</v>
      </c>
      <c r="K54" s="8" t="n">
        <f aca="false">-J54/H54</f>
        <v>0.243654215554894</v>
      </c>
      <c r="L54" s="8" t="n">
        <f aca="false">(D54-J54)/H54</f>
        <v>0.266732548320667</v>
      </c>
      <c r="M54" s="8" t="n">
        <f aca="false">H54*(SINH(L54)-SINH(K54))</f>
        <v>39.6970986009802</v>
      </c>
      <c r="N54" s="8" t="n">
        <f aca="false">M54*Parametros!$E$5</f>
        <v>119.091295802941</v>
      </c>
    </row>
    <row r="55" customFormat="false" ht="21" hidden="false" customHeight="true" outlineLevel="0" collapsed="false">
      <c r="A55" s="1" t="s">
        <v>372</v>
      </c>
      <c r="B55" s="1" t="s">
        <v>236</v>
      </c>
      <c r="C55" s="1" t="s">
        <v>237</v>
      </c>
      <c r="D55" s="8" t="n">
        <f aca="false">SQRT((INDEX(Postes!$B$7:$B$117,MATCH(C55,Postes!$A$7:$A$117,0))-INDEX(Postes!$B$7:$B$117,MATCH(B55,Postes!$A$7:$A$117,0)))^2+(INDEX(Postes!$C$7:$C$117,MATCH(C55,Postes!$A$7:$A$117,0))-INDEX(Postes!$C$7:$C$117,MATCH(B55,Postes!$A$7:$A$117,0)))^2)</f>
        <v>79.6682606764866</v>
      </c>
      <c r="E55" s="8" t="n">
        <f aca="false">INDEX(Postes!$D$7:$D$117,MATCH(C55,Postes!$A$7:$A$117,0))+INDEX(Postes!$G$7:$G$117,MATCH(C55,Postes!$A$7:$A$117,0))-INDEX(Postes!$D$7:$D$117,MATCH(B55,Postes!$A$7:$A$117,0))-INDEX(Postes!$G$7:$G$117,MATCH(B55,Postes!$A$7:$A$117,0))</f>
        <v>8.39021926377509</v>
      </c>
      <c r="F55" s="8" t="n">
        <f aca="false">Parametros!$E$8*Parametros!$E$9</f>
        <v>2205</v>
      </c>
      <c r="G55" s="8" t="n">
        <f aca="false">Parametros!$E$10/1000*Parametros!$E$11</f>
        <v>1.32389775</v>
      </c>
      <c r="H55" s="8" t="n">
        <f aca="false">F55/G55</f>
        <v>1665.53648119728</v>
      </c>
      <c r="I55" s="8" t="n">
        <f aca="false">ASINH(E55/(2*H55*SINH(D55/(2*H55))))</f>
        <v>0.105110757516217</v>
      </c>
      <c r="J55" s="8" t="n">
        <f aca="false">D55/2-H55*I55</f>
        <v>-135.231670871298</v>
      </c>
      <c r="K55" s="8" t="n">
        <f aca="false">-J55/H55</f>
        <v>0.0811940611316334</v>
      </c>
      <c r="L55" s="8" t="n">
        <f aca="false">(D55-J55)/H55</f>
        <v>0.129027453900801</v>
      </c>
      <c r="M55" s="8" t="n">
        <f aca="false">H55*(SINH(L55)-SINH(K55))</f>
        <v>80.1164016659583</v>
      </c>
      <c r="N55" s="8" t="n">
        <f aca="false">M55*Parametros!$E$5</f>
        <v>240.349204997875</v>
      </c>
    </row>
    <row r="56" customFormat="false" ht="21" hidden="false" customHeight="true" outlineLevel="0" collapsed="false">
      <c r="A56" s="1" t="s">
        <v>373</v>
      </c>
      <c r="B56" s="1" t="s">
        <v>237</v>
      </c>
      <c r="C56" s="1" t="s">
        <v>238</v>
      </c>
      <c r="D56" s="8" t="n">
        <f aca="false">SQRT((INDEX(Postes!$B$7:$B$117,MATCH(C56,Postes!$A$7:$A$117,0))-INDEX(Postes!$B$7:$B$117,MATCH(B56,Postes!$A$7:$A$117,0)))^2+(INDEX(Postes!$C$7:$C$117,MATCH(C56,Postes!$A$7:$A$117,0))-INDEX(Postes!$C$7:$C$117,MATCH(B56,Postes!$A$7:$A$117,0)))^2)</f>
        <v>57.8548116044985</v>
      </c>
      <c r="E56" s="8" t="n">
        <f aca="false">INDEX(Postes!$D$7:$D$117,MATCH(C56,Postes!$A$7:$A$117,0))+INDEX(Postes!$G$7:$G$117,MATCH(C56,Postes!$A$7:$A$117,0))-INDEX(Postes!$D$7:$D$117,MATCH(B56,Postes!$A$7:$A$117,0))-INDEX(Postes!$G$7:$G$117,MATCH(B56,Postes!$A$7:$A$117,0))</f>
        <v>-0.182251600328163</v>
      </c>
      <c r="F56" s="8" t="n">
        <f aca="false">Parametros!$E$8*Parametros!$E$9</f>
        <v>2205</v>
      </c>
      <c r="G56" s="8" t="n">
        <f aca="false">Parametros!$E$10/1000*Parametros!$E$11</f>
        <v>1.32389775</v>
      </c>
      <c r="H56" s="8" t="n">
        <f aca="false">F56/G56</f>
        <v>1665.53648119728</v>
      </c>
      <c r="I56" s="8" t="n">
        <f aca="false">ASINH(E56/(2*H56*SINH(D56/(2*H56))))</f>
        <v>-0.00314999100957881</v>
      </c>
      <c r="J56" s="8" t="n">
        <f aca="false">D56/2-H56*I56</f>
        <v>34.1738307441462</v>
      </c>
      <c r="K56" s="8" t="n">
        <f aca="false">-J56/H56</f>
        <v>-0.0205182120775764</v>
      </c>
      <c r="L56" s="8" t="n">
        <f aca="false">(D56-J56)/H56</f>
        <v>0.0142182300584188</v>
      </c>
      <c r="M56" s="8" t="n">
        <f aca="false">H56*(SINH(L56)-SINH(K56))</f>
        <v>57.8580073934435</v>
      </c>
      <c r="N56" s="8" t="n">
        <f aca="false">M56*Parametros!$E$5</f>
        <v>173.574022180331</v>
      </c>
    </row>
    <row r="57" customFormat="false" ht="21" hidden="false" customHeight="true" outlineLevel="0" collapsed="false">
      <c r="A57" s="1" t="s">
        <v>374</v>
      </c>
      <c r="B57" s="1" t="s">
        <v>238</v>
      </c>
      <c r="C57" s="1" t="s">
        <v>239</v>
      </c>
      <c r="D57" s="8" t="n">
        <f aca="false">SQRT((INDEX(Postes!$B$7:$B$117,MATCH(C57,Postes!$A$7:$A$117,0))-INDEX(Postes!$B$7:$B$117,MATCH(B57,Postes!$A$7:$A$117,0)))^2+(INDEX(Postes!$C$7:$C$117,MATCH(C57,Postes!$A$7:$A$117,0))-INDEX(Postes!$C$7:$C$117,MATCH(B57,Postes!$A$7:$A$117,0)))^2)</f>
        <v>57.8548116060001</v>
      </c>
      <c r="E57" s="8" t="n">
        <f aca="false">INDEX(Postes!$D$7:$D$117,MATCH(C57,Postes!$A$7:$A$117,0))+INDEX(Postes!$G$7:$G$117,MATCH(C57,Postes!$A$7:$A$117,0))-INDEX(Postes!$D$7:$D$117,MATCH(B57,Postes!$A$7:$A$117,0))-INDEX(Postes!$G$7:$G$117,MATCH(B57,Postes!$A$7:$A$117,0))</f>
        <v>3.13257216273305</v>
      </c>
      <c r="F57" s="8" t="n">
        <f aca="false">Parametros!$E$8*Parametros!$E$9</f>
        <v>2205</v>
      </c>
      <c r="G57" s="8" t="n">
        <f aca="false">Parametros!$E$10/1000*Parametros!$E$11</f>
        <v>1.32389775</v>
      </c>
      <c r="H57" s="8" t="n">
        <f aca="false">F57/G57</f>
        <v>1665.53648119728</v>
      </c>
      <c r="I57" s="8" t="n">
        <f aca="false">ASINH(E57/(2*H57*SINH(D57/(2*H57))))</f>
        <v>0.0541162644017686</v>
      </c>
      <c r="J57" s="8" t="n">
        <f aca="false">D57/2-H57*I57</f>
        <v>-61.2052067842634</v>
      </c>
      <c r="K57" s="8" t="n">
        <f aca="false">-J57/H57</f>
        <v>0.0367480433333202</v>
      </c>
      <c r="L57" s="8" t="n">
        <f aca="false">(D57-J57)/H57</f>
        <v>0.071484485470217</v>
      </c>
      <c r="M57" s="8" t="n">
        <f aca="false">H57*(SINH(L57)-SINH(K57))</f>
        <v>57.9424612216503</v>
      </c>
      <c r="N57" s="8" t="n">
        <f aca="false">M57*Parametros!$E$5</f>
        <v>173.827383664951</v>
      </c>
    </row>
    <row r="58" customFormat="false" ht="21" hidden="false" customHeight="true" outlineLevel="0" collapsed="false">
      <c r="A58" s="1" t="s">
        <v>375</v>
      </c>
      <c r="B58" s="1" t="s">
        <v>239</v>
      </c>
      <c r="C58" s="1" t="s">
        <v>240</v>
      </c>
      <c r="D58" s="8" t="n">
        <f aca="false">SQRT((INDEX(Postes!$B$7:$B$117,MATCH(C58,Postes!$A$7:$A$117,0))-INDEX(Postes!$B$7:$B$117,MATCH(B58,Postes!$A$7:$A$117,0)))^2+(INDEX(Postes!$C$7:$C$117,MATCH(C58,Postes!$A$7:$A$117,0))-INDEX(Postes!$C$7:$C$117,MATCH(B58,Postes!$A$7:$A$117,0)))^2)</f>
        <v>82.7152464731644</v>
      </c>
      <c r="E58" s="8" t="n">
        <f aca="false">INDEX(Postes!$D$7:$D$117,MATCH(C58,Postes!$A$7:$A$117,0))+INDEX(Postes!$G$7:$G$117,MATCH(C58,Postes!$A$7:$A$117,0))-INDEX(Postes!$D$7:$D$117,MATCH(B58,Postes!$A$7:$A$117,0))-INDEX(Postes!$G$7:$G$117,MATCH(B58,Postes!$A$7:$A$117,0))</f>
        <v>21.5266530307548</v>
      </c>
      <c r="F58" s="8" t="n">
        <f aca="false">Parametros!$E$8*Parametros!$E$9</f>
        <v>2205</v>
      </c>
      <c r="G58" s="8" t="n">
        <f aca="false">Parametros!$E$10/1000*Parametros!$E$11</f>
        <v>1.32389775</v>
      </c>
      <c r="H58" s="8" t="n">
        <f aca="false">F58/G58</f>
        <v>1665.53648119728</v>
      </c>
      <c r="I58" s="8" t="n">
        <f aca="false">ASINH(E58/(2*H58*SINH(D58/(2*H58))))</f>
        <v>0.25737253430978</v>
      </c>
      <c r="J58" s="8" t="n">
        <f aca="false">D58/2-H58*I58</f>
        <v>-387.305721914556</v>
      </c>
      <c r="K58" s="8" t="n">
        <f aca="false">-J58/H58</f>
        <v>0.232541121906942</v>
      </c>
      <c r="L58" s="8" t="n">
        <f aca="false">(D58-J58)/H58</f>
        <v>0.282203946712619</v>
      </c>
      <c r="M58" s="8" t="n">
        <f aca="false">H58*(SINH(L58)-SINH(K58))</f>
        <v>85.4787407703159</v>
      </c>
      <c r="N58" s="8" t="n">
        <f aca="false">M58*Parametros!$E$5</f>
        <v>256.436222310948</v>
      </c>
    </row>
    <row r="59" customFormat="false" ht="21" hidden="false" customHeight="true" outlineLevel="0" collapsed="false">
      <c r="A59" s="1" t="s">
        <v>376</v>
      </c>
      <c r="B59" s="1" t="s">
        <v>240</v>
      </c>
      <c r="C59" s="1" t="s">
        <v>241</v>
      </c>
      <c r="D59" s="8" t="n">
        <f aca="false">SQRT((INDEX(Postes!$B$7:$B$117,MATCH(C59,Postes!$A$7:$A$117,0))-INDEX(Postes!$B$7:$B$117,MATCH(B59,Postes!$A$7:$A$117,0)))^2+(INDEX(Postes!$C$7:$C$117,MATCH(C59,Postes!$A$7:$A$117,0))-INDEX(Postes!$C$7:$C$117,MATCH(B59,Postes!$A$7:$A$117,0)))^2)</f>
        <v>48.0005518821749</v>
      </c>
      <c r="E59" s="8" t="n">
        <f aca="false">INDEX(Postes!$D$7:$D$117,MATCH(C59,Postes!$A$7:$A$117,0))+INDEX(Postes!$G$7:$G$117,MATCH(C59,Postes!$A$7:$A$117,0))-INDEX(Postes!$D$7:$D$117,MATCH(B59,Postes!$A$7:$A$117,0))-INDEX(Postes!$G$7:$G$117,MATCH(B59,Postes!$A$7:$A$117,0))</f>
        <v>1.89355230791389</v>
      </c>
      <c r="F59" s="8" t="n">
        <f aca="false">Parametros!$E$8*Parametros!$E$9</f>
        <v>2205</v>
      </c>
      <c r="G59" s="8" t="n">
        <f aca="false">Parametros!$E$10/1000*Parametros!$E$11</f>
        <v>1.32389775</v>
      </c>
      <c r="H59" s="8" t="n">
        <f aca="false">F59/G59</f>
        <v>1665.53648119728</v>
      </c>
      <c r="I59" s="8" t="n">
        <f aca="false">ASINH(E59/(2*H59*SINH(D59/(2*H59))))</f>
        <v>0.0394369643186341</v>
      </c>
      <c r="J59" s="8" t="n">
        <f aca="false">D59/2-H59*I59</f>
        <v>-41.6834268392732</v>
      </c>
      <c r="K59" s="8" t="n">
        <f aca="false">-J59/H59</f>
        <v>0.0250270272130628</v>
      </c>
      <c r="L59" s="8" t="n">
        <f aca="false">(D59-J59)/H59</f>
        <v>0.0538469014242054</v>
      </c>
      <c r="M59" s="8" t="n">
        <f aca="false">H59*(SINH(L59)-SINH(K59))</f>
        <v>48.0395462277417</v>
      </c>
      <c r="N59" s="8" t="n">
        <f aca="false">M59*Parametros!$E$5</f>
        <v>144.118638683225</v>
      </c>
    </row>
    <row r="60" customFormat="false" ht="21" hidden="false" customHeight="true" outlineLevel="0" collapsed="false">
      <c r="A60" s="1" t="s">
        <v>377</v>
      </c>
      <c r="B60" s="1" t="s">
        <v>241</v>
      </c>
      <c r="C60" s="1" t="s">
        <v>242</v>
      </c>
      <c r="D60" s="8" t="n">
        <f aca="false">SQRT((INDEX(Postes!$B$7:$B$117,MATCH(C60,Postes!$A$7:$A$117,0))-INDEX(Postes!$B$7:$B$117,MATCH(B60,Postes!$A$7:$A$117,0)))^2+(INDEX(Postes!$C$7:$C$117,MATCH(C60,Postes!$A$7:$A$117,0))-INDEX(Postes!$C$7:$C$117,MATCH(B60,Postes!$A$7:$A$117,0)))^2)</f>
        <v>48.0005518821975</v>
      </c>
      <c r="E60" s="8" t="n">
        <f aca="false">INDEX(Postes!$D$7:$D$117,MATCH(C60,Postes!$A$7:$A$117,0))+INDEX(Postes!$G$7:$G$117,MATCH(C60,Postes!$A$7:$A$117,0))-INDEX(Postes!$D$7:$D$117,MATCH(B60,Postes!$A$7:$A$117,0))-INDEX(Postes!$G$7:$G$117,MATCH(B60,Postes!$A$7:$A$117,0))</f>
        <v>-1.29258545403909</v>
      </c>
      <c r="F60" s="8" t="n">
        <f aca="false">Parametros!$E$8*Parametros!$E$9</f>
        <v>2205</v>
      </c>
      <c r="G60" s="8" t="n">
        <f aca="false">Parametros!$E$10/1000*Parametros!$E$11</f>
        <v>1.32389775</v>
      </c>
      <c r="H60" s="8" t="n">
        <f aca="false">F60/G60</f>
        <v>1665.53648119728</v>
      </c>
      <c r="I60" s="8" t="n">
        <f aca="false">ASINH(E60/(2*H60*SINH(D60/(2*H60))))</f>
        <v>-0.0269243689728468</v>
      </c>
      <c r="J60" s="8" t="n">
        <f aca="false">D60/2-H60*I60</f>
        <v>68.8437946985912</v>
      </c>
      <c r="K60" s="8" t="n">
        <f aca="false">-J60/H60</f>
        <v>-0.0413343060784249</v>
      </c>
      <c r="L60" s="8" t="n">
        <f aca="false">(D60-J60)/H60</f>
        <v>-0.0125144318672686</v>
      </c>
      <c r="M60" s="8" t="n">
        <f aca="false">H60*(SINH(L60)-SINH(K60))</f>
        <v>48.0196130615678</v>
      </c>
      <c r="N60" s="8" t="n">
        <f aca="false">M60*Parametros!$E$5</f>
        <v>144.058839184703</v>
      </c>
    </row>
    <row r="61" customFormat="false" ht="21" hidden="false" customHeight="true" outlineLevel="0" collapsed="false">
      <c r="A61" s="1" t="s">
        <v>378</v>
      </c>
      <c r="B61" s="1" t="s">
        <v>242</v>
      </c>
      <c r="C61" s="1" t="s">
        <v>243</v>
      </c>
      <c r="D61" s="8" t="n">
        <f aca="false">SQRT((INDEX(Postes!$B$7:$B$117,MATCH(C61,Postes!$A$7:$A$117,0))-INDEX(Postes!$B$7:$B$117,MATCH(B61,Postes!$A$7:$A$117,0)))^2+(INDEX(Postes!$C$7:$C$117,MATCH(C61,Postes!$A$7:$A$117,0))-INDEX(Postes!$C$7:$C$117,MATCH(B61,Postes!$A$7:$A$117,0)))^2)</f>
        <v>74.4621650032229</v>
      </c>
      <c r="E61" s="8" t="n">
        <f aca="false">INDEX(Postes!$D$7:$D$117,MATCH(C61,Postes!$A$7:$A$117,0))+INDEX(Postes!$G$7:$G$117,MATCH(C61,Postes!$A$7:$A$117,0))-INDEX(Postes!$D$7:$D$117,MATCH(B61,Postes!$A$7:$A$117,0))-INDEX(Postes!$G$7:$G$117,MATCH(B61,Postes!$A$7:$A$117,0))</f>
        <v>10.5493051220436</v>
      </c>
      <c r="F61" s="8" t="n">
        <f aca="false">Parametros!$E$8*Parametros!$E$9</f>
        <v>2205</v>
      </c>
      <c r="G61" s="8" t="n">
        <f aca="false">Parametros!$E$10/1000*Parametros!$E$11</f>
        <v>1.32389775</v>
      </c>
      <c r="H61" s="8" t="n">
        <f aca="false">F61/G61</f>
        <v>1665.53648119728</v>
      </c>
      <c r="I61" s="8" t="n">
        <f aca="false">ASINH(E61/(2*H61*SINH(D61/(2*H61))))</f>
        <v>0.141191979716765</v>
      </c>
      <c r="J61" s="8" t="n">
        <f aca="false">D61/2-H61*I61</f>
        <v>-197.929310569128</v>
      </c>
      <c r="K61" s="8" t="n">
        <f aca="false">-J61/H61</f>
        <v>0.118838171846494</v>
      </c>
      <c r="L61" s="8" t="n">
        <f aca="false">(D61-J61)/H61</f>
        <v>0.163545787587036</v>
      </c>
      <c r="M61" s="8" t="n">
        <f aca="false">H61*(SINH(L61)-SINH(K61))</f>
        <v>75.2118704161116</v>
      </c>
      <c r="N61" s="8" t="n">
        <f aca="false">M61*Parametros!$E$5</f>
        <v>225.635611248335</v>
      </c>
    </row>
    <row r="62" customFormat="false" ht="21" hidden="false" customHeight="true" outlineLevel="0" collapsed="false">
      <c r="A62" s="1" t="s">
        <v>379</v>
      </c>
      <c r="B62" s="1" t="s">
        <v>243</v>
      </c>
      <c r="C62" s="1" t="s">
        <v>244</v>
      </c>
      <c r="D62" s="8" t="n">
        <f aca="false">SQRT((INDEX(Postes!$B$7:$B$117,MATCH(C62,Postes!$A$7:$A$117,0))-INDEX(Postes!$B$7:$B$117,MATCH(B62,Postes!$A$7:$A$117,0)))^2+(INDEX(Postes!$C$7:$C$117,MATCH(C62,Postes!$A$7:$A$117,0))-INDEX(Postes!$C$7:$C$117,MATCH(B62,Postes!$A$7:$A$117,0)))^2)</f>
        <v>81.9115348922314</v>
      </c>
      <c r="E62" s="8" t="n">
        <f aca="false">INDEX(Postes!$D$7:$D$117,MATCH(C62,Postes!$A$7:$A$117,0))+INDEX(Postes!$G$7:$G$117,MATCH(C62,Postes!$A$7:$A$117,0))-INDEX(Postes!$D$7:$D$117,MATCH(B62,Postes!$A$7:$A$117,0))-INDEX(Postes!$G$7:$G$117,MATCH(B62,Postes!$A$7:$A$117,0))</f>
        <v>-9.53786736964876</v>
      </c>
      <c r="F62" s="8" t="n">
        <f aca="false">Parametros!$E$8*Parametros!$E$9</f>
        <v>2205</v>
      </c>
      <c r="G62" s="8" t="n">
        <f aca="false">Parametros!$E$10/1000*Parametros!$E$11</f>
        <v>1.32389775</v>
      </c>
      <c r="H62" s="8" t="n">
        <f aca="false">F62/G62</f>
        <v>1665.53648119728</v>
      </c>
      <c r="I62" s="8" t="n">
        <f aca="false">ASINH(E62/(2*H62*SINH(D62/(2*H62))))</f>
        <v>-0.116167886476037</v>
      </c>
      <c r="J62" s="8" t="n">
        <f aca="false">D62/2-H62*I62</f>
        <v>234.43762031554</v>
      </c>
      <c r="K62" s="8" t="n">
        <f aca="false">-J62/H62</f>
        <v>-0.140758021791881</v>
      </c>
      <c r="L62" s="8" t="n">
        <f aca="false">(D62-J62)/H62</f>
        <v>-0.091577751160193</v>
      </c>
      <c r="M62" s="8" t="n">
        <f aca="false">H62*(SINH(L62)-SINH(K62))</f>
        <v>82.4731648865041</v>
      </c>
      <c r="N62" s="8" t="n">
        <f aca="false">M62*Parametros!$E$5</f>
        <v>247.419494659512</v>
      </c>
    </row>
    <row r="63" customFormat="false" ht="21" hidden="false" customHeight="true" outlineLevel="0" collapsed="false">
      <c r="A63" s="1" t="s">
        <v>380</v>
      </c>
      <c r="B63" s="1" t="s">
        <v>244</v>
      </c>
      <c r="C63" s="1" t="s">
        <v>245</v>
      </c>
      <c r="D63" s="8" t="n">
        <f aca="false">SQRT((INDEX(Postes!$B$7:$B$117,MATCH(C63,Postes!$A$7:$A$117,0))-INDEX(Postes!$B$7:$B$117,MATCH(B63,Postes!$A$7:$A$117,0)))^2+(INDEX(Postes!$C$7:$C$117,MATCH(C63,Postes!$A$7:$A$117,0))-INDEX(Postes!$C$7:$C$117,MATCH(B63,Postes!$A$7:$A$117,0)))^2)</f>
        <v>47.3170829449931</v>
      </c>
      <c r="E63" s="8" t="n">
        <f aca="false">INDEX(Postes!$D$7:$D$117,MATCH(C63,Postes!$A$7:$A$117,0))+INDEX(Postes!$G$7:$G$117,MATCH(C63,Postes!$A$7:$A$117,0))-INDEX(Postes!$D$7:$D$117,MATCH(B63,Postes!$A$7:$A$117,0))-INDEX(Postes!$G$7:$G$117,MATCH(B63,Postes!$A$7:$A$117,0))</f>
        <v>7.98533868770792</v>
      </c>
      <c r="F63" s="8" t="n">
        <f aca="false">Parametros!$E$8*Parametros!$E$9</f>
        <v>2205</v>
      </c>
      <c r="G63" s="8" t="n">
        <f aca="false">Parametros!$E$10/1000*Parametros!$E$11</f>
        <v>1.32389775</v>
      </c>
      <c r="H63" s="8" t="n">
        <f aca="false">F63/G63</f>
        <v>1665.53648119728</v>
      </c>
      <c r="I63" s="8" t="n">
        <f aca="false">ASINH(E63/(2*H63*SINH(D63/(2*H63))))</f>
        <v>0.167965699513395</v>
      </c>
      <c r="J63" s="8" t="n">
        <f aca="false">D63/2-H63*I63</f>
        <v>-256.094458656884</v>
      </c>
      <c r="K63" s="8" t="n">
        <f aca="false">-J63/H63</f>
        <v>0.153760942223727</v>
      </c>
      <c r="L63" s="8" t="n">
        <f aca="false">(D63-J63)/H63</f>
        <v>0.182170456803064</v>
      </c>
      <c r="M63" s="8" t="n">
        <f aca="false">H63*(SINH(L63)-SINH(K63))</f>
        <v>47.9877334496811</v>
      </c>
      <c r="N63" s="8" t="n">
        <f aca="false">M63*Parametros!$E$5</f>
        <v>143.963200349043</v>
      </c>
    </row>
    <row r="64" customFormat="false" ht="21" hidden="false" customHeight="true" outlineLevel="0" collapsed="false">
      <c r="A64" s="1" t="s">
        <v>381</v>
      </c>
      <c r="B64" s="1" t="s">
        <v>245</v>
      </c>
      <c r="C64" s="1" t="s">
        <v>246</v>
      </c>
      <c r="D64" s="8" t="n">
        <f aca="false">SQRT((INDEX(Postes!$B$7:$B$117,MATCH(C64,Postes!$A$7:$A$117,0))-INDEX(Postes!$B$7:$B$117,MATCH(B64,Postes!$A$7:$A$117,0)))^2+(INDEX(Postes!$C$7:$C$117,MATCH(C64,Postes!$A$7:$A$117,0))-INDEX(Postes!$C$7:$C$117,MATCH(B64,Postes!$A$7:$A$117,0)))^2)</f>
        <v>47.3170829448786</v>
      </c>
      <c r="E64" s="8" t="n">
        <f aca="false">INDEX(Postes!$D$7:$D$117,MATCH(C64,Postes!$A$7:$A$117,0))+INDEX(Postes!$G$7:$G$117,MATCH(C64,Postes!$A$7:$A$117,0))-INDEX(Postes!$D$7:$D$117,MATCH(B64,Postes!$A$7:$A$117,0))-INDEX(Postes!$G$7:$G$117,MATCH(B64,Postes!$A$7:$A$117,0))</f>
        <v>15.8147274456468</v>
      </c>
      <c r="F64" s="8" t="n">
        <f aca="false">Parametros!$E$8*Parametros!$E$9</f>
        <v>2205</v>
      </c>
      <c r="G64" s="8" t="n">
        <f aca="false">Parametros!$E$10/1000*Parametros!$E$11</f>
        <v>1.32389775</v>
      </c>
      <c r="H64" s="8" t="n">
        <f aca="false">F64/G64</f>
        <v>1665.53648119728</v>
      </c>
      <c r="I64" s="8" t="n">
        <f aca="false">ASINH(E64/(2*H64*SINH(D64/(2*H64))))</f>
        <v>0.328288802056188</v>
      </c>
      <c r="J64" s="8" t="n">
        <f aca="false">D64/2-H64*I64</f>
        <v>-523.118434720695</v>
      </c>
      <c r="K64" s="8" t="n">
        <f aca="false">-J64/H64</f>
        <v>0.314084044766554</v>
      </c>
      <c r="L64" s="8" t="n">
        <f aca="false">(D64-J64)/H64</f>
        <v>0.342493559345823</v>
      </c>
      <c r="M64" s="8" t="n">
        <f aca="false">H64*(SINH(L64)-SINH(K64))</f>
        <v>49.8915076125137</v>
      </c>
      <c r="N64" s="8" t="n">
        <f aca="false">M64*Parametros!$E$5</f>
        <v>149.674522837541</v>
      </c>
    </row>
    <row r="65" customFormat="false" ht="21" hidden="false" customHeight="true" outlineLevel="0" collapsed="false">
      <c r="A65" s="1" t="s">
        <v>382</v>
      </c>
      <c r="B65" s="1" t="s">
        <v>246</v>
      </c>
      <c r="C65" s="1" t="s">
        <v>247</v>
      </c>
      <c r="D65" s="8" t="n">
        <f aca="false">SQRT((INDEX(Postes!$B$7:$B$117,MATCH(C65,Postes!$A$7:$A$117,0))-INDEX(Postes!$B$7:$B$117,MATCH(B65,Postes!$A$7:$A$117,0)))^2+(INDEX(Postes!$C$7:$C$117,MATCH(C65,Postes!$A$7:$A$117,0))-INDEX(Postes!$C$7:$C$117,MATCH(B65,Postes!$A$7:$A$117,0)))^2)</f>
        <v>38.4001797811729</v>
      </c>
      <c r="E65" s="8" t="n">
        <f aca="false">INDEX(Postes!$D$7:$D$117,MATCH(C65,Postes!$A$7:$A$117,0))+INDEX(Postes!$G$7:$G$117,MATCH(C65,Postes!$A$7:$A$117,0))-INDEX(Postes!$D$7:$D$117,MATCH(B65,Postes!$A$7:$A$117,0))-INDEX(Postes!$G$7:$G$117,MATCH(B65,Postes!$A$7:$A$117,0))</f>
        <v>10.2445681670742</v>
      </c>
      <c r="F65" s="8" t="n">
        <f aca="false">Parametros!$E$8*Parametros!$E$9</f>
        <v>2205</v>
      </c>
      <c r="G65" s="8" t="n">
        <f aca="false">Parametros!$E$10/1000*Parametros!$E$11</f>
        <v>1.32389775</v>
      </c>
      <c r="H65" s="8" t="n">
        <f aca="false">F65/G65</f>
        <v>1665.53648119728</v>
      </c>
      <c r="I65" s="8" t="n">
        <f aca="false">ASINH(E65/(2*H65*SINH(D65/(2*H65))))</f>
        <v>0.263711252886299</v>
      </c>
      <c r="J65" s="8" t="n">
        <f aca="false">D65/2-H65*I65</f>
        <v>-420.020622293786</v>
      </c>
      <c r="K65" s="8" t="n">
        <f aca="false">-J65/H65</f>
        <v>0.252183381772491</v>
      </c>
      <c r="L65" s="8" t="n">
        <f aca="false">(D65-J65)/H65</f>
        <v>0.275239124000106</v>
      </c>
      <c r="M65" s="8" t="n">
        <f aca="false">H65*(SINH(L65)-SINH(K65))</f>
        <v>39.744059995286</v>
      </c>
      <c r="N65" s="8" t="n">
        <f aca="false">M65*Parametros!$E$5</f>
        <v>119.232179985858</v>
      </c>
    </row>
    <row r="66" customFormat="false" ht="21" hidden="false" customHeight="true" outlineLevel="0" collapsed="false">
      <c r="A66" s="1" t="s">
        <v>383</v>
      </c>
      <c r="B66" s="1" t="s">
        <v>247</v>
      </c>
      <c r="C66" s="1" t="s">
        <v>248</v>
      </c>
      <c r="D66" s="8" t="n">
        <f aca="false">SQRT((INDEX(Postes!$B$7:$B$117,MATCH(C66,Postes!$A$7:$A$117,0))-INDEX(Postes!$B$7:$B$117,MATCH(B66,Postes!$A$7:$A$117,0)))^2+(INDEX(Postes!$C$7:$C$117,MATCH(C66,Postes!$A$7:$A$117,0))-INDEX(Postes!$C$7:$C$117,MATCH(B66,Postes!$A$7:$A$117,0)))^2)</f>
        <v>68.1526870123718</v>
      </c>
      <c r="E66" s="8" t="n">
        <f aca="false">INDEX(Postes!$D$7:$D$117,MATCH(C66,Postes!$A$7:$A$117,0))+INDEX(Postes!$G$7:$G$117,MATCH(C66,Postes!$A$7:$A$117,0))-INDEX(Postes!$D$7:$D$117,MATCH(B66,Postes!$A$7:$A$117,0))-INDEX(Postes!$G$7:$G$117,MATCH(B66,Postes!$A$7:$A$117,0))</f>
        <v>2.70836250006014</v>
      </c>
      <c r="F66" s="8" t="n">
        <f aca="false">Parametros!$E$8*Parametros!$E$9</f>
        <v>2205</v>
      </c>
      <c r="G66" s="8" t="n">
        <f aca="false">Parametros!$E$10/1000*Parametros!$E$11</f>
        <v>1.32389775</v>
      </c>
      <c r="H66" s="8" t="n">
        <f aca="false">F66/G66</f>
        <v>1665.53648119728</v>
      </c>
      <c r="I66" s="8" t="n">
        <f aca="false">ASINH(E66/(2*H66*SINH(D66/(2*H66))))</f>
        <v>0.03972640657527</v>
      </c>
      <c r="J66" s="8" t="n">
        <f aca="false">D66/2-H66*I66</f>
        <v>-32.089435911802</v>
      </c>
      <c r="K66" s="8" t="n">
        <f aca="false">-J66/H66</f>
        <v>0.0192667265317024</v>
      </c>
      <c r="L66" s="8" t="n">
        <f aca="false">(D66-J66)/H66</f>
        <v>0.0601860866188377</v>
      </c>
      <c r="M66" s="8" t="n">
        <f aca="false">H66*(SINH(L66)-SINH(K66))</f>
        <v>68.2112315616522</v>
      </c>
      <c r="N66" s="8" t="n">
        <f aca="false">M66*Parametros!$E$5</f>
        <v>204.633694684957</v>
      </c>
    </row>
    <row r="67" customFormat="false" ht="21" hidden="false" customHeight="true" outlineLevel="0" collapsed="false">
      <c r="A67" s="1" t="s">
        <v>384</v>
      </c>
      <c r="B67" s="1" t="s">
        <v>248</v>
      </c>
      <c r="C67" s="1" t="s">
        <v>249</v>
      </c>
      <c r="D67" s="8" t="n">
        <f aca="false">SQRT((INDEX(Postes!$B$7:$B$117,MATCH(C67,Postes!$A$7:$A$117,0))-INDEX(Postes!$B$7:$B$117,MATCH(B67,Postes!$A$7:$A$117,0)))^2+(INDEX(Postes!$C$7:$C$117,MATCH(C67,Postes!$A$7:$A$117,0))-INDEX(Postes!$C$7:$C$117,MATCH(B67,Postes!$A$7:$A$117,0)))^2)</f>
        <v>68.1526870123718</v>
      </c>
      <c r="E67" s="8" t="n">
        <f aca="false">INDEX(Postes!$D$7:$D$117,MATCH(C67,Postes!$A$7:$A$117,0))+INDEX(Postes!$G$7:$G$117,MATCH(C67,Postes!$A$7:$A$117,0))-INDEX(Postes!$D$7:$D$117,MATCH(B67,Postes!$A$7:$A$117,0))-INDEX(Postes!$G$7:$G$117,MATCH(B67,Postes!$A$7:$A$117,0))</f>
        <v>-10.938490444796</v>
      </c>
      <c r="F67" s="8" t="n">
        <f aca="false">Parametros!$E$8*Parametros!$E$9</f>
        <v>2205</v>
      </c>
      <c r="G67" s="8" t="n">
        <f aca="false">Parametros!$E$10/1000*Parametros!$E$11</f>
        <v>1.32389775</v>
      </c>
      <c r="H67" s="8" t="n">
        <f aca="false">F67/G67</f>
        <v>1665.53648119728</v>
      </c>
      <c r="I67" s="8" t="n">
        <f aca="false">ASINH(E67/(2*H67*SINH(D67/(2*H67))))</f>
        <v>-0.159807496237388</v>
      </c>
      <c r="J67" s="8" t="n">
        <f aca="false">D67/2-H67*I67</f>
        <v>300.241558458353</v>
      </c>
      <c r="K67" s="8" t="n">
        <f aca="false">-J67/H67</f>
        <v>-0.180267176280955</v>
      </c>
      <c r="L67" s="8" t="n">
        <f aca="false">(D67-J67)/H67</f>
        <v>-0.13934781619382</v>
      </c>
      <c r="M67" s="8" t="n">
        <f aca="false">H67*(SINH(L67)-SINH(K67))</f>
        <v>69.029612898643</v>
      </c>
      <c r="N67" s="8" t="n">
        <f aca="false">M67*Parametros!$E$5</f>
        <v>207.088838695929</v>
      </c>
    </row>
    <row r="68" customFormat="false" ht="21" hidden="false" customHeight="true" outlineLevel="0" collapsed="false">
      <c r="A68" s="1" t="s">
        <v>385</v>
      </c>
      <c r="B68" s="1" t="s">
        <v>249</v>
      </c>
      <c r="C68" s="1" t="s">
        <v>250</v>
      </c>
      <c r="D68" s="8" t="n">
        <f aca="false">SQRT((INDEX(Postes!$B$7:$B$117,MATCH(C68,Postes!$A$7:$A$117,0))-INDEX(Postes!$B$7:$B$117,MATCH(B68,Postes!$A$7:$A$117,0)))^2+(INDEX(Postes!$C$7:$C$117,MATCH(C68,Postes!$A$7:$A$117,0))-INDEX(Postes!$C$7:$C$117,MATCH(B68,Postes!$A$7:$A$117,0)))^2)</f>
        <v>68.1526870123699</v>
      </c>
      <c r="E68" s="8" t="n">
        <f aca="false">INDEX(Postes!$D$7:$D$117,MATCH(C68,Postes!$A$7:$A$117,0))+INDEX(Postes!$G$7:$G$117,MATCH(C68,Postes!$A$7:$A$117,0))-INDEX(Postes!$D$7:$D$117,MATCH(B68,Postes!$A$7:$A$117,0))-INDEX(Postes!$G$7:$G$117,MATCH(B68,Postes!$A$7:$A$117,0))</f>
        <v>12.7987113016979</v>
      </c>
      <c r="F68" s="8" t="n">
        <f aca="false">Parametros!$E$8*Parametros!$E$9</f>
        <v>2205</v>
      </c>
      <c r="G68" s="8" t="n">
        <f aca="false">Parametros!$E$10/1000*Parametros!$E$11</f>
        <v>1.32389775</v>
      </c>
      <c r="H68" s="8" t="n">
        <f aca="false">F68/G68</f>
        <v>1665.53648119728</v>
      </c>
      <c r="I68" s="8" t="n">
        <f aca="false">ASINH(E68/(2*H68*SINH(D68/(2*H68))))</f>
        <v>0.186695130885845</v>
      </c>
      <c r="J68" s="8" t="n">
        <f aca="false">D68/2-H68*I68</f>
        <v>-276.871207846092</v>
      </c>
      <c r="K68" s="8" t="n">
        <f aca="false">-J68/H68</f>
        <v>0.166235450842278</v>
      </c>
      <c r="L68" s="8" t="n">
        <f aca="false">(D68-J68)/H68</f>
        <v>0.207154810929412</v>
      </c>
      <c r="M68" s="8" t="n">
        <f aca="false">H68*(SINH(L68)-SINH(K68))</f>
        <v>69.3487122786686</v>
      </c>
      <c r="N68" s="8" t="n">
        <f aca="false">M68*Parametros!$E$5</f>
        <v>208.046136836006</v>
      </c>
    </row>
    <row r="69" customFormat="false" ht="21" hidden="false" customHeight="true" outlineLevel="0" collapsed="false">
      <c r="A69" s="1" t="s">
        <v>386</v>
      </c>
      <c r="B69" s="1" t="s">
        <v>250</v>
      </c>
      <c r="C69" s="1" t="s">
        <v>251</v>
      </c>
      <c r="D69" s="8" t="n">
        <f aca="false">SQRT((INDEX(Postes!$B$7:$B$117,MATCH(C69,Postes!$A$7:$A$117,0))-INDEX(Postes!$B$7:$B$117,MATCH(B69,Postes!$A$7:$A$117,0)))^2+(INDEX(Postes!$C$7:$C$117,MATCH(C69,Postes!$A$7:$A$117,0))-INDEX(Postes!$C$7:$C$117,MATCH(B69,Postes!$A$7:$A$117,0)))^2)</f>
        <v>68.1526870123756</v>
      </c>
      <c r="E69" s="8" t="n">
        <f aca="false">INDEX(Postes!$D$7:$D$117,MATCH(C69,Postes!$A$7:$A$117,0))+INDEX(Postes!$G$7:$G$117,MATCH(C69,Postes!$A$7:$A$117,0))-INDEX(Postes!$D$7:$D$117,MATCH(B69,Postes!$A$7:$A$117,0))-INDEX(Postes!$G$7:$G$117,MATCH(B69,Postes!$A$7:$A$117,0))</f>
        <v>-4.10380521326542</v>
      </c>
      <c r="F69" s="8" t="n">
        <f aca="false">Parametros!$E$8*Parametros!$E$9</f>
        <v>2205</v>
      </c>
      <c r="G69" s="8" t="n">
        <f aca="false">Parametros!$E$10/1000*Parametros!$E$11</f>
        <v>1.32389775</v>
      </c>
      <c r="H69" s="8" t="n">
        <f aca="false">F69/G69</f>
        <v>1665.53648119728</v>
      </c>
      <c r="I69" s="8" t="n">
        <f aca="false">ASINH(E69/(2*H69*SINH(D69/(2*H69))))</f>
        <v>-0.0601743482762789</v>
      </c>
      <c r="J69" s="8" t="n">
        <f aca="false">D69/2-H69*I69</f>
        <v>134.298915792601</v>
      </c>
      <c r="K69" s="8" t="n">
        <f aca="false">-J69/H69</f>
        <v>-0.0806340283198476</v>
      </c>
      <c r="L69" s="8" t="n">
        <f aca="false">(D69-J69)/H69</f>
        <v>-0.0397146682327101</v>
      </c>
      <c r="M69" s="8" t="n">
        <f aca="false">H69*(SINH(L69)-SINH(K69))</f>
        <v>68.2808765391493</v>
      </c>
      <c r="N69" s="8" t="n">
        <f aca="false">M69*Parametros!$E$5</f>
        <v>204.842629617448</v>
      </c>
    </row>
    <row r="70" customFormat="false" ht="21" hidden="false" customHeight="true" outlineLevel="0" collapsed="false">
      <c r="A70" s="1" t="s">
        <v>387</v>
      </c>
      <c r="B70" s="1" t="s">
        <v>251</v>
      </c>
      <c r="C70" s="1" t="s">
        <v>252</v>
      </c>
      <c r="D70" s="8" t="n">
        <f aca="false">SQRT((INDEX(Postes!$B$7:$B$117,MATCH(C70,Postes!$A$7:$A$117,0))-INDEX(Postes!$B$7:$B$117,MATCH(B70,Postes!$A$7:$A$117,0)))^2+(INDEX(Postes!$C$7:$C$117,MATCH(C70,Postes!$A$7:$A$117,0))-INDEX(Postes!$C$7:$C$117,MATCH(B70,Postes!$A$7:$A$117,0)))^2)</f>
        <v>56.0094548579217</v>
      </c>
      <c r="E70" s="8" t="n">
        <f aca="false">INDEX(Postes!$D$7:$D$117,MATCH(C70,Postes!$A$7:$A$117,0))+INDEX(Postes!$G$7:$G$117,MATCH(C70,Postes!$A$7:$A$117,0))-INDEX(Postes!$D$7:$D$117,MATCH(B70,Postes!$A$7:$A$117,0))-INDEX(Postes!$G$7:$G$117,MATCH(B70,Postes!$A$7:$A$117,0))</f>
        <v>11.467957913086</v>
      </c>
      <c r="F70" s="8" t="n">
        <f aca="false">Parametros!$E$8*Parametros!$E$9</f>
        <v>2205</v>
      </c>
      <c r="G70" s="8" t="n">
        <f aca="false">Parametros!$E$10/1000*Parametros!$E$11</f>
        <v>1.32389775</v>
      </c>
      <c r="H70" s="8" t="n">
        <f aca="false">F70/G70</f>
        <v>1665.53648119728</v>
      </c>
      <c r="I70" s="8" t="n">
        <f aca="false">ASINH(E70/(2*H70*SINH(D70/(2*H70))))</f>
        <v>0.203336660298261</v>
      </c>
      <c r="J70" s="8" t="n">
        <f aca="false">D70/2-H70*I70</f>
        <v>-310.659898262611</v>
      </c>
      <c r="K70" s="8" t="n">
        <f aca="false">-J70/H70</f>
        <v>0.186522421916145</v>
      </c>
      <c r="L70" s="8" t="n">
        <f aca="false">(D70-J70)/H70</f>
        <v>0.220150898680376</v>
      </c>
      <c r="M70" s="8" t="n">
        <f aca="false">H70*(SINH(L70)-SINH(K70))</f>
        <v>57.1740215335129</v>
      </c>
      <c r="N70" s="8" t="n">
        <f aca="false">M70*Parametros!$E$5</f>
        <v>171.522064600539</v>
      </c>
    </row>
    <row r="71" customFormat="false" ht="21" hidden="false" customHeight="true" outlineLevel="0" collapsed="false">
      <c r="A71" s="1" t="s">
        <v>388</v>
      </c>
      <c r="B71" s="1" t="s">
        <v>252</v>
      </c>
      <c r="C71" s="1" t="s">
        <v>253</v>
      </c>
      <c r="D71" s="8" t="n">
        <f aca="false">SQRT((INDEX(Postes!$B$7:$B$117,MATCH(C71,Postes!$A$7:$A$117,0))-INDEX(Postes!$B$7:$B$117,MATCH(B71,Postes!$A$7:$A$117,0)))^2+(INDEX(Postes!$C$7:$C$117,MATCH(C71,Postes!$A$7:$A$117,0))-INDEX(Postes!$C$7:$C$117,MATCH(B71,Postes!$A$7:$A$117,0)))^2)</f>
        <v>69.7949639470095</v>
      </c>
      <c r="E71" s="8" t="n">
        <f aca="false">INDEX(Postes!$D$7:$D$117,MATCH(C71,Postes!$A$7:$A$117,0))+INDEX(Postes!$G$7:$G$117,MATCH(C71,Postes!$A$7:$A$117,0))-INDEX(Postes!$D$7:$D$117,MATCH(B71,Postes!$A$7:$A$117,0))-INDEX(Postes!$G$7:$G$117,MATCH(B71,Postes!$A$7:$A$117,0))</f>
        <v>12.1846719458314</v>
      </c>
      <c r="F71" s="8" t="n">
        <f aca="false">Parametros!$E$8*Parametros!$E$9</f>
        <v>2205</v>
      </c>
      <c r="G71" s="8" t="n">
        <f aca="false">Parametros!$E$10/1000*Parametros!$E$11</f>
        <v>1.32389775</v>
      </c>
      <c r="H71" s="8" t="n">
        <f aca="false">F71/G71</f>
        <v>1665.53648119728</v>
      </c>
      <c r="I71" s="8" t="n">
        <f aca="false">ASINH(E71/(2*H71*SINH(D71/(2*H71))))</f>
        <v>0.173690675270126</v>
      </c>
      <c r="J71" s="8" t="n">
        <f aca="false">D71/2-H71*I71</f>
        <v>-254.390674132682</v>
      </c>
      <c r="K71" s="8" t="n">
        <f aca="false">-J71/H71</f>
        <v>0.152737977825506</v>
      </c>
      <c r="L71" s="8" t="n">
        <f aca="false">(D71-J71)/H71</f>
        <v>0.194643372714747</v>
      </c>
      <c r="M71" s="8" t="n">
        <f aca="false">H71*(SINH(L71)-SINH(K71))</f>
        <v>70.8556005458883</v>
      </c>
      <c r="N71" s="8" t="n">
        <f aca="false">M71*Parametros!$E$5</f>
        <v>212.566801637665</v>
      </c>
    </row>
    <row r="72" customFormat="false" ht="21" hidden="false" customHeight="true" outlineLevel="0" collapsed="false">
      <c r="A72" s="1" t="s">
        <v>389</v>
      </c>
      <c r="B72" s="1" t="s">
        <v>253</v>
      </c>
      <c r="C72" s="1" t="s">
        <v>254</v>
      </c>
      <c r="D72" s="8" t="n">
        <f aca="false">SQRT((INDEX(Postes!$B$7:$B$117,MATCH(C72,Postes!$A$7:$A$117,0))-INDEX(Postes!$B$7:$B$117,MATCH(B72,Postes!$A$7:$A$117,0)))^2+(INDEX(Postes!$C$7:$C$117,MATCH(C72,Postes!$A$7:$A$117,0))-INDEX(Postes!$C$7:$C$117,MATCH(B72,Postes!$A$7:$A$117,0)))^2)</f>
        <v>69.7949639470497</v>
      </c>
      <c r="E72" s="8" t="n">
        <f aca="false">INDEX(Postes!$D$7:$D$117,MATCH(C72,Postes!$A$7:$A$117,0))+INDEX(Postes!$G$7:$G$117,MATCH(C72,Postes!$A$7:$A$117,0))-INDEX(Postes!$D$7:$D$117,MATCH(B72,Postes!$A$7:$A$117,0))-INDEX(Postes!$G$7:$G$117,MATCH(B72,Postes!$A$7:$A$117,0))</f>
        <v>3.44748519453296</v>
      </c>
      <c r="F72" s="8" t="n">
        <f aca="false">Parametros!$E$8*Parametros!$E$9</f>
        <v>2205</v>
      </c>
      <c r="G72" s="8" t="n">
        <f aca="false">Parametros!$E$10/1000*Parametros!$E$11</f>
        <v>1.32389775</v>
      </c>
      <c r="H72" s="8" t="n">
        <f aca="false">F72/G72</f>
        <v>1665.53648119728</v>
      </c>
      <c r="I72" s="8" t="n">
        <f aca="false">ASINH(E72/(2*H72*SINH(D72/(2*H72))))</f>
        <v>0.0493707960644154</v>
      </c>
      <c r="J72" s="8" t="n">
        <f aca="false">D72/2-H72*I72</f>
        <v>-47.3313799775103</v>
      </c>
      <c r="K72" s="8" t="n">
        <f aca="false">-J72/H72</f>
        <v>0.0284180986197827</v>
      </c>
      <c r="L72" s="8" t="n">
        <f aca="false">(D72-J72)/H72</f>
        <v>0.0703234935090482</v>
      </c>
      <c r="M72" s="8" t="n">
        <f aca="false">H72*(SINH(L72)-SINH(K72))</f>
        <v>69.8851561668364</v>
      </c>
      <c r="N72" s="8" t="n">
        <f aca="false">M72*Parametros!$E$5</f>
        <v>209.655468500509</v>
      </c>
    </row>
    <row r="73" customFormat="false" ht="21" hidden="false" customHeight="true" outlineLevel="0" collapsed="false">
      <c r="A73" s="1" t="s">
        <v>390</v>
      </c>
      <c r="B73" s="1" t="s">
        <v>254</v>
      </c>
      <c r="C73" s="1" t="s">
        <v>255</v>
      </c>
      <c r="D73" s="8" t="n">
        <f aca="false">SQRT((INDEX(Postes!$B$7:$B$117,MATCH(C73,Postes!$A$7:$A$117,0))-INDEX(Postes!$B$7:$B$117,MATCH(B73,Postes!$A$7:$A$117,0)))^2+(INDEX(Postes!$C$7:$C$117,MATCH(C73,Postes!$A$7:$A$117,0))-INDEX(Postes!$C$7:$C$117,MATCH(B73,Postes!$A$7:$A$117,0)))^2)</f>
        <v>56.8852299738879</v>
      </c>
      <c r="E73" s="8" t="n">
        <f aca="false">INDEX(Postes!$D$7:$D$117,MATCH(C73,Postes!$A$7:$A$117,0))+INDEX(Postes!$G$7:$G$117,MATCH(C73,Postes!$A$7:$A$117,0))-INDEX(Postes!$D$7:$D$117,MATCH(B73,Postes!$A$7:$A$117,0))-INDEX(Postes!$G$7:$G$117,MATCH(B73,Postes!$A$7:$A$117,0))</f>
        <v>11.8139038660112</v>
      </c>
      <c r="F73" s="8" t="n">
        <f aca="false">Parametros!$E$8*Parametros!$E$9</f>
        <v>2205</v>
      </c>
      <c r="G73" s="8" t="n">
        <f aca="false">Parametros!$E$10/1000*Parametros!$E$11</f>
        <v>1.32389775</v>
      </c>
      <c r="H73" s="8" t="n">
        <f aca="false">F73/G73</f>
        <v>1665.53648119728</v>
      </c>
      <c r="I73" s="8" t="n">
        <f aca="false">ASINH(E73/(2*H73*SINH(D73/(2*H73))))</f>
        <v>0.206205106718806</v>
      </c>
      <c r="J73" s="8" t="n">
        <f aca="false">D73/2-H73*I73</f>
        <v>-314.999512862406</v>
      </c>
      <c r="K73" s="8" t="n">
        <f aca="false">-J73/H73</f>
        <v>0.189127957519109</v>
      </c>
      <c r="L73" s="8" t="n">
        <f aca="false">(D73-J73)/H73</f>
        <v>0.223282255918502</v>
      </c>
      <c r="M73" s="8" t="n">
        <f aca="false">H73*(SINH(L73)-SINH(K73))</f>
        <v>58.1017408483876</v>
      </c>
      <c r="N73" s="8" t="n">
        <f aca="false">M73*Parametros!$E$5</f>
        <v>174.305222545163</v>
      </c>
    </row>
    <row r="74" customFormat="false" ht="21" hidden="false" customHeight="true" outlineLevel="0" collapsed="false">
      <c r="A74" s="1" t="s">
        <v>391</v>
      </c>
      <c r="B74" s="1" t="s">
        <v>255</v>
      </c>
      <c r="C74" s="1" t="s">
        <v>256</v>
      </c>
      <c r="D74" s="8" t="n">
        <f aca="false">SQRT((INDEX(Postes!$B$7:$B$117,MATCH(C74,Postes!$A$7:$A$117,0))-INDEX(Postes!$B$7:$B$117,MATCH(B74,Postes!$A$7:$A$117,0)))^2+(INDEX(Postes!$C$7:$C$117,MATCH(C74,Postes!$A$7:$A$117,0))-INDEX(Postes!$C$7:$C$117,MATCH(B74,Postes!$A$7:$A$117,0)))^2)</f>
        <v>56.8852299738504</v>
      </c>
      <c r="E74" s="8" t="n">
        <f aca="false">INDEX(Postes!$D$7:$D$117,MATCH(C74,Postes!$A$7:$A$117,0))+INDEX(Postes!$G$7:$G$117,MATCH(C74,Postes!$A$7:$A$117,0))-INDEX(Postes!$D$7:$D$117,MATCH(B74,Postes!$A$7:$A$117,0))-INDEX(Postes!$G$7:$G$117,MATCH(B74,Postes!$A$7:$A$117,0))</f>
        <v>9.7208053814039</v>
      </c>
      <c r="F74" s="8" t="n">
        <f aca="false">Parametros!$E$8*Parametros!$E$9</f>
        <v>2205</v>
      </c>
      <c r="G74" s="8" t="n">
        <f aca="false">Parametros!$E$10/1000*Parametros!$E$11</f>
        <v>1.32389775</v>
      </c>
      <c r="H74" s="8" t="n">
        <f aca="false">F74/G74</f>
        <v>1665.53648119728</v>
      </c>
      <c r="I74" s="8" t="n">
        <f aca="false">ASINH(E74/(2*H74*SINH(D74/(2*H74))))</f>
        <v>0.170055397275588</v>
      </c>
      <c r="J74" s="8" t="n">
        <f aca="false">D74/2-H74*I74</f>
        <v>-254.790853000064</v>
      </c>
      <c r="K74" s="8" t="n">
        <f aca="false">-J74/H74</f>
        <v>0.152978248075903</v>
      </c>
      <c r="L74" s="8" t="n">
        <f aca="false">(D74-J74)/H74</f>
        <v>0.187132546475274</v>
      </c>
      <c r="M74" s="8" t="n">
        <f aca="false">H74*(SINH(L74)-SINH(K74))</f>
        <v>57.7125464896213</v>
      </c>
      <c r="N74" s="8" t="n">
        <f aca="false">M74*Parametros!$E$5</f>
        <v>173.137639468864</v>
      </c>
    </row>
    <row r="75" customFormat="false" ht="21" hidden="false" customHeight="true" outlineLevel="0" collapsed="false">
      <c r="A75" s="1" t="s">
        <v>392</v>
      </c>
      <c r="B75" s="1" t="s">
        <v>256</v>
      </c>
      <c r="C75" s="1" t="s">
        <v>257</v>
      </c>
      <c r="D75" s="8" t="n">
        <f aca="false">SQRT((INDEX(Postes!$B$7:$B$117,MATCH(C75,Postes!$A$7:$A$117,0))-INDEX(Postes!$B$7:$B$117,MATCH(B75,Postes!$A$7:$A$117,0)))^2+(INDEX(Postes!$C$7:$C$117,MATCH(C75,Postes!$A$7:$A$117,0))-INDEX(Postes!$C$7:$C$117,MATCH(B75,Postes!$A$7:$A$117,0)))^2)</f>
        <v>68.1489656451955</v>
      </c>
      <c r="E75" s="8" t="n">
        <f aca="false">INDEX(Postes!$D$7:$D$117,MATCH(C75,Postes!$A$7:$A$117,0))+INDEX(Postes!$G$7:$G$117,MATCH(C75,Postes!$A$7:$A$117,0))-INDEX(Postes!$D$7:$D$117,MATCH(B75,Postes!$A$7:$A$117,0))-INDEX(Postes!$G$7:$G$117,MATCH(B75,Postes!$A$7:$A$117,0))</f>
        <v>-2.93117232108225</v>
      </c>
      <c r="F75" s="8" t="n">
        <f aca="false">Parametros!$E$8*Parametros!$E$9</f>
        <v>2205</v>
      </c>
      <c r="G75" s="8" t="n">
        <f aca="false">Parametros!$E$10/1000*Parametros!$E$11</f>
        <v>1.32389775</v>
      </c>
      <c r="H75" s="8" t="n">
        <f aca="false">F75/G75</f>
        <v>1665.53648119728</v>
      </c>
      <c r="I75" s="8" t="n">
        <f aca="false">ASINH(E75/(2*H75*SINH(D75/(2*H75))))</f>
        <v>-0.0429950037578123</v>
      </c>
      <c r="J75" s="8" t="n">
        <f aca="false">D75/2-H75*I75</f>
        <v>105.684230090448</v>
      </c>
      <c r="K75" s="8" t="n">
        <f aca="false">-J75/H75</f>
        <v>-0.063453566633663</v>
      </c>
      <c r="L75" s="8" t="n">
        <f aca="false">(D75-J75)/H75</f>
        <v>-0.0225364408819615</v>
      </c>
      <c r="M75" s="8" t="n">
        <f aca="false">H75*(SINH(L75)-SINH(K75))</f>
        <v>68.2167229119886</v>
      </c>
      <c r="N75" s="8" t="n">
        <f aca="false">M75*Parametros!$E$5</f>
        <v>204.650168735966</v>
      </c>
    </row>
    <row r="76" customFormat="false" ht="21" hidden="false" customHeight="true" outlineLevel="0" collapsed="false">
      <c r="A76" s="1" t="s">
        <v>393</v>
      </c>
      <c r="B76" s="1" t="s">
        <v>257</v>
      </c>
      <c r="C76" s="1" t="s">
        <v>258</v>
      </c>
      <c r="D76" s="8" t="n">
        <f aca="false">SQRT((INDEX(Postes!$B$7:$B$117,MATCH(C76,Postes!$A$7:$A$117,0))-INDEX(Postes!$B$7:$B$117,MATCH(B76,Postes!$A$7:$A$117,0)))^2+(INDEX(Postes!$C$7:$C$117,MATCH(C76,Postes!$A$7:$A$117,0))-INDEX(Postes!$C$7:$C$117,MATCH(B76,Postes!$A$7:$A$117,0)))^2)</f>
        <v>68.1489656451411</v>
      </c>
      <c r="E76" s="8" t="n">
        <f aca="false">INDEX(Postes!$D$7:$D$117,MATCH(C76,Postes!$A$7:$A$117,0))+INDEX(Postes!$G$7:$G$117,MATCH(C76,Postes!$A$7:$A$117,0))-INDEX(Postes!$D$7:$D$117,MATCH(B76,Postes!$A$7:$A$117,0))-INDEX(Postes!$G$7:$G$117,MATCH(B76,Postes!$A$7:$A$117,0))</f>
        <v>1.7561236023811</v>
      </c>
      <c r="F76" s="8" t="n">
        <f aca="false">Parametros!$E$8*Parametros!$E$9</f>
        <v>2205</v>
      </c>
      <c r="G76" s="8" t="n">
        <f aca="false">Parametros!$E$10/1000*Parametros!$E$11</f>
        <v>1.32389775</v>
      </c>
      <c r="H76" s="8" t="n">
        <f aca="false">F76/G76</f>
        <v>1665.53648119728</v>
      </c>
      <c r="I76" s="8" t="n">
        <f aca="false">ASINH(E76/(2*H76*SINH(D76/(2*H76))))</f>
        <v>0.0257642479308209</v>
      </c>
      <c r="J76" s="8" t="n">
        <f aca="false">D76/2-H76*I76</f>
        <v>-8.83681201682322</v>
      </c>
      <c r="K76" s="8" t="n">
        <f aca="false">-J76/H76</f>
        <v>0.0053056850549865</v>
      </c>
      <c r="L76" s="8" t="n">
        <f aca="false">(D76-J76)/H76</f>
        <v>0.0462228108066552</v>
      </c>
      <c r="M76" s="8" t="n">
        <f aca="false">H76*(SINH(L76)-SINH(K76))</f>
        <v>68.1763410852663</v>
      </c>
      <c r="N76" s="8" t="n">
        <f aca="false">M76*Parametros!$E$5</f>
        <v>204.529023255799</v>
      </c>
    </row>
    <row r="77" customFormat="false" ht="21" hidden="false" customHeight="true" outlineLevel="0" collapsed="false">
      <c r="A77" s="1" t="s">
        <v>394</v>
      </c>
      <c r="B77" s="1" t="s">
        <v>258</v>
      </c>
      <c r="C77" s="1" t="s">
        <v>259</v>
      </c>
      <c r="D77" s="8" t="n">
        <f aca="false">SQRT((INDEX(Postes!$B$7:$B$117,MATCH(C77,Postes!$A$7:$A$117,0))-INDEX(Postes!$B$7:$B$117,MATCH(B77,Postes!$A$7:$A$117,0)))^2+(INDEX(Postes!$C$7:$C$117,MATCH(C77,Postes!$A$7:$A$117,0))-INDEX(Postes!$C$7:$C$117,MATCH(B77,Postes!$A$7:$A$117,0)))^2)</f>
        <v>58.6781126556883</v>
      </c>
      <c r="E77" s="8" t="n">
        <f aca="false">INDEX(Postes!$D$7:$D$117,MATCH(C77,Postes!$A$7:$A$117,0))+INDEX(Postes!$G$7:$G$117,MATCH(C77,Postes!$A$7:$A$117,0))-INDEX(Postes!$D$7:$D$117,MATCH(B77,Postes!$A$7:$A$117,0))-INDEX(Postes!$G$7:$G$117,MATCH(B77,Postes!$A$7:$A$117,0))</f>
        <v>-0.680888293620319</v>
      </c>
      <c r="F77" s="8" t="n">
        <f aca="false">Parametros!$E$8*Parametros!$E$9</f>
        <v>2205</v>
      </c>
      <c r="G77" s="8" t="n">
        <f aca="false">Parametros!$E$10/1000*Parametros!$E$11</f>
        <v>1.32389775</v>
      </c>
      <c r="H77" s="8" t="n">
        <f aca="false">F77/G77</f>
        <v>1665.53648119728</v>
      </c>
      <c r="I77" s="8" t="n">
        <f aca="false">ASINH(E77/(2*H77*SINH(D77/(2*H77))))</f>
        <v>-0.0116029260979945</v>
      </c>
      <c r="J77" s="8" t="n">
        <f aca="false">D77/2-H77*I77</f>
        <v>48.66415303269</v>
      </c>
      <c r="K77" s="8" t="n">
        <f aca="false">-J77/H77</f>
        <v>-0.0292183050819202</v>
      </c>
      <c r="L77" s="8" t="n">
        <f aca="false">(D77-J77)/H77</f>
        <v>0.00601245288593116</v>
      </c>
      <c r="M77" s="8" t="n">
        <f aca="false">H77*(SINH(L77)-SINH(K77))</f>
        <v>58.6850974585443</v>
      </c>
      <c r="N77" s="8" t="n">
        <f aca="false">M77*Parametros!$E$5</f>
        <v>176.055292375633</v>
      </c>
    </row>
    <row r="78" customFormat="false" ht="21" hidden="false" customHeight="true" outlineLevel="0" collapsed="false">
      <c r="A78" s="1" t="s">
        <v>395</v>
      </c>
      <c r="B78" s="1" t="s">
        <v>259</v>
      </c>
      <c r="C78" s="1" t="s">
        <v>260</v>
      </c>
      <c r="D78" s="8" t="n">
        <f aca="false">SQRT((INDEX(Postes!$B$7:$B$117,MATCH(C78,Postes!$A$7:$A$117,0))-INDEX(Postes!$B$7:$B$117,MATCH(B78,Postes!$A$7:$A$117,0)))^2+(INDEX(Postes!$C$7:$C$117,MATCH(C78,Postes!$A$7:$A$117,0))-INDEX(Postes!$C$7:$C$117,MATCH(B78,Postes!$A$7:$A$117,0)))^2)</f>
        <v>58.6781126542735</v>
      </c>
      <c r="E78" s="8" t="n">
        <f aca="false">INDEX(Postes!$D$7:$D$117,MATCH(C78,Postes!$A$7:$A$117,0))+INDEX(Postes!$G$7:$G$117,MATCH(C78,Postes!$A$7:$A$117,0))-INDEX(Postes!$D$7:$D$117,MATCH(B78,Postes!$A$7:$A$117,0))-INDEX(Postes!$G$7:$G$117,MATCH(B78,Postes!$A$7:$A$117,0))</f>
        <v>11.4440194080525</v>
      </c>
      <c r="F78" s="8" t="n">
        <f aca="false">Parametros!$E$8*Parametros!$E$9</f>
        <v>2205</v>
      </c>
      <c r="G78" s="8" t="n">
        <f aca="false">Parametros!$E$10/1000*Parametros!$E$11</f>
        <v>1.32389775</v>
      </c>
      <c r="H78" s="8" t="n">
        <f aca="false">F78/G78</f>
        <v>1665.53648119728</v>
      </c>
      <c r="I78" s="8" t="n">
        <f aca="false">ASINH(E78/(2*H78*SINH(D78/(2*H78))))</f>
        <v>0.193804866278868</v>
      </c>
      <c r="J78" s="8" t="n">
        <f aca="false">D78/2-H78*I78</f>
        <v>-293.450018693878</v>
      </c>
      <c r="K78" s="8" t="n">
        <f aca="false">-J78/H78</f>
        <v>0.176189487295367</v>
      </c>
      <c r="L78" s="8" t="n">
        <f aca="false">(D78-J78)/H78</f>
        <v>0.211420245262369</v>
      </c>
      <c r="M78" s="8" t="n">
        <f aca="false">H78*(SINH(L78)-SINH(K78))</f>
        <v>59.7866426126796</v>
      </c>
      <c r="N78" s="8" t="n">
        <f aca="false">M78*Parametros!$E$5</f>
        <v>179.359927838039</v>
      </c>
    </row>
    <row r="79" customFormat="false" ht="21" hidden="false" customHeight="true" outlineLevel="0" collapsed="false">
      <c r="A79" s="1" t="s">
        <v>396</v>
      </c>
      <c r="B79" s="1" t="s">
        <v>260</v>
      </c>
      <c r="C79" s="1" t="s">
        <v>261</v>
      </c>
      <c r="D79" s="8" t="n">
        <f aca="false">SQRT((INDEX(Postes!$B$7:$B$117,MATCH(C79,Postes!$A$7:$A$117,0))-INDEX(Postes!$B$7:$B$117,MATCH(B79,Postes!$A$7:$A$117,0)))^2+(INDEX(Postes!$C$7:$C$117,MATCH(C79,Postes!$A$7:$A$117,0))-INDEX(Postes!$C$7:$C$117,MATCH(B79,Postes!$A$7:$A$117,0)))^2)</f>
        <v>71.734052511281</v>
      </c>
      <c r="E79" s="8" t="n">
        <f aca="false">INDEX(Postes!$D$7:$D$117,MATCH(C79,Postes!$A$7:$A$117,0))+INDEX(Postes!$G$7:$G$117,MATCH(C79,Postes!$A$7:$A$117,0))-INDEX(Postes!$D$7:$D$117,MATCH(B79,Postes!$A$7:$A$117,0))-INDEX(Postes!$G$7:$G$117,MATCH(B79,Postes!$A$7:$A$117,0))</f>
        <v>10.6670091132597</v>
      </c>
      <c r="F79" s="8" t="n">
        <f aca="false">Parametros!$E$8*Parametros!$E$9</f>
        <v>2205</v>
      </c>
      <c r="G79" s="8" t="n">
        <f aca="false">Parametros!$E$10/1000*Parametros!$E$11</f>
        <v>1.32389775</v>
      </c>
      <c r="H79" s="8" t="n">
        <f aca="false">F79/G79</f>
        <v>1665.53648119728</v>
      </c>
      <c r="I79" s="8" t="n">
        <f aca="false">ASINH(E79/(2*H79*SINH(D79/(2*H79))))</f>
        <v>0.14814815709737</v>
      </c>
      <c r="J79" s="8" t="n">
        <f aca="false">D79/2-H79*I79</f>
        <v>-210.879134012175</v>
      </c>
      <c r="K79" s="8" t="n">
        <f aca="false">-J79/H79</f>
        <v>0.126613338340439</v>
      </c>
      <c r="L79" s="8" t="n">
        <f aca="false">(D79-J79)/H79</f>
        <v>0.169682975854301</v>
      </c>
      <c r="M79" s="8" t="n">
        <f aca="false">H79*(SINH(L79)-SINH(K79))</f>
        <v>72.5283039270224</v>
      </c>
      <c r="N79" s="8" t="n">
        <f aca="false">M79*Parametros!$E$5</f>
        <v>217.584911781067</v>
      </c>
    </row>
    <row r="80" customFormat="false" ht="21" hidden="false" customHeight="true" outlineLevel="0" collapsed="false">
      <c r="A80" s="1" t="s">
        <v>397</v>
      </c>
      <c r="B80" s="1" t="s">
        <v>261</v>
      </c>
      <c r="C80" s="1" t="s">
        <v>262</v>
      </c>
      <c r="D80" s="8" t="n">
        <f aca="false">SQRT((INDEX(Postes!$B$7:$B$117,MATCH(C80,Postes!$A$7:$A$117,0))-INDEX(Postes!$B$7:$B$117,MATCH(B80,Postes!$A$7:$A$117,0)))^2+(INDEX(Postes!$C$7:$C$117,MATCH(C80,Postes!$A$7:$A$117,0))-INDEX(Postes!$C$7:$C$117,MATCH(B80,Postes!$A$7:$A$117,0)))^2)</f>
        <v>71.734052511281</v>
      </c>
      <c r="E80" s="8" t="n">
        <f aca="false">INDEX(Postes!$D$7:$D$117,MATCH(C80,Postes!$A$7:$A$117,0))+INDEX(Postes!$G$7:$G$117,MATCH(C80,Postes!$A$7:$A$117,0))-INDEX(Postes!$D$7:$D$117,MATCH(B80,Postes!$A$7:$A$117,0))-INDEX(Postes!$G$7:$G$117,MATCH(B80,Postes!$A$7:$A$117,0))</f>
        <v>-5.0469063571988</v>
      </c>
      <c r="F80" s="8" t="n">
        <f aca="false">Parametros!$E$8*Parametros!$E$9</f>
        <v>2205</v>
      </c>
      <c r="G80" s="8" t="n">
        <f aca="false">Parametros!$E$10/1000*Parametros!$E$11</f>
        <v>1.32389775</v>
      </c>
      <c r="H80" s="8" t="n">
        <f aca="false">F80/G80</f>
        <v>1665.53648119728</v>
      </c>
      <c r="I80" s="8" t="n">
        <f aca="false">ASINH(E80/(2*H80*SINH(D80/(2*H80))))</f>
        <v>-0.0702924578023215</v>
      </c>
      <c r="J80" s="8" t="n">
        <f aca="false">D80/2-H80*I80</f>
        <v>152.941679078428</v>
      </c>
      <c r="K80" s="8" t="n">
        <f aca="false">-J80/H80</f>
        <v>-0.0918272765592527</v>
      </c>
      <c r="L80" s="8" t="n">
        <f aca="false">(D80-J80)/H80</f>
        <v>-0.0487576390453903</v>
      </c>
      <c r="M80" s="8" t="n">
        <f aca="false">H80*(SINH(L80)-SINH(K80))</f>
        <v>71.9169037910177</v>
      </c>
      <c r="N80" s="8" t="n">
        <f aca="false">M80*Parametros!$E$5</f>
        <v>215.750711373053</v>
      </c>
    </row>
    <row r="81" customFormat="false" ht="21" hidden="false" customHeight="true" outlineLevel="0" collapsed="false">
      <c r="A81" s="1" t="s">
        <v>398</v>
      </c>
      <c r="B81" s="1" t="s">
        <v>262</v>
      </c>
      <c r="C81" s="1" t="s">
        <v>263</v>
      </c>
      <c r="D81" s="8" t="n">
        <f aca="false">SQRT((INDEX(Postes!$B$7:$B$117,MATCH(C81,Postes!$A$7:$A$117,0))-INDEX(Postes!$B$7:$B$117,MATCH(B81,Postes!$A$7:$A$117,0)))^2+(INDEX(Postes!$C$7:$C$117,MATCH(C81,Postes!$A$7:$A$117,0))-INDEX(Postes!$C$7:$C$117,MATCH(B81,Postes!$A$7:$A$117,0)))^2)</f>
        <v>48.4773187710382</v>
      </c>
      <c r="E81" s="8" t="n">
        <f aca="false">INDEX(Postes!$D$7:$D$117,MATCH(C81,Postes!$A$7:$A$117,0))+INDEX(Postes!$G$7:$G$117,MATCH(C81,Postes!$A$7:$A$117,0))-INDEX(Postes!$D$7:$D$117,MATCH(B81,Postes!$A$7:$A$117,0))-INDEX(Postes!$G$7:$G$117,MATCH(B81,Postes!$A$7:$A$117,0))</f>
        <v>3.48354053014291</v>
      </c>
      <c r="F81" s="8" t="n">
        <f aca="false">Parametros!$E$8*Parametros!$E$9</f>
        <v>2205</v>
      </c>
      <c r="G81" s="8" t="n">
        <f aca="false">Parametros!$E$10/1000*Parametros!$E$11</f>
        <v>1.32389775</v>
      </c>
      <c r="H81" s="8" t="n">
        <f aca="false">F81/G81</f>
        <v>1665.53648119728</v>
      </c>
      <c r="I81" s="8" t="n">
        <f aca="false">ASINH(E81/(2*H81*SINH(D81/(2*H81))))</f>
        <v>0.0717949527957023</v>
      </c>
      <c r="J81" s="8" t="n">
        <f aca="false">D81/2-H81*I81</f>
        <v>-95.3384536615599</v>
      </c>
      <c r="K81" s="8" t="n">
        <f aca="false">-J81/H81</f>
        <v>0.0572418885673553</v>
      </c>
      <c r="L81" s="8" t="n">
        <f aca="false">(D81-J81)/H81</f>
        <v>0.0863480170240493</v>
      </c>
      <c r="M81" s="8" t="n">
        <f aca="false">H81*(SINH(L81)-SINH(K81))</f>
        <v>48.6040265984325</v>
      </c>
      <c r="N81" s="8" t="n">
        <f aca="false">M81*Parametros!$E$5</f>
        <v>145.812079795297</v>
      </c>
    </row>
    <row r="82" customFormat="false" ht="21" hidden="false" customHeight="true" outlineLevel="0" collapsed="false">
      <c r="A82" s="1" t="s">
        <v>399</v>
      </c>
      <c r="B82" s="1" t="s">
        <v>263</v>
      </c>
      <c r="C82" s="1" t="s">
        <v>264</v>
      </c>
      <c r="D82" s="8" t="n">
        <f aca="false">SQRT((INDEX(Postes!$B$7:$B$117,MATCH(C82,Postes!$A$7:$A$117,0))-INDEX(Postes!$B$7:$B$117,MATCH(B82,Postes!$A$7:$A$117,0)))^2+(INDEX(Postes!$C$7:$C$117,MATCH(C82,Postes!$A$7:$A$117,0))-INDEX(Postes!$C$7:$C$117,MATCH(B82,Postes!$A$7:$A$117,0)))^2)</f>
        <v>53.0778727659167</v>
      </c>
      <c r="E82" s="8" t="n">
        <f aca="false">INDEX(Postes!$D$7:$D$117,MATCH(C82,Postes!$A$7:$A$117,0))+INDEX(Postes!$G$7:$G$117,MATCH(C82,Postes!$A$7:$A$117,0))-INDEX(Postes!$D$7:$D$117,MATCH(B82,Postes!$A$7:$A$117,0))-INDEX(Postes!$G$7:$G$117,MATCH(B82,Postes!$A$7:$A$117,0))</f>
        <v>-0.933985035961177</v>
      </c>
      <c r="F82" s="8" t="n">
        <f aca="false">Parametros!$E$8*Parametros!$E$9</f>
        <v>2205</v>
      </c>
      <c r="G82" s="8" t="n">
        <f aca="false">Parametros!$E$10/1000*Parametros!$E$11</f>
        <v>1.32389775</v>
      </c>
      <c r="H82" s="8" t="n">
        <f aca="false">F82/G82</f>
        <v>1665.53648119728</v>
      </c>
      <c r="I82" s="8" t="n">
        <f aca="false">ASINH(E82/(2*H82*SINH(D82/(2*H82))))</f>
        <v>-0.0175948522263998</v>
      </c>
      <c r="J82" s="8" t="n">
        <f aca="false">D82/2-H82*I82</f>
        <v>55.8438046473024</v>
      </c>
      <c r="K82" s="8" t="n">
        <f aca="false">-J82/H82</f>
        <v>-0.0335290191945593</v>
      </c>
      <c r="L82" s="8" t="n">
        <f aca="false">(D82-J82)/H82</f>
        <v>-0.00166068525824026</v>
      </c>
      <c r="M82" s="8" t="n">
        <f aca="false">H82*(SINH(L82)-SINH(K82))</f>
        <v>53.0883353049051</v>
      </c>
      <c r="N82" s="8" t="n">
        <f aca="false">M82*Parametros!$E$5</f>
        <v>159.265005914715</v>
      </c>
    </row>
    <row r="83" customFormat="false" ht="21" hidden="false" customHeight="true" outlineLevel="0" collapsed="false">
      <c r="A83" s="1" t="s">
        <v>400</v>
      </c>
      <c r="B83" s="1" t="s">
        <v>264</v>
      </c>
      <c r="C83" s="1" t="s">
        <v>265</v>
      </c>
      <c r="D83" s="8" t="n">
        <f aca="false">SQRT((INDEX(Postes!$B$7:$B$117,MATCH(C83,Postes!$A$7:$A$117,0))-INDEX(Postes!$B$7:$B$117,MATCH(B83,Postes!$A$7:$A$117,0)))^2+(INDEX(Postes!$C$7:$C$117,MATCH(C83,Postes!$A$7:$A$117,0))-INDEX(Postes!$C$7:$C$117,MATCH(B83,Postes!$A$7:$A$117,0)))^2)</f>
        <v>53.0778727658896</v>
      </c>
      <c r="E83" s="8" t="n">
        <f aca="false">INDEX(Postes!$D$7:$D$117,MATCH(C83,Postes!$A$7:$A$117,0))+INDEX(Postes!$G$7:$G$117,MATCH(C83,Postes!$A$7:$A$117,0))-INDEX(Postes!$D$7:$D$117,MATCH(B83,Postes!$A$7:$A$117,0))-INDEX(Postes!$G$7:$G$117,MATCH(B83,Postes!$A$7:$A$117,0))</f>
        <v>6.06099781805497</v>
      </c>
      <c r="F83" s="8" t="n">
        <f aca="false">Parametros!$E$8*Parametros!$E$9</f>
        <v>2205</v>
      </c>
      <c r="G83" s="8" t="n">
        <f aca="false">Parametros!$E$10/1000*Parametros!$E$11</f>
        <v>1.32389775</v>
      </c>
      <c r="H83" s="8" t="n">
        <f aca="false">F83/G83</f>
        <v>1665.53648119728</v>
      </c>
      <c r="I83" s="8" t="n">
        <f aca="false">ASINH(E83/(2*H83*SINH(D83/(2*H83))))</f>
        <v>0.113939148483818</v>
      </c>
      <c r="J83" s="8" t="n">
        <f aca="false">D83/2-H83*I83</f>
        <v>-163.230872053409</v>
      </c>
      <c r="K83" s="8" t="n">
        <f aca="false">-J83/H83</f>
        <v>0.0980049815156669</v>
      </c>
      <c r="L83" s="8" t="n">
        <f aca="false">(D83-J83)/H83</f>
        <v>0.12987331545197</v>
      </c>
      <c r="M83" s="8" t="n">
        <f aca="false">H83*(SINH(L83)-SINH(K83))</f>
        <v>53.4250382493661</v>
      </c>
      <c r="N83" s="8" t="n">
        <f aca="false">M83*Parametros!$E$5</f>
        <v>160.275114748098</v>
      </c>
    </row>
    <row r="84" customFormat="false" ht="21" hidden="false" customHeight="true" outlineLevel="0" collapsed="false">
      <c r="A84" s="1" t="s">
        <v>401</v>
      </c>
      <c r="B84" s="1" t="s">
        <v>265</v>
      </c>
      <c r="C84" s="1" t="s">
        <v>266</v>
      </c>
      <c r="D84" s="8" t="n">
        <f aca="false">SQRT((INDEX(Postes!$B$7:$B$117,MATCH(C84,Postes!$A$7:$A$117,0))-INDEX(Postes!$B$7:$B$117,MATCH(B84,Postes!$A$7:$A$117,0)))^2+(INDEX(Postes!$C$7:$C$117,MATCH(C84,Postes!$A$7:$A$117,0))-INDEX(Postes!$C$7:$C$117,MATCH(B84,Postes!$A$7:$A$117,0)))^2)</f>
        <v>71.769589566141</v>
      </c>
      <c r="E84" s="8" t="n">
        <f aca="false">INDEX(Postes!$D$7:$D$117,MATCH(C84,Postes!$A$7:$A$117,0))+INDEX(Postes!$G$7:$G$117,MATCH(C84,Postes!$A$7:$A$117,0))-INDEX(Postes!$D$7:$D$117,MATCH(B84,Postes!$A$7:$A$117,0))-INDEX(Postes!$G$7:$G$117,MATCH(B84,Postes!$A$7:$A$117,0))</f>
        <v>-0.867761760772373</v>
      </c>
      <c r="F84" s="8" t="n">
        <f aca="false">Parametros!$E$8*Parametros!$E$9</f>
        <v>2205</v>
      </c>
      <c r="G84" s="8" t="n">
        <f aca="false">Parametros!$E$10/1000*Parametros!$E$11</f>
        <v>1.32389775</v>
      </c>
      <c r="H84" s="8" t="n">
        <f aca="false">F84/G84</f>
        <v>1665.53648119728</v>
      </c>
      <c r="I84" s="8" t="n">
        <f aca="false">ASINH(E84/(2*H84*SINH(D84/(2*H84))))</f>
        <v>-0.0120897095249257</v>
      </c>
      <c r="J84" s="8" t="n">
        <f aca="false">D84/2-H84*I84</f>
        <v>56.0206470439124</v>
      </c>
      <c r="K84" s="8" t="n">
        <f aca="false">-J84/H84</f>
        <v>-0.0336351966326439</v>
      </c>
      <c r="L84" s="8" t="n">
        <f aca="false">(D84-J84)/H84</f>
        <v>0.0094557775827926</v>
      </c>
      <c r="M84" s="8" t="n">
        <f aca="false">H84*(SINH(L84)-SINH(K84))</f>
        <v>71.7803877947262</v>
      </c>
      <c r="N84" s="8" t="n">
        <f aca="false">M84*Parametros!$E$5</f>
        <v>215.341163384179</v>
      </c>
    </row>
    <row r="85" customFormat="false" ht="21" hidden="false" customHeight="true" outlineLevel="0" collapsed="false">
      <c r="A85" s="1" t="s">
        <v>402</v>
      </c>
      <c r="B85" s="1" t="s">
        <v>266</v>
      </c>
      <c r="C85" s="1" t="s">
        <v>267</v>
      </c>
      <c r="D85" s="8" t="n">
        <f aca="false">SQRT((INDEX(Postes!$B$7:$B$117,MATCH(C85,Postes!$A$7:$A$117,0))-INDEX(Postes!$B$7:$B$117,MATCH(B85,Postes!$A$7:$A$117,0)))^2+(INDEX(Postes!$C$7:$C$117,MATCH(C85,Postes!$A$7:$A$117,0))-INDEX(Postes!$C$7:$C$117,MATCH(B85,Postes!$A$7:$A$117,0)))^2)</f>
        <v>67.9896031431737</v>
      </c>
      <c r="E85" s="8" t="n">
        <f aca="false">INDEX(Postes!$D$7:$D$117,MATCH(C85,Postes!$A$7:$A$117,0))+INDEX(Postes!$G$7:$G$117,MATCH(C85,Postes!$A$7:$A$117,0))-INDEX(Postes!$D$7:$D$117,MATCH(B85,Postes!$A$7:$A$117,0))-INDEX(Postes!$G$7:$G$117,MATCH(B85,Postes!$A$7:$A$117,0))</f>
        <v>3.56285493487521</v>
      </c>
      <c r="F85" s="8" t="n">
        <f aca="false">Parametros!$E$8*Parametros!$E$9</f>
        <v>2205</v>
      </c>
      <c r="G85" s="8" t="n">
        <f aca="false">Parametros!$E$10/1000*Parametros!$E$11</f>
        <v>1.32389775</v>
      </c>
      <c r="H85" s="8" t="n">
        <f aca="false">F85/G85</f>
        <v>1665.53648119728</v>
      </c>
      <c r="I85" s="8" t="n">
        <f aca="false">ASINH(E85/(2*H85*SINH(D85/(2*H85))))</f>
        <v>0.0523753502483935</v>
      </c>
      <c r="J85" s="8" t="n">
        <f aca="false">D85/2-H85*I85</f>
        <v>-53.2382549825977</v>
      </c>
      <c r="K85" s="8" t="n">
        <f aca="false">-J85/H85</f>
        <v>0.0319646285648015</v>
      </c>
      <c r="L85" s="8" t="n">
        <f aca="false">(D85-J85)/H85</f>
        <v>0.0727860719319855</v>
      </c>
      <c r="M85" s="8" t="n">
        <f aca="false">H85*(SINH(L85)-SINH(K85))</f>
        <v>68.0876055231665</v>
      </c>
      <c r="N85" s="8" t="n">
        <f aca="false">M85*Parametros!$E$5</f>
        <v>204.262816569499</v>
      </c>
    </row>
    <row r="86" customFormat="false" ht="21" hidden="false" customHeight="true" outlineLevel="0" collapsed="false">
      <c r="A86" s="1" t="s">
        <v>403</v>
      </c>
      <c r="B86" s="1" t="s">
        <v>267</v>
      </c>
      <c r="C86" s="1" t="s">
        <v>268</v>
      </c>
      <c r="D86" s="8" t="n">
        <f aca="false">SQRT((INDEX(Postes!$B$7:$B$117,MATCH(C86,Postes!$A$7:$A$117,0))-INDEX(Postes!$B$7:$B$117,MATCH(B86,Postes!$A$7:$A$117,0)))^2+(INDEX(Postes!$C$7:$C$117,MATCH(C86,Postes!$A$7:$A$117,0))-INDEX(Postes!$C$7:$C$117,MATCH(B86,Postes!$A$7:$A$117,0)))^2)</f>
        <v>80.0092616354174</v>
      </c>
      <c r="E86" s="8" t="n">
        <f aca="false">INDEX(Postes!$D$7:$D$117,MATCH(C86,Postes!$A$7:$A$117,0))+INDEX(Postes!$G$7:$G$117,MATCH(C86,Postes!$A$7:$A$117,0))-INDEX(Postes!$D$7:$D$117,MATCH(B86,Postes!$A$7:$A$117,0))-INDEX(Postes!$G$7:$G$117,MATCH(B86,Postes!$A$7:$A$117,0))</f>
        <v>10.2128188841906</v>
      </c>
      <c r="F86" s="8" t="n">
        <f aca="false">Parametros!$E$8*Parametros!$E$9</f>
        <v>2205</v>
      </c>
      <c r="G86" s="8" t="n">
        <f aca="false">Parametros!$E$10/1000*Parametros!$E$11</f>
        <v>1.32389775</v>
      </c>
      <c r="H86" s="8" t="n">
        <f aca="false">F86/G86</f>
        <v>1665.53648119728</v>
      </c>
      <c r="I86" s="8" t="n">
        <f aca="false">ASINH(E86/(2*H86*SINH(D86/(2*H86))))</f>
        <v>0.127289172775413</v>
      </c>
      <c r="J86" s="8" t="n">
        <f aca="false">D86/2-H86*I86</f>
        <v>-172.000130101165</v>
      </c>
      <c r="K86" s="8" t="n">
        <f aca="false">-J86/H86</f>
        <v>0.103270106685097</v>
      </c>
      <c r="L86" s="8" t="n">
        <f aca="false">(D86-J86)/H86</f>
        <v>0.151308238865728</v>
      </c>
      <c r="M86" s="8" t="n">
        <f aca="false">H86*(SINH(L86)-SINH(K86))</f>
        <v>80.666069383807</v>
      </c>
      <c r="N86" s="8" t="n">
        <f aca="false">M86*Parametros!$E$5</f>
        <v>241.998208151421</v>
      </c>
    </row>
    <row r="87" customFormat="false" ht="21" hidden="false" customHeight="true" outlineLevel="0" collapsed="false">
      <c r="A87" s="1" t="s">
        <v>404</v>
      </c>
      <c r="B87" s="1" t="s">
        <v>268</v>
      </c>
      <c r="C87" s="1" t="s">
        <v>269</v>
      </c>
      <c r="D87" s="8" t="n">
        <f aca="false">SQRT((INDEX(Postes!$B$7:$B$117,MATCH(C87,Postes!$A$7:$A$117,0))-INDEX(Postes!$B$7:$B$117,MATCH(B87,Postes!$A$7:$A$117,0)))^2+(INDEX(Postes!$C$7:$C$117,MATCH(C87,Postes!$A$7:$A$117,0))-INDEX(Postes!$C$7:$C$117,MATCH(B87,Postes!$A$7:$A$117,0)))^2)</f>
        <v>80.009261636514</v>
      </c>
      <c r="E87" s="8" t="n">
        <f aca="false">INDEX(Postes!$D$7:$D$117,MATCH(C87,Postes!$A$7:$A$117,0))+INDEX(Postes!$G$7:$G$117,MATCH(C87,Postes!$A$7:$A$117,0))-INDEX(Postes!$D$7:$D$117,MATCH(B87,Postes!$A$7:$A$117,0))-INDEX(Postes!$G$7:$G$117,MATCH(B87,Postes!$A$7:$A$117,0))</f>
        <v>4.27041023425991</v>
      </c>
      <c r="F87" s="8" t="n">
        <f aca="false">Parametros!$E$8*Parametros!$E$9</f>
        <v>2205</v>
      </c>
      <c r="G87" s="8" t="n">
        <f aca="false">Parametros!$E$10/1000*Parametros!$E$11</f>
        <v>1.32389775</v>
      </c>
      <c r="H87" s="8" t="n">
        <f aca="false">F87/G87</f>
        <v>1665.53648119728</v>
      </c>
      <c r="I87" s="8" t="n">
        <f aca="false">ASINH(E87/(2*H87*SINH(D87/(2*H87))))</f>
        <v>0.0533435150701646</v>
      </c>
      <c r="J87" s="8" t="n">
        <f aca="false">D87/2-H87*I87</f>
        <v>-48.8409395663992</v>
      </c>
      <c r="K87" s="8" t="n">
        <f aca="false">-J87/H87</f>
        <v>0.0293244489795202</v>
      </c>
      <c r="L87" s="8" t="n">
        <f aca="false">(D87-J87)/H87</f>
        <v>0.0773625811608091</v>
      </c>
      <c r="M87" s="8" t="n">
        <f aca="false">H87*(SINH(L87)-SINH(K87))</f>
        <v>80.1308273014594</v>
      </c>
      <c r="N87" s="8" t="n">
        <f aca="false">M87*Parametros!$E$5</f>
        <v>240.392481904378</v>
      </c>
    </row>
    <row r="88" customFormat="false" ht="21" hidden="false" customHeight="true" outlineLevel="0" collapsed="false">
      <c r="A88" s="1" t="s">
        <v>405</v>
      </c>
      <c r="B88" s="1" t="s">
        <v>269</v>
      </c>
      <c r="C88" s="1" t="s">
        <v>270</v>
      </c>
      <c r="D88" s="8" t="n">
        <f aca="false">SQRT((INDEX(Postes!$B$7:$B$117,MATCH(C88,Postes!$A$7:$A$117,0))-INDEX(Postes!$B$7:$B$117,MATCH(B88,Postes!$A$7:$A$117,0)))^2+(INDEX(Postes!$C$7:$C$117,MATCH(C88,Postes!$A$7:$A$117,0))-INDEX(Postes!$C$7:$C$117,MATCH(B88,Postes!$A$7:$A$117,0)))^2)</f>
        <v>80.0092616354174</v>
      </c>
      <c r="E88" s="8" t="n">
        <f aca="false">INDEX(Postes!$D$7:$D$117,MATCH(C88,Postes!$A$7:$A$117,0))+INDEX(Postes!$G$7:$G$117,MATCH(C88,Postes!$A$7:$A$117,0))-INDEX(Postes!$D$7:$D$117,MATCH(B88,Postes!$A$7:$A$117,0))-INDEX(Postes!$G$7:$G$117,MATCH(B88,Postes!$A$7:$A$117,0))</f>
        <v>10.4741965545149</v>
      </c>
      <c r="F88" s="8" t="n">
        <f aca="false">Parametros!$E$8*Parametros!$E$9</f>
        <v>2205</v>
      </c>
      <c r="G88" s="8" t="n">
        <f aca="false">Parametros!$E$10/1000*Parametros!$E$11</f>
        <v>1.32389775</v>
      </c>
      <c r="H88" s="8" t="n">
        <f aca="false">F88/G88</f>
        <v>1665.53648119728</v>
      </c>
      <c r="I88" s="8" t="n">
        <f aca="false">ASINH(E88/(2*H88*SINH(D88/(2*H88))))</f>
        <v>0.13052874579869</v>
      </c>
      <c r="J88" s="8" t="n">
        <f aca="false">D88/2-H88*I88</f>
        <v>-177.395757154936</v>
      </c>
      <c r="K88" s="8" t="n">
        <f aca="false">-J88/H88</f>
        <v>0.106509679708375</v>
      </c>
      <c r="L88" s="8" t="n">
        <f aca="false">(D88-J88)/H88</f>
        <v>0.154547811889005</v>
      </c>
      <c r="M88" s="8" t="n">
        <f aca="false">H88*(SINH(L88)-SINH(K88))</f>
        <v>80.6995779030752</v>
      </c>
      <c r="N88" s="8" t="n">
        <f aca="false">M88*Parametros!$E$5</f>
        <v>242.098733709225</v>
      </c>
    </row>
    <row r="89" customFormat="false" ht="21" hidden="false" customHeight="true" outlineLevel="0" collapsed="false">
      <c r="A89" s="1" t="s">
        <v>406</v>
      </c>
      <c r="B89" s="1" t="s">
        <v>270</v>
      </c>
      <c r="C89" s="1" t="s">
        <v>271</v>
      </c>
      <c r="D89" s="8" t="n">
        <f aca="false">SQRT((INDEX(Postes!$B$7:$B$117,MATCH(C89,Postes!$A$7:$A$117,0))-INDEX(Postes!$B$7:$B$117,MATCH(B89,Postes!$A$7:$A$117,0)))^2+(INDEX(Postes!$C$7:$C$117,MATCH(C89,Postes!$A$7:$A$117,0))-INDEX(Postes!$C$7:$C$117,MATCH(B89,Postes!$A$7:$A$117,0)))^2)</f>
        <v>74.2630033422497</v>
      </c>
      <c r="E89" s="8" t="n">
        <f aca="false">INDEX(Postes!$D$7:$D$117,MATCH(C89,Postes!$A$7:$A$117,0))+INDEX(Postes!$G$7:$G$117,MATCH(C89,Postes!$A$7:$A$117,0))-INDEX(Postes!$D$7:$D$117,MATCH(B89,Postes!$A$7:$A$117,0))-INDEX(Postes!$G$7:$G$117,MATCH(B89,Postes!$A$7:$A$117,0))</f>
        <v>8.40828580615917</v>
      </c>
      <c r="F89" s="8" t="n">
        <f aca="false">Parametros!$E$8*Parametros!$E$9</f>
        <v>2205</v>
      </c>
      <c r="G89" s="8" t="n">
        <f aca="false">Parametros!$E$10/1000*Parametros!$E$11</f>
        <v>1.32389775</v>
      </c>
      <c r="H89" s="8" t="n">
        <f aca="false">F89/G89</f>
        <v>1665.53648119728</v>
      </c>
      <c r="I89" s="8" t="n">
        <f aca="false">ASINH(E89/(2*H89*SINH(D89/(2*H89))))</f>
        <v>0.112973233887492</v>
      </c>
      <c r="J89" s="8" t="n">
        <f aca="false">D89/2-H89*I89</f>
        <v>-151.029540767327</v>
      </c>
      <c r="K89" s="8" t="n">
        <f aca="false">-J89/H89</f>
        <v>0.090679215059137</v>
      </c>
      <c r="L89" s="8" t="n">
        <f aca="false">(D89-J89)/H89</f>
        <v>0.135267252715848</v>
      </c>
      <c r="M89" s="8" t="n">
        <f aca="false">H89*(SINH(L89)-SINH(K89))</f>
        <v>74.743606345739</v>
      </c>
      <c r="N89" s="8" t="n">
        <f aca="false">M89*Parametros!$E$5</f>
        <v>224.230819037217</v>
      </c>
    </row>
    <row r="90" customFormat="false" ht="21" hidden="false" customHeight="true" outlineLevel="0" collapsed="false">
      <c r="A90" s="1" t="s">
        <v>407</v>
      </c>
      <c r="B90" s="1" t="s">
        <v>271</v>
      </c>
      <c r="C90" s="1" t="s">
        <v>272</v>
      </c>
      <c r="D90" s="8" t="n">
        <f aca="false">SQRT((INDEX(Postes!$B$7:$B$117,MATCH(C90,Postes!$A$7:$A$117,0))-INDEX(Postes!$B$7:$B$117,MATCH(B90,Postes!$A$7:$A$117,0)))^2+(INDEX(Postes!$C$7:$C$117,MATCH(C90,Postes!$A$7:$A$117,0))-INDEX(Postes!$C$7:$C$117,MATCH(B90,Postes!$A$7:$A$117,0)))^2)</f>
        <v>74.2630033436845</v>
      </c>
      <c r="E90" s="8" t="n">
        <f aca="false">INDEX(Postes!$D$7:$D$117,MATCH(C90,Postes!$A$7:$A$117,0))+INDEX(Postes!$G$7:$G$117,MATCH(C90,Postes!$A$7:$A$117,0))-INDEX(Postes!$D$7:$D$117,MATCH(B90,Postes!$A$7:$A$117,0))-INDEX(Postes!$G$7:$G$117,MATCH(B90,Postes!$A$7:$A$117,0))</f>
        <v>7.32352600136974</v>
      </c>
      <c r="F90" s="8" t="n">
        <f aca="false">Parametros!$E$8*Parametros!$E$9</f>
        <v>2205</v>
      </c>
      <c r="G90" s="8" t="n">
        <f aca="false">Parametros!$E$10/1000*Parametros!$E$11</f>
        <v>1.32389775</v>
      </c>
      <c r="H90" s="8" t="n">
        <f aca="false">F90/G90</f>
        <v>1665.53648119728</v>
      </c>
      <c r="I90" s="8" t="n">
        <f aca="false">ASINH(E90/(2*H90*SINH(D90/(2*H90))))</f>
        <v>0.0984488002153547</v>
      </c>
      <c r="J90" s="8" t="n">
        <f aca="false">D90/2-H90*I90</f>
        <v>-126.838566616934</v>
      </c>
      <c r="K90" s="8" t="n">
        <f aca="false">-J90/H90</f>
        <v>0.0761547813865687</v>
      </c>
      <c r="L90" s="8" t="n">
        <f aca="false">(D90-J90)/H90</f>
        <v>0.120742819044141</v>
      </c>
      <c r="M90" s="8" t="n">
        <f aca="false">H90*(SINH(L90)-SINH(K90))</f>
        <v>74.6293605270383</v>
      </c>
      <c r="N90" s="8" t="n">
        <f aca="false">M90*Parametros!$E$5</f>
        <v>223.888081581115</v>
      </c>
    </row>
    <row r="91" customFormat="false" ht="21" hidden="false" customHeight="true" outlineLevel="0" collapsed="false">
      <c r="A91" s="1" t="s">
        <v>408</v>
      </c>
      <c r="B91" s="1" t="s">
        <v>272</v>
      </c>
      <c r="C91" s="1" t="s">
        <v>273</v>
      </c>
      <c r="D91" s="8" t="n">
        <f aca="false">SQRT((INDEX(Postes!$B$7:$B$117,MATCH(C91,Postes!$A$7:$A$117,0))-INDEX(Postes!$B$7:$B$117,MATCH(B91,Postes!$A$7:$A$117,0)))^2+(INDEX(Postes!$C$7:$C$117,MATCH(C91,Postes!$A$7:$A$117,0))-INDEX(Postes!$C$7:$C$117,MATCH(B91,Postes!$A$7:$A$117,0)))^2)</f>
        <v>74.2630033422497</v>
      </c>
      <c r="E91" s="8" t="n">
        <f aca="false">INDEX(Postes!$D$7:$D$117,MATCH(C91,Postes!$A$7:$A$117,0))+INDEX(Postes!$G$7:$G$117,MATCH(C91,Postes!$A$7:$A$117,0))-INDEX(Postes!$D$7:$D$117,MATCH(B91,Postes!$A$7:$A$117,0))-INDEX(Postes!$G$7:$G$117,MATCH(B91,Postes!$A$7:$A$117,0))</f>
        <v>12.2541595334991</v>
      </c>
      <c r="F91" s="8" t="n">
        <f aca="false">Parametros!$E$8*Parametros!$E$9</f>
        <v>2205</v>
      </c>
      <c r="G91" s="8" t="n">
        <f aca="false">Parametros!$E$10/1000*Parametros!$E$11</f>
        <v>1.32389775</v>
      </c>
      <c r="H91" s="8" t="n">
        <f aca="false">F91/G91</f>
        <v>1665.53648119728</v>
      </c>
      <c r="I91" s="8" t="n">
        <f aca="false">ASINH(E91/(2*H91*SINH(D91/(2*H91))))</f>
        <v>0.164257003335053</v>
      </c>
      <c r="J91" s="8" t="n">
        <f aca="false">D91/2-H91*I91</f>
        <v>-236.44452967555</v>
      </c>
      <c r="K91" s="8" t="n">
        <f aca="false">-J91/H91</f>
        <v>0.141962984506698</v>
      </c>
      <c r="L91" s="8" t="n">
        <f aca="false">(D91-J91)/H91</f>
        <v>0.186551022163408</v>
      </c>
      <c r="M91" s="8" t="n">
        <f aca="false">H91*(SINH(L91)-SINH(K91))</f>
        <v>75.2733142969086</v>
      </c>
      <c r="N91" s="8" t="n">
        <f aca="false">M91*Parametros!$E$5</f>
        <v>225.819942890726</v>
      </c>
    </row>
    <row r="92" customFormat="false" ht="21" hidden="false" customHeight="true" outlineLevel="0" collapsed="false">
      <c r="A92" s="1" t="s">
        <v>409</v>
      </c>
      <c r="B92" s="1" t="s">
        <v>273</v>
      </c>
      <c r="C92" s="1" t="s">
        <v>274</v>
      </c>
      <c r="D92" s="8" t="n">
        <f aca="false">SQRT((INDEX(Postes!$B$7:$B$117,MATCH(C92,Postes!$A$7:$A$117,0))-INDEX(Postes!$B$7:$B$117,MATCH(B92,Postes!$A$7:$A$117,0)))^2+(INDEX(Postes!$C$7:$C$117,MATCH(C92,Postes!$A$7:$A$117,0))-INDEX(Postes!$C$7:$C$117,MATCH(B92,Postes!$A$7:$A$117,0)))^2)</f>
        <v>37.018144822724</v>
      </c>
      <c r="E92" s="8" t="n">
        <f aca="false">INDEX(Postes!$D$7:$D$117,MATCH(C92,Postes!$A$7:$A$117,0))+INDEX(Postes!$G$7:$G$117,MATCH(C92,Postes!$A$7:$A$117,0))-INDEX(Postes!$D$7:$D$117,MATCH(B92,Postes!$A$7:$A$117,0))-INDEX(Postes!$G$7:$G$117,MATCH(B92,Postes!$A$7:$A$117,0))</f>
        <v>-3.82438583158328</v>
      </c>
      <c r="F92" s="8" t="n">
        <f aca="false">Parametros!$E$8*Parametros!$E$9</f>
        <v>2205</v>
      </c>
      <c r="G92" s="8" t="n">
        <f aca="false">Parametros!$E$10/1000*Parametros!$E$11</f>
        <v>1.32389775</v>
      </c>
      <c r="H92" s="8" t="n">
        <f aca="false">F92/G92</f>
        <v>1665.53648119728</v>
      </c>
      <c r="I92" s="8" t="n">
        <f aca="false">ASINH(E92/(2*H92*SINH(D92/(2*H92))))</f>
        <v>-0.103126100858644</v>
      </c>
      <c r="J92" s="8" t="n">
        <f aca="false">D92/2-H92*I92</f>
        <v>190.269355555064</v>
      </c>
      <c r="K92" s="8" t="n">
        <f aca="false">-J92/H92</f>
        <v>-0.114239080142086</v>
      </c>
      <c r="L92" s="8" t="n">
        <f aca="false">(D92-J92)/H92</f>
        <v>-0.0920131215752022</v>
      </c>
      <c r="M92" s="8" t="n">
        <f aca="false">H92*(SINH(L92)-SINH(K92))</f>
        <v>37.2159291932456</v>
      </c>
      <c r="N92" s="8" t="n">
        <f aca="false">M92*Parametros!$E$5</f>
        <v>111.647787579737</v>
      </c>
    </row>
    <row r="93" customFormat="false" ht="21" hidden="false" customHeight="true" outlineLevel="0" collapsed="false">
      <c r="A93" s="1" t="s">
        <v>410</v>
      </c>
      <c r="B93" s="1" t="s">
        <v>274</v>
      </c>
      <c r="C93" s="1" t="s">
        <v>275</v>
      </c>
      <c r="D93" s="8" t="n">
        <f aca="false">SQRT((INDEX(Postes!$B$7:$B$117,MATCH(C93,Postes!$A$7:$A$117,0))-INDEX(Postes!$B$7:$B$117,MATCH(B93,Postes!$A$7:$A$117,0)))^2+(INDEX(Postes!$C$7:$C$117,MATCH(C93,Postes!$A$7:$A$117,0))-INDEX(Postes!$C$7:$C$117,MATCH(B93,Postes!$A$7:$A$117,0)))^2)</f>
        <v>70.6951334234803</v>
      </c>
      <c r="E93" s="8" t="n">
        <f aca="false">INDEX(Postes!$D$7:$D$117,MATCH(C93,Postes!$A$7:$A$117,0))+INDEX(Postes!$G$7:$G$117,MATCH(C93,Postes!$A$7:$A$117,0))-INDEX(Postes!$D$7:$D$117,MATCH(B93,Postes!$A$7:$A$117,0))-INDEX(Postes!$G$7:$G$117,MATCH(B93,Postes!$A$7:$A$117,0))</f>
        <v>-1.98220579223798</v>
      </c>
      <c r="F93" s="8" t="n">
        <f aca="false">Parametros!$E$8*Parametros!$E$9</f>
        <v>2205</v>
      </c>
      <c r="G93" s="8" t="n">
        <f aca="false">Parametros!$E$10/1000*Parametros!$E$11</f>
        <v>1.32389775</v>
      </c>
      <c r="H93" s="8" t="n">
        <f aca="false">F93/G93</f>
        <v>1665.53648119728</v>
      </c>
      <c r="I93" s="8" t="n">
        <f aca="false">ASINH(E93/(2*H93*SINH(D93/(2*H93))))</f>
        <v>-0.0280330105660365</v>
      </c>
      <c r="J93" s="8" t="n">
        <f aca="false">D93/2-H93*I93</f>
        <v>82.0375684872628</v>
      </c>
      <c r="K93" s="8" t="n">
        <f aca="false">-J93/H93</f>
        <v>-0.0492559421023846</v>
      </c>
      <c r="L93" s="8" t="n">
        <f aca="false">(D93-J93)/H93</f>
        <v>-0.00681007902968835</v>
      </c>
      <c r="M93" s="8" t="n">
        <f aca="false">H93*(SINH(L93)-SINH(K93))</f>
        <v>70.7282223207257</v>
      </c>
      <c r="N93" s="8" t="n">
        <f aca="false">M93*Parametros!$E$5</f>
        <v>212.184666962177</v>
      </c>
    </row>
    <row r="94" customFormat="false" ht="21" hidden="false" customHeight="true" outlineLevel="0" collapsed="false">
      <c r="A94" s="1" t="s">
        <v>411</v>
      </c>
      <c r="B94" s="1" t="s">
        <v>275</v>
      </c>
      <c r="C94" s="1" t="s">
        <v>276</v>
      </c>
      <c r="D94" s="8" t="n">
        <f aca="false">SQRT((INDEX(Postes!$B$7:$B$117,MATCH(C94,Postes!$A$7:$A$117,0))-INDEX(Postes!$B$7:$B$117,MATCH(B94,Postes!$A$7:$A$117,0)))^2+(INDEX(Postes!$C$7:$C$117,MATCH(C94,Postes!$A$7:$A$117,0))-INDEX(Postes!$C$7:$C$117,MATCH(B94,Postes!$A$7:$A$117,0)))^2)</f>
        <v>55.4082986701556</v>
      </c>
      <c r="E94" s="8" t="n">
        <f aca="false">INDEX(Postes!$D$7:$D$117,MATCH(C94,Postes!$A$7:$A$117,0))+INDEX(Postes!$G$7:$G$117,MATCH(C94,Postes!$A$7:$A$117,0))-INDEX(Postes!$D$7:$D$117,MATCH(B94,Postes!$A$7:$A$117,0))-INDEX(Postes!$G$7:$G$117,MATCH(B94,Postes!$A$7:$A$117,0))</f>
        <v>8.18786847923493</v>
      </c>
      <c r="F94" s="8" t="n">
        <f aca="false">Parametros!$E$8*Parametros!$E$9</f>
        <v>2205</v>
      </c>
      <c r="G94" s="8" t="n">
        <f aca="false">Parametros!$E$10/1000*Parametros!$E$11</f>
        <v>1.32389775</v>
      </c>
      <c r="H94" s="8" t="n">
        <f aca="false">F94/G94</f>
        <v>1665.53648119728</v>
      </c>
      <c r="I94" s="8" t="n">
        <f aca="false">ASINH(E94/(2*H94*SINH(D94/(2*H94))))</f>
        <v>0.147233980534148</v>
      </c>
      <c r="J94" s="8" t="n">
        <f aca="false">D94/2-H94*I94</f>
        <v>-217.519416516437</v>
      </c>
      <c r="K94" s="8" t="n">
        <f aca="false">-J94/H94</f>
        <v>0.130600211386587</v>
      </c>
      <c r="L94" s="8" t="n">
        <f aca="false">(D94-J94)/H94</f>
        <v>0.16386774968171</v>
      </c>
      <c r="M94" s="8" t="n">
        <f aca="false">H94*(SINH(L94)-SINH(K94))</f>
        <v>56.0125334879053</v>
      </c>
      <c r="N94" s="8" t="n">
        <f aca="false">M94*Parametros!$E$5</f>
        <v>168.037600463716</v>
      </c>
    </row>
    <row r="95" customFormat="false" ht="21" hidden="false" customHeight="true" outlineLevel="0" collapsed="false">
      <c r="A95" s="1" t="s">
        <v>412</v>
      </c>
      <c r="B95" s="1" t="s">
        <v>276</v>
      </c>
      <c r="C95" s="1" t="s">
        <v>277</v>
      </c>
      <c r="D95" s="8" t="n">
        <f aca="false">SQRT((INDEX(Postes!$B$7:$B$117,MATCH(C95,Postes!$A$7:$A$117,0))-INDEX(Postes!$B$7:$B$117,MATCH(B95,Postes!$A$7:$A$117,0)))^2+(INDEX(Postes!$C$7:$C$117,MATCH(C95,Postes!$A$7:$A$117,0))-INDEX(Postes!$C$7:$C$117,MATCH(B95,Postes!$A$7:$A$117,0)))^2)</f>
        <v>55.4082986701556</v>
      </c>
      <c r="E95" s="8" t="n">
        <f aca="false">INDEX(Postes!$D$7:$D$117,MATCH(C95,Postes!$A$7:$A$117,0))+INDEX(Postes!$G$7:$G$117,MATCH(C95,Postes!$A$7:$A$117,0))-INDEX(Postes!$D$7:$D$117,MATCH(B95,Postes!$A$7:$A$117,0))-INDEX(Postes!$G$7:$G$117,MATCH(B95,Postes!$A$7:$A$117,0))</f>
        <v>8.75873659647405</v>
      </c>
      <c r="F95" s="8" t="n">
        <f aca="false">Parametros!$E$8*Parametros!$E$9</f>
        <v>2205</v>
      </c>
      <c r="G95" s="8" t="n">
        <f aca="false">Parametros!$E$10/1000*Parametros!$E$11</f>
        <v>1.32389775</v>
      </c>
      <c r="H95" s="8" t="n">
        <f aca="false">F95/G95</f>
        <v>1665.53648119728</v>
      </c>
      <c r="I95" s="8" t="n">
        <f aca="false">ASINH(E95/(2*H95*SINH(D95/(2*H95))))</f>
        <v>0.157418016443879</v>
      </c>
      <c r="J95" s="8" t="n">
        <f aca="false">D95/2-H95*I95</f>
        <v>-234.481299849917</v>
      </c>
      <c r="K95" s="8" t="n">
        <f aca="false">-J95/H95</f>
        <v>0.140784247296318</v>
      </c>
      <c r="L95" s="8" t="n">
        <f aca="false">(D95-J95)/H95</f>
        <v>0.174051785591441</v>
      </c>
      <c r="M95" s="8" t="n">
        <f aca="false">H95*(SINH(L95)-SINH(K95))</f>
        <v>56.0988251594174</v>
      </c>
      <c r="N95" s="8" t="n">
        <f aca="false">M95*Parametros!$E$5</f>
        <v>168.296475478252</v>
      </c>
    </row>
    <row r="96" customFormat="false" ht="21" hidden="false" customHeight="true" outlineLevel="0" collapsed="false">
      <c r="A96" s="1" t="s">
        <v>413</v>
      </c>
      <c r="B96" s="1" t="s">
        <v>277</v>
      </c>
      <c r="C96" s="1" t="s">
        <v>278</v>
      </c>
      <c r="D96" s="8" t="n">
        <f aca="false">SQRT((INDEX(Postes!$B$7:$B$117,MATCH(C96,Postes!$A$7:$A$117,0))-INDEX(Postes!$B$7:$B$117,MATCH(B96,Postes!$A$7:$A$117,0)))^2+(INDEX(Postes!$C$7:$C$117,MATCH(C96,Postes!$A$7:$A$117,0))-INDEX(Postes!$C$7:$C$117,MATCH(B96,Postes!$A$7:$A$117,0)))^2)</f>
        <v>63.2171313519947</v>
      </c>
      <c r="E96" s="8" t="n">
        <f aca="false">INDEX(Postes!$D$7:$D$117,MATCH(C96,Postes!$A$7:$A$117,0))+INDEX(Postes!$G$7:$G$117,MATCH(C96,Postes!$A$7:$A$117,0))-INDEX(Postes!$D$7:$D$117,MATCH(B96,Postes!$A$7:$A$117,0))-INDEX(Postes!$G$7:$G$117,MATCH(B96,Postes!$A$7:$A$117,0))</f>
        <v>3.64741136268831</v>
      </c>
      <c r="F96" s="8" t="n">
        <f aca="false">Parametros!$E$8*Parametros!$E$9</f>
        <v>2205</v>
      </c>
      <c r="G96" s="8" t="n">
        <f aca="false">Parametros!$E$10/1000*Parametros!$E$11</f>
        <v>1.32389775</v>
      </c>
      <c r="H96" s="8" t="n">
        <f aca="false">F96/G96</f>
        <v>1665.53648119728</v>
      </c>
      <c r="I96" s="8" t="n">
        <f aca="false">ASINH(E96/(2*H96*SINH(D96/(2*H96))))</f>
        <v>0.0576611449648679</v>
      </c>
      <c r="J96" s="8" t="n">
        <f aca="false">D96/2-H96*I96</f>
        <v>-64.4281748105952</v>
      </c>
      <c r="K96" s="8" t="n">
        <f aca="false">-J96/H96</f>
        <v>0.03868313635753</v>
      </c>
      <c r="L96" s="8" t="n">
        <f aca="false">(D96-J96)/H96</f>
        <v>0.0766391535722058</v>
      </c>
      <c r="M96" s="8" t="n">
        <f aca="false">H96*(SINH(L96)-SINH(K96))</f>
        <v>63.3260540164843</v>
      </c>
      <c r="N96" s="8" t="n">
        <f aca="false">M96*Parametros!$E$5</f>
        <v>189.978162049453</v>
      </c>
    </row>
    <row r="97" customFormat="false" ht="21" hidden="false" customHeight="true" outlineLevel="0" collapsed="false">
      <c r="A97" s="1" t="s">
        <v>414</v>
      </c>
      <c r="B97" s="1" t="s">
        <v>278</v>
      </c>
      <c r="C97" s="1" t="s">
        <v>279</v>
      </c>
      <c r="D97" s="8" t="n">
        <f aca="false">SQRT((INDEX(Postes!$B$7:$B$117,MATCH(C97,Postes!$A$7:$A$117,0))-INDEX(Postes!$B$7:$B$117,MATCH(B97,Postes!$A$7:$A$117,0)))^2+(INDEX(Postes!$C$7:$C$117,MATCH(C97,Postes!$A$7:$A$117,0))-INDEX(Postes!$C$7:$C$117,MATCH(B97,Postes!$A$7:$A$117,0)))^2)</f>
        <v>45.0891793979234</v>
      </c>
      <c r="E97" s="8" t="n">
        <f aca="false">INDEX(Postes!$D$7:$D$117,MATCH(C97,Postes!$A$7:$A$117,0))+INDEX(Postes!$G$7:$G$117,MATCH(C97,Postes!$A$7:$A$117,0))-INDEX(Postes!$D$7:$D$117,MATCH(B97,Postes!$A$7:$A$117,0))-INDEX(Postes!$G$7:$G$117,MATCH(B97,Postes!$A$7:$A$117,0))</f>
        <v>-4.26606430303345</v>
      </c>
      <c r="F97" s="8" t="n">
        <f aca="false">Parametros!$E$8*Parametros!$E$9</f>
        <v>2205</v>
      </c>
      <c r="G97" s="8" t="n">
        <f aca="false">Parametros!$E$10/1000*Parametros!$E$11</f>
        <v>1.32389775</v>
      </c>
      <c r="H97" s="8" t="n">
        <f aca="false">F97/G97</f>
        <v>1665.53648119728</v>
      </c>
      <c r="I97" s="8" t="n">
        <f aca="false">ASINH(E97/(2*H97*SINH(D97/(2*H97))))</f>
        <v>-0.0944704550153432</v>
      </c>
      <c r="J97" s="8" t="n">
        <f aca="false">D97/2-H97*I97</f>
        <v>179.888578922323</v>
      </c>
      <c r="K97" s="8" t="n">
        <f aca="false">-J97/H97</f>
        <v>-0.108006387703383</v>
      </c>
      <c r="L97" s="8" t="n">
        <f aca="false">(D97-J97)/H97</f>
        <v>-0.0809345223273031</v>
      </c>
      <c r="M97" s="8" t="n">
        <f aca="false">H97*(SINH(L97)-SINH(K97))</f>
        <v>45.2919150800337</v>
      </c>
      <c r="N97" s="8" t="n">
        <f aca="false">M97*Parametros!$E$5</f>
        <v>135.875745240101</v>
      </c>
    </row>
    <row r="98" customFormat="false" ht="21" hidden="false" customHeight="true" outlineLevel="0" collapsed="false">
      <c r="A98" s="1" t="s">
        <v>415</v>
      </c>
      <c r="B98" s="1" t="s">
        <v>279</v>
      </c>
      <c r="C98" s="1" t="s">
        <v>280</v>
      </c>
      <c r="D98" s="8" t="n">
        <f aca="false">SQRT((INDEX(Postes!$B$7:$B$117,MATCH(C98,Postes!$A$7:$A$117,0))-INDEX(Postes!$B$7:$B$117,MATCH(B98,Postes!$A$7:$A$117,0)))^2+(INDEX(Postes!$C$7:$C$117,MATCH(C98,Postes!$A$7:$A$117,0))-INDEX(Postes!$C$7:$C$117,MATCH(B98,Postes!$A$7:$A$117,0)))^2)</f>
        <v>52.3914821658332</v>
      </c>
      <c r="E98" s="8" t="n">
        <f aca="false">INDEX(Postes!$D$7:$D$117,MATCH(C98,Postes!$A$7:$A$117,0))+INDEX(Postes!$G$7:$G$117,MATCH(C98,Postes!$A$7:$A$117,0))-INDEX(Postes!$D$7:$D$117,MATCH(B98,Postes!$A$7:$A$117,0))-INDEX(Postes!$G$7:$G$117,MATCH(B98,Postes!$A$7:$A$117,0))</f>
        <v>1.42416398684318</v>
      </c>
      <c r="F98" s="8" t="n">
        <f aca="false">Parametros!$E$8*Parametros!$E$9</f>
        <v>2205</v>
      </c>
      <c r="G98" s="8" t="n">
        <f aca="false">Parametros!$E$10/1000*Parametros!$E$11</f>
        <v>1.32389775</v>
      </c>
      <c r="H98" s="8" t="n">
        <f aca="false">F98/G98</f>
        <v>1665.53648119728</v>
      </c>
      <c r="I98" s="8" t="n">
        <f aca="false">ASINH(E98/(2*H98*SINH(D98/(2*H98))))</f>
        <v>0.0271786538935795</v>
      </c>
      <c r="J98" s="8" t="n">
        <f aca="false">D98/2-H98*I98</f>
        <v>-19.0712984866747</v>
      </c>
      <c r="K98" s="8" t="n">
        <f aca="false">-J98/H98</f>
        <v>0.0114505438349601</v>
      </c>
      <c r="L98" s="8" t="n">
        <f aca="false">(D98-J98)/H98</f>
        <v>0.0429067639521989</v>
      </c>
      <c r="M98" s="8" t="n">
        <f aca="false">H98*(SINH(L98)-SINH(K98))</f>
        <v>52.4129944749307</v>
      </c>
      <c r="N98" s="8" t="n">
        <f aca="false">M98*Parametros!$E$5</f>
        <v>157.238983424792</v>
      </c>
    </row>
    <row r="99" customFormat="false" ht="21" hidden="false" customHeight="true" outlineLevel="0" collapsed="false">
      <c r="A99" s="1" t="s">
        <v>416</v>
      </c>
      <c r="B99" s="1" t="s">
        <v>280</v>
      </c>
      <c r="C99" s="1" t="s">
        <v>281</v>
      </c>
      <c r="D99" s="8" t="n">
        <f aca="false">SQRT((INDEX(Postes!$B$7:$B$117,MATCH(C99,Postes!$A$7:$A$117,0))-INDEX(Postes!$B$7:$B$117,MATCH(B99,Postes!$A$7:$A$117,0)))^2+(INDEX(Postes!$C$7:$C$117,MATCH(C99,Postes!$A$7:$A$117,0))-INDEX(Postes!$C$7:$C$117,MATCH(B99,Postes!$A$7:$A$117,0)))^2)</f>
        <v>48.254927655929</v>
      </c>
      <c r="E99" s="8" t="n">
        <f aca="false">INDEX(Postes!$D$7:$D$117,MATCH(C99,Postes!$A$7:$A$117,0))+INDEX(Postes!$G$7:$G$117,MATCH(C99,Postes!$A$7:$A$117,0))-INDEX(Postes!$D$7:$D$117,MATCH(B99,Postes!$A$7:$A$117,0))-INDEX(Postes!$G$7:$G$117,MATCH(B99,Postes!$A$7:$A$117,0))</f>
        <v>7.91258040081075</v>
      </c>
      <c r="F99" s="8" t="n">
        <f aca="false">Parametros!$E$8*Parametros!$E$9</f>
        <v>2205</v>
      </c>
      <c r="G99" s="8" t="n">
        <f aca="false">Parametros!$E$10/1000*Parametros!$E$11</f>
        <v>1.32389775</v>
      </c>
      <c r="H99" s="8" t="n">
        <f aca="false">F99/G99</f>
        <v>1665.53648119728</v>
      </c>
      <c r="I99" s="8" t="n">
        <f aca="false">ASINH(E99/(2*H99*SINH(D99/(2*H99))))</f>
        <v>0.163242833827077</v>
      </c>
      <c r="J99" s="8" t="n">
        <f aca="false">D99/2-H99*I99</f>
        <v>-247.759431205058</v>
      </c>
      <c r="K99" s="8" t="n">
        <f aca="false">-J99/H99</f>
        <v>0.14875653220574</v>
      </c>
      <c r="L99" s="8" t="n">
        <f aca="false">(D99-J99)/H99</f>
        <v>0.177729135448414</v>
      </c>
      <c r="M99" s="8" t="n">
        <f aca="false">H99*(SINH(L99)-SINH(K99))</f>
        <v>48.9010210501763</v>
      </c>
      <c r="N99" s="8" t="n">
        <f aca="false">M99*Parametros!$E$5</f>
        <v>146.703063150529</v>
      </c>
    </row>
    <row r="100" customFormat="false" ht="21" hidden="false" customHeight="true" outlineLevel="0" collapsed="false">
      <c r="A100" s="1" t="s">
        <v>417</v>
      </c>
      <c r="B100" s="1" t="s">
        <v>281</v>
      </c>
      <c r="C100" s="1" t="s">
        <v>282</v>
      </c>
      <c r="D100" s="8" t="n">
        <f aca="false">SQRT((INDEX(Postes!$B$7:$B$117,MATCH(C100,Postes!$A$7:$A$117,0))-INDEX(Postes!$B$7:$B$117,MATCH(B100,Postes!$A$7:$A$117,0)))^2+(INDEX(Postes!$C$7:$C$117,MATCH(C100,Postes!$A$7:$A$117,0))-INDEX(Postes!$C$7:$C$117,MATCH(B100,Postes!$A$7:$A$117,0)))^2)</f>
        <v>49.3601114634193</v>
      </c>
      <c r="E100" s="8" t="n">
        <f aca="false">INDEX(Postes!$D$7:$D$117,MATCH(C100,Postes!$A$7:$A$117,0))+INDEX(Postes!$G$7:$G$117,MATCH(C100,Postes!$A$7:$A$117,0))-INDEX(Postes!$D$7:$D$117,MATCH(B100,Postes!$A$7:$A$117,0))-INDEX(Postes!$G$7:$G$117,MATCH(B100,Postes!$A$7:$A$117,0))</f>
        <v>7.0698471562022</v>
      </c>
      <c r="F100" s="8" t="n">
        <f aca="false">Parametros!$E$8*Parametros!$E$9</f>
        <v>2205</v>
      </c>
      <c r="G100" s="8" t="n">
        <f aca="false">Parametros!$E$10/1000*Parametros!$E$11</f>
        <v>1.32389775</v>
      </c>
      <c r="H100" s="8" t="n">
        <f aca="false">F100/G100</f>
        <v>1665.53648119728</v>
      </c>
      <c r="I100" s="8" t="n">
        <f aca="false">ASINH(E100/(2*H100*SINH(D100/(2*H100))))</f>
        <v>0.142739522454205</v>
      </c>
      <c r="J100" s="8" t="n">
        <f aca="false">D100/2-H100*I100</f>
        <v>-213.057826224447</v>
      </c>
      <c r="K100" s="8" t="n">
        <f aca="false">-J100/H100</f>
        <v>0.127921440706774</v>
      </c>
      <c r="L100" s="8" t="n">
        <f aca="false">(D100-J100)/H100</f>
        <v>0.157557604201636</v>
      </c>
      <c r="M100" s="8" t="n">
        <f aca="false">H100*(SINH(L100)-SINH(K100))</f>
        <v>49.8656362021261</v>
      </c>
      <c r="N100" s="8" t="n">
        <f aca="false">M100*Parametros!$E$5</f>
        <v>149.596908606378</v>
      </c>
    </row>
    <row r="101" customFormat="false" ht="21" hidden="false" customHeight="true" outlineLevel="0" collapsed="false">
      <c r="A101" s="1" t="s">
        <v>418</v>
      </c>
      <c r="B101" s="1" t="s">
        <v>282</v>
      </c>
      <c r="C101" s="1" t="s">
        <v>283</v>
      </c>
      <c r="D101" s="8" t="n">
        <f aca="false">SQRT((INDEX(Postes!$B$7:$B$117,MATCH(C101,Postes!$A$7:$A$117,0))-INDEX(Postes!$B$7:$B$117,MATCH(B101,Postes!$A$7:$A$117,0)))^2+(INDEX(Postes!$C$7:$C$117,MATCH(C101,Postes!$A$7:$A$117,0))-INDEX(Postes!$C$7:$C$117,MATCH(B101,Postes!$A$7:$A$117,0)))^2)</f>
        <v>71.7626116591018</v>
      </c>
      <c r="E101" s="8" t="n">
        <f aca="false">INDEX(Postes!$D$7:$D$117,MATCH(C101,Postes!$A$7:$A$117,0))+INDEX(Postes!$G$7:$G$117,MATCH(C101,Postes!$A$7:$A$117,0))-INDEX(Postes!$D$7:$D$117,MATCH(B101,Postes!$A$7:$A$117,0))-INDEX(Postes!$G$7:$G$117,MATCH(B101,Postes!$A$7:$A$117,0))</f>
        <v>5.62222176267496</v>
      </c>
      <c r="F101" s="8" t="n">
        <f aca="false">Parametros!$E$8*Parametros!$E$9</f>
        <v>2205</v>
      </c>
      <c r="G101" s="8" t="n">
        <f aca="false">Parametros!$E$10/1000*Parametros!$E$11</f>
        <v>1.32389775</v>
      </c>
      <c r="H101" s="8" t="n">
        <f aca="false">F101/G101</f>
        <v>1665.53648119728</v>
      </c>
      <c r="I101" s="8" t="n">
        <f aca="false">ASINH(E101/(2*H101*SINH(D101/(2*H101))))</f>
        <v>0.0782587545594882</v>
      </c>
      <c r="J101" s="8" t="n">
        <f aca="false">D101/2-H101*I101</f>
        <v>-94.4615048623409</v>
      </c>
      <c r="K101" s="8" t="n">
        <f aca="false">-J101/H101</f>
        <v>0.0567153622443842</v>
      </c>
      <c r="L101" s="8" t="n">
        <f aca="false">(D101-J101)/H101</f>
        <v>0.0998021468745922</v>
      </c>
      <c r="M101" s="8" t="n">
        <f aca="false">H101*(SINH(L101)-SINH(K101))</f>
        <v>71.9880446652606</v>
      </c>
      <c r="N101" s="8" t="n">
        <f aca="false">M101*Parametros!$E$5</f>
        <v>215.964133995782</v>
      </c>
    </row>
    <row r="102" customFormat="false" ht="21" hidden="false" customHeight="true" outlineLevel="0" collapsed="false">
      <c r="A102" s="1" t="s">
        <v>419</v>
      </c>
      <c r="B102" s="1" t="s">
        <v>283</v>
      </c>
      <c r="C102" s="1" t="s">
        <v>284</v>
      </c>
      <c r="D102" s="8" t="n">
        <f aca="false">SQRT((INDEX(Postes!$B$7:$B$117,MATCH(C102,Postes!$A$7:$A$117,0))-INDEX(Postes!$B$7:$B$117,MATCH(B102,Postes!$A$7:$A$117,0)))^2+(INDEX(Postes!$C$7:$C$117,MATCH(C102,Postes!$A$7:$A$117,0))-INDEX(Postes!$C$7:$C$117,MATCH(B102,Postes!$A$7:$A$117,0)))^2)</f>
        <v>71.7626116573573</v>
      </c>
      <c r="E102" s="8" t="n">
        <f aca="false">INDEX(Postes!$D$7:$D$117,MATCH(C102,Postes!$A$7:$A$117,0))+INDEX(Postes!$G$7:$G$117,MATCH(C102,Postes!$A$7:$A$117,0))-INDEX(Postes!$D$7:$D$117,MATCH(B102,Postes!$A$7:$A$117,0))-INDEX(Postes!$G$7:$G$117,MATCH(B102,Postes!$A$7:$A$117,0))</f>
        <v>-2.08458132191017</v>
      </c>
      <c r="F102" s="8" t="n">
        <f aca="false">Parametros!$E$8*Parametros!$E$9</f>
        <v>2205</v>
      </c>
      <c r="G102" s="8" t="n">
        <f aca="false">Parametros!$E$10/1000*Parametros!$E$11</f>
        <v>1.32389775</v>
      </c>
      <c r="H102" s="8" t="n">
        <f aca="false">F102/G102</f>
        <v>1665.53648119728</v>
      </c>
      <c r="I102" s="8" t="n">
        <f aca="false">ASINH(E102/(2*H102*SINH(D102/(2*H102))))</f>
        <v>-0.0290419628056087</v>
      </c>
      <c r="J102" s="8" t="n">
        <f aca="false">D102/2-H102*I102</f>
        <v>84.2517543669945</v>
      </c>
      <c r="K102" s="8" t="n">
        <f aca="false">-J102/H102</f>
        <v>-0.050585355120189</v>
      </c>
      <c r="L102" s="8" t="n">
        <f aca="false">(D102-J102)/H102</f>
        <v>-0.00749857049102836</v>
      </c>
      <c r="M102" s="8" t="n">
        <f aca="false">H102*(SINH(L102)-SINH(K102))</f>
        <v>71.7984308757237</v>
      </c>
      <c r="N102" s="8" t="n">
        <f aca="false">M102*Parametros!$E$5</f>
        <v>215.395292627171</v>
      </c>
    </row>
    <row r="103" customFormat="false" ht="21" hidden="false" customHeight="true" outlineLevel="0" collapsed="false">
      <c r="A103" s="1" t="s">
        <v>420</v>
      </c>
      <c r="B103" s="1" t="s">
        <v>284</v>
      </c>
      <c r="C103" s="1" t="s">
        <v>285</v>
      </c>
      <c r="D103" s="8" t="n">
        <f aca="false">SQRT((INDEX(Postes!$B$7:$B$117,MATCH(C103,Postes!$A$7:$A$117,0))-INDEX(Postes!$B$7:$B$117,MATCH(B103,Postes!$A$7:$A$117,0)))^2+(INDEX(Postes!$C$7:$C$117,MATCH(C103,Postes!$A$7:$A$117,0))-INDEX(Postes!$C$7:$C$117,MATCH(B103,Postes!$A$7:$A$117,0)))^2)</f>
        <v>71.7626116591239</v>
      </c>
      <c r="E103" s="8" t="n">
        <f aca="false">INDEX(Postes!$D$7:$D$117,MATCH(C103,Postes!$A$7:$A$117,0))+INDEX(Postes!$G$7:$G$117,MATCH(C103,Postes!$A$7:$A$117,0))-INDEX(Postes!$D$7:$D$117,MATCH(B103,Postes!$A$7:$A$117,0))-INDEX(Postes!$G$7:$G$117,MATCH(B103,Postes!$A$7:$A$117,0))</f>
        <v>-7.87634907038491</v>
      </c>
      <c r="F103" s="8" t="n">
        <f aca="false">Parametros!$E$8*Parametros!$E$9</f>
        <v>2205</v>
      </c>
      <c r="G103" s="8" t="n">
        <f aca="false">Parametros!$E$10/1000*Parametros!$E$11</f>
        <v>1.32389775</v>
      </c>
      <c r="H103" s="8" t="n">
        <f aca="false">F103/G103</f>
        <v>1665.53648119728</v>
      </c>
      <c r="I103" s="8" t="n">
        <f aca="false">ASINH(E103/(2*H103*SINH(D103/(2*H103))))</f>
        <v>-0.109527997140247</v>
      </c>
      <c r="J103" s="8" t="n">
        <f aca="false">D103/2-H103*I103</f>
        <v>218.304180779115</v>
      </c>
      <c r="K103" s="8" t="n">
        <f aca="false">-J103/H103</f>
        <v>-0.131071389455357</v>
      </c>
      <c r="L103" s="8" t="n">
        <f aca="false">(D103-J103)/H103</f>
        <v>-0.0879846048251361</v>
      </c>
      <c r="M103" s="8" t="n">
        <f aca="false">H103*(SINH(L103)-SINH(K103))</f>
        <v>72.1990725138529</v>
      </c>
      <c r="N103" s="8" t="n">
        <f aca="false">M103*Parametros!$E$5</f>
        <v>216.597217541559</v>
      </c>
    </row>
    <row r="104" customFormat="false" ht="21" hidden="false" customHeight="true" outlineLevel="0" collapsed="false">
      <c r="A104" s="1" t="s">
        <v>421</v>
      </c>
      <c r="B104" s="1" t="s">
        <v>285</v>
      </c>
      <c r="C104" s="1" t="s">
        <v>286</v>
      </c>
      <c r="D104" s="8" t="n">
        <f aca="false">SQRT((INDEX(Postes!$B$7:$B$117,MATCH(C104,Postes!$A$7:$A$117,0))-INDEX(Postes!$B$7:$B$117,MATCH(B104,Postes!$A$7:$A$117,0)))^2+(INDEX(Postes!$C$7:$C$117,MATCH(C104,Postes!$A$7:$A$117,0))-INDEX(Postes!$C$7:$C$117,MATCH(B104,Postes!$A$7:$A$117,0)))^2)</f>
        <v>71.7626116573352</v>
      </c>
      <c r="E104" s="8" t="n">
        <f aca="false">INDEX(Postes!$D$7:$D$117,MATCH(C104,Postes!$A$7:$A$117,0))+INDEX(Postes!$G$7:$G$117,MATCH(C104,Postes!$A$7:$A$117,0))-INDEX(Postes!$D$7:$D$117,MATCH(B104,Postes!$A$7:$A$117,0))-INDEX(Postes!$G$7:$G$117,MATCH(B104,Postes!$A$7:$A$117,0))</f>
        <v>11.808546337087</v>
      </c>
      <c r="F104" s="8" t="n">
        <f aca="false">Parametros!$E$8*Parametros!$E$9</f>
        <v>2205</v>
      </c>
      <c r="G104" s="8" t="n">
        <f aca="false">Parametros!$E$10/1000*Parametros!$E$11</f>
        <v>1.32389775</v>
      </c>
      <c r="H104" s="8" t="n">
        <f aca="false">F104/G104</f>
        <v>1665.53648119728</v>
      </c>
      <c r="I104" s="8" t="n">
        <f aca="false">ASINH(E104/(2*H104*SINH(D104/(2*H104))))</f>
        <v>0.163803885427376</v>
      </c>
      <c r="J104" s="8" t="n">
        <f aca="false">D104/2-H104*I104</f>
        <v>-236.940041112487</v>
      </c>
      <c r="K104" s="8" t="n">
        <f aca="false">-J104/H104</f>
        <v>0.142260493112802</v>
      </c>
      <c r="L104" s="8" t="n">
        <f aca="false">(D104-J104)/H104</f>
        <v>0.185347277741949</v>
      </c>
      <c r="M104" s="8" t="n">
        <f aca="false">H104*(SINH(L104)-SINH(K104))</f>
        <v>72.733149000441</v>
      </c>
      <c r="N104" s="8" t="n">
        <f aca="false">M104*Parametros!$E$5</f>
        <v>218.199447001323</v>
      </c>
    </row>
    <row r="105" customFormat="false" ht="21" hidden="false" customHeight="true" outlineLevel="0" collapsed="false">
      <c r="A105" s="1" t="s">
        <v>422</v>
      </c>
      <c r="B105" s="1" t="s">
        <v>286</v>
      </c>
      <c r="C105" s="1" t="s">
        <v>287</v>
      </c>
      <c r="D105" s="8" t="n">
        <f aca="false">SQRT((INDEX(Postes!$B$7:$B$117,MATCH(C105,Postes!$A$7:$A$117,0))-INDEX(Postes!$B$7:$B$117,MATCH(B105,Postes!$A$7:$A$117,0)))^2+(INDEX(Postes!$C$7:$C$117,MATCH(C105,Postes!$A$7:$A$117,0))-INDEX(Postes!$C$7:$C$117,MATCH(B105,Postes!$A$7:$A$117,0)))^2)</f>
        <v>71.7626116591239</v>
      </c>
      <c r="E105" s="8" t="n">
        <f aca="false">INDEX(Postes!$D$7:$D$117,MATCH(C105,Postes!$A$7:$A$117,0))+INDEX(Postes!$G$7:$G$117,MATCH(C105,Postes!$A$7:$A$117,0))-INDEX(Postes!$D$7:$D$117,MATCH(B105,Postes!$A$7:$A$117,0))-INDEX(Postes!$G$7:$G$117,MATCH(B105,Postes!$A$7:$A$117,0))</f>
        <v>-1.67859180912674</v>
      </c>
      <c r="F105" s="8" t="n">
        <f aca="false">Parametros!$E$8*Parametros!$E$9</f>
        <v>2205</v>
      </c>
      <c r="G105" s="8" t="n">
        <f aca="false">Parametros!$E$10/1000*Parametros!$E$11</f>
        <v>1.32389775</v>
      </c>
      <c r="H105" s="8" t="n">
        <f aca="false">F105/G105</f>
        <v>1665.53648119728</v>
      </c>
      <c r="I105" s="8" t="n">
        <f aca="false">ASINH(E105/(2*H105*SINH(D105/(2*H105))))</f>
        <v>-0.0233869550922397</v>
      </c>
      <c r="J105" s="8" t="n">
        <f aca="false">D105/2-H105*I105</f>
        <v>74.8331327198097</v>
      </c>
      <c r="K105" s="8" t="n">
        <f aca="false">-J105/H105</f>
        <v>-0.0449303474073503</v>
      </c>
      <c r="L105" s="8" t="n">
        <f aca="false">(D105-J105)/H105</f>
        <v>-0.00184356277712901</v>
      </c>
      <c r="M105" s="8" t="n">
        <f aca="false">H105*(SINH(L105)-SINH(K105))</f>
        <v>71.7877905193057</v>
      </c>
      <c r="N105" s="8" t="n">
        <f aca="false">M105*Parametros!$E$5</f>
        <v>215.363371557917</v>
      </c>
    </row>
    <row r="106" customFormat="false" ht="21" hidden="false" customHeight="true" outlineLevel="0" collapsed="false">
      <c r="A106" s="1" t="s">
        <v>423</v>
      </c>
      <c r="B106" s="1" t="s">
        <v>287</v>
      </c>
      <c r="C106" s="1" t="s">
        <v>288</v>
      </c>
      <c r="D106" s="8" t="n">
        <f aca="false">SQRT((INDEX(Postes!$B$7:$B$117,MATCH(C106,Postes!$A$7:$A$117,0))-INDEX(Postes!$B$7:$B$117,MATCH(B106,Postes!$A$7:$A$117,0)))^2+(INDEX(Postes!$C$7:$C$117,MATCH(C106,Postes!$A$7:$A$117,0))-INDEX(Postes!$C$7:$C$117,MATCH(B106,Postes!$A$7:$A$117,0)))^2)</f>
        <v>45.5363133824717</v>
      </c>
      <c r="E106" s="8" t="n">
        <f aca="false">INDEX(Postes!$D$7:$D$117,MATCH(C106,Postes!$A$7:$A$117,0))+INDEX(Postes!$G$7:$G$117,MATCH(C106,Postes!$A$7:$A$117,0))-INDEX(Postes!$D$7:$D$117,MATCH(B106,Postes!$A$7:$A$117,0))-INDEX(Postes!$G$7:$G$117,MATCH(B106,Postes!$A$7:$A$117,0))</f>
        <v>4.05326207986591</v>
      </c>
      <c r="F106" s="8" t="n">
        <f aca="false">Parametros!$E$8*Parametros!$E$9</f>
        <v>2205</v>
      </c>
      <c r="G106" s="8" t="n">
        <f aca="false">Parametros!$E$10/1000*Parametros!$E$11</f>
        <v>1.32389775</v>
      </c>
      <c r="H106" s="8" t="n">
        <f aca="false">F106/G106</f>
        <v>1665.53648119728</v>
      </c>
      <c r="I106" s="8" t="n">
        <f aca="false">ASINH(E106/(2*H106*SINH(D106/(2*H106))))</f>
        <v>0.088891758029497</v>
      </c>
      <c r="J106" s="8" t="n">
        <f aca="false">D106/2-H106*I106</f>
        <v>-125.284309184653</v>
      </c>
      <c r="K106" s="8" t="n">
        <f aca="false">-J106/H106</f>
        <v>0.0752215941223883</v>
      </c>
      <c r="L106" s="8" t="n">
        <f aca="false">(D106-J106)/H106</f>
        <v>0.102561921936606</v>
      </c>
      <c r="M106" s="8" t="n">
        <f aca="false">H106*(SINH(L106)-SINH(K106))</f>
        <v>45.7177639140764</v>
      </c>
      <c r="N106" s="8" t="n">
        <f aca="false">M106*Parametros!$E$5</f>
        <v>137.153291742229</v>
      </c>
    </row>
    <row r="107" customFormat="false" ht="21" hidden="false" customHeight="true" outlineLevel="0" collapsed="false">
      <c r="A107" s="1" t="s">
        <v>424</v>
      </c>
      <c r="B107" s="1" t="s">
        <v>288</v>
      </c>
      <c r="C107" s="1" t="s">
        <v>289</v>
      </c>
      <c r="D107" s="8" t="n">
        <f aca="false">SQRT((INDEX(Postes!$B$7:$B$117,MATCH(C107,Postes!$A$7:$A$117,0))-INDEX(Postes!$B$7:$B$117,MATCH(B107,Postes!$A$7:$A$117,0)))^2+(INDEX(Postes!$C$7:$C$117,MATCH(C107,Postes!$A$7:$A$117,0))-INDEX(Postes!$C$7:$C$117,MATCH(B107,Postes!$A$7:$A$117,0)))^2)</f>
        <v>45.5363133825163</v>
      </c>
      <c r="E107" s="8" t="n">
        <f aca="false">INDEX(Postes!$D$7:$D$117,MATCH(C107,Postes!$A$7:$A$117,0))+INDEX(Postes!$G$7:$G$117,MATCH(C107,Postes!$A$7:$A$117,0))-INDEX(Postes!$D$7:$D$117,MATCH(B107,Postes!$A$7:$A$117,0))-INDEX(Postes!$G$7:$G$117,MATCH(B107,Postes!$A$7:$A$117,0))</f>
        <v>-2.34454817518426</v>
      </c>
      <c r="F107" s="8" t="n">
        <f aca="false">Parametros!$E$8*Parametros!$E$9</f>
        <v>2205</v>
      </c>
      <c r="G107" s="8" t="n">
        <f aca="false">Parametros!$E$10/1000*Parametros!$E$11</f>
        <v>1.32389775</v>
      </c>
      <c r="H107" s="8" t="n">
        <f aca="false">F107/G107</f>
        <v>1665.53648119728</v>
      </c>
      <c r="I107" s="8" t="n">
        <f aca="false">ASINH(E107/(2*H107*SINH(D107/(2*H107))))</f>
        <v>-0.0514631165394122</v>
      </c>
      <c r="J107" s="8" t="n">
        <f aca="false">D107/2-H107*I107</f>
        <v>108.481854723756</v>
      </c>
      <c r="K107" s="8" t="n">
        <f aca="false">-J107/H107</f>
        <v>-0.0651332804465343</v>
      </c>
      <c r="L107" s="8" t="n">
        <f aca="false">(D107-J107)/H107</f>
        <v>-0.0377929526322902</v>
      </c>
      <c r="M107" s="8" t="n">
        <f aca="false">H107*(SINH(L107)-SINH(K107))</f>
        <v>45.5980472165747</v>
      </c>
      <c r="N107" s="8" t="n">
        <f aca="false">M107*Parametros!$E$5</f>
        <v>136.794141649724</v>
      </c>
    </row>
    <row r="108" customFormat="false" ht="21" hidden="false" customHeight="true" outlineLevel="0" collapsed="false">
      <c r="A108" s="1" t="s">
        <v>425</v>
      </c>
      <c r="B108" s="1" t="s">
        <v>289</v>
      </c>
      <c r="C108" s="1" t="s">
        <v>290</v>
      </c>
      <c r="D108" s="8" t="n">
        <f aca="false">SQRT((INDEX(Postes!$B$7:$B$117,MATCH(C108,Postes!$A$7:$A$117,0))-INDEX(Postes!$B$7:$B$117,MATCH(B108,Postes!$A$7:$A$117,0)))^2+(INDEX(Postes!$C$7:$C$117,MATCH(C108,Postes!$A$7:$A$117,0))-INDEX(Postes!$C$7:$C$117,MATCH(B108,Postes!$A$7:$A$117,0)))^2)</f>
        <v>47.9791193550387</v>
      </c>
      <c r="E108" s="8" t="n">
        <f aca="false">INDEX(Postes!$D$7:$D$117,MATCH(C108,Postes!$A$7:$A$117,0))+INDEX(Postes!$G$7:$G$117,MATCH(C108,Postes!$A$7:$A$117,0))-INDEX(Postes!$D$7:$D$117,MATCH(B108,Postes!$A$7:$A$117,0))-INDEX(Postes!$G$7:$G$117,MATCH(B108,Postes!$A$7:$A$117,0))</f>
        <v>8.37175042203298</v>
      </c>
      <c r="F108" s="8" t="n">
        <f aca="false">Parametros!$E$8*Parametros!$E$9</f>
        <v>2205</v>
      </c>
      <c r="G108" s="8" t="n">
        <f aca="false">Parametros!$E$10/1000*Parametros!$E$11</f>
        <v>1.32389775</v>
      </c>
      <c r="H108" s="8" t="n">
        <f aca="false">F108/G108</f>
        <v>1665.53648119728</v>
      </c>
      <c r="I108" s="8" t="n">
        <f aca="false">ASINH(E108/(2*H108*SINH(D108/(2*H108))))</f>
        <v>0.173607940874033</v>
      </c>
      <c r="J108" s="8" t="n">
        <f aca="false">D108/2-H108*I108</f>
        <v>-265.160799273724</v>
      </c>
      <c r="K108" s="8" t="n">
        <f aca="false">-J108/H108</f>
        <v>0.159204437889653</v>
      </c>
      <c r="L108" s="8" t="n">
        <f aca="false">(D108-J108)/H108</f>
        <v>0.188011443858414</v>
      </c>
      <c r="M108" s="8" t="n">
        <f aca="false">H108*(SINH(L108)-SINH(K108))</f>
        <v>48.705659784013</v>
      </c>
      <c r="N108" s="8" t="n">
        <f aca="false">M108*Parametros!$E$5</f>
        <v>146.116979352039</v>
      </c>
    </row>
    <row r="109" customFormat="false" ht="21" hidden="false" customHeight="true" outlineLevel="0" collapsed="false">
      <c r="A109" s="1" t="s">
        <v>426</v>
      </c>
      <c r="B109" s="1" t="s">
        <v>290</v>
      </c>
      <c r="C109" s="1" t="s">
        <v>291</v>
      </c>
      <c r="D109" s="8" t="n">
        <f aca="false">SQRT((INDEX(Postes!$B$7:$B$117,MATCH(C109,Postes!$A$7:$A$117,0))-INDEX(Postes!$B$7:$B$117,MATCH(B109,Postes!$A$7:$A$117,0)))^2+(INDEX(Postes!$C$7:$C$117,MATCH(C109,Postes!$A$7:$A$117,0))-INDEX(Postes!$C$7:$C$117,MATCH(B109,Postes!$A$7:$A$117,0)))^2)</f>
        <v>47.9791193542747</v>
      </c>
      <c r="E109" s="8" t="n">
        <f aca="false">INDEX(Postes!$D$7:$D$117,MATCH(C109,Postes!$A$7:$A$117,0))+INDEX(Postes!$G$7:$G$117,MATCH(C109,Postes!$A$7:$A$117,0))-INDEX(Postes!$D$7:$D$117,MATCH(B109,Postes!$A$7:$A$117,0))-INDEX(Postes!$G$7:$G$117,MATCH(B109,Postes!$A$7:$A$117,0))</f>
        <v>0.943760220306013</v>
      </c>
      <c r="F109" s="8" t="n">
        <f aca="false">Parametros!$E$8*Parametros!$E$9</f>
        <v>2205</v>
      </c>
      <c r="G109" s="8" t="n">
        <f aca="false">Parametros!$E$10/1000*Parametros!$E$11</f>
        <v>1.32389775</v>
      </c>
      <c r="H109" s="8" t="n">
        <f aca="false">F109/G109</f>
        <v>1665.53648119728</v>
      </c>
      <c r="I109" s="8" t="n">
        <f aca="false">ASINH(E109/(2*H109*SINH(D109/(2*H109))))</f>
        <v>0.0196682798446704</v>
      </c>
      <c r="J109" s="8" t="n">
        <f aca="false">D109/2-H109*I109</f>
        <v>-8.7686779265585</v>
      </c>
      <c r="K109" s="8" t="n">
        <f aca="false">-J109/H109</f>
        <v>0.00526477686051949</v>
      </c>
      <c r="L109" s="8" t="n">
        <f aca="false">(D109-J109)/H109</f>
        <v>0.0340717828288214</v>
      </c>
      <c r="M109" s="8" t="n">
        <f aca="false">H109*(SINH(L109)-SINH(K109))</f>
        <v>47.9900591075622</v>
      </c>
      <c r="N109" s="8" t="n">
        <f aca="false">M109*Parametros!$E$5</f>
        <v>143.970177322687</v>
      </c>
    </row>
    <row r="110" customFormat="false" ht="21" hidden="false" customHeight="true" outlineLevel="0" collapsed="false">
      <c r="A110" s="1" t="s">
        <v>427</v>
      </c>
      <c r="B110" s="1" t="s">
        <v>291</v>
      </c>
      <c r="C110" s="1" t="s">
        <v>292</v>
      </c>
      <c r="D110" s="8" t="n">
        <f aca="false">SQRT((INDEX(Postes!$B$7:$B$117,MATCH(C110,Postes!$A$7:$A$117,0))-INDEX(Postes!$B$7:$B$117,MATCH(B110,Postes!$A$7:$A$117,0)))^2+(INDEX(Postes!$C$7:$C$117,MATCH(C110,Postes!$A$7:$A$117,0))-INDEX(Postes!$C$7:$C$117,MATCH(B110,Postes!$A$7:$A$117,0)))^2)</f>
        <v>77.6149319610341</v>
      </c>
      <c r="E110" s="8" t="n">
        <f aca="false">INDEX(Postes!$D$7:$D$117,MATCH(C110,Postes!$A$7:$A$117,0))+INDEX(Postes!$G$7:$G$117,MATCH(C110,Postes!$A$7:$A$117,0))-INDEX(Postes!$D$7:$D$117,MATCH(B110,Postes!$A$7:$A$117,0))-INDEX(Postes!$G$7:$G$117,MATCH(B110,Postes!$A$7:$A$117,0))</f>
        <v>-7.79269525534128</v>
      </c>
      <c r="F110" s="8" t="n">
        <f aca="false">Parametros!$E$8*Parametros!$E$9</f>
        <v>2205</v>
      </c>
      <c r="G110" s="8" t="n">
        <f aca="false">Parametros!$E$10/1000*Parametros!$E$11</f>
        <v>1.32389775</v>
      </c>
      <c r="H110" s="8" t="n">
        <f aca="false">F110/G110</f>
        <v>1665.53648119728</v>
      </c>
      <c r="I110" s="8" t="n">
        <f aca="false">ASINH(E110/(2*H110*SINH(D110/(2*H110))))</f>
        <v>-0.100225048115427</v>
      </c>
      <c r="J110" s="8" t="n">
        <f aca="false">D110/2-H110*I110</f>
        <v>205.735939946514</v>
      </c>
      <c r="K110" s="8" t="n">
        <f aca="false">-J110/H110</f>
        <v>-0.123525327886315</v>
      </c>
      <c r="L110" s="8" t="n">
        <f aca="false">(D110-J110)/H110</f>
        <v>-0.0769247683445394</v>
      </c>
      <c r="M110" s="8" t="n">
        <f aca="false">H110*(SINH(L110)-SINH(K110))</f>
        <v>78.0121401124788</v>
      </c>
      <c r="N110" s="8" t="n">
        <f aca="false">M110*Parametros!$E$5</f>
        <v>234.036420337436</v>
      </c>
    </row>
    <row r="111" customFormat="false" ht="21" hidden="false" customHeight="true" outlineLevel="0" collapsed="false">
      <c r="A111" s="1" t="s">
        <v>428</v>
      </c>
      <c r="B111" s="1" t="s">
        <v>292</v>
      </c>
      <c r="C111" s="1" t="s">
        <v>293</v>
      </c>
      <c r="D111" s="8" t="n">
        <f aca="false">SQRT((INDEX(Postes!$B$7:$B$117,MATCH(C111,Postes!$A$7:$A$117,0))-INDEX(Postes!$B$7:$B$117,MATCH(B111,Postes!$A$7:$A$117,0)))^2+(INDEX(Postes!$C$7:$C$117,MATCH(C111,Postes!$A$7:$A$117,0))-INDEX(Postes!$C$7:$C$117,MATCH(B111,Postes!$A$7:$A$117,0)))^2)</f>
        <v>77.6149319622452</v>
      </c>
      <c r="E111" s="8" t="n">
        <f aca="false">INDEX(Postes!$D$7:$D$117,MATCH(C111,Postes!$A$7:$A$117,0))+INDEX(Postes!$G$7:$G$117,MATCH(C111,Postes!$A$7:$A$117,0))-INDEX(Postes!$D$7:$D$117,MATCH(B111,Postes!$A$7:$A$117,0))-INDEX(Postes!$G$7:$G$117,MATCH(B111,Postes!$A$7:$A$117,0))</f>
        <v>-5.14372324810311</v>
      </c>
      <c r="F111" s="8" t="n">
        <f aca="false">Parametros!$E$8*Parametros!$E$9</f>
        <v>2205</v>
      </c>
      <c r="G111" s="8" t="n">
        <f aca="false">Parametros!$E$10/1000*Parametros!$E$11</f>
        <v>1.32389775</v>
      </c>
      <c r="H111" s="8" t="n">
        <f aca="false">F111/G111</f>
        <v>1665.53648119728</v>
      </c>
      <c r="I111" s="8" t="n">
        <f aca="false">ASINH(E111/(2*H111*SINH(D111/(2*H111))))</f>
        <v>-0.0662179420803289</v>
      </c>
      <c r="J111" s="8" t="n">
        <f aca="false">D111/2-H111*I111</f>
        <v>149.095864225719</v>
      </c>
      <c r="K111" s="8" t="n">
        <f aca="false">-J111/H111</f>
        <v>-0.0895182218515805</v>
      </c>
      <c r="L111" s="8" t="n">
        <f aca="false">(D111-J111)/H111</f>
        <v>-0.0429176623090773</v>
      </c>
      <c r="M111" s="8" t="n">
        <f aca="false">H111*(SINH(L111)-SINH(K111))</f>
        <v>77.7921962321899</v>
      </c>
      <c r="N111" s="8" t="n">
        <f aca="false">M111*Parametros!$E$5</f>
        <v>233.37658869657</v>
      </c>
    </row>
    <row r="112" customFormat="false" ht="21" hidden="false" customHeight="true" outlineLevel="0" collapsed="false">
      <c r="A112" s="1" t="s">
        <v>429</v>
      </c>
      <c r="B112" s="1" t="s">
        <v>293</v>
      </c>
      <c r="C112" s="1" t="s">
        <v>294</v>
      </c>
      <c r="D112" s="8" t="n">
        <f aca="false">SQRT((INDEX(Postes!$B$7:$B$117,MATCH(C112,Postes!$A$7:$A$117,0))-INDEX(Postes!$B$7:$B$117,MATCH(B112,Postes!$A$7:$A$117,0)))^2+(INDEX(Postes!$C$7:$C$117,MATCH(C112,Postes!$A$7:$A$117,0))-INDEX(Postes!$C$7:$C$117,MATCH(B112,Postes!$A$7:$A$117,0)))^2)</f>
        <v>58.6001861470987</v>
      </c>
      <c r="E112" s="8" t="n">
        <f aca="false">INDEX(Postes!$D$7:$D$117,MATCH(C112,Postes!$A$7:$A$117,0))+INDEX(Postes!$G$7:$G$117,MATCH(C112,Postes!$A$7:$A$117,0))-INDEX(Postes!$D$7:$D$117,MATCH(B112,Postes!$A$7:$A$117,0))-INDEX(Postes!$G$7:$G$117,MATCH(B112,Postes!$A$7:$A$117,0))</f>
        <v>0.263010279159881</v>
      </c>
      <c r="F112" s="8" t="n">
        <f aca="false">Parametros!$E$8*Parametros!$E$9</f>
        <v>2205</v>
      </c>
      <c r="G112" s="8" t="n">
        <f aca="false">Parametros!$E$10/1000*Parametros!$E$11</f>
        <v>1.32389775</v>
      </c>
      <c r="H112" s="8" t="n">
        <f aca="false">F112/G112</f>
        <v>1665.53648119728</v>
      </c>
      <c r="I112" s="8" t="n">
        <f aca="false">ASINH(E112/(2*H112*SINH(D112/(2*H112))))</f>
        <v>0.00448796920435404</v>
      </c>
      <c r="J112" s="8" t="n">
        <f aca="false">D112/2-H112*I112</f>
        <v>21.8252166372077</v>
      </c>
      <c r="K112" s="8" t="n">
        <f aca="false">-J112/H112</f>
        <v>-0.0131040159633841</v>
      </c>
      <c r="L112" s="8" t="n">
        <f aca="false">(D112-J112)/H112</f>
        <v>0.0220799543720922</v>
      </c>
      <c r="M112" s="8" t="n">
        <f aca="false">H112*(SINH(L112)-SINH(K112))</f>
        <v>58.6037989613991</v>
      </c>
      <c r="N112" s="8" t="n">
        <f aca="false">M112*Parametros!$E$5</f>
        <v>175.811396884197</v>
      </c>
    </row>
    <row r="113" customFormat="false" ht="21" hidden="false" customHeight="true" outlineLevel="0" collapsed="false">
      <c r="A113" s="1" t="s">
        <v>430</v>
      </c>
      <c r="B113" s="1" t="s">
        <v>294</v>
      </c>
      <c r="C113" s="1" t="s">
        <v>295</v>
      </c>
      <c r="D113" s="8" t="n">
        <f aca="false">SQRT((INDEX(Postes!$B$7:$B$117,MATCH(C113,Postes!$A$7:$A$117,0))-INDEX(Postes!$B$7:$B$117,MATCH(B113,Postes!$A$7:$A$117,0)))^2+(INDEX(Postes!$C$7:$C$117,MATCH(C113,Postes!$A$7:$A$117,0))-INDEX(Postes!$C$7:$C$117,MATCH(B113,Postes!$A$7:$A$117,0)))^2)</f>
        <v>58.6001861470987</v>
      </c>
      <c r="E113" s="8" t="n">
        <f aca="false">INDEX(Postes!$D$7:$D$117,MATCH(C113,Postes!$A$7:$A$117,0))+INDEX(Postes!$G$7:$G$117,MATCH(C113,Postes!$A$7:$A$117,0))-INDEX(Postes!$D$7:$D$117,MATCH(B113,Postes!$A$7:$A$117,0))-INDEX(Postes!$G$7:$G$117,MATCH(B113,Postes!$A$7:$A$117,0))</f>
        <v>4.79790486663605</v>
      </c>
      <c r="F113" s="8" t="n">
        <f aca="false">Parametros!$E$8*Parametros!$E$9</f>
        <v>2205</v>
      </c>
      <c r="G113" s="8" t="n">
        <f aca="false">Parametros!$E$10/1000*Parametros!$E$11</f>
        <v>1.32389775</v>
      </c>
      <c r="H113" s="8" t="n">
        <f aca="false">F113/G113</f>
        <v>1665.53648119728</v>
      </c>
      <c r="I113" s="8" t="n">
        <f aca="false">ASINH(E113/(2*H113*SINH(D113/(2*H113))))</f>
        <v>0.0817798396816349</v>
      </c>
      <c r="J113" s="8" t="n">
        <f aca="false">D113/2-H113*I113</f>
        <v>-106.907213342679</v>
      </c>
      <c r="K113" s="8" t="n">
        <f aca="false">-J113/H113</f>
        <v>0.0641878545138968</v>
      </c>
      <c r="L113" s="8" t="n">
        <f aca="false">(D113-J113)/H113</f>
        <v>0.099371824849373</v>
      </c>
      <c r="M113" s="8" t="n">
        <f aca="false">H113*(SINH(L113)-SINH(K113))</f>
        <v>58.7992854498286</v>
      </c>
      <c r="N113" s="8" t="n">
        <f aca="false">M113*Parametros!$E$5</f>
        <v>176.397856349486</v>
      </c>
    </row>
    <row r="114" customFormat="false" ht="21" hidden="false" customHeight="true" outlineLevel="0" collapsed="false">
      <c r="A114" s="1" t="s">
        <v>431</v>
      </c>
      <c r="B114" s="1" t="s">
        <v>295</v>
      </c>
      <c r="C114" s="1" t="s">
        <v>296</v>
      </c>
      <c r="D114" s="8" t="n">
        <f aca="false">SQRT((INDEX(Postes!$B$7:$B$117,MATCH(C114,Postes!$A$7:$A$117,0))-INDEX(Postes!$B$7:$B$117,MATCH(B114,Postes!$A$7:$A$117,0)))^2+(INDEX(Postes!$C$7:$C$117,MATCH(C114,Postes!$A$7:$A$117,0))-INDEX(Postes!$C$7:$C$117,MATCH(B114,Postes!$A$7:$A$117,0)))^2)</f>
        <v>43.9603635678484</v>
      </c>
      <c r="E114" s="8" t="n">
        <f aca="false">INDEX(Postes!$D$7:$D$117,MATCH(C114,Postes!$A$7:$A$117,0))+INDEX(Postes!$G$7:$G$117,MATCH(C114,Postes!$A$7:$A$117,0))-INDEX(Postes!$D$7:$D$117,MATCH(B114,Postes!$A$7:$A$117,0))-INDEX(Postes!$G$7:$G$117,MATCH(B114,Postes!$A$7:$A$117,0))</f>
        <v>-4.00563664912133</v>
      </c>
      <c r="F114" s="8" t="n">
        <f aca="false">Parametros!$E$8*Parametros!$E$9</f>
        <v>2205</v>
      </c>
      <c r="G114" s="8" t="n">
        <f aca="false">Parametros!$E$10/1000*Parametros!$E$11</f>
        <v>1.32389775</v>
      </c>
      <c r="H114" s="8" t="n">
        <f aca="false">F114/G114</f>
        <v>1665.53648119728</v>
      </c>
      <c r="I114" s="8" t="n">
        <f aca="false">ASINH(E114/(2*H114*SINH(D114/(2*H114))))</f>
        <v>-0.0909910245040722</v>
      </c>
      <c r="J114" s="8" t="n">
        <f aca="false">D114/2-H114*I114</f>
        <v>173.529052556972</v>
      </c>
      <c r="K114" s="8" t="n">
        <f aca="false">-J114/H114</f>
        <v>-0.104188082648439</v>
      </c>
      <c r="L114" s="8" t="n">
        <f aca="false">(D114-J114)/H114</f>
        <v>-0.0777939663597056</v>
      </c>
      <c r="M114" s="8" t="n">
        <f aca="false">H114*(SINH(L114)-SINH(K114))</f>
        <v>44.1437524792735</v>
      </c>
      <c r="N114" s="8" t="n">
        <f aca="false">M114*Parametros!$E$5</f>
        <v>132.43125743782</v>
      </c>
    </row>
    <row r="115" customFormat="false" ht="21" hidden="false" customHeight="true" outlineLevel="0" collapsed="false">
      <c r="A115" s="1" t="s">
        <v>432</v>
      </c>
      <c r="B115" s="1" t="s">
        <v>296</v>
      </c>
      <c r="C115" s="1" t="s">
        <v>297</v>
      </c>
      <c r="D115" s="8" t="n">
        <f aca="false">SQRT((INDEX(Postes!$B$7:$B$117,MATCH(C115,Postes!$A$7:$A$117,0))-INDEX(Postes!$B$7:$B$117,MATCH(B115,Postes!$A$7:$A$117,0)))^2+(INDEX(Postes!$C$7:$C$117,MATCH(C115,Postes!$A$7:$A$117,0))-INDEX(Postes!$C$7:$C$117,MATCH(B115,Postes!$A$7:$A$117,0)))^2)</f>
        <v>38.0970653482194</v>
      </c>
      <c r="E115" s="8" t="n">
        <f aca="false">INDEX(Postes!$D$7:$D$117,MATCH(C115,Postes!$A$7:$A$117,0))+INDEX(Postes!$G$7:$G$117,MATCH(C115,Postes!$A$7:$A$117,0))-INDEX(Postes!$D$7:$D$117,MATCH(B115,Postes!$A$7:$A$117,0))-INDEX(Postes!$G$7:$G$117,MATCH(B115,Postes!$A$7:$A$117,0))</f>
        <v>0.399476954601051</v>
      </c>
      <c r="F115" s="8" t="n">
        <f aca="false">Parametros!$E$8*Parametros!$E$9</f>
        <v>2205</v>
      </c>
      <c r="G115" s="8" t="n">
        <f aca="false">Parametros!$E$10/1000*Parametros!$E$11</f>
        <v>1.32389775</v>
      </c>
      <c r="H115" s="8" t="n">
        <f aca="false">F115/G115</f>
        <v>1665.53648119728</v>
      </c>
      <c r="I115" s="8" t="n">
        <f aca="false">ASINH(E115/(2*H115*SINH(D115/(2*H115))))</f>
        <v>0.0104853463825339</v>
      </c>
      <c r="J115" s="8" t="n">
        <f aca="false">D115/2-H115*I115</f>
        <v>1.58480575600949</v>
      </c>
      <c r="K115" s="8" t="n">
        <f aca="false">-J115/H115</f>
        <v>-0.000951528695949213</v>
      </c>
      <c r="L115" s="8" t="n">
        <f aca="false">(D115-J115)/H115</f>
        <v>0.0219222214610171</v>
      </c>
      <c r="M115" s="8" t="n">
        <f aca="false">H115*(SINH(L115)-SINH(K115))</f>
        <v>38.0999901910158</v>
      </c>
      <c r="N115" s="8" t="n">
        <f aca="false">M115*Parametros!$E$5</f>
        <v>114.299970573048</v>
      </c>
    </row>
    <row r="116" customFormat="false" ht="21" hidden="false" customHeight="true" outlineLevel="0" collapsed="false">
      <c r="A116" s="1" t="s">
        <v>433</v>
      </c>
      <c r="B116" s="1" t="s">
        <v>297</v>
      </c>
      <c r="C116" s="1" t="s">
        <v>298</v>
      </c>
      <c r="D116" s="8" t="n">
        <f aca="false">SQRT((INDEX(Postes!$B$7:$B$117,MATCH(C116,Postes!$A$7:$A$117,0))-INDEX(Postes!$B$7:$B$117,MATCH(B116,Postes!$A$7:$A$117,0)))^2+(INDEX(Postes!$C$7:$C$117,MATCH(C116,Postes!$A$7:$A$117,0))-INDEX(Postes!$C$7:$C$117,MATCH(B116,Postes!$A$7:$A$117,0)))^2)</f>
        <v>19.7019466375233</v>
      </c>
      <c r="E116" s="8" t="n">
        <f aca="false">INDEX(Postes!$D$7:$D$117,MATCH(C116,Postes!$A$7:$A$117,0))+INDEX(Postes!$G$7:$G$117,MATCH(C116,Postes!$A$7:$A$117,0))-INDEX(Postes!$D$7:$D$117,MATCH(B116,Postes!$A$7:$A$117,0))-INDEX(Postes!$G$7:$G$117,MATCH(B116,Postes!$A$7:$A$117,0))</f>
        <v>0.968627616627964</v>
      </c>
      <c r="F116" s="8" t="n">
        <f aca="false">Parametros!$E$8*Parametros!$E$9</f>
        <v>2205</v>
      </c>
      <c r="G116" s="8" t="n">
        <f aca="false">Parametros!$E$10/1000*Parametros!$E$11</f>
        <v>1.32389775</v>
      </c>
      <c r="H116" s="8" t="n">
        <f aca="false">F116/G116</f>
        <v>1665.53648119728</v>
      </c>
      <c r="I116" s="8" t="n">
        <f aca="false">ASINH(E116/(2*H116*SINH(D116/(2*H116))))</f>
        <v>0.0491439858840321</v>
      </c>
      <c r="J116" s="8" t="n">
        <f aca="false">D116/2-H116*I116</f>
        <v>-72.0001280025382</v>
      </c>
      <c r="K116" s="8" t="n">
        <f aca="false">-J116/H116</f>
        <v>0.0432293911393525</v>
      </c>
      <c r="L116" s="8" t="n">
        <f aca="false">(D116-J116)/H116</f>
        <v>0.0550585806287118</v>
      </c>
      <c r="M116" s="8" t="n">
        <f aca="false">H116*(SINH(L116)-SINH(K116))</f>
        <v>19.7258578299374</v>
      </c>
      <c r="N116" s="8" t="n">
        <f aca="false">M116*Parametros!$E$5</f>
        <v>59.1775734898121</v>
      </c>
    </row>
    <row r="117" customFormat="false" ht="21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customFormat="false" ht="21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customFormat="false" ht="21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customFormat="false" ht="21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customFormat="false" ht="21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customFormat="false" ht="21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customFormat="false" ht="21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customFormat="false" ht="21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customFormat="false" ht="21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customFormat="false" ht="21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customFormat="false" ht="21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customFormat="false" ht="21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customFormat="false" ht="21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customFormat="false" ht="21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customFormat="false" ht="21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customFormat="false" ht="21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customFormat="false" ht="21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customFormat="false" ht="21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customFormat="false" ht="21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customFormat="false" ht="21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customFormat="false" ht="21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customFormat="false" ht="21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customFormat="false" ht="21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customFormat="false" ht="21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</sheetData>
  <printOptions headings="false" gridLines="false" gridLinesSet="true" horizontalCentered="false" verticalCentered="false"/>
  <pageMargins left="0.39375" right="0.39375" top="0.551388888888889" bottom="0.551388888888889" header="0.511811023622047" footer="0.3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&amp;CInstalaciones Eléctricas II | Aquiles Taylor Ramos Yapo | 227368&amp;RHoja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true"/>
  </sheetPr>
  <dimension ref="A1:F5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7"/>
    <col collapsed="false" customWidth="true" hidden="false" outlineLevel="0" max="3" min="3" style="0" width="15"/>
    <col collapsed="false" customWidth="true" hidden="false" outlineLevel="0" max="4" min="4" style="0" width="3"/>
    <col collapsed="false" customWidth="true" hidden="false" outlineLevel="0" max="5" min="5" style="0" width="17"/>
    <col collapsed="false" customWidth="true" hidden="false" outlineLevel="0" max="6" min="6" style="0" width="58"/>
  </cols>
  <sheetData>
    <row r="1" customFormat="false" ht="21" hidden="false" customHeight="true" outlineLevel="0" collapsed="false">
      <c r="A1" s="1"/>
      <c r="B1" s="1"/>
      <c r="C1" s="1"/>
      <c r="D1" s="1"/>
      <c r="E1" s="1"/>
      <c r="F1" s="1"/>
    </row>
    <row r="2" customFormat="false" ht="21" hidden="false" customHeight="true" outlineLevel="0" collapsed="false">
      <c r="A2" s="2" t="s">
        <v>468</v>
      </c>
      <c r="B2" s="2"/>
      <c r="C2" s="2"/>
      <c r="D2" s="2"/>
      <c r="E2" s="2"/>
      <c r="F2" s="2" t="s">
        <v>469</v>
      </c>
    </row>
    <row r="3" customFormat="false" ht="21" hidden="false" customHeight="true" outlineLevel="0" collapsed="false">
      <c r="A3" s="1"/>
      <c r="B3" s="1"/>
      <c r="C3" s="1"/>
      <c r="D3" s="1"/>
      <c r="E3" s="1"/>
      <c r="F3" s="1"/>
    </row>
    <row r="4" customFormat="false" ht="21" hidden="false" customHeight="true" outlineLevel="0" collapsed="false">
      <c r="A4" s="3"/>
      <c r="B4" s="3"/>
      <c r="C4" s="3"/>
      <c r="D4" s="3"/>
      <c r="E4" s="3"/>
      <c r="F4" s="3"/>
    </row>
    <row r="5" customFormat="false" ht="21" hidden="false" customHeight="true" outlineLevel="0" collapsed="false">
      <c r="A5" s="1" t="s">
        <v>470</v>
      </c>
      <c r="B5" s="1" t="s">
        <v>471</v>
      </c>
      <c r="C5" s="1" t="s">
        <v>8</v>
      </c>
      <c r="D5" s="1"/>
      <c r="E5" s="10" t="n">
        <v>3</v>
      </c>
      <c r="F5" s="1" t="s">
        <v>472</v>
      </c>
    </row>
    <row r="6" customFormat="false" ht="21" hidden="false" customHeight="true" outlineLevel="0" collapsed="false">
      <c r="A6" s="1" t="s">
        <v>473</v>
      </c>
      <c r="B6" s="1" t="s">
        <v>474</v>
      </c>
      <c r="C6" s="1" t="s">
        <v>20</v>
      </c>
      <c r="D6" s="1"/>
      <c r="E6" s="10" t="n">
        <v>2</v>
      </c>
      <c r="F6" s="1" t="s">
        <v>475</v>
      </c>
    </row>
    <row r="7" customFormat="false" ht="21" hidden="false" customHeight="true" outlineLevel="0" collapsed="false">
      <c r="A7" s="1" t="s">
        <v>476</v>
      </c>
      <c r="B7" s="1" t="s">
        <v>477</v>
      </c>
      <c r="C7" s="1" t="s">
        <v>478</v>
      </c>
      <c r="D7" s="1"/>
      <c r="E7" s="19" t="n">
        <v>0.03</v>
      </c>
      <c r="F7" s="1" t="s">
        <v>479</v>
      </c>
    </row>
    <row r="8" customFormat="false" ht="21" hidden="false" customHeight="true" outlineLevel="0" collapsed="false">
      <c r="A8" s="1" t="s">
        <v>480</v>
      </c>
      <c r="B8" s="1" t="s">
        <v>481</v>
      </c>
      <c r="C8" s="1" t="s">
        <v>482</v>
      </c>
      <c r="D8" s="1"/>
      <c r="E8" s="10" t="n">
        <v>14700</v>
      </c>
      <c r="F8" s="1" t="s">
        <v>483</v>
      </c>
    </row>
    <row r="9" customFormat="false" ht="21" hidden="false" customHeight="true" outlineLevel="0" collapsed="false">
      <c r="A9" s="1" t="s">
        <v>484</v>
      </c>
      <c r="B9" s="1" t="s">
        <v>485</v>
      </c>
      <c r="C9" s="1" t="s">
        <v>478</v>
      </c>
      <c r="D9" s="1"/>
      <c r="E9" s="19" t="n">
        <v>0.15</v>
      </c>
      <c r="F9" s="1" t="s">
        <v>486</v>
      </c>
    </row>
    <row r="10" customFormat="false" ht="21" hidden="false" customHeight="true" outlineLevel="0" collapsed="false">
      <c r="A10" s="1" t="s">
        <v>20</v>
      </c>
      <c r="B10" s="1" t="s">
        <v>487</v>
      </c>
      <c r="C10" s="1" t="s">
        <v>488</v>
      </c>
      <c r="D10" s="1"/>
      <c r="E10" s="10" t="n">
        <v>135</v>
      </c>
      <c r="F10" s="1" t="s">
        <v>489</v>
      </c>
    </row>
    <row r="11" customFormat="false" ht="21" hidden="false" customHeight="true" outlineLevel="0" collapsed="false">
      <c r="A11" s="1" t="s">
        <v>490</v>
      </c>
      <c r="B11" s="1" t="s">
        <v>491</v>
      </c>
      <c r="C11" s="1" t="s">
        <v>492</v>
      </c>
      <c r="D11" s="1"/>
      <c r="E11" s="10" t="n">
        <v>9.80665</v>
      </c>
      <c r="F11" s="1" t="s">
        <v>493</v>
      </c>
    </row>
    <row r="12" customFormat="false" ht="21" hidden="false" customHeight="true" outlineLevel="0" collapsed="false">
      <c r="A12" s="1" t="s">
        <v>494</v>
      </c>
      <c r="B12" s="1" t="s">
        <v>495</v>
      </c>
      <c r="C12" s="1" t="s">
        <v>496</v>
      </c>
      <c r="D12" s="1"/>
      <c r="E12" s="10" t="n">
        <v>600</v>
      </c>
      <c r="F12" s="1" t="s">
        <v>497</v>
      </c>
    </row>
    <row r="13" customFormat="false" ht="21" hidden="false" customHeight="true" outlineLevel="0" collapsed="false">
      <c r="A13" s="1" t="s">
        <v>498</v>
      </c>
      <c r="B13" s="1" t="s">
        <v>499</v>
      </c>
      <c r="C13" s="1" t="s">
        <v>54</v>
      </c>
      <c r="D13" s="1"/>
      <c r="E13" s="10" t="n">
        <v>2</v>
      </c>
      <c r="F13" s="1" t="s">
        <v>500</v>
      </c>
    </row>
    <row r="14" customFormat="false" ht="21" hidden="false" customHeight="true" outlineLevel="0" collapsed="false">
      <c r="A14" s="1" t="s">
        <v>501</v>
      </c>
      <c r="B14" s="1" t="s">
        <v>502</v>
      </c>
      <c r="C14" s="1" t="s">
        <v>54</v>
      </c>
      <c r="D14" s="1"/>
      <c r="E14" s="10" t="n">
        <v>0.65</v>
      </c>
      <c r="F14" s="1" t="s">
        <v>500</v>
      </c>
    </row>
    <row r="15" customFormat="false" ht="21" hidden="false" customHeight="true" outlineLevel="0" collapsed="false">
      <c r="A15" s="1" t="s">
        <v>503</v>
      </c>
      <c r="B15" s="1" t="s">
        <v>504</v>
      </c>
      <c r="C15" s="1" t="s">
        <v>20</v>
      </c>
      <c r="D15" s="1"/>
      <c r="E15" s="10" t="n">
        <v>0.15</v>
      </c>
      <c r="F15" s="1" t="s">
        <v>505</v>
      </c>
    </row>
    <row r="16" customFormat="false" ht="21" hidden="false" customHeight="true" outlineLevel="0" collapsed="false">
      <c r="A16" s="1" t="s">
        <v>506</v>
      </c>
      <c r="B16" s="1" t="s">
        <v>60</v>
      </c>
      <c r="C16" s="1" t="s">
        <v>61</v>
      </c>
      <c r="D16" s="1"/>
      <c r="E16" s="10" t="n">
        <v>60</v>
      </c>
      <c r="F16" s="1" t="s">
        <v>507</v>
      </c>
    </row>
    <row r="17" customFormat="false" ht="21" hidden="false" customHeight="true" outlineLevel="0" collapsed="false">
      <c r="A17" s="1" t="s">
        <v>508</v>
      </c>
      <c r="B17" s="1" t="s">
        <v>509</v>
      </c>
      <c r="C17" s="1" t="s">
        <v>54</v>
      </c>
      <c r="D17" s="1"/>
      <c r="E17" s="10" t="n">
        <v>0.9</v>
      </c>
      <c r="F17" s="1" t="s">
        <v>500</v>
      </c>
    </row>
    <row r="18" customFormat="false" ht="21" hidden="false" customHeight="true" outlineLevel="0" collapsed="false">
      <c r="A18" s="1" t="s">
        <v>510</v>
      </c>
      <c r="B18" s="1" t="s">
        <v>511</v>
      </c>
      <c r="C18" s="1" t="s">
        <v>512</v>
      </c>
      <c r="D18" s="1"/>
      <c r="E18" s="10" t="n">
        <v>45</v>
      </c>
      <c r="F18" s="1" t="s">
        <v>513</v>
      </c>
    </row>
    <row r="19" customFormat="false" ht="21" hidden="false" customHeight="true" outlineLevel="0" collapsed="false">
      <c r="A19" s="1" t="s">
        <v>514</v>
      </c>
      <c r="B19" s="1" t="s">
        <v>515</v>
      </c>
      <c r="C19" s="1" t="s">
        <v>20</v>
      </c>
      <c r="D19" s="1"/>
      <c r="E19" s="10" t="n">
        <v>1.2</v>
      </c>
      <c r="F19" s="1" t="s">
        <v>516</v>
      </c>
    </row>
    <row r="20" customFormat="false" ht="21" hidden="false" customHeight="true" outlineLevel="0" collapsed="false">
      <c r="A20" s="1" t="s">
        <v>517</v>
      </c>
      <c r="B20" s="1" t="s">
        <v>518</v>
      </c>
      <c r="C20" s="1" t="s">
        <v>20</v>
      </c>
      <c r="D20" s="1"/>
      <c r="E20" s="10" t="n">
        <v>1.2</v>
      </c>
      <c r="F20" s="1" t="s">
        <v>516</v>
      </c>
    </row>
    <row r="21" customFormat="false" ht="21" hidden="false" customHeight="true" outlineLevel="0" collapsed="false">
      <c r="A21" s="1" t="s">
        <v>519</v>
      </c>
      <c r="B21" s="1" t="s">
        <v>520</v>
      </c>
      <c r="C21" s="1" t="s">
        <v>20</v>
      </c>
      <c r="D21" s="1"/>
      <c r="E21" s="10" t="n">
        <v>2.4</v>
      </c>
      <c r="F21" s="1" t="s">
        <v>516</v>
      </c>
    </row>
    <row r="22" customFormat="false" ht="21" hidden="false" customHeight="true" outlineLevel="0" collapsed="false">
      <c r="A22" s="1" t="s">
        <v>521</v>
      </c>
      <c r="B22" s="1" t="s">
        <v>522</v>
      </c>
      <c r="C22" s="1" t="s">
        <v>523</v>
      </c>
      <c r="D22" s="1"/>
      <c r="E22" s="10" t="n">
        <v>0.671</v>
      </c>
      <c r="F22" s="1" t="s">
        <v>524</v>
      </c>
    </row>
    <row r="23" customFormat="false" ht="21" hidden="false" customHeight="true" outlineLevel="0" collapsed="false">
      <c r="A23" s="1" t="s">
        <v>525</v>
      </c>
      <c r="B23" s="1" t="s">
        <v>526</v>
      </c>
      <c r="C23" s="1" t="s">
        <v>527</v>
      </c>
      <c r="D23" s="1"/>
      <c r="E23" s="10" t="n">
        <v>0.0036</v>
      </c>
      <c r="F23" s="1" t="s">
        <v>528</v>
      </c>
    </row>
    <row r="24" customFormat="false" ht="21" hidden="false" customHeight="true" outlineLevel="0" collapsed="false">
      <c r="A24" s="1" t="s">
        <v>529</v>
      </c>
      <c r="B24" s="1" t="s">
        <v>530</v>
      </c>
      <c r="C24" s="1" t="s">
        <v>531</v>
      </c>
      <c r="D24" s="1"/>
      <c r="E24" s="10" t="n">
        <v>75</v>
      </c>
      <c r="F24" s="1" t="s">
        <v>532</v>
      </c>
    </row>
    <row r="25" customFormat="false" ht="21" hidden="false" customHeight="true" outlineLevel="0" collapsed="false">
      <c r="A25" s="1" t="s">
        <v>533</v>
      </c>
      <c r="B25" s="1" t="s">
        <v>534</v>
      </c>
      <c r="C25" s="1" t="s">
        <v>20</v>
      </c>
      <c r="D25" s="1"/>
      <c r="E25" s="10" t="n">
        <v>0.009</v>
      </c>
      <c r="F25" s="1" t="s">
        <v>535</v>
      </c>
    </row>
    <row r="26" customFormat="false" ht="21" hidden="false" customHeight="true" outlineLevel="0" collapsed="false">
      <c r="A26" s="1" t="s">
        <v>536</v>
      </c>
      <c r="B26" s="1" t="s">
        <v>537</v>
      </c>
      <c r="C26" s="1" t="s">
        <v>538</v>
      </c>
      <c r="D26" s="1"/>
      <c r="E26" s="10" t="n">
        <v>60</v>
      </c>
      <c r="F26" s="1" t="s">
        <v>539</v>
      </c>
    </row>
    <row r="27" customFormat="false" ht="21" hidden="false" customHeight="true" outlineLevel="0" collapsed="false">
      <c r="A27" s="1" t="s">
        <v>540</v>
      </c>
      <c r="B27" s="1" t="s">
        <v>541</v>
      </c>
      <c r="C27" s="1" t="s">
        <v>132</v>
      </c>
      <c r="D27" s="1"/>
      <c r="E27" s="10" t="n">
        <v>10</v>
      </c>
      <c r="F27" s="1" t="s">
        <v>542</v>
      </c>
    </row>
    <row r="28" customFormat="false" ht="21" hidden="false" customHeight="true" outlineLevel="0" collapsed="false">
      <c r="A28" s="1" t="s">
        <v>543</v>
      </c>
      <c r="B28" s="1" t="s">
        <v>544</v>
      </c>
      <c r="C28" s="1" t="s">
        <v>104</v>
      </c>
      <c r="D28" s="1"/>
      <c r="E28" s="10" t="n">
        <v>1.05</v>
      </c>
      <c r="F28" s="1" t="s">
        <v>545</v>
      </c>
    </row>
    <row r="29" customFormat="false" ht="21" hidden="false" customHeight="true" outlineLevel="0" collapsed="false">
      <c r="A29" s="1" t="s">
        <v>546</v>
      </c>
      <c r="B29" s="1" t="s">
        <v>547</v>
      </c>
      <c r="C29" s="1" t="s">
        <v>35</v>
      </c>
      <c r="D29" s="1"/>
      <c r="E29" s="10" t="n">
        <v>380</v>
      </c>
      <c r="F29" s="1" t="s">
        <v>548</v>
      </c>
    </row>
    <row r="30" customFormat="false" ht="21" hidden="false" customHeight="true" outlineLevel="0" collapsed="false">
      <c r="A30" s="1" t="s">
        <v>549</v>
      </c>
      <c r="B30" s="1" t="s">
        <v>550</v>
      </c>
      <c r="C30" s="1" t="s">
        <v>16</v>
      </c>
      <c r="D30" s="1"/>
      <c r="E30" s="10" t="n">
        <v>250</v>
      </c>
      <c r="F30" s="1" t="s">
        <v>551</v>
      </c>
    </row>
    <row r="31" customFormat="false" ht="21" hidden="false" customHeight="true" outlineLevel="0" collapsed="false">
      <c r="A31" s="1" t="s">
        <v>552</v>
      </c>
      <c r="B31" s="1" t="s">
        <v>553</v>
      </c>
      <c r="C31" s="1" t="s">
        <v>104</v>
      </c>
      <c r="D31" s="1"/>
      <c r="E31" s="19" t="n">
        <v>0.06</v>
      </c>
      <c r="F31" s="1" t="s">
        <v>554</v>
      </c>
    </row>
    <row r="32" customFormat="false" ht="21" hidden="false" customHeight="true" outlineLevel="0" collapsed="false">
      <c r="A32" s="1" t="s">
        <v>555</v>
      </c>
      <c r="B32" s="1" t="s">
        <v>556</v>
      </c>
      <c r="C32" s="1" t="s">
        <v>12</v>
      </c>
      <c r="D32" s="1"/>
      <c r="E32" s="10" t="n">
        <v>3.1</v>
      </c>
      <c r="F32" s="1" t="s">
        <v>554</v>
      </c>
    </row>
    <row r="33" customFormat="false" ht="21" hidden="false" customHeight="true" outlineLevel="0" collapsed="false">
      <c r="A33" s="1" t="s">
        <v>557</v>
      </c>
      <c r="B33" s="1" t="s">
        <v>558</v>
      </c>
      <c r="C33" s="1" t="s">
        <v>12</v>
      </c>
      <c r="D33" s="1"/>
      <c r="E33" s="10" t="n">
        <v>0.45</v>
      </c>
      <c r="F33" s="1" t="s">
        <v>554</v>
      </c>
    </row>
    <row r="34" customFormat="false" ht="21" hidden="false" customHeight="true" outlineLevel="0" collapsed="false">
      <c r="A34" s="1" t="s">
        <v>559</v>
      </c>
      <c r="B34" s="1" t="s">
        <v>560</v>
      </c>
      <c r="C34" s="1" t="s">
        <v>124</v>
      </c>
      <c r="D34" s="1"/>
      <c r="E34" s="10" t="n">
        <v>2.5</v>
      </c>
      <c r="F34" s="1" t="s">
        <v>554</v>
      </c>
    </row>
    <row r="35" customFormat="false" ht="21" hidden="false" customHeight="true" outlineLevel="0" collapsed="false">
      <c r="A35" s="1" t="s">
        <v>561</v>
      </c>
      <c r="B35" s="1" t="s">
        <v>562</v>
      </c>
      <c r="C35" s="1" t="s">
        <v>12</v>
      </c>
      <c r="D35" s="1"/>
      <c r="E35" s="10" t="n">
        <v>5</v>
      </c>
      <c r="F35" s="1" t="s">
        <v>563</v>
      </c>
    </row>
    <row r="36" customFormat="false" ht="21" hidden="false" customHeight="true" outlineLevel="0" collapsed="false">
      <c r="A36" s="1" t="s">
        <v>564</v>
      </c>
      <c r="B36" s="1" t="s">
        <v>565</v>
      </c>
      <c r="C36" s="1" t="s">
        <v>54</v>
      </c>
      <c r="D36" s="1"/>
      <c r="E36" s="10" t="n">
        <v>0.9</v>
      </c>
      <c r="F36" s="1" t="s">
        <v>566</v>
      </c>
    </row>
    <row r="37" customFormat="false" ht="21" hidden="false" customHeight="true" outlineLevel="0" collapsed="false">
      <c r="A37" s="1" t="s">
        <v>567</v>
      </c>
      <c r="B37" s="1" t="s">
        <v>568</v>
      </c>
      <c r="C37" s="1" t="s">
        <v>104</v>
      </c>
      <c r="D37" s="1"/>
      <c r="E37" s="10" t="n">
        <v>0.02</v>
      </c>
      <c r="F37" s="1" t="s">
        <v>569</v>
      </c>
    </row>
    <row r="38" customFormat="false" ht="21" hidden="false" customHeight="true" outlineLevel="0" collapsed="false">
      <c r="A38" s="1" t="s">
        <v>570</v>
      </c>
      <c r="B38" s="1" t="s">
        <v>571</v>
      </c>
      <c r="C38" s="1" t="s">
        <v>104</v>
      </c>
      <c r="D38" s="1"/>
      <c r="E38" s="10" t="n">
        <v>0.2</v>
      </c>
      <c r="F38" s="1" t="s">
        <v>569</v>
      </c>
    </row>
    <row r="39" customFormat="false" ht="21" hidden="false" customHeight="true" outlineLevel="0" collapsed="false">
      <c r="A39" s="1" t="s">
        <v>572</v>
      </c>
      <c r="B39" s="1" t="s">
        <v>573</v>
      </c>
      <c r="C39" s="1" t="s">
        <v>104</v>
      </c>
      <c r="D39" s="1"/>
      <c r="E39" s="10" t="n">
        <v>0.3</v>
      </c>
      <c r="F39" s="1" t="s">
        <v>569</v>
      </c>
    </row>
    <row r="40" customFormat="false" ht="21" hidden="false" customHeight="true" outlineLevel="0" collapsed="false">
      <c r="A40" s="1" t="s">
        <v>574</v>
      </c>
      <c r="B40" s="1" t="s">
        <v>575</v>
      </c>
      <c r="C40" s="1" t="s">
        <v>104</v>
      </c>
      <c r="D40" s="1"/>
      <c r="E40" s="10" t="n">
        <v>1.8</v>
      </c>
      <c r="F40" s="1" t="s">
        <v>569</v>
      </c>
    </row>
    <row r="41" customFormat="false" ht="21" hidden="false" customHeight="true" outlineLevel="0" collapsed="false">
      <c r="A41" s="1" t="s">
        <v>576</v>
      </c>
      <c r="B41" s="1" t="s">
        <v>577</v>
      </c>
      <c r="C41" s="1" t="s">
        <v>12</v>
      </c>
      <c r="D41" s="1"/>
      <c r="E41" s="10" t="n">
        <v>200</v>
      </c>
      <c r="F41" s="1" t="s">
        <v>578</v>
      </c>
    </row>
    <row r="42" customFormat="false" ht="21" hidden="false" customHeight="true" outlineLevel="0" collapsed="false">
      <c r="A42" s="1" t="s">
        <v>579</v>
      </c>
      <c r="B42" s="1" t="s">
        <v>580</v>
      </c>
      <c r="C42" s="1" t="s">
        <v>581</v>
      </c>
      <c r="D42" s="1"/>
      <c r="E42" s="10" t="n">
        <v>2026</v>
      </c>
      <c r="F42" s="1" t="s">
        <v>582</v>
      </c>
    </row>
    <row r="43" customFormat="false" ht="21" hidden="false" customHeight="true" outlineLevel="0" collapsed="false">
      <c r="A43" s="1" t="s">
        <v>583</v>
      </c>
      <c r="B43" s="1" t="s">
        <v>584</v>
      </c>
      <c r="C43" s="1" t="s">
        <v>581</v>
      </c>
      <c r="D43" s="1"/>
      <c r="E43" s="10" t="n">
        <v>2017</v>
      </c>
      <c r="F43" s="1" t="s">
        <v>585</v>
      </c>
    </row>
    <row r="44" customFormat="false" ht="21" hidden="false" customHeight="true" outlineLevel="0" collapsed="false">
      <c r="A44" s="1" t="s">
        <v>586</v>
      </c>
      <c r="B44" s="1" t="s">
        <v>587</v>
      </c>
      <c r="C44" s="1" t="s">
        <v>478</v>
      </c>
      <c r="D44" s="1"/>
      <c r="E44" s="19" t="n">
        <v>0.01</v>
      </c>
      <c r="F44" s="1" t="s">
        <v>588</v>
      </c>
    </row>
    <row r="45" customFormat="false" ht="21" hidden="false" customHeight="true" outlineLevel="0" collapsed="false">
      <c r="A45" s="1" t="s">
        <v>589</v>
      </c>
      <c r="B45" s="1" t="s">
        <v>590</v>
      </c>
      <c r="C45" s="1" t="s">
        <v>54</v>
      </c>
      <c r="D45" s="1"/>
      <c r="E45" s="10" t="n">
        <v>0.8</v>
      </c>
      <c r="F45" s="1" t="s">
        <v>591</v>
      </c>
    </row>
    <row r="46" customFormat="false" ht="21" hidden="false" customHeight="true" outlineLevel="0" collapsed="false">
      <c r="A46" s="1" t="s">
        <v>592</v>
      </c>
      <c r="B46" s="1" t="s">
        <v>593</v>
      </c>
      <c r="C46" s="1" t="s">
        <v>8</v>
      </c>
      <c r="D46" s="1"/>
      <c r="E46" s="10" t="n">
        <v>60</v>
      </c>
      <c r="F46" s="1" t="s">
        <v>594</v>
      </c>
    </row>
    <row r="47" customFormat="false" ht="21" hidden="false" customHeight="true" outlineLevel="0" collapsed="false">
      <c r="A47" s="1" t="s">
        <v>595</v>
      </c>
      <c r="B47" s="1" t="s">
        <v>596</v>
      </c>
      <c r="C47" s="1" t="s">
        <v>12</v>
      </c>
      <c r="D47" s="1"/>
      <c r="E47" s="10" t="n">
        <v>0.0541</v>
      </c>
      <c r="F47" s="1" t="s">
        <v>594</v>
      </c>
    </row>
    <row r="48" customFormat="false" ht="21" hidden="false" customHeight="true" outlineLevel="0" collapsed="false">
      <c r="A48" s="1" t="s">
        <v>597</v>
      </c>
      <c r="B48" s="1" t="s">
        <v>598</v>
      </c>
      <c r="C48" s="1" t="s">
        <v>478</v>
      </c>
      <c r="D48" s="1"/>
      <c r="E48" s="19" t="n">
        <v>0.05</v>
      </c>
      <c r="F48" s="1" t="s">
        <v>599</v>
      </c>
    </row>
    <row r="49" customFormat="false" ht="21" hidden="false" customHeight="true" outlineLevel="0" collapsed="false">
      <c r="A49" s="1"/>
      <c r="B49" s="1"/>
      <c r="C49" s="1"/>
      <c r="D49" s="1"/>
      <c r="E49" s="1"/>
      <c r="F49" s="1"/>
    </row>
    <row r="50" customFormat="false" ht="21" hidden="false" customHeight="true" outlineLevel="0" collapsed="false">
      <c r="A50" s="1"/>
      <c r="B50" s="1"/>
      <c r="C50" s="1"/>
      <c r="D50" s="1"/>
      <c r="E50" s="1"/>
      <c r="F50" s="1"/>
    </row>
    <row r="51" customFormat="false" ht="21" hidden="false" customHeight="true" outlineLevel="0" collapsed="false">
      <c r="A51" s="1"/>
      <c r="B51" s="1"/>
      <c r="C51" s="1"/>
      <c r="D51" s="1"/>
      <c r="E51" s="1"/>
      <c r="F51" s="1"/>
    </row>
    <row r="52" customFormat="false" ht="21" hidden="false" customHeight="true" outlineLevel="0" collapsed="false">
      <c r="A52" s="1"/>
      <c r="B52" s="1"/>
      <c r="C52" s="1"/>
      <c r="D52" s="1"/>
      <c r="E52" s="1"/>
      <c r="F52" s="1"/>
    </row>
    <row r="53" customFormat="false" ht="21" hidden="false" customHeight="true" outlineLevel="0" collapsed="false">
      <c r="A53" s="1"/>
      <c r="B53" s="1"/>
      <c r="C53" s="1"/>
      <c r="D53" s="1"/>
      <c r="E53" s="1"/>
      <c r="F53" s="1"/>
    </row>
    <row r="54" customFormat="false" ht="21" hidden="false" customHeight="true" outlineLevel="0" collapsed="false">
      <c r="A54" s="1"/>
      <c r="B54" s="1"/>
      <c r="C54" s="1"/>
      <c r="D54" s="1"/>
      <c r="E54" s="1"/>
      <c r="F54" s="1"/>
    </row>
    <row r="55" customFormat="false" ht="21" hidden="false" customHeight="true" outlineLevel="0" collapsed="false">
      <c r="A55" s="1"/>
      <c r="B55" s="1"/>
      <c r="C55" s="1"/>
      <c r="D55" s="1"/>
      <c r="E55" s="1"/>
      <c r="F55" s="1"/>
    </row>
  </sheetData>
  <printOptions headings="false" gridLines="false" gridLinesSet="true" horizontalCentered="false" verticalCentered="false"/>
  <pageMargins left="0.39375" right="0.39375" top="0.551388888888889" bottom="0.551388888888889" header="0.511811023622047" footer="0.3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&amp;CInstalaciones Eléctricas II | Aquiles Taylor Ramos Yapo | 227368&amp;RHoja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4" style="0" width="48"/>
  </cols>
  <sheetData>
    <row r="1" customFormat="false" ht="15" hidden="false" customHeight="false" outlineLevel="0" collapsed="false">
      <c r="A1" s="0" t="s">
        <v>600</v>
      </c>
      <c r="B1" s="0" t="s">
        <v>3</v>
      </c>
      <c r="C1" s="0" t="s">
        <v>4</v>
      </c>
      <c r="D1" s="0" t="s">
        <v>302</v>
      </c>
    </row>
    <row r="2" customFormat="false" ht="15" hidden="false" customHeight="false" outlineLevel="0" collapsed="false">
      <c r="A2" s="0" t="s">
        <v>601</v>
      </c>
      <c r="B2" s="0" t="s">
        <v>512</v>
      </c>
      <c r="C2" s="0" t="n">
        <v>45</v>
      </c>
      <c r="D2" s="0" t="s">
        <v>602</v>
      </c>
    </row>
    <row r="3" customFormat="false" ht="15" hidden="false" customHeight="false" outlineLevel="0" collapsed="false">
      <c r="A3" s="0" t="s">
        <v>603</v>
      </c>
      <c r="B3" s="0" t="s">
        <v>20</v>
      </c>
      <c r="C3" s="0" t="n">
        <v>3</v>
      </c>
      <c r="D3" s="0" t="s">
        <v>604</v>
      </c>
    </row>
    <row r="4" customFormat="false" ht="15" hidden="false" customHeight="false" outlineLevel="0" collapsed="false">
      <c r="A4" s="0" t="s">
        <v>605</v>
      </c>
      <c r="B4" s="0" t="s">
        <v>20</v>
      </c>
      <c r="C4" s="0" t="n">
        <v>3</v>
      </c>
      <c r="D4" s="0" t="s">
        <v>606</v>
      </c>
    </row>
    <row r="5" customFormat="false" ht="15" hidden="false" customHeight="false" outlineLevel="0" collapsed="false">
      <c r="A5" s="0" t="s">
        <v>607</v>
      </c>
      <c r="B5" s="0" t="s">
        <v>20</v>
      </c>
      <c r="C5" s="0" t="n">
        <v>1</v>
      </c>
      <c r="D5" s="0" t="s">
        <v>608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2026-10-19T17:46:48Z</dcterms:created>
  <dc:creator>openpyxl</dc:creator>
  <dc:description/>
  <dc:language>en-US</dc:language>
  <cp:lastModifiedBy>Aquiles Taylor Ramos yapo</cp:lastModifiedBy>
  <cp:lastPrinted>2026-10-19T05:15:24Z</cp:lastPrinted>
  <dcterms:modified xsi:type="dcterms:W3CDTF">2026-10-19T17:46:49Z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