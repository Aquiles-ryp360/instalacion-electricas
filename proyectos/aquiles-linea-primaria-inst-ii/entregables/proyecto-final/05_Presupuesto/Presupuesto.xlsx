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Aquiles\instalacion-electricas\build\aquiles-linea-primaria-inst-ii\presentacion-final\Proyecto_Linea_Primaria\05_Presupuesto\"/>
    </mc:Choice>
  </mc:AlternateContent>
  <xr:revisionPtr revIDLastSave="0" documentId="13_ncr:1_{7D5C8809-8310-4861-AA87-55F836A25AE9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resupuesto" sheetId="1" r:id="rId1"/>
    <sheet name="Resumen" sheetId="2" r:id="rId2"/>
    <sheet name="Postes" sheetId="3" r:id="rId3"/>
    <sheet name="Vanos" sheetId="4" r:id="rId4"/>
    <sheet name="Parametros" sheetId="5" r:id="rId5"/>
  </sheets>
  <definedNames>
    <definedName name="_xlnm.Print_Area" localSheetId="4">Parametros!$A$1:$F$25</definedName>
    <definedName name="_xlnm.Print_Area" localSheetId="2">Postes!$A$1:$M$140</definedName>
    <definedName name="_xlnm.Print_Area" localSheetId="0">Presupuesto!$A$1:$F$34</definedName>
    <definedName name="_xlnm.Print_Area" localSheetId="1">Resumen!$A$1:$E$35</definedName>
    <definedName name="_xlnm.Print_Area" localSheetId="3">Vanos!$A$1:$N$140</definedName>
    <definedName name="_xlnm.Print_Titles" localSheetId="4">Parametros!$1:$6</definedName>
    <definedName name="_xlnm.Print_Titles" localSheetId="2">Postes!$1:$6</definedName>
    <definedName name="_xlnm.Print_Titles" localSheetId="1">Resumen!$1:$6</definedName>
    <definedName name="_xlnm.Print_Titles" localSheetId="3">Vanos!$1:$6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6" i="4" l="1"/>
  <c r="F116" i="4"/>
  <c r="H116" i="4" s="1"/>
  <c r="E116" i="4"/>
  <c r="D116" i="4"/>
  <c r="G115" i="4"/>
  <c r="H115" i="4" s="1"/>
  <c r="F115" i="4"/>
  <c r="E115" i="4"/>
  <c r="D115" i="4"/>
  <c r="G114" i="4"/>
  <c r="F114" i="4"/>
  <c r="E114" i="4"/>
  <c r="D114" i="4"/>
  <c r="G113" i="4"/>
  <c r="F113" i="4"/>
  <c r="H113" i="4" s="1"/>
  <c r="E113" i="4"/>
  <c r="D113" i="4"/>
  <c r="H112" i="4"/>
  <c r="G112" i="4"/>
  <c r="F112" i="4"/>
  <c r="E112" i="4"/>
  <c r="D112" i="4"/>
  <c r="G111" i="4"/>
  <c r="F111" i="4"/>
  <c r="E111" i="4"/>
  <c r="D111" i="4"/>
  <c r="G110" i="4"/>
  <c r="F110" i="4"/>
  <c r="E110" i="4"/>
  <c r="D110" i="4"/>
  <c r="G109" i="4"/>
  <c r="F109" i="4"/>
  <c r="H109" i="4" s="1"/>
  <c r="E109" i="4"/>
  <c r="D109" i="4"/>
  <c r="G108" i="4"/>
  <c r="F108" i="4"/>
  <c r="H108" i="4" s="1"/>
  <c r="E108" i="4"/>
  <c r="D108" i="4"/>
  <c r="G107" i="4"/>
  <c r="F107" i="4"/>
  <c r="E107" i="4"/>
  <c r="D107" i="4"/>
  <c r="G106" i="4"/>
  <c r="F106" i="4"/>
  <c r="H106" i="4" s="1"/>
  <c r="E106" i="4"/>
  <c r="D106" i="4"/>
  <c r="H105" i="4"/>
  <c r="G105" i="4"/>
  <c r="F105" i="4"/>
  <c r="E105" i="4"/>
  <c r="I105" i="4" s="1"/>
  <c r="D105" i="4"/>
  <c r="G104" i="4"/>
  <c r="H104" i="4" s="1"/>
  <c r="F104" i="4"/>
  <c r="E104" i="4"/>
  <c r="D104" i="4"/>
  <c r="G103" i="4"/>
  <c r="F103" i="4"/>
  <c r="H103" i="4" s="1"/>
  <c r="E103" i="4"/>
  <c r="I103" i="4" s="1"/>
  <c r="D103" i="4"/>
  <c r="G102" i="4"/>
  <c r="F102" i="4"/>
  <c r="E102" i="4"/>
  <c r="D102" i="4"/>
  <c r="G101" i="4"/>
  <c r="F101" i="4"/>
  <c r="H101" i="4" s="1"/>
  <c r="E101" i="4"/>
  <c r="D101" i="4"/>
  <c r="G100" i="4"/>
  <c r="F100" i="4"/>
  <c r="H100" i="4" s="1"/>
  <c r="E100" i="4"/>
  <c r="D100" i="4"/>
  <c r="G99" i="4"/>
  <c r="H99" i="4" s="1"/>
  <c r="F99" i="4"/>
  <c r="E99" i="4"/>
  <c r="D99" i="4"/>
  <c r="G98" i="4"/>
  <c r="F98" i="4"/>
  <c r="E98" i="4"/>
  <c r="D98" i="4"/>
  <c r="G97" i="4"/>
  <c r="H97" i="4" s="1"/>
  <c r="F97" i="4"/>
  <c r="E97" i="4"/>
  <c r="D97" i="4"/>
  <c r="G96" i="4"/>
  <c r="F96" i="4"/>
  <c r="H96" i="4" s="1"/>
  <c r="E96" i="4"/>
  <c r="D96" i="4"/>
  <c r="G95" i="4"/>
  <c r="F95" i="4"/>
  <c r="E95" i="4"/>
  <c r="D95" i="4"/>
  <c r="G94" i="4"/>
  <c r="F94" i="4"/>
  <c r="H94" i="4" s="1"/>
  <c r="E94" i="4"/>
  <c r="D94" i="4"/>
  <c r="G93" i="4"/>
  <c r="F93" i="4"/>
  <c r="H93" i="4" s="1"/>
  <c r="E93" i="4"/>
  <c r="I93" i="4" s="1"/>
  <c r="D93" i="4"/>
  <c r="G92" i="4"/>
  <c r="F92" i="4"/>
  <c r="H92" i="4" s="1"/>
  <c r="E92" i="4"/>
  <c r="D92" i="4"/>
  <c r="G91" i="4"/>
  <c r="F91" i="4"/>
  <c r="E91" i="4"/>
  <c r="D91" i="4"/>
  <c r="G90" i="4"/>
  <c r="F90" i="4"/>
  <c r="E90" i="4"/>
  <c r="D90" i="4"/>
  <c r="G89" i="4"/>
  <c r="H89" i="4" s="1"/>
  <c r="F89" i="4"/>
  <c r="E89" i="4"/>
  <c r="D89" i="4"/>
  <c r="G88" i="4"/>
  <c r="H88" i="4" s="1"/>
  <c r="F88" i="4"/>
  <c r="E88" i="4"/>
  <c r="D88" i="4"/>
  <c r="G87" i="4"/>
  <c r="F87" i="4"/>
  <c r="H87" i="4" s="1"/>
  <c r="E87" i="4"/>
  <c r="D87" i="4"/>
  <c r="G86" i="4"/>
  <c r="F86" i="4"/>
  <c r="E86" i="4"/>
  <c r="D86" i="4"/>
  <c r="G85" i="4"/>
  <c r="F85" i="4"/>
  <c r="H85" i="4" s="1"/>
  <c r="E85" i="4"/>
  <c r="I85" i="4" s="1"/>
  <c r="D85" i="4"/>
  <c r="G84" i="4"/>
  <c r="F84" i="4"/>
  <c r="H84" i="4" s="1"/>
  <c r="E84" i="4"/>
  <c r="D84" i="4"/>
  <c r="G83" i="4"/>
  <c r="F83" i="4"/>
  <c r="E83" i="4"/>
  <c r="D83" i="4"/>
  <c r="G82" i="4"/>
  <c r="F82" i="4"/>
  <c r="H82" i="4" s="1"/>
  <c r="E82" i="4"/>
  <c r="D82" i="4"/>
  <c r="G81" i="4"/>
  <c r="F81" i="4"/>
  <c r="H81" i="4" s="1"/>
  <c r="E81" i="4"/>
  <c r="D81" i="4"/>
  <c r="G80" i="4"/>
  <c r="H80" i="4" s="1"/>
  <c r="F80" i="4"/>
  <c r="E80" i="4"/>
  <c r="D80" i="4"/>
  <c r="G79" i="4"/>
  <c r="F79" i="4"/>
  <c r="E79" i="4"/>
  <c r="D79" i="4"/>
  <c r="G78" i="4"/>
  <c r="F78" i="4"/>
  <c r="E78" i="4"/>
  <c r="D78" i="4"/>
  <c r="G77" i="4"/>
  <c r="F77" i="4"/>
  <c r="H77" i="4" s="1"/>
  <c r="E77" i="4"/>
  <c r="D77" i="4"/>
  <c r="H76" i="4"/>
  <c r="G76" i="4"/>
  <c r="F76" i="4"/>
  <c r="E76" i="4"/>
  <c r="D76" i="4"/>
  <c r="G75" i="4"/>
  <c r="H75" i="4" s="1"/>
  <c r="F75" i="4"/>
  <c r="E75" i="4"/>
  <c r="D75" i="4"/>
  <c r="G74" i="4"/>
  <c r="F74" i="4"/>
  <c r="H74" i="4" s="1"/>
  <c r="E74" i="4"/>
  <c r="I74" i="4" s="1"/>
  <c r="D74" i="4"/>
  <c r="G73" i="4"/>
  <c r="F73" i="4"/>
  <c r="H73" i="4" s="1"/>
  <c r="E73" i="4"/>
  <c r="D73" i="4"/>
  <c r="G72" i="4"/>
  <c r="F72" i="4"/>
  <c r="H72" i="4" s="1"/>
  <c r="E72" i="4"/>
  <c r="D72" i="4"/>
  <c r="G71" i="4"/>
  <c r="F71" i="4"/>
  <c r="E71" i="4"/>
  <c r="D71" i="4"/>
  <c r="G70" i="4"/>
  <c r="F70" i="4"/>
  <c r="E70" i="4"/>
  <c r="D70" i="4"/>
  <c r="G69" i="4"/>
  <c r="F69" i="4"/>
  <c r="H69" i="4" s="1"/>
  <c r="E69" i="4"/>
  <c r="D69" i="4"/>
  <c r="H68" i="4"/>
  <c r="G68" i="4"/>
  <c r="F68" i="4"/>
  <c r="E68" i="4"/>
  <c r="D68" i="4"/>
  <c r="G67" i="4"/>
  <c r="H67" i="4" s="1"/>
  <c r="F67" i="4"/>
  <c r="E67" i="4"/>
  <c r="D67" i="4"/>
  <c r="G66" i="4"/>
  <c r="F66" i="4"/>
  <c r="H66" i="4" s="1"/>
  <c r="E66" i="4"/>
  <c r="D66" i="4"/>
  <c r="H65" i="4"/>
  <c r="G65" i="4"/>
  <c r="F65" i="4"/>
  <c r="E65" i="4"/>
  <c r="I65" i="4" s="1"/>
  <c r="D65" i="4"/>
  <c r="G64" i="4"/>
  <c r="F64" i="4"/>
  <c r="H64" i="4" s="1"/>
  <c r="E64" i="4"/>
  <c r="D64" i="4"/>
  <c r="G63" i="4"/>
  <c r="F63" i="4"/>
  <c r="E63" i="4"/>
  <c r="D63" i="4"/>
  <c r="G62" i="4"/>
  <c r="F62" i="4"/>
  <c r="H62" i="4" s="1"/>
  <c r="E62" i="4"/>
  <c r="D62" i="4"/>
  <c r="G61" i="4"/>
  <c r="F61" i="4"/>
  <c r="H61" i="4" s="1"/>
  <c r="E61" i="4"/>
  <c r="D61" i="4"/>
  <c r="G60" i="4"/>
  <c r="F60" i="4"/>
  <c r="H60" i="4" s="1"/>
  <c r="E60" i="4"/>
  <c r="D60" i="4"/>
  <c r="G59" i="4"/>
  <c r="H59" i="4" s="1"/>
  <c r="F59" i="4"/>
  <c r="E59" i="4"/>
  <c r="D59" i="4"/>
  <c r="G58" i="4"/>
  <c r="F58" i="4"/>
  <c r="H58" i="4" s="1"/>
  <c r="E58" i="4"/>
  <c r="D58" i="4"/>
  <c r="G57" i="4"/>
  <c r="H57" i="4" s="1"/>
  <c r="I57" i="4" s="1"/>
  <c r="F57" i="4"/>
  <c r="E57" i="4"/>
  <c r="D57" i="4"/>
  <c r="G56" i="4"/>
  <c r="F56" i="4"/>
  <c r="H56" i="4" s="1"/>
  <c r="E56" i="4"/>
  <c r="D56" i="4"/>
  <c r="G55" i="4"/>
  <c r="F55" i="4"/>
  <c r="H55" i="4" s="1"/>
  <c r="E55" i="4"/>
  <c r="D55" i="4"/>
  <c r="G54" i="4"/>
  <c r="F54" i="4"/>
  <c r="H54" i="4" s="1"/>
  <c r="E54" i="4"/>
  <c r="D54" i="4"/>
  <c r="G53" i="4"/>
  <c r="F53" i="4"/>
  <c r="H53" i="4" s="1"/>
  <c r="E53" i="4"/>
  <c r="I53" i="4" s="1"/>
  <c r="D53" i="4"/>
  <c r="H52" i="4"/>
  <c r="G52" i="4"/>
  <c r="F52" i="4"/>
  <c r="E52" i="4"/>
  <c r="D52" i="4"/>
  <c r="G51" i="4"/>
  <c r="H51" i="4" s="1"/>
  <c r="F51" i="4"/>
  <c r="E51" i="4"/>
  <c r="D51" i="4"/>
  <c r="G50" i="4"/>
  <c r="F50" i="4"/>
  <c r="H50" i="4" s="1"/>
  <c r="E50" i="4"/>
  <c r="D50" i="4"/>
  <c r="G49" i="4"/>
  <c r="F49" i="4"/>
  <c r="H49" i="4" s="1"/>
  <c r="I49" i="4" s="1"/>
  <c r="E49" i="4"/>
  <c r="D49" i="4"/>
  <c r="G48" i="4"/>
  <c r="F48" i="4"/>
  <c r="H48" i="4" s="1"/>
  <c r="E48" i="4"/>
  <c r="D48" i="4"/>
  <c r="G47" i="4"/>
  <c r="F47" i="4"/>
  <c r="E47" i="4"/>
  <c r="D47" i="4"/>
  <c r="G46" i="4"/>
  <c r="F46" i="4"/>
  <c r="H46" i="4" s="1"/>
  <c r="E46" i="4"/>
  <c r="D46" i="4"/>
  <c r="I45" i="4"/>
  <c r="G45" i="4"/>
  <c r="F45" i="4"/>
  <c r="H45" i="4" s="1"/>
  <c r="E45" i="4"/>
  <c r="D45" i="4"/>
  <c r="G44" i="4"/>
  <c r="H44" i="4" s="1"/>
  <c r="F44" i="4"/>
  <c r="E44" i="4"/>
  <c r="D44" i="4"/>
  <c r="G43" i="4"/>
  <c r="F43" i="4"/>
  <c r="E43" i="4"/>
  <c r="D43" i="4"/>
  <c r="G42" i="4"/>
  <c r="F42" i="4"/>
  <c r="E42" i="4"/>
  <c r="D42" i="4"/>
  <c r="H41" i="4"/>
  <c r="G41" i="4"/>
  <c r="F41" i="4"/>
  <c r="E41" i="4"/>
  <c r="I41" i="4" s="1"/>
  <c r="D41" i="4"/>
  <c r="G40" i="4"/>
  <c r="F40" i="4"/>
  <c r="H40" i="4" s="1"/>
  <c r="E40" i="4"/>
  <c r="D40" i="4"/>
  <c r="G39" i="4"/>
  <c r="F39" i="4"/>
  <c r="E39" i="4"/>
  <c r="D39" i="4"/>
  <c r="G38" i="4"/>
  <c r="F38" i="4"/>
  <c r="E38" i="4"/>
  <c r="D38" i="4"/>
  <c r="G37" i="4"/>
  <c r="F37" i="4"/>
  <c r="H37" i="4" s="1"/>
  <c r="E37" i="4"/>
  <c r="D37" i="4"/>
  <c r="H36" i="4"/>
  <c r="G36" i="4"/>
  <c r="F36" i="4"/>
  <c r="E36" i="4"/>
  <c r="D36" i="4"/>
  <c r="G35" i="4"/>
  <c r="F35" i="4"/>
  <c r="E35" i="4"/>
  <c r="D35" i="4"/>
  <c r="G34" i="4"/>
  <c r="F34" i="4"/>
  <c r="H34" i="4" s="1"/>
  <c r="E34" i="4"/>
  <c r="D34" i="4"/>
  <c r="H33" i="4"/>
  <c r="G33" i="4"/>
  <c r="F33" i="4"/>
  <c r="E33" i="4"/>
  <c r="D33" i="4"/>
  <c r="H32" i="4"/>
  <c r="G32" i="4"/>
  <c r="F32" i="4"/>
  <c r="E32" i="4"/>
  <c r="I32" i="4" s="1"/>
  <c r="D32" i="4"/>
  <c r="G31" i="4"/>
  <c r="F31" i="4"/>
  <c r="E31" i="4"/>
  <c r="D31" i="4"/>
  <c r="G30" i="4"/>
  <c r="F30" i="4"/>
  <c r="H30" i="4" s="1"/>
  <c r="E30" i="4"/>
  <c r="D30" i="4"/>
  <c r="G29" i="4"/>
  <c r="F29" i="4"/>
  <c r="E29" i="4"/>
  <c r="D29" i="4"/>
  <c r="G28" i="4"/>
  <c r="F28" i="4"/>
  <c r="E28" i="4"/>
  <c r="D28" i="4"/>
  <c r="G27" i="4"/>
  <c r="H27" i="4" s="1"/>
  <c r="F27" i="4"/>
  <c r="E27" i="4"/>
  <c r="D27" i="4"/>
  <c r="G26" i="4"/>
  <c r="F26" i="4"/>
  <c r="E26" i="4"/>
  <c r="D26" i="4"/>
  <c r="G25" i="4"/>
  <c r="F25" i="4"/>
  <c r="E25" i="4"/>
  <c r="D25" i="4"/>
  <c r="G24" i="4"/>
  <c r="F24" i="4"/>
  <c r="H24" i="4" s="1"/>
  <c r="E24" i="4"/>
  <c r="D24" i="4"/>
  <c r="G23" i="4"/>
  <c r="F23" i="4"/>
  <c r="E23" i="4"/>
  <c r="D23" i="4"/>
  <c r="G22" i="4"/>
  <c r="F22" i="4"/>
  <c r="H22" i="4" s="1"/>
  <c r="E22" i="4"/>
  <c r="D22" i="4"/>
  <c r="G21" i="4"/>
  <c r="F21" i="4"/>
  <c r="H21" i="4" s="1"/>
  <c r="E21" i="4"/>
  <c r="I21" i="4" s="1"/>
  <c r="J21" i="4" s="1"/>
  <c r="K21" i="4" s="1"/>
  <c r="D21" i="4"/>
  <c r="G20" i="4"/>
  <c r="F20" i="4"/>
  <c r="E20" i="4"/>
  <c r="D20" i="4"/>
  <c r="G19" i="4"/>
  <c r="H19" i="4" s="1"/>
  <c r="F19" i="4"/>
  <c r="E19" i="4"/>
  <c r="D19" i="4"/>
  <c r="G18" i="4"/>
  <c r="F18" i="4"/>
  <c r="H18" i="4" s="1"/>
  <c r="E18" i="4"/>
  <c r="D18" i="4"/>
  <c r="G17" i="4"/>
  <c r="H17" i="4" s="1"/>
  <c r="F17" i="4"/>
  <c r="E17" i="4"/>
  <c r="D17" i="4"/>
  <c r="G16" i="4"/>
  <c r="F16" i="4"/>
  <c r="H16" i="4" s="1"/>
  <c r="E16" i="4"/>
  <c r="D16" i="4"/>
  <c r="G15" i="4"/>
  <c r="H15" i="4" s="1"/>
  <c r="F15" i="4"/>
  <c r="E15" i="4"/>
  <c r="D15" i="4"/>
  <c r="G14" i="4"/>
  <c r="F14" i="4"/>
  <c r="H14" i="4" s="1"/>
  <c r="E14" i="4"/>
  <c r="D14" i="4"/>
  <c r="G13" i="4"/>
  <c r="F13" i="4"/>
  <c r="E13" i="4"/>
  <c r="D13" i="4"/>
  <c r="G12" i="4"/>
  <c r="H12" i="4" s="1"/>
  <c r="I12" i="4" s="1"/>
  <c r="F12" i="4"/>
  <c r="E12" i="4"/>
  <c r="D12" i="4"/>
  <c r="G11" i="4"/>
  <c r="F11" i="4"/>
  <c r="H11" i="4" s="1"/>
  <c r="E11" i="4"/>
  <c r="I11" i="4" s="1"/>
  <c r="D11" i="4"/>
  <c r="H10" i="4"/>
  <c r="G10" i="4"/>
  <c r="F10" i="4"/>
  <c r="E10" i="4"/>
  <c r="D10" i="4"/>
  <c r="G9" i="4"/>
  <c r="F9" i="4"/>
  <c r="E9" i="4"/>
  <c r="D9" i="4"/>
  <c r="G8" i="4"/>
  <c r="F8" i="4"/>
  <c r="H8" i="4" s="1"/>
  <c r="E8" i="4"/>
  <c r="D8" i="4"/>
  <c r="G7" i="4"/>
  <c r="F7" i="4"/>
  <c r="E7" i="4"/>
  <c r="D7" i="4"/>
  <c r="L117" i="3"/>
  <c r="K117" i="3"/>
  <c r="J117" i="3"/>
  <c r="M117" i="3" s="1"/>
  <c r="L116" i="3"/>
  <c r="K116" i="3"/>
  <c r="J116" i="3"/>
  <c r="M116" i="3" s="1"/>
  <c r="L115" i="3"/>
  <c r="K115" i="3"/>
  <c r="J115" i="3"/>
  <c r="M115" i="3" s="1"/>
  <c r="L114" i="3"/>
  <c r="K114" i="3"/>
  <c r="J114" i="3"/>
  <c r="M114" i="3" s="1"/>
  <c r="L113" i="3"/>
  <c r="K113" i="3"/>
  <c r="J113" i="3"/>
  <c r="M113" i="3" s="1"/>
  <c r="M112" i="3"/>
  <c r="L112" i="3"/>
  <c r="K112" i="3"/>
  <c r="J112" i="3"/>
  <c r="L111" i="3"/>
  <c r="K111" i="3"/>
  <c r="J111" i="3"/>
  <c r="M111" i="3" s="1"/>
  <c r="L110" i="3"/>
  <c r="K110" i="3"/>
  <c r="J110" i="3"/>
  <c r="M110" i="3" s="1"/>
  <c r="L109" i="3"/>
  <c r="K109" i="3"/>
  <c r="J109" i="3"/>
  <c r="M109" i="3" s="1"/>
  <c r="M108" i="3"/>
  <c r="L108" i="3"/>
  <c r="K108" i="3"/>
  <c r="J108" i="3"/>
  <c r="L107" i="3"/>
  <c r="K107" i="3"/>
  <c r="J107" i="3"/>
  <c r="M107" i="3" s="1"/>
  <c r="M106" i="3"/>
  <c r="L106" i="3"/>
  <c r="K106" i="3"/>
  <c r="J106" i="3"/>
  <c r="L105" i="3"/>
  <c r="K105" i="3"/>
  <c r="J105" i="3"/>
  <c r="M105" i="3" s="1"/>
  <c r="M104" i="3"/>
  <c r="L104" i="3"/>
  <c r="K104" i="3"/>
  <c r="J104" i="3"/>
  <c r="L103" i="3"/>
  <c r="K103" i="3"/>
  <c r="J103" i="3"/>
  <c r="M103" i="3" s="1"/>
  <c r="L102" i="3"/>
  <c r="K102" i="3"/>
  <c r="J102" i="3"/>
  <c r="M102" i="3" s="1"/>
  <c r="L101" i="3"/>
  <c r="K101" i="3"/>
  <c r="J101" i="3"/>
  <c r="M101" i="3" s="1"/>
  <c r="L100" i="3"/>
  <c r="K100" i="3"/>
  <c r="J100" i="3"/>
  <c r="M100" i="3" s="1"/>
  <c r="L99" i="3"/>
  <c r="K99" i="3"/>
  <c r="J99" i="3"/>
  <c r="M99" i="3" s="1"/>
  <c r="L98" i="3"/>
  <c r="K98" i="3"/>
  <c r="J98" i="3"/>
  <c r="M98" i="3" s="1"/>
  <c r="L97" i="3"/>
  <c r="K97" i="3"/>
  <c r="J97" i="3"/>
  <c r="M97" i="3" s="1"/>
  <c r="M96" i="3"/>
  <c r="L96" i="3"/>
  <c r="K96" i="3"/>
  <c r="J96" i="3"/>
  <c r="L95" i="3"/>
  <c r="K95" i="3"/>
  <c r="J95" i="3"/>
  <c r="M95" i="3" s="1"/>
  <c r="L94" i="3"/>
  <c r="K94" i="3"/>
  <c r="J94" i="3"/>
  <c r="M94" i="3" s="1"/>
  <c r="L93" i="3"/>
  <c r="K93" i="3"/>
  <c r="J93" i="3"/>
  <c r="M93" i="3" s="1"/>
  <c r="M92" i="3"/>
  <c r="L92" i="3"/>
  <c r="K92" i="3"/>
  <c r="J92" i="3"/>
  <c r="L91" i="3"/>
  <c r="K91" i="3"/>
  <c r="J91" i="3"/>
  <c r="M91" i="3" s="1"/>
  <c r="M90" i="3"/>
  <c r="L90" i="3"/>
  <c r="K90" i="3"/>
  <c r="J90" i="3"/>
  <c r="L89" i="3"/>
  <c r="K89" i="3"/>
  <c r="J89" i="3"/>
  <c r="M89" i="3" s="1"/>
  <c r="M88" i="3"/>
  <c r="L88" i="3"/>
  <c r="K88" i="3"/>
  <c r="J88" i="3"/>
  <c r="L87" i="3"/>
  <c r="K87" i="3"/>
  <c r="J87" i="3"/>
  <c r="M87" i="3" s="1"/>
  <c r="L86" i="3"/>
  <c r="K86" i="3"/>
  <c r="J86" i="3"/>
  <c r="M86" i="3" s="1"/>
  <c r="L85" i="3"/>
  <c r="K85" i="3"/>
  <c r="J85" i="3"/>
  <c r="M85" i="3" s="1"/>
  <c r="L84" i="3"/>
  <c r="K84" i="3"/>
  <c r="J84" i="3"/>
  <c r="M84" i="3" s="1"/>
  <c r="L83" i="3"/>
  <c r="K83" i="3"/>
  <c r="J83" i="3"/>
  <c r="M83" i="3" s="1"/>
  <c r="L82" i="3"/>
  <c r="K82" i="3"/>
  <c r="J82" i="3"/>
  <c r="M82" i="3" s="1"/>
  <c r="L81" i="3"/>
  <c r="K81" i="3"/>
  <c r="J81" i="3"/>
  <c r="M81" i="3" s="1"/>
  <c r="M80" i="3"/>
  <c r="L80" i="3"/>
  <c r="K80" i="3"/>
  <c r="J80" i="3"/>
  <c r="L79" i="3"/>
  <c r="K79" i="3"/>
  <c r="J79" i="3"/>
  <c r="M79" i="3" s="1"/>
  <c r="L78" i="3"/>
  <c r="K78" i="3"/>
  <c r="J78" i="3"/>
  <c r="M78" i="3" s="1"/>
  <c r="L77" i="3"/>
  <c r="K77" i="3"/>
  <c r="J77" i="3"/>
  <c r="M77" i="3" s="1"/>
  <c r="M76" i="3"/>
  <c r="L76" i="3"/>
  <c r="K76" i="3"/>
  <c r="J76" i="3"/>
  <c r="L75" i="3"/>
  <c r="K75" i="3"/>
  <c r="J75" i="3"/>
  <c r="M75" i="3" s="1"/>
  <c r="M74" i="3"/>
  <c r="L74" i="3"/>
  <c r="K74" i="3"/>
  <c r="J74" i="3"/>
  <c r="L73" i="3"/>
  <c r="K73" i="3"/>
  <c r="J73" i="3"/>
  <c r="M73" i="3" s="1"/>
  <c r="M72" i="3"/>
  <c r="L72" i="3"/>
  <c r="K72" i="3"/>
  <c r="J72" i="3"/>
  <c r="L71" i="3"/>
  <c r="K71" i="3"/>
  <c r="J71" i="3"/>
  <c r="M71" i="3" s="1"/>
  <c r="L70" i="3"/>
  <c r="K70" i="3"/>
  <c r="J70" i="3"/>
  <c r="M70" i="3" s="1"/>
  <c r="L69" i="3"/>
  <c r="K69" i="3"/>
  <c r="J69" i="3"/>
  <c r="M69" i="3" s="1"/>
  <c r="L68" i="3"/>
  <c r="K68" i="3"/>
  <c r="J68" i="3"/>
  <c r="M68" i="3" s="1"/>
  <c r="L67" i="3"/>
  <c r="K67" i="3"/>
  <c r="J67" i="3"/>
  <c r="M67" i="3" s="1"/>
  <c r="L66" i="3"/>
  <c r="K66" i="3"/>
  <c r="J66" i="3"/>
  <c r="M66" i="3" s="1"/>
  <c r="L65" i="3"/>
  <c r="K65" i="3"/>
  <c r="J65" i="3"/>
  <c r="M65" i="3" s="1"/>
  <c r="M64" i="3"/>
  <c r="L64" i="3"/>
  <c r="K64" i="3"/>
  <c r="J64" i="3"/>
  <c r="L63" i="3"/>
  <c r="K63" i="3"/>
  <c r="J63" i="3"/>
  <c r="M63" i="3" s="1"/>
  <c r="L62" i="3"/>
  <c r="K62" i="3"/>
  <c r="J62" i="3"/>
  <c r="M62" i="3" s="1"/>
  <c r="L61" i="3"/>
  <c r="K61" i="3"/>
  <c r="J61" i="3"/>
  <c r="M61" i="3" s="1"/>
  <c r="M60" i="3"/>
  <c r="L60" i="3"/>
  <c r="K60" i="3"/>
  <c r="J60" i="3"/>
  <c r="L59" i="3"/>
  <c r="K59" i="3"/>
  <c r="J59" i="3"/>
  <c r="M59" i="3" s="1"/>
  <c r="M58" i="3"/>
  <c r="L58" i="3"/>
  <c r="K58" i="3"/>
  <c r="J58" i="3"/>
  <c r="L57" i="3"/>
  <c r="K57" i="3"/>
  <c r="J57" i="3"/>
  <c r="M57" i="3" s="1"/>
  <c r="M56" i="3"/>
  <c r="L56" i="3"/>
  <c r="K56" i="3"/>
  <c r="J56" i="3"/>
  <c r="L55" i="3"/>
  <c r="K55" i="3"/>
  <c r="J55" i="3"/>
  <c r="M55" i="3" s="1"/>
  <c r="L54" i="3"/>
  <c r="K54" i="3"/>
  <c r="J54" i="3"/>
  <c r="M54" i="3" s="1"/>
  <c r="L53" i="3"/>
  <c r="K53" i="3"/>
  <c r="J53" i="3"/>
  <c r="M53" i="3" s="1"/>
  <c r="L52" i="3"/>
  <c r="K52" i="3"/>
  <c r="J52" i="3"/>
  <c r="M52" i="3" s="1"/>
  <c r="L51" i="3"/>
  <c r="K51" i="3"/>
  <c r="J51" i="3"/>
  <c r="M51" i="3" s="1"/>
  <c r="L50" i="3"/>
  <c r="K50" i="3"/>
  <c r="J50" i="3"/>
  <c r="M50" i="3" s="1"/>
  <c r="L49" i="3"/>
  <c r="K49" i="3"/>
  <c r="J49" i="3"/>
  <c r="M49" i="3" s="1"/>
  <c r="M48" i="3"/>
  <c r="L48" i="3"/>
  <c r="K48" i="3"/>
  <c r="J48" i="3"/>
  <c r="L47" i="3"/>
  <c r="K47" i="3"/>
  <c r="J47" i="3"/>
  <c r="M47" i="3" s="1"/>
  <c r="L46" i="3"/>
  <c r="K46" i="3"/>
  <c r="J46" i="3"/>
  <c r="M46" i="3" s="1"/>
  <c r="L45" i="3"/>
  <c r="K45" i="3"/>
  <c r="J45" i="3"/>
  <c r="M45" i="3" s="1"/>
  <c r="M44" i="3"/>
  <c r="L44" i="3"/>
  <c r="K44" i="3"/>
  <c r="J44" i="3"/>
  <c r="L43" i="3"/>
  <c r="K43" i="3"/>
  <c r="J43" i="3"/>
  <c r="M43" i="3" s="1"/>
  <c r="M42" i="3"/>
  <c r="L42" i="3"/>
  <c r="K42" i="3"/>
  <c r="J42" i="3"/>
  <c r="L41" i="3"/>
  <c r="K41" i="3"/>
  <c r="J41" i="3"/>
  <c r="M41" i="3" s="1"/>
  <c r="M40" i="3"/>
  <c r="L40" i="3"/>
  <c r="K40" i="3"/>
  <c r="J40" i="3"/>
  <c r="L39" i="3"/>
  <c r="K39" i="3"/>
  <c r="J39" i="3"/>
  <c r="M39" i="3" s="1"/>
  <c r="L38" i="3"/>
  <c r="K38" i="3"/>
  <c r="J38" i="3"/>
  <c r="M38" i="3" s="1"/>
  <c r="L37" i="3"/>
  <c r="K37" i="3"/>
  <c r="J37" i="3"/>
  <c r="M37" i="3" s="1"/>
  <c r="L36" i="3"/>
  <c r="K36" i="3"/>
  <c r="J36" i="3"/>
  <c r="M36" i="3" s="1"/>
  <c r="L35" i="3"/>
  <c r="K35" i="3"/>
  <c r="J35" i="3"/>
  <c r="M35" i="3" s="1"/>
  <c r="L34" i="3"/>
  <c r="K34" i="3"/>
  <c r="J34" i="3"/>
  <c r="M34" i="3" s="1"/>
  <c r="L33" i="3"/>
  <c r="K33" i="3"/>
  <c r="J33" i="3"/>
  <c r="M33" i="3" s="1"/>
  <c r="M32" i="3"/>
  <c r="L32" i="3"/>
  <c r="K32" i="3"/>
  <c r="J32" i="3"/>
  <c r="L31" i="3"/>
  <c r="K31" i="3"/>
  <c r="J31" i="3"/>
  <c r="M31" i="3" s="1"/>
  <c r="L30" i="3"/>
  <c r="K30" i="3"/>
  <c r="J30" i="3"/>
  <c r="M30" i="3" s="1"/>
  <c r="L29" i="3"/>
  <c r="K29" i="3"/>
  <c r="J29" i="3"/>
  <c r="M29" i="3" s="1"/>
  <c r="M28" i="3"/>
  <c r="L28" i="3"/>
  <c r="K28" i="3"/>
  <c r="J28" i="3"/>
  <c r="L27" i="3"/>
  <c r="K27" i="3"/>
  <c r="J27" i="3"/>
  <c r="M27" i="3" s="1"/>
  <c r="M26" i="3"/>
  <c r="L26" i="3"/>
  <c r="K26" i="3"/>
  <c r="J26" i="3"/>
  <c r="L25" i="3"/>
  <c r="K25" i="3"/>
  <c r="J25" i="3"/>
  <c r="M25" i="3" s="1"/>
  <c r="M24" i="3"/>
  <c r="L24" i="3"/>
  <c r="K24" i="3"/>
  <c r="J24" i="3"/>
  <c r="L23" i="3"/>
  <c r="K23" i="3"/>
  <c r="J23" i="3"/>
  <c r="M23" i="3" s="1"/>
  <c r="L22" i="3"/>
  <c r="K22" i="3"/>
  <c r="J22" i="3"/>
  <c r="M22" i="3" s="1"/>
  <c r="L21" i="3"/>
  <c r="K21" i="3"/>
  <c r="J21" i="3"/>
  <c r="M21" i="3" s="1"/>
  <c r="L20" i="3"/>
  <c r="K20" i="3"/>
  <c r="J20" i="3"/>
  <c r="M20" i="3" s="1"/>
  <c r="L19" i="3"/>
  <c r="K19" i="3"/>
  <c r="J19" i="3"/>
  <c r="M19" i="3" s="1"/>
  <c r="L18" i="3"/>
  <c r="K18" i="3"/>
  <c r="J18" i="3"/>
  <c r="M18" i="3" s="1"/>
  <c r="L17" i="3"/>
  <c r="K17" i="3"/>
  <c r="J17" i="3"/>
  <c r="M17" i="3" s="1"/>
  <c r="M16" i="3"/>
  <c r="L16" i="3"/>
  <c r="K16" i="3"/>
  <c r="J16" i="3"/>
  <c r="L15" i="3"/>
  <c r="K15" i="3"/>
  <c r="J15" i="3"/>
  <c r="M15" i="3" s="1"/>
  <c r="L14" i="3"/>
  <c r="K14" i="3"/>
  <c r="J14" i="3"/>
  <c r="M14" i="3" s="1"/>
  <c r="L13" i="3"/>
  <c r="K13" i="3"/>
  <c r="J13" i="3"/>
  <c r="M13" i="3" s="1"/>
  <c r="M12" i="3"/>
  <c r="L12" i="3"/>
  <c r="K12" i="3"/>
  <c r="J12" i="3"/>
  <c r="L11" i="3"/>
  <c r="K11" i="3"/>
  <c r="J11" i="3"/>
  <c r="M11" i="3" s="1"/>
  <c r="M10" i="3"/>
  <c r="L10" i="3"/>
  <c r="K10" i="3"/>
  <c r="J10" i="3"/>
  <c r="L9" i="3"/>
  <c r="K9" i="3"/>
  <c r="J9" i="3"/>
  <c r="M9" i="3" s="1"/>
  <c r="M8" i="3"/>
  <c r="L8" i="3"/>
  <c r="K8" i="3"/>
  <c r="J8" i="3"/>
  <c r="L7" i="3"/>
  <c r="K7" i="3"/>
  <c r="J7" i="3"/>
  <c r="E20" i="2"/>
  <c r="D17" i="1" s="1"/>
  <c r="F17" i="1" s="1"/>
  <c r="E16" i="2"/>
  <c r="D14" i="1" s="1"/>
  <c r="F14" i="1" s="1"/>
  <c r="E15" i="2"/>
  <c r="E14" i="2"/>
  <c r="D13" i="1" s="1"/>
  <c r="F13" i="1" s="1"/>
  <c r="E13" i="2"/>
  <c r="E12" i="2"/>
  <c r="D11" i="1" s="1"/>
  <c r="F11" i="1" s="1"/>
  <c r="E9" i="2"/>
  <c r="E8" i="2"/>
  <c r="D9" i="1" s="1"/>
  <c r="F9" i="1" s="1"/>
  <c r="E7" i="2"/>
  <c r="D8" i="1" s="1"/>
  <c r="F8" i="1" s="1"/>
  <c r="D20" i="1"/>
  <c r="F20" i="1" s="1"/>
  <c r="D19" i="1"/>
  <c r="F19" i="1" s="1"/>
  <c r="D18" i="1"/>
  <c r="F18" i="1" s="1"/>
  <c r="D12" i="1"/>
  <c r="F12" i="1" s="1"/>
  <c r="D10" i="1"/>
  <c r="F10" i="1" s="1"/>
  <c r="I113" i="4" l="1"/>
  <c r="H9" i="4"/>
  <c r="I19" i="4"/>
  <c r="H35" i="4"/>
  <c r="J35" i="4" s="1"/>
  <c r="I51" i="4"/>
  <c r="J51" i="4" s="1"/>
  <c r="H83" i="4"/>
  <c r="I89" i="4"/>
  <c r="H7" i="4"/>
  <c r="E19" i="2"/>
  <c r="D15" i="1" s="1"/>
  <c r="F15" i="1" s="1"/>
  <c r="H28" i="4"/>
  <c r="I34" i="4"/>
  <c r="J34" i="4" s="1"/>
  <c r="H42" i="4"/>
  <c r="I69" i="4"/>
  <c r="H78" i="4"/>
  <c r="I78" i="4" s="1"/>
  <c r="H98" i="4"/>
  <c r="I98" i="4" s="1"/>
  <c r="J98" i="4" s="1"/>
  <c r="I100" i="4"/>
  <c r="H110" i="4"/>
  <c r="I17" i="4"/>
  <c r="I73" i="4"/>
  <c r="I31" i="4"/>
  <c r="J31" i="4" s="1"/>
  <c r="K31" i="4" s="1"/>
  <c r="H91" i="4"/>
  <c r="I97" i="4"/>
  <c r="I109" i="4"/>
  <c r="I116" i="4"/>
  <c r="E10" i="2"/>
  <c r="D16" i="1" s="1"/>
  <c r="F16" i="1" s="1"/>
  <c r="I29" i="4"/>
  <c r="J29" i="4" s="1"/>
  <c r="E17" i="2"/>
  <c r="H25" i="4"/>
  <c r="I25" i="4" s="1"/>
  <c r="H29" i="4"/>
  <c r="H31" i="4"/>
  <c r="I43" i="4"/>
  <c r="I50" i="4"/>
  <c r="I66" i="4"/>
  <c r="I77" i="4"/>
  <c r="J77" i="4" s="1"/>
  <c r="H86" i="4"/>
  <c r="H102" i="4"/>
  <c r="I102" i="4" s="1"/>
  <c r="H107" i="4"/>
  <c r="H114" i="4"/>
  <c r="J114" i="4" s="1"/>
  <c r="K114" i="4" s="1"/>
  <c r="I59" i="4"/>
  <c r="I81" i="4"/>
  <c r="H20" i="4"/>
  <c r="I24" i="4"/>
  <c r="J24" i="4" s="1"/>
  <c r="I35" i="4"/>
  <c r="H38" i="4"/>
  <c r="I38" i="4" s="1"/>
  <c r="J38" i="4" s="1"/>
  <c r="H43" i="4"/>
  <c r="I61" i="4"/>
  <c r="J61" i="4" s="1"/>
  <c r="H70" i="4"/>
  <c r="H90" i="4"/>
  <c r="I96" i="4"/>
  <c r="I101" i="4"/>
  <c r="I106" i="4"/>
  <c r="J106" i="4" s="1"/>
  <c r="I22" i="4"/>
  <c r="J22" i="4" s="1"/>
  <c r="I7" i="4"/>
  <c r="J7" i="4" s="1"/>
  <c r="I15" i="4"/>
  <c r="J15" i="4" s="1"/>
  <c r="I10" i="4"/>
  <c r="J10" i="4" s="1"/>
  <c r="I9" i="4"/>
  <c r="I33" i="4"/>
  <c r="J33" i="4" s="1"/>
  <c r="J9" i="4"/>
  <c r="K9" i="4" s="1"/>
  <c r="J11" i="4"/>
  <c r="H13" i="4"/>
  <c r="I13" i="4" s="1"/>
  <c r="J13" i="4" s="1"/>
  <c r="K13" i="4" s="1"/>
  <c r="H23" i="4"/>
  <c r="J30" i="4"/>
  <c r="K30" i="4" s="1"/>
  <c r="I30" i="4"/>
  <c r="I28" i="4"/>
  <c r="J28" i="4" s="1"/>
  <c r="I16" i="4"/>
  <c r="J16" i="4" s="1"/>
  <c r="L21" i="4"/>
  <c r="M21" i="4" s="1"/>
  <c r="N21" i="4" s="1"/>
  <c r="I27" i="4"/>
  <c r="J27" i="4" s="1"/>
  <c r="I37" i="4"/>
  <c r="J37" i="4" s="1"/>
  <c r="I55" i="4"/>
  <c r="H63" i="4"/>
  <c r="I70" i="4"/>
  <c r="J70" i="4"/>
  <c r="K70" i="4" s="1"/>
  <c r="M7" i="3"/>
  <c r="E25" i="2" s="1"/>
  <c r="E22" i="2"/>
  <c r="J19" i="4"/>
  <c r="I20" i="4"/>
  <c r="J20" i="4" s="1"/>
  <c r="I8" i="4"/>
  <c r="J8" i="4" s="1"/>
  <c r="J12" i="4"/>
  <c r="K12" i="4" s="1"/>
  <c r="I14" i="4"/>
  <c r="J14" i="4" s="1"/>
  <c r="J17" i="4"/>
  <c r="K17" i="4" s="1"/>
  <c r="I26" i="4"/>
  <c r="J69" i="4"/>
  <c r="K69" i="4" s="1"/>
  <c r="I88" i="4"/>
  <c r="J88" i="4" s="1"/>
  <c r="I92" i="4"/>
  <c r="J92" i="4" s="1"/>
  <c r="H26" i="4"/>
  <c r="I36" i="4"/>
  <c r="J36" i="4" s="1"/>
  <c r="H47" i="4"/>
  <c r="I47" i="4" s="1"/>
  <c r="J47" i="4" s="1"/>
  <c r="I58" i="4"/>
  <c r="J59" i="4"/>
  <c r="K59" i="4" s="1"/>
  <c r="I62" i="4"/>
  <c r="J62" i="4" s="1"/>
  <c r="K62" i="4" s="1"/>
  <c r="J72" i="4"/>
  <c r="I80" i="4"/>
  <c r="J80" i="4" s="1"/>
  <c r="I84" i="4"/>
  <c r="J84" i="4" s="1"/>
  <c r="J89" i="4"/>
  <c r="K89" i="4" s="1"/>
  <c r="I108" i="4"/>
  <c r="I114" i="4"/>
  <c r="J53" i="4"/>
  <c r="K53" i="4" s="1"/>
  <c r="I54" i="4"/>
  <c r="J54" i="4" s="1"/>
  <c r="J68" i="4"/>
  <c r="I72" i="4"/>
  <c r="J74" i="4"/>
  <c r="K74" i="4" s="1"/>
  <c r="I76" i="4"/>
  <c r="J76" i="4" s="1"/>
  <c r="J81" i="4"/>
  <c r="K81" i="4" s="1"/>
  <c r="I99" i="4"/>
  <c r="J99" i="4" s="1"/>
  <c r="K99" i="4" s="1"/>
  <c r="H111" i="4"/>
  <c r="L113" i="4"/>
  <c r="M113" i="4" s="1"/>
  <c r="N113" i="4" s="1"/>
  <c r="I40" i="4"/>
  <c r="J40" i="4" s="1"/>
  <c r="J43" i="4"/>
  <c r="K43" i="4" s="1"/>
  <c r="J45" i="4"/>
  <c r="K45" i="4" s="1"/>
  <c r="I46" i="4"/>
  <c r="I64" i="4"/>
  <c r="J64" i="4" s="1"/>
  <c r="J66" i="4"/>
  <c r="K66" i="4" s="1"/>
  <c r="I68" i="4"/>
  <c r="J73" i="4"/>
  <c r="K73" i="4" s="1"/>
  <c r="I87" i="4"/>
  <c r="J87" i="4" s="1"/>
  <c r="I91" i="4"/>
  <c r="J91" i="4" s="1"/>
  <c r="H95" i="4"/>
  <c r="I95" i="4" s="1"/>
  <c r="J95" i="4" s="1"/>
  <c r="J101" i="4"/>
  <c r="K101" i="4" s="1"/>
  <c r="I104" i="4"/>
  <c r="J104" i="4" s="1"/>
  <c r="I56" i="4"/>
  <c r="J56" i="4" s="1"/>
  <c r="J58" i="4"/>
  <c r="K58" i="4" s="1"/>
  <c r="I60" i="4"/>
  <c r="J60" i="4" s="1"/>
  <c r="J65" i="4"/>
  <c r="K65" i="4" s="1"/>
  <c r="I83" i="4"/>
  <c r="J83" i="4" s="1"/>
  <c r="K83" i="4" s="1"/>
  <c r="I107" i="4"/>
  <c r="J107" i="4" s="1"/>
  <c r="K107" i="4" s="1"/>
  <c r="I18" i="4"/>
  <c r="J18" i="4" s="1"/>
  <c r="J32" i="4"/>
  <c r="J41" i="4"/>
  <c r="K41" i="4" s="1"/>
  <c r="J46" i="4"/>
  <c r="K46" i="4" s="1"/>
  <c r="I48" i="4"/>
  <c r="J48" i="4" s="1"/>
  <c r="K48" i="4" s="1"/>
  <c r="J50" i="4"/>
  <c r="K50" i="4" s="1"/>
  <c r="I52" i="4"/>
  <c r="J52" i="4" s="1"/>
  <c r="J57" i="4"/>
  <c r="K57" i="4" s="1"/>
  <c r="I75" i="4"/>
  <c r="J75" i="4" s="1"/>
  <c r="H79" i="4"/>
  <c r="I79" i="4" s="1"/>
  <c r="J79" i="4" s="1"/>
  <c r="K79" i="4" s="1"/>
  <c r="I90" i="4"/>
  <c r="J90" i="4" s="1"/>
  <c r="J93" i="4"/>
  <c r="K93" i="4" s="1"/>
  <c r="I94" i="4"/>
  <c r="J94" i="4" s="1"/>
  <c r="K94" i="4" s="1"/>
  <c r="J109" i="4"/>
  <c r="K109" i="4" s="1"/>
  <c r="I110" i="4"/>
  <c r="J110" i="4" s="1"/>
  <c r="K110" i="4" s="1"/>
  <c r="I112" i="4"/>
  <c r="J112" i="4" s="1"/>
  <c r="H39" i="4"/>
  <c r="I44" i="4"/>
  <c r="J44" i="4" s="1"/>
  <c r="J49" i="4"/>
  <c r="K49" i="4" s="1"/>
  <c r="I63" i="4"/>
  <c r="I67" i="4"/>
  <c r="J67" i="4" s="1"/>
  <c r="L70" i="4"/>
  <c r="M70" i="4" s="1"/>
  <c r="N70" i="4" s="1"/>
  <c r="H71" i="4"/>
  <c r="L74" i="4"/>
  <c r="M74" i="4" s="1"/>
  <c r="N74" i="4" s="1"/>
  <c r="L81" i="4"/>
  <c r="M81" i="4" s="1"/>
  <c r="N81" i="4" s="1"/>
  <c r="I82" i="4"/>
  <c r="J82" i="4" s="1"/>
  <c r="J85" i="4"/>
  <c r="K85" i="4" s="1"/>
  <c r="I86" i="4"/>
  <c r="J86" i="4" s="1"/>
  <c r="J96" i="4"/>
  <c r="K96" i="4" s="1"/>
  <c r="J113" i="4"/>
  <c r="K113" i="4" s="1"/>
  <c r="I115" i="4"/>
  <c r="J115" i="4" s="1"/>
  <c r="L53" i="4"/>
  <c r="M53" i="4" s="1"/>
  <c r="N53" i="4" s="1"/>
  <c r="L101" i="4"/>
  <c r="M101" i="4" s="1"/>
  <c r="N101" i="4" s="1"/>
  <c r="J97" i="4"/>
  <c r="K97" i="4" s="1"/>
  <c r="J105" i="4"/>
  <c r="K105" i="4" s="1"/>
  <c r="J100" i="4"/>
  <c r="K100" i="4" s="1"/>
  <c r="J108" i="4"/>
  <c r="K108" i="4" s="1"/>
  <c r="J116" i="4"/>
  <c r="K116" i="4" s="1"/>
  <c r="J55" i="4"/>
  <c r="K55" i="4" s="1"/>
  <c r="J63" i="4"/>
  <c r="K63" i="4" s="1"/>
  <c r="J103" i="4"/>
  <c r="K103" i="4" s="1"/>
  <c r="K98" i="4" l="1"/>
  <c r="L98" i="4"/>
  <c r="K61" i="4"/>
  <c r="L61" i="4"/>
  <c r="M61" i="4" s="1"/>
  <c r="N61" i="4" s="1"/>
  <c r="K51" i="4"/>
  <c r="L51" i="4"/>
  <c r="K92" i="4"/>
  <c r="L92" i="4"/>
  <c r="K38" i="4"/>
  <c r="L38" i="4"/>
  <c r="K35" i="4"/>
  <c r="L35" i="4"/>
  <c r="M35" i="4" s="1"/>
  <c r="N35" i="4" s="1"/>
  <c r="K87" i="4"/>
  <c r="L87" i="4"/>
  <c r="M87" i="4" s="1"/>
  <c r="N87" i="4" s="1"/>
  <c r="K27" i="4"/>
  <c r="L27" i="4"/>
  <c r="K106" i="4"/>
  <c r="L106" i="4"/>
  <c r="M106" i="4" s="1"/>
  <c r="N106" i="4" s="1"/>
  <c r="K34" i="4"/>
  <c r="L34" i="4"/>
  <c r="M34" i="4" s="1"/>
  <c r="N34" i="4" s="1"/>
  <c r="K77" i="4"/>
  <c r="L77" i="4"/>
  <c r="M77" i="4" s="1"/>
  <c r="N77" i="4" s="1"/>
  <c r="K29" i="4"/>
  <c r="L29" i="4"/>
  <c r="I42" i="4"/>
  <c r="J42" i="4" s="1"/>
  <c r="L41" i="4"/>
  <c r="M41" i="4" s="1"/>
  <c r="N41" i="4" s="1"/>
  <c r="I23" i="4"/>
  <c r="J23" i="4" s="1"/>
  <c r="J25" i="4"/>
  <c r="K25" i="4" s="1"/>
  <c r="L93" i="4"/>
  <c r="M93" i="4" s="1"/>
  <c r="N93" i="4" s="1"/>
  <c r="L69" i="4"/>
  <c r="M69" i="4" s="1"/>
  <c r="N69" i="4" s="1"/>
  <c r="J78" i="4"/>
  <c r="K78" i="4" s="1"/>
  <c r="L89" i="4"/>
  <c r="M89" i="4" s="1"/>
  <c r="N89" i="4" s="1"/>
  <c r="J102" i="4"/>
  <c r="K102" i="4" s="1"/>
  <c r="L45" i="4"/>
  <c r="M45" i="4" s="1"/>
  <c r="N45" i="4" s="1"/>
  <c r="L9" i="4"/>
  <c r="M9" i="4" s="1"/>
  <c r="N9" i="4" s="1"/>
  <c r="K90" i="4"/>
  <c r="L90" i="4"/>
  <c r="K91" i="4"/>
  <c r="L91" i="4"/>
  <c r="K54" i="4"/>
  <c r="L54" i="4"/>
  <c r="K84" i="4"/>
  <c r="L84" i="4"/>
  <c r="K20" i="4"/>
  <c r="L20" i="4"/>
  <c r="K28" i="4"/>
  <c r="L28" i="4"/>
  <c r="K33" i="4"/>
  <c r="L33" i="4"/>
  <c r="K112" i="4"/>
  <c r="L112" i="4"/>
  <c r="K80" i="4"/>
  <c r="L80" i="4"/>
  <c r="K75" i="4"/>
  <c r="L75" i="4"/>
  <c r="K104" i="4"/>
  <c r="L104" i="4"/>
  <c r="M104" i="4" s="1"/>
  <c r="N104" i="4" s="1"/>
  <c r="L14" i="4"/>
  <c r="K14" i="4"/>
  <c r="K86" i="4"/>
  <c r="L86" i="4"/>
  <c r="K76" i="4"/>
  <c r="L76" i="4"/>
  <c r="K10" i="4"/>
  <c r="L10" i="4"/>
  <c r="M10" i="4" s="1"/>
  <c r="N10" i="4" s="1"/>
  <c r="K64" i="4"/>
  <c r="L64" i="4"/>
  <c r="M64" i="4" s="1"/>
  <c r="N64" i="4" s="1"/>
  <c r="K8" i="4"/>
  <c r="L8" i="4"/>
  <c r="K15" i="4"/>
  <c r="L15" i="4"/>
  <c r="K36" i="4"/>
  <c r="L36" i="4"/>
  <c r="M36" i="4" s="1"/>
  <c r="N36" i="4" s="1"/>
  <c r="K18" i="4"/>
  <c r="L18" i="4"/>
  <c r="M18" i="4" s="1"/>
  <c r="N18" i="4" s="1"/>
  <c r="K88" i="4"/>
  <c r="L88" i="4"/>
  <c r="M88" i="4" s="1"/>
  <c r="N88" i="4" s="1"/>
  <c r="K7" i="4"/>
  <c r="L7" i="4"/>
  <c r="K37" i="4"/>
  <c r="L37" i="4"/>
  <c r="M37" i="4" s="1"/>
  <c r="N37" i="4" s="1"/>
  <c r="K67" i="4"/>
  <c r="L67" i="4"/>
  <c r="M67" i="4" s="1"/>
  <c r="N67" i="4" s="1"/>
  <c r="K60" i="4"/>
  <c r="L60" i="4"/>
  <c r="M60" i="4" s="1"/>
  <c r="N60" i="4" s="1"/>
  <c r="K115" i="4"/>
  <c r="L115" i="4"/>
  <c r="K82" i="4"/>
  <c r="L82" i="4"/>
  <c r="M82" i="4" s="1"/>
  <c r="N82" i="4" s="1"/>
  <c r="K44" i="4"/>
  <c r="L44" i="4"/>
  <c r="M44" i="4" s="1"/>
  <c r="N44" i="4" s="1"/>
  <c r="K95" i="4"/>
  <c r="L95" i="4"/>
  <c r="K47" i="4"/>
  <c r="M47" i="4" s="1"/>
  <c r="N47" i="4" s="1"/>
  <c r="L47" i="4"/>
  <c r="K16" i="4"/>
  <c r="L16" i="4"/>
  <c r="M16" i="4" s="1"/>
  <c r="N16" i="4" s="1"/>
  <c r="K22" i="4"/>
  <c r="L22" i="4"/>
  <c r="M22" i="4" s="1"/>
  <c r="N22" i="4" s="1"/>
  <c r="L78" i="4"/>
  <c r="M78" i="4" s="1"/>
  <c r="N78" i="4" s="1"/>
  <c r="L85" i="4"/>
  <c r="M85" i="4" s="1"/>
  <c r="N85" i="4" s="1"/>
  <c r="L55" i="4"/>
  <c r="M55" i="4" s="1"/>
  <c r="N55" i="4" s="1"/>
  <c r="L32" i="4"/>
  <c r="M32" i="4" s="1"/>
  <c r="N32" i="4" s="1"/>
  <c r="K32" i="4"/>
  <c r="L110" i="4"/>
  <c r="M110" i="4" s="1"/>
  <c r="N110" i="4" s="1"/>
  <c r="L94" i="4"/>
  <c r="M94" i="4" s="1"/>
  <c r="N94" i="4" s="1"/>
  <c r="L46" i="4"/>
  <c r="M46" i="4" s="1"/>
  <c r="N46" i="4" s="1"/>
  <c r="L43" i="4"/>
  <c r="M43" i="4" s="1"/>
  <c r="N43" i="4" s="1"/>
  <c r="L11" i="4"/>
  <c r="K11" i="4"/>
  <c r="L24" i="4"/>
  <c r="K24" i="4"/>
  <c r="L97" i="4"/>
  <c r="M97" i="4" s="1"/>
  <c r="N97" i="4" s="1"/>
  <c r="K52" i="4"/>
  <c r="L52" i="4"/>
  <c r="L107" i="4"/>
  <c r="M107" i="4" s="1"/>
  <c r="N107" i="4" s="1"/>
  <c r="L40" i="4"/>
  <c r="K40" i="4"/>
  <c r="L114" i="4"/>
  <c r="M114" i="4" s="1"/>
  <c r="N114" i="4" s="1"/>
  <c r="L66" i="4"/>
  <c r="M66" i="4" s="1"/>
  <c r="N66" i="4" s="1"/>
  <c r="L25" i="4"/>
  <c r="M25" i="4" s="1"/>
  <c r="N25" i="4" s="1"/>
  <c r="I71" i="4"/>
  <c r="J71" i="4" s="1"/>
  <c r="L48" i="4"/>
  <c r="M48" i="4" s="1"/>
  <c r="N48" i="4" s="1"/>
  <c r="I111" i="4"/>
  <c r="J111" i="4" s="1"/>
  <c r="L108" i="4"/>
  <c r="M108" i="4" s="1"/>
  <c r="N108" i="4" s="1"/>
  <c r="L96" i="4"/>
  <c r="M96" i="4" s="1"/>
  <c r="N96" i="4" s="1"/>
  <c r="L31" i="4"/>
  <c r="M31" i="4" s="1"/>
  <c r="N31" i="4" s="1"/>
  <c r="L13" i="4"/>
  <c r="L103" i="4"/>
  <c r="M103" i="4" s="1"/>
  <c r="N103" i="4" s="1"/>
  <c r="L63" i="4"/>
  <c r="M63" i="4" s="1"/>
  <c r="N63" i="4" s="1"/>
  <c r="I39" i="4"/>
  <c r="J39" i="4" s="1"/>
  <c r="L83" i="4"/>
  <c r="M83" i="4" s="1"/>
  <c r="N83" i="4" s="1"/>
  <c r="K56" i="4"/>
  <c r="L56" i="4"/>
  <c r="K72" i="4"/>
  <c r="L72" i="4"/>
  <c r="L57" i="4"/>
  <c r="M57" i="4" s="1"/>
  <c r="N57" i="4" s="1"/>
  <c r="J26" i="4"/>
  <c r="L62" i="4"/>
  <c r="M62" i="4" s="1"/>
  <c r="N62" i="4" s="1"/>
  <c r="L65" i="4"/>
  <c r="M65" i="4" s="1"/>
  <c r="N65" i="4" s="1"/>
  <c r="L73" i="4"/>
  <c r="M73" i="4" s="1"/>
  <c r="N73" i="4" s="1"/>
  <c r="L30" i="4"/>
  <c r="M30" i="4" s="1"/>
  <c r="N30" i="4" s="1"/>
  <c r="L100" i="4"/>
  <c r="M100" i="4" s="1"/>
  <c r="N100" i="4" s="1"/>
  <c r="L79" i="4"/>
  <c r="M79" i="4" s="1"/>
  <c r="N79" i="4" s="1"/>
  <c r="L102" i="4"/>
  <c r="M102" i="4" s="1"/>
  <c r="N102" i="4" s="1"/>
  <c r="L50" i="4"/>
  <c r="M50" i="4" s="1"/>
  <c r="N50" i="4" s="1"/>
  <c r="K19" i="4"/>
  <c r="L19" i="4"/>
  <c r="L17" i="4"/>
  <c r="M17" i="4" s="1"/>
  <c r="N17" i="4" s="1"/>
  <c r="L12" i="4"/>
  <c r="M12" i="4" s="1"/>
  <c r="N12" i="4" s="1"/>
  <c r="L109" i="4"/>
  <c r="M109" i="4" s="1"/>
  <c r="N109" i="4" s="1"/>
  <c r="L59" i="4"/>
  <c r="M59" i="4" s="1"/>
  <c r="N59" i="4" s="1"/>
  <c r="M95" i="4"/>
  <c r="N95" i="4" s="1"/>
  <c r="L116" i="4"/>
  <c r="M116" i="4" s="1"/>
  <c r="N116" i="4" s="1"/>
  <c r="K68" i="4"/>
  <c r="L68" i="4"/>
  <c r="L49" i="4"/>
  <c r="M49" i="4" s="1"/>
  <c r="N49" i="4" s="1"/>
  <c r="L99" i="4"/>
  <c r="M99" i="4" s="1"/>
  <c r="N99" i="4" s="1"/>
  <c r="L105" i="4"/>
  <c r="M105" i="4" s="1"/>
  <c r="N105" i="4" s="1"/>
  <c r="L58" i="4"/>
  <c r="M58" i="4" s="1"/>
  <c r="N58" i="4" s="1"/>
  <c r="M13" i="4"/>
  <c r="N13" i="4" s="1"/>
  <c r="K23" i="4" l="1"/>
  <c r="L23" i="4"/>
  <c r="M23" i="4" s="1"/>
  <c r="N23" i="4" s="1"/>
  <c r="K42" i="4"/>
  <c r="L42" i="4"/>
  <c r="M42" i="4" s="1"/>
  <c r="N42" i="4" s="1"/>
  <c r="M11" i="4"/>
  <c r="N11" i="4" s="1"/>
  <c r="M8" i="4"/>
  <c r="N8" i="4" s="1"/>
  <c r="M86" i="4"/>
  <c r="N86" i="4" s="1"/>
  <c r="M80" i="4"/>
  <c r="N80" i="4" s="1"/>
  <c r="M20" i="4"/>
  <c r="N20" i="4" s="1"/>
  <c r="M90" i="4"/>
  <c r="N90" i="4" s="1"/>
  <c r="M51" i="4"/>
  <c r="N51" i="4" s="1"/>
  <c r="M112" i="4"/>
  <c r="N112" i="4" s="1"/>
  <c r="M33" i="4"/>
  <c r="N33" i="4" s="1"/>
  <c r="M54" i="4"/>
  <c r="N54" i="4" s="1"/>
  <c r="M38" i="4"/>
  <c r="N38" i="4" s="1"/>
  <c r="M68" i="4"/>
  <c r="N68" i="4" s="1"/>
  <c r="M29" i="4"/>
  <c r="N29" i="4" s="1"/>
  <c r="M27" i="4"/>
  <c r="N27" i="4" s="1"/>
  <c r="M98" i="4"/>
  <c r="N98" i="4" s="1"/>
  <c r="M115" i="4"/>
  <c r="N115" i="4" s="1"/>
  <c r="M7" i="4"/>
  <c r="M15" i="4"/>
  <c r="N15" i="4" s="1"/>
  <c r="M76" i="4"/>
  <c r="N76" i="4" s="1"/>
  <c r="M75" i="4"/>
  <c r="N75" i="4" s="1"/>
  <c r="M28" i="4"/>
  <c r="N28" i="4" s="1"/>
  <c r="M91" i="4"/>
  <c r="N91" i="4" s="1"/>
  <c r="M92" i="4"/>
  <c r="N92" i="4" s="1"/>
  <c r="K71" i="4"/>
  <c r="L71" i="4"/>
  <c r="M84" i="4"/>
  <c r="N84" i="4" s="1"/>
  <c r="M56" i="4"/>
  <c r="N56" i="4" s="1"/>
  <c r="M14" i="4"/>
  <c r="N14" i="4" s="1"/>
  <c r="M24" i="4"/>
  <c r="N24" i="4" s="1"/>
  <c r="K39" i="4"/>
  <c r="L39" i="4"/>
  <c r="N7" i="4"/>
  <c r="K26" i="4"/>
  <c r="L26" i="4"/>
  <c r="M26" i="4" s="1"/>
  <c r="N26" i="4" s="1"/>
  <c r="K111" i="4"/>
  <c r="L111" i="4"/>
  <c r="M111" i="4" s="1"/>
  <c r="N111" i="4" s="1"/>
  <c r="M40" i="4"/>
  <c r="N40" i="4" s="1"/>
  <c r="M19" i="4"/>
  <c r="N19" i="4" s="1"/>
  <c r="M72" i="4"/>
  <c r="N72" i="4" s="1"/>
  <c r="M52" i="4"/>
  <c r="N52" i="4" s="1"/>
  <c r="M39" i="4" l="1"/>
  <c r="N39" i="4" s="1"/>
  <c r="E23" i="2"/>
  <c r="E24" i="2" s="1"/>
  <c r="M71" i="4"/>
  <c r="N71" i="4" s="1"/>
  <c r="E26" i="2" l="1"/>
  <c r="E27" i="2" s="1"/>
  <c r="D7" i="1" s="1"/>
  <c r="F7" i="1" s="1"/>
  <c r="F22" i="1" s="1"/>
  <c r="F24" i="1" l="1"/>
  <c r="F25" i="1"/>
  <c r="F26" i="1" l="1"/>
  <c r="F28" i="1" s="1"/>
</calcChain>
</file>

<file path=xl/sharedStrings.xml><?xml version="1.0" encoding="utf-8"?>
<sst xmlns="http://schemas.openxmlformats.org/spreadsheetml/2006/main" count="775" uniqueCount="385">
  <si>
    <t>PRESUPUESTO REFERENCIAL ACADÉMICO</t>
  </si>
  <si>
    <t>Partida</t>
  </si>
  <si>
    <t>Descripción</t>
  </si>
  <si>
    <t>Unidad</t>
  </si>
  <si>
    <t>Cantidad</t>
  </si>
  <si>
    <t>Precio unitario (S/)</t>
  </si>
  <si>
    <t>Parcial (S/)</t>
  </si>
  <si>
    <t>01.01</t>
  </si>
  <si>
    <t>Conductor AAAC 50 mm²</t>
  </si>
  <si>
    <t>m</t>
  </si>
  <si>
    <t>01.02</t>
  </si>
  <si>
    <t>Poste CAC 13 m instalado</t>
  </si>
  <si>
    <t>ud</t>
  </si>
  <si>
    <t>01.03</t>
  </si>
  <si>
    <t>Poste CAC 15 m instalado</t>
  </si>
  <si>
    <t>01.04</t>
  </si>
  <si>
    <t>Poste CAC 17 m instalado</t>
  </si>
  <si>
    <t>02.01</t>
  </si>
  <si>
    <t>Armado de suspensión</t>
  </si>
  <si>
    <t>jgo</t>
  </si>
  <si>
    <t>02.02</t>
  </si>
  <si>
    <t>Armado de ángulo</t>
  </si>
  <si>
    <t>02.03</t>
  </si>
  <si>
    <t>Armado de anclaje y retención adicional</t>
  </si>
  <si>
    <t>02.04</t>
  </si>
  <si>
    <t>Armado terminal</t>
  </si>
  <si>
    <t>03.01</t>
  </si>
  <si>
    <t>Retenida y anclaje por ramal</t>
  </si>
  <si>
    <t>03.02</t>
  </si>
  <si>
    <t>Puesta a tierra de apoyo</t>
  </si>
  <si>
    <t>04.01</t>
  </si>
  <si>
    <t>Transformador 250 kVA netos en sitio</t>
  </si>
  <si>
    <t>04.02</t>
  </si>
  <si>
    <t>Celda de protección y maniobra</t>
  </si>
  <si>
    <t>04.03</t>
  </si>
  <si>
    <t>Conjunto neutro artificial / NGR</t>
  </si>
  <si>
    <t>04.04</t>
  </si>
  <si>
    <t>Malla de tierra de subestación</t>
  </si>
  <si>
    <t>COSTO DIRECTO</t>
  </si>
  <si>
    <t>Logística y transporte</t>
  </si>
  <si>
    <t>Ingeniería y supervisión</t>
  </si>
  <si>
    <t>Contingencia académica</t>
  </si>
  <si>
    <t>TOTAL REFERENCIAL</t>
  </si>
  <si>
    <t>Moneda: PEN. Precios estimados de octubre de 2026.</t>
  </si>
  <si>
    <t>No son cotizaciones. Total sin IGV desagregado.</t>
  </si>
  <si>
    <t>Poste instalado: incluye montaje y cimentación tipo.</t>
  </si>
  <si>
    <t>Precios 15/17 m: escalamiento por longitud respecto a 13 m.</t>
  </si>
  <si>
    <t>METRADOS DE LA LÍNEA PRIMARIA</t>
  </si>
  <si>
    <t>Limbani – Huancasayani · Sistema aislado</t>
  </si>
  <si>
    <t>Ítem</t>
  </si>
  <si>
    <t>Desarrollo</t>
  </si>
  <si>
    <t>Poste CAC 13 m / 600 daN</t>
  </si>
  <si>
    <t>Conteo por altura</t>
  </si>
  <si>
    <t>Poste CAC 15 m / 600 daN</t>
  </si>
  <si>
    <t>Poste CAC 17 m / 600 daN</t>
  </si>
  <si>
    <t>TOTAL DE POSTES</t>
  </si>
  <si>
    <t>72 + 30 + 9</t>
  </si>
  <si>
    <t>Conteo por función</t>
  </si>
  <si>
    <t>Armado de anclaje</t>
  </si>
  <si>
    <t>Retención adicional</t>
  </si>
  <si>
    <t>02.05</t>
  </si>
  <si>
    <t>TOTAL DE ARMADOS</t>
  </si>
  <si>
    <t>30 + 41 + 22 + 16 + 2</t>
  </si>
  <si>
    <t>Suma de ramales retenidos</t>
  </si>
  <si>
    <t>Transformación de salida y llegada</t>
  </si>
  <si>
    <t>1 de salida + 1 de llegada</t>
  </si>
  <si>
    <t>Longitud horizontal del eje</t>
  </si>
  <si>
    <t>Suma de longitudes XY de los 110 vanos</t>
  </si>
  <si>
    <t>Conductor por fase (EDS)</t>
  </si>
  <si>
    <t>Suma de longitudes de catenaria</t>
  </si>
  <si>
    <t>Terna tendida</t>
  </si>
  <si>
    <t>3 × longitud por fase</t>
  </si>
  <si>
    <t>Puentes y colas</t>
  </si>
  <si>
    <t>3 fases × 160 ramales × 2 m</t>
  </si>
  <si>
    <t>04.05</t>
  </si>
  <si>
    <t>Reserva adicional</t>
  </si>
  <si>
    <t>Redondeo superior de 3% de tendido + puentes</t>
  </si>
  <si>
    <t>CONDUCTOR PARA SUMINISTRO</t>
  </si>
  <si>
    <t>Redondeo superior de tendido + puentes + reserva</t>
  </si>
  <si>
    <t>Cantidades del corredor de gabinete EPSG:32719.</t>
  </si>
  <si>
    <t>Catenaria EDS a 15 °C y tracción inicial 15% RTS.</t>
  </si>
  <si>
    <t>PLANILLA DE POSTES Y ARMADOS</t>
  </si>
  <si>
    <t>Poste</t>
  </si>
  <si>
    <t>Este (m)</t>
  </si>
  <si>
    <t>Norte (m)</t>
  </si>
  <si>
    <t>Cota DEM (m)</t>
  </si>
  <si>
    <t>Altura (m)</t>
  </si>
  <si>
    <t>Empotr. (m)</t>
  </si>
  <si>
    <t>Amarre (m)</t>
  </si>
  <si>
    <t>Ángulo (°)</t>
  </si>
  <si>
    <t>Función</t>
  </si>
  <si>
    <t>Ramales</t>
  </si>
  <si>
    <t>Postes (ud)</t>
  </si>
  <si>
    <t>Armados (jgo)</t>
  </si>
  <si>
    <t>Puentes (m)</t>
  </si>
  <si>
    <t>P001</t>
  </si>
  <si>
    <t>TERMINAL</t>
  </si>
  <si>
    <t>P002</t>
  </si>
  <si>
    <t>SUSPENSION</t>
  </si>
  <si>
    <t>P003</t>
  </si>
  <si>
    <t>ANCLAJE</t>
  </si>
  <si>
    <t>P004</t>
  </si>
  <si>
    <t>P005</t>
  </si>
  <si>
    <t>ANGULO</t>
  </si>
  <si>
    <t>P006</t>
  </si>
  <si>
    <t>P007</t>
  </si>
  <si>
    <t>P008</t>
  </si>
  <si>
    <t>P009</t>
  </si>
  <si>
    <t>ANCLAJE_PROPUESTO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</si>
  <si>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</si>
  <si>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</si>
  <si>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</si>
  <si>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</si>
  <si>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</si>
  <si>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</si>
  <si>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</si>
  <si>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</si>
  <si>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</si>
  <si>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</si>
  <si>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</si>
  <si>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</si>
  <si>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</si>
  <si>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</si>
  <si>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</si>
  <si>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</si>
  <si>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</si>
  <si>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</si>
  <si>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</si>
  <si>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</si>
  <si>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</si>
  <si>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</si>
  <si>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</si>
  <si>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</si>
  <si>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</si>
  <si>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</si>
  <si>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</si>
  <si>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</si>
  <si>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</si>
  <si>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</si>
  <si>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</si>
  <si>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</si>
  <si>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</si>
  <si>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</si>
  <si>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</si>
  <si>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</si>
  <si>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</si>
  <si>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</si>
  <si>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</si>
  <si>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</si>
  <si>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</si>
  <si>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</si>
  <si>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</si>
  <si>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</si>
  <si>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</si>
  <si>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</si>
  <si>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</si>
  <si>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</si>
  <si>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</si>
  <si>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</si>
  <si>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</si>
  <si>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</si>
  <si>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</si>
  <si>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</si>
  <si>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</si>
  <si>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</si>
  <si>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</si>
  <si>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</si>
  <si>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</si>
  <si>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</si>
  <si>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</si>
  <si>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</si>
  <si>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</si>
  <si>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</si>
  <si>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</si>
  <si>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</si>
  <si>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</si>
  <si>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</si>
  <si>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</si>
  <si>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</si>
  <si>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</si>
  <si>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</si>
  <si>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</si>
  <si>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</si>
  <si>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</si>
  <si>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</si>
  <si>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</si>
  <si>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</si>
  <si>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</si>
  <si>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</si>
  <si>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</si>
  <si>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</si>
  <si>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</si>
  <si>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</si>
  <si>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</si>
  <si>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</si>
  <si>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</si>
  <si>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</si>
  <si>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</si>
  <si>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</si>
  <si>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</si>
  <si>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</si>
  <si>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</si>
  <si>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</si>
  <si>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</si>
  <si>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</si>
  <si>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</si>
  <si>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</si>
  <si>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</si>
  <si>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</si>
  <si>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</si>
  <si>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</si>
  <si>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LONGITUD DE CONDUCTOR POR CATENARIA EDS</t>
  </si>
  <si>
    <t>Vano</t>
  </si>
  <si>
    <t>Inicial</t>
  </si>
  <si>
    <t>Final</t>
  </si>
  <si>
    <t>L horiz. (m)</t>
  </si>
  <si>
    <t>Δz amarre (m)</t>
  </si>
  <si>
    <t>H EDS (N)</t>
  </si>
  <si>
    <t>q (N/m)</t>
  </si>
  <si>
    <t>a = H/q (m)</t>
  </si>
  <si>
    <t>u (–)</t>
  </si>
  <si>
    <t>x0 (m)</t>
  </si>
  <si>
    <t>u0 (–)</t>
  </si>
  <si>
    <t>u1 (–)</t>
  </si>
  <si>
    <t>Cable/fase (m)</t>
  </si>
  <si>
    <t>Terna (m)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</si>
  <si>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</si>
  <si>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</si>
  <si>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</si>
  <si>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</si>
  <si>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</si>
  <si>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</si>
  <si>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</si>
  <si>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</si>
  <si>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</si>
  <si>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</si>
  <si>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</si>
  <si>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</si>
  <si>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</si>
  <si>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</si>
  <si>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</si>
  <si>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</si>
  <si>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</si>
  <si>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</si>
  <si>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</si>
  <si>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</si>
  <si>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</si>
  <si>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</si>
  <si>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</si>
  <si>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</si>
  <si>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</si>
  <si>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</si>
  <si>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</si>
  <si>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</si>
  <si>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</si>
  <si>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</si>
  <si>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</si>
  <si>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</si>
  <si>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</si>
  <si>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</si>
  <si>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</si>
  <si>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</si>
  <si>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</si>
  <si>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</si>
  <si>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</si>
  <si>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</si>
  <si>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</si>
  <si>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</si>
  <si>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</si>
  <si>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</si>
  <si>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</si>
  <si>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</si>
  <si>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</si>
  <si>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</si>
  <si>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</si>
  <si>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</si>
  <si>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V051</t>
  </si>
  <si>
    <t>V052</t>
  </si>
  <si>
    <t>V053</t>
  </si>
  <si>
    <t>V054</t>
  </si>
  <si>
    <t>V055</t>
  </si>
  <si>
    <t>V056</t>
  </si>
  <si>
    <t>V057</t>
  </si>
  <si>
    <t>V058</t>
  </si>
  <si>
    <t>V059</t>
  </si>
  <si>
    <t>V060</t>
  </si>
  <si>
    <t>V061</t>
  </si>
  <si>
    <t>V062</t>
  </si>
  <si>
    <t>V063</t>
  </si>
  <si>
    <t>V064</t>
  </si>
  <si>
    <t>V065</t>
  </si>
  <si>
    <t>V066</t>
  </si>
  <si>
    <t>V067</t>
  </si>
  <si>
    <t>V068</t>
  </si>
  <si>
    <t>V069</t>
  </si>
  <si>
    <t>V070</t>
  </si>
  <si>
    <t>V071</t>
  </si>
  <si>
    <t>V072</t>
  </si>
  <si>
    <t>V073</t>
  </si>
  <si>
    <t>V074</t>
  </si>
  <si>
    <t>V075</t>
  </si>
  <si>
    <t>V076</t>
  </si>
  <si>
    <t>V077</t>
  </si>
  <si>
    <t>V078</t>
  </si>
  <si>
    <t>V079</t>
  </si>
  <si>
    <t>V080</t>
  </si>
  <si>
    <t>V081</t>
  </si>
  <si>
    <t>V082</t>
  </si>
  <si>
    <t>V083</t>
  </si>
  <si>
    <t>V084</t>
  </si>
  <si>
    <t>V085</t>
  </si>
  <si>
    <t>V086</t>
  </si>
  <si>
    <t>V087</t>
  </si>
  <si>
    <t>V088</t>
  </si>
  <si>
    <t>V089</t>
  </si>
  <si>
    <t>V090</t>
  </si>
  <si>
    <t>V091</t>
  </si>
  <si>
    <t>V092</t>
  </si>
  <si>
    <t>V093</t>
  </si>
  <si>
    <t>V094</t>
  </si>
  <si>
    <t>V095</t>
  </si>
  <si>
    <t>V096</t>
  </si>
  <si>
    <t>V097</t>
  </si>
  <si>
    <t>V098</t>
  </si>
  <si>
    <t>V099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</si>
  <si>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</si>
  <si>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</si>
  <si>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</si>
  <si>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</si>
  <si>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</si>
  <si>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</si>
  <si>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</si>
  <si>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</si>
  <si>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</si>
  <si>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</si>
  <si>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</si>
  <si>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PARÁMETROS DE DISEÑO</t>
  </si>
  <si>
    <t>Limbani – Huancasayani · 2026</t>
  </si>
  <si>
    <t>n</t>
  </si>
  <si>
    <t>Número de fases</t>
  </si>
  <si>
    <t>Terna AAAC 50 mm²</t>
  </si>
  <si>
    <t>lp</t>
  </si>
  <si>
    <t>Longitud por puente y ramal</t>
  </si>
  <si>
    <t>Asignación geométrica académica por fase</t>
  </si>
  <si>
    <t>s</t>
  </si>
  <si>
    <t>Reserva de conductor</t>
  </si>
  <si>
    <t>%</t>
  </si>
  <si>
    <t>Reserva adicional sobre tendido y puentes</t>
  </si>
  <si>
    <t>RTS</t>
  </si>
  <si>
    <t>Carga de rotura del conductor</t>
  </si>
  <si>
    <t>N</t>
  </si>
  <si>
    <t>Dato tipo AAAC del modelo de diseño</t>
  </si>
  <si>
    <t>fEDS</t>
  </si>
  <si>
    <t>Fracción de tracción inicial</t>
  </si>
  <si>
    <t>Estado EDS, 15 °C</t>
  </si>
  <si>
    <t>Masa lineal</t>
  </si>
  <si>
    <t>kg/km</t>
  </si>
  <si>
    <t>Dato tipo AAAC 6201-T81</t>
  </si>
  <si>
    <t>g</t>
  </si>
  <si>
    <t>Aceleración de gravedad</t>
  </si>
  <si>
    <t>m/s²</t>
  </si>
  <si>
    <t>Constante de cálculo</t>
  </si>
  <si>
    <t>W</t>
  </si>
  <si>
    <t>Carga transversal de poste</t>
  </si>
  <si>
    <t>daN</t>
  </si>
  <si>
    <t>Capacidad tipo para verificación de flexión</t>
  </si>
  <si>
    <t>kr</t>
  </si>
  <si>
    <t>Relación rotura/trabajo</t>
  </si>
  <si>
    <t>-</t>
  </si>
  <si>
    <t>Hipótesis resistente del estudio</t>
  </si>
  <si>
    <t>phi</t>
  </si>
  <si>
    <t>Factor de resistencia</t>
  </si>
  <si>
    <t>e</t>
  </si>
  <si>
    <t>Punto de ensayo bajo cima</t>
  </si>
  <si>
    <t>Brazo de ensayo del poste tipo</t>
  </si>
  <si>
    <t>Tu</t>
  </si>
  <si>
    <t>Rotura mínima de retenida</t>
  </si>
  <si>
    <t>kN</t>
  </si>
  <si>
    <t>Especificación de retenida de la línea</t>
  </si>
  <si>
    <t>phiR</t>
  </si>
  <si>
    <t>Factor resistente de retenida</t>
  </si>
  <si>
    <t>theta</t>
  </si>
  <si>
    <t>Ángulo vertical de retenida</t>
  </si>
  <si>
    <t>°</t>
  </si>
  <si>
    <t>Geometría ideal del cálculo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</si>
</sst>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%"/>
    <numFmt numFmtId="166" formatCode="0.000"/>
  </numFmts>
  <fonts count="6">
    <font>
      <sz val="11"/>
      <name val="Carlito"/>
    </font>
    <font>
      <sz val="11"/>
      <color rgb="FF20252B"/>
      <name val="Arial"/>
    </font>
    <font>
      <b/>
      <sz val="16"/>
      <color rgb="FF254D73"/>
      <name val="Arial"/>
    </font>
    <font>
      <b/>
      <sz val="10"/>
      <color rgb="FFFFFFFF"/>
      <name val="Arial"/>
    </font>
    <font>
      <sz val="11"/>
      <color rgb="FF225DA8"/>
      <name val="Arial"/>
    </font>
    <font>
      <b/>
      <sz val="11"/>
      <color rgb="FF254D73"/>
      <name val="Arial"/>
    </font>
  </fonts>
  <fills count="5">
    <fill>
      <patternFill patternType="none"/>
    </fill>
    <fill>
      <patternFill patternType="gray125"/>
    </fill>
    <fill>
      <patternFill patternType="solid">
        <fgColor rgb="FF254D73"/>
      </patternFill>
    </fill>
    <fill>
      <patternFill patternType="solid">
        <fgColor rgb="FFF3F7FC"/>
      </patternFill>
    </fill>
    <fill>
      <patternFill patternType="solid">
        <fgColor rgb="FFEEF4FA"/>
      </patternFill>
    </fill>
  </fills>
  <borders count="3">
    <border>
      <left/>
      <right/>
      <top/>
      <bottom/>
      <diagonal/>
    </border>
    <border>
      <left/>
      <right/>
      <top/>
      <bottom style="thin">
        <color rgb="FF5B9BD5"/>
      </bottom>
      <diagonal/>
    </border>
    <border>
      <left/>
      <right/>
      <top style="thin">
        <color rgb="FF5B9BD5"/>
      </top>
      <bottom style="thin">
        <color rgb="FF5B9BD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1" fillId="0" borderId="1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 wrapText="1"/>
    </xf>
    <xf numFmtId="164" fontId="1" fillId="0" borderId="0" xfId="0" applyNumberFormat="1" applyFont="1" applyFill="1" applyBorder="1" applyAlignment="1">
      <alignment horizontal="right"/>
    </xf>
    <xf numFmtId="4" fontId="1" fillId="0" borderId="0" xfId="0" applyNumberFormat="1" applyFont="1" applyFill="1" applyBorder="1" applyAlignment="1">
      <alignment horizontal="right"/>
    </xf>
    <xf numFmtId="4" fontId="4" fillId="3" borderId="0" xfId="0" applyNumberFormat="1" applyFont="1" applyFill="1" applyBorder="1" applyAlignment="1">
      <alignment horizontal="right"/>
    </xf>
    <xf numFmtId="165" fontId="4" fillId="3" borderId="0" xfId="0" applyNumberFormat="1" applyFont="1" applyFill="1" applyBorder="1" applyAlignment="1">
      <alignment horizontal="right"/>
    </xf>
    <xf numFmtId="0" fontId="5" fillId="4" borderId="2" xfId="0" applyNumberFormat="1" applyFont="1" applyFill="1" applyBorder="1"/>
    <xf numFmtId="4" fontId="5" fillId="4" borderId="2" xfId="0" applyNumberFormat="1" applyFont="1" applyFill="1" applyBorder="1" applyAlignment="1">
      <alignment horizontal="right"/>
    </xf>
    <xf numFmtId="3" fontId="1" fillId="0" borderId="0" xfId="0" applyNumberFormat="1" applyFont="1" applyFill="1" applyBorder="1" applyAlignment="1">
      <alignment horizontal="right"/>
    </xf>
    <xf numFmtId="3" fontId="5" fillId="4" borderId="2" xfId="0" applyNumberFormat="1" applyFont="1" applyFill="1" applyBorder="1" applyAlignment="1">
      <alignment horizontal="right"/>
    </xf>
    <xf numFmtId="0" fontId="4" fillId="3" borderId="0" xfId="0" applyNumberFormat="1" applyFont="1" applyFill="1" applyBorder="1"/>
    <xf numFmtId="166" fontId="4" fillId="3" borderId="0" xfId="0" applyNumberFormat="1" applyFont="1" applyFill="1" applyBorder="1" applyAlignment="1">
      <alignment horizontal="right"/>
    </xf>
    <xf numFmtId="1" fontId="1" fillId="0" borderId="0" xfId="0" applyNumberFormat="1" applyFont="1" applyFill="1" applyBorder="1" applyAlignment="1">
      <alignment horizontal="right"/>
    </xf>
    <xf numFmtId="2" fontId="1" fillId="0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54D73"/>
    <pageSetUpPr fitToPage="1"/>
  </sheetPr>
  <dimension ref="A1:F40"/>
  <sheetViews>
    <sheetView showGridLines="0" tabSelected="1" zoomScale="85" zoomScaleNormal="85" workbookViewId="0"/>
  </sheetViews>
  <sheetFormatPr baseColWidth="10" defaultColWidth="9" defaultRowHeight="14.25"/>
  <cols>
    <col min="1" max="1" width="8" customWidth="1"/>
    <col min="2" max="2" width="52" customWidth="1"/>
    <col min="3" max="3" width="12" customWidth="1"/>
    <col min="4" max="4" width="18" customWidth="1"/>
    <col min="5" max="5" width="21" customWidth="1"/>
    <col min="6" max="6" width="22" customWidth="1"/>
  </cols>
  <sheetData>
    <row r="1" spans="1:6" ht="21" customHeight="1">
      <c r="A1" s="1"/>
      <c r="B1" s="1"/>
      <c r="C1" s="1"/>
      <c r="D1" s="1"/>
      <c r="E1" s="1"/>
      <c r="F1" s="1"/>
    </row>
    <row r="2" spans="1:6" ht="21" customHeight="1">
      <c r="A2" s="2" t="s">
        <v>0</v>
      </c>
      <c r="B2" s="2"/>
      <c r="C2" s="2"/>
      <c r="D2" s="2"/>
      <c r="E2" s="2"/>
      <c r="F2" s="2"/>
    </row>
    <row r="3" spans="1:6" ht="21" customHeight="1">
      <c r="A3" s="1"/>
      <c r="B3" s="1"/>
      <c r="C3" s="1"/>
      <c r="D3" s="1"/>
      <c r="E3" s="1"/>
      <c r="F3" s="1"/>
    </row>
    <row r="4" spans="1:6" ht="21" customHeight="1">
      <c r="A4" s="3"/>
      <c r="B4" s="3"/>
      <c r="C4" s="3"/>
      <c r="D4" s="3"/>
      <c r="E4" s="3"/>
      <c r="F4" s="3"/>
    </row>
    <row r="5" spans="1:6" ht="21" customHeight="1">
      <c r="A5" s="1"/>
      <c r="B5" s="1"/>
      <c r="C5" s="1"/>
      <c r="D5" s="1"/>
      <c r="E5" s="1"/>
      <c r="F5" s="1"/>
    </row>
    <row r="6" spans="1:6" ht="36" customHeight="1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</row>
    <row r="7" spans="1:6" ht="21" customHeight="1">
      <c r="A7" s="1" t="s">
        <v>7</v>
      </c>
      <c r="B7" s="1" t="s">
        <v>8</v>
      </c>
      <c r="C7" s="1" t="s">
        <v>9</v>
      </c>
      <c r="D7" s="5">
        <f>Resumen!E27</f>
        <v>21873</v>
      </c>
      <c r="E7" s="7">
        <v>5.8</v>
      </c>
      <c r="F7" s="6">
        <f t="shared" ref="F7:F20" si="0">ROUND(D7*E7,2)</f>
        <v>126863.4</v>
      </c>
    </row>
    <row r="8" spans="1:6" ht="21" customHeight="1">
      <c r="A8" s="1" t="s">
        <v>10</v>
      </c>
      <c r="B8" s="1" t="s">
        <v>11</v>
      </c>
      <c r="C8" s="1" t="s">
        <v>12</v>
      </c>
      <c r="D8" s="5">
        <f>Resumen!E7</f>
        <v>72</v>
      </c>
      <c r="E8" s="7">
        <v>3800</v>
      </c>
      <c r="F8" s="6">
        <f t="shared" si="0"/>
        <v>273600</v>
      </c>
    </row>
    <row r="9" spans="1:6" ht="21" customHeight="1">
      <c r="A9" s="1" t="s">
        <v>13</v>
      </c>
      <c r="B9" s="1" t="s">
        <v>14</v>
      </c>
      <c r="C9" s="1" t="s">
        <v>12</v>
      </c>
      <c r="D9" s="5">
        <f>Resumen!E8</f>
        <v>30</v>
      </c>
      <c r="E9" s="7">
        <v>4384.62</v>
      </c>
      <c r="F9" s="6">
        <f t="shared" si="0"/>
        <v>131538.6</v>
      </c>
    </row>
    <row r="10" spans="1:6" ht="21" customHeight="1">
      <c r="A10" s="1" t="s">
        <v>15</v>
      </c>
      <c r="B10" s="1" t="s">
        <v>16</v>
      </c>
      <c r="C10" s="1" t="s">
        <v>12</v>
      </c>
      <c r="D10" s="5">
        <f>Resumen!E9</f>
        <v>9</v>
      </c>
      <c r="E10" s="7">
        <v>4969.2299999999996</v>
      </c>
      <c r="F10" s="6">
        <f t="shared" si="0"/>
        <v>44723.07</v>
      </c>
    </row>
    <row r="11" spans="1:6" ht="21" customHeight="1">
      <c r="A11" s="1" t="s">
        <v>17</v>
      </c>
      <c r="B11" s="1" t="s">
        <v>18</v>
      </c>
      <c r="C11" s="1" t="s">
        <v>19</v>
      </c>
      <c r="D11" s="5">
        <f>Resumen!E12</f>
        <v>30</v>
      </c>
      <c r="E11" s="7">
        <v>1200</v>
      </c>
      <c r="F11" s="6">
        <f t="shared" si="0"/>
        <v>36000</v>
      </c>
    </row>
    <row r="12" spans="1:6" ht="21" customHeight="1">
      <c r="A12" s="1" t="s">
        <v>20</v>
      </c>
      <c r="B12" s="1" t="s">
        <v>21</v>
      </c>
      <c r="C12" s="1" t="s">
        <v>19</v>
      </c>
      <c r="D12" s="5">
        <f>Resumen!E13</f>
        <v>41</v>
      </c>
      <c r="E12" s="7">
        <v>1800</v>
      </c>
      <c r="F12" s="6">
        <f t="shared" si="0"/>
        <v>73800</v>
      </c>
    </row>
    <row r="13" spans="1:6" ht="21" customHeight="1">
      <c r="A13" s="1" t="s">
        <v>22</v>
      </c>
      <c r="B13" s="1" t="s">
        <v>23</v>
      </c>
      <c r="C13" s="1" t="s">
        <v>19</v>
      </c>
      <c r="D13" s="5">
        <f>SUM(Resumen!E14:E15)</f>
        <v>38</v>
      </c>
      <c r="E13" s="7">
        <v>2800</v>
      </c>
      <c r="F13" s="6">
        <f t="shared" si="0"/>
        <v>106400</v>
      </c>
    </row>
    <row r="14" spans="1:6" ht="21" customHeight="1">
      <c r="A14" s="1" t="s">
        <v>24</v>
      </c>
      <c r="B14" s="1" t="s">
        <v>25</v>
      </c>
      <c r="C14" s="1" t="s">
        <v>19</v>
      </c>
      <c r="D14" s="5">
        <f>Resumen!E16</f>
        <v>2</v>
      </c>
      <c r="E14" s="7">
        <v>2800</v>
      </c>
      <c r="F14" s="6">
        <f t="shared" si="0"/>
        <v>5600</v>
      </c>
    </row>
    <row r="15" spans="1:6" ht="21" customHeight="1">
      <c r="A15" s="1" t="s">
        <v>26</v>
      </c>
      <c r="B15" s="1" t="s">
        <v>27</v>
      </c>
      <c r="C15" s="1" t="s">
        <v>12</v>
      </c>
      <c r="D15" s="5">
        <f>Resumen!E19</f>
        <v>160</v>
      </c>
      <c r="E15" s="7">
        <v>2600</v>
      </c>
      <c r="F15" s="6">
        <f t="shared" si="0"/>
        <v>416000</v>
      </c>
    </row>
    <row r="16" spans="1:6" ht="21" customHeight="1">
      <c r="A16" s="1" t="s">
        <v>28</v>
      </c>
      <c r="B16" s="1" t="s">
        <v>29</v>
      </c>
      <c r="C16" s="1" t="s">
        <v>12</v>
      </c>
      <c r="D16" s="5">
        <f>Resumen!E10</f>
        <v>111</v>
      </c>
      <c r="E16" s="7">
        <v>1200</v>
      </c>
      <c r="F16" s="6">
        <f t="shared" si="0"/>
        <v>133200</v>
      </c>
    </row>
    <row r="17" spans="1:6" ht="21" customHeight="1">
      <c r="A17" s="1" t="s">
        <v>30</v>
      </c>
      <c r="B17" s="1" t="s">
        <v>31</v>
      </c>
      <c r="C17" s="1" t="s">
        <v>12</v>
      </c>
      <c r="D17" s="5">
        <f>Resumen!E20</f>
        <v>2</v>
      </c>
      <c r="E17" s="7">
        <v>105000</v>
      </c>
      <c r="F17" s="6">
        <f t="shared" si="0"/>
        <v>210000</v>
      </c>
    </row>
    <row r="18" spans="1:6" ht="21" customHeight="1">
      <c r="A18" s="1" t="s">
        <v>32</v>
      </c>
      <c r="B18" s="1" t="s">
        <v>33</v>
      </c>
      <c r="C18" s="1" t="s">
        <v>12</v>
      </c>
      <c r="D18" s="5">
        <f>2</f>
        <v>2</v>
      </c>
      <c r="E18" s="7">
        <v>55000</v>
      </c>
      <c r="F18" s="6">
        <f t="shared" si="0"/>
        <v>110000</v>
      </c>
    </row>
    <row r="19" spans="1:6" ht="21" customHeight="1">
      <c r="A19" s="1" t="s">
        <v>34</v>
      </c>
      <c r="B19" s="1" t="s">
        <v>35</v>
      </c>
      <c r="C19" s="1" t="s">
        <v>19</v>
      </c>
      <c r="D19" s="5">
        <f>1</f>
        <v>1</v>
      </c>
      <c r="E19" s="7">
        <v>60000</v>
      </c>
      <c r="F19" s="6">
        <f t="shared" si="0"/>
        <v>60000</v>
      </c>
    </row>
    <row r="20" spans="1:6" ht="21" customHeight="1">
      <c r="A20" s="1" t="s">
        <v>36</v>
      </c>
      <c r="B20" s="1" t="s">
        <v>37</v>
      </c>
      <c r="C20" s="1" t="s">
        <v>12</v>
      </c>
      <c r="D20" s="5">
        <f>2</f>
        <v>2</v>
      </c>
      <c r="E20" s="7">
        <v>25000</v>
      </c>
      <c r="F20" s="6">
        <f t="shared" si="0"/>
        <v>50000</v>
      </c>
    </row>
    <row r="21" spans="1:6" ht="21" customHeight="1">
      <c r="A21" s="1"/>
      <c r="B21" s="1"/>
      <c r="C21" s="1"/>
      <c r="D21" s="1"/>
      <c r="E21" s="6"/>
      <c r="F21" s="6"/>
    </row>
    <row r="22" spans="1:6" ht="21" customHeight="1">
      <c r="A22" s="9"/>
      <c r="B22" s="9" t="s">
        <v>38</v>
      </c>
      <c r="C22" s="9"/>
      <c r="D22" s="9"/>
      <c r="E22" s="10"/>
      <c r="F22" s="10">
        <f>SUM(F7:F20)</f>
        <v>1777725.0699999998</v>
      </c>
    </row>
    <row r="23" spans="1:6" ht="21" customHeight="1">
      <c r="A23" s="1"/>
      <c r="B23" s="1"/>
      <c r="C23" s="1"/>
      <c r="D23" s="1"/>
      <c r="E23" s="6"/>
      <c r="F23" s="6"/>
    </row>
    <row r="24" spans="1:6" ht="21" customHeight="1">
      <c r="A24" s="1"/>
      <c r="B24" s="1" t="s">
        <v>39</v>
      </c>
      <c r="C24" s="1"/>
      <c r="D24" s="1"/>
      <c r="E24" s="8">
        <v>0.12</v>
      </c>
      <c r="F24" s="6">
        <f>ROUND(F22*E24,2)</f>
        <v>213327.01</v>
      </c>
    </row>
    <row r="25" spans="1:6" ht="21" customHeight="1">
      <c r="A25" s="1"/>
      <c r="B25" s="1" t="s">
        <v>40</v>
      </c>
      <c r="C25" s="1"/>
      <c r="D25" s="1"/>
      <c r="E25" s="8">
        <v>0.08</v>
      </c>
      <c r="F25" s="6">
        <f>ROUND(F22*E25,2)</f>
        <v>142218.01</v>
      </c>
    </row>
    <row r="26" spans="1:6" ht="21" customHeight="1">
      <c r="A26" s="1"/>
      <c r="B26" s="1" t="s">
        <v>41</v>
      </c>
      <c r="C26" s="1"/>
      <c r="D26" s="1"/>
      <c r="E26" s="8">
        <v>0.2</v>
      </c>
      <c r="F26" s="6">
        <f>ROUND(SUM(F22,F24:F25)*E26,2)</f>
        <v>426654.02</v>
      </c>
    </row>
    <row r="27" spans="1:6" ht="21" customHeight="1">
      <c r="A27" s="1"/>
      <c r="B27" s="1"/>
      <c r="C27" s="1"/>
      <c r="D27" s="1"/>
      <c r="E27" s="6"/>
      <c r="F27" s="6"/>
    </row>
    <row r="28" spans="1:6" ht="21" customHeight="1">
      <c r="A28" s="9"/>
      <c r="B28" s="9" t="s">
        <v>42</v>
      </c>
      <c r="C28" s="9"/>
      <c r="D28" s="9"/>
      <c r="E28" s="10"/>
      <c r="F28" s="10">
        <f>SUM(F22,F24:F26)</f>
        <v>2559924.11</v>
      </c>
    </row>
    <row r="29" spans="1:6" ht="21" customHeight="1">
      <c r="A29" s="1"/>
      <c r="B29" s="1"/>
      <c r="C29" s="1"/>
      <c r="D29" s="1"/>
      <c r="E29" s="1"/>
      <c r="F29" s="1"/>
    </row>
    <row r="30" spans="1:6" ht="21" customHeight="1">
      <c r="A30" s="1"/>
      <c r="B30" s="1"/>
      <c r="C30" s="1"/>
      <c r="D30" s="1"/>
      <c r="E30" s="1"/>
      <c r="F30" s="1"/>
    </row>
    <row r="31" spans="1:6" ht="21" customHeight="1">
      <c r="A31" s="1"/>
      <c r="B31" s="1" t="s">
        <v>43</v>
      </c>
      <c r="C31" s="1"/>
      <c r="D31" s="1"/>
      <c r="E31" s="1"/>
      <c r="F31" s="1"/>
    </row>
    <row r="32" spans="1:6" ht="21" customHeight="1">
      <c r="A32" s="1"/>
      <c r="B32" s="1" t="s">
        <v>44</v>
      </c>
      <c r="C32" s="1"/>
      <c r="D32" s="1"/>
      <c r="E32" s="1"/>
      <c r="F32" s="1"/>
    </row>
    <row r="33" spans="1:6" ht="21" customHeight="1">
      <c r="A33" s="1"/>
      <c r="B33" s="1" t="s">
        <v>45</v>
      </c>
      <c r="C33" s="1"/>
      <c r="D33" s="1"/>
      <c r="E33" s="1"/>
      <c r="F33" s="1"/>
    </row>
    <row r="34" spans="1:6" ht="21" customHeight="1">
      <c r="A34" s="1"/>
      <c r="B34" s="1" t="s">
        <v>46</v>
      </c>
      <c r="C34" s="1"/>
      <c r="D34" s="1"/>
      <c r="E34" s="1"/>
      <c r="F34" s="1"/>
    </row>
    <row r="35" spans="1:6" ht="21" customHeight="1">
      <c r="A35" s="1"/>
      <c r="B35" s="1"/>
      <c r="C35" s="1"/>
      <c r="D35" s="1"/>
      <c r="E35" s="1"/>
      <c r="F35" s="1"/>
    </row>
    <row r="36" spans="1:6" ht="21" customHeight="1">
      <c r="A36" s="1"/>
      <c r="B36" s="1"/>
      <c r="C36" s="1"/>
      <c r="D36" s="1"/>
      <c r="E36" s="1"/>
      <c r="F36" s="1"/>
    </row>
    <row r="37" spans="1:6" ht="21" customHeight="1">
      <c r="A37" s="1"/>
      <c r="B37" s="1"/>
      <c r="C37" s="1"/>
      <c r="D37" s="1"/>
      <c r="E37" s="1"/>
      <c r="F37" s="1"/>
    </row>
    <row r="38" spans="1:6" ht="21" customHeight="1">
      <c r="A38" s="1"/>
      <c r="B38" s="1"/>
      <c r="C38" s="1"/>
      <c r="D38" s="1"/>
      <c r="E38" s="1"/>
      <c r="F38" s="1"/>
    </row>
    <row r="39" spans="1:6" ht="21" customHeight="1">
      <c r="A39" s="1"/>
      <c r="B39" s="1"/>
      <c r="C39" s="1"/>
      <c r="D39" s="1"/>
      <c r="E39" s="1"/>
      <c r="F39" s="1"/>
    </row>
    <row r="40" spans="1:6" ht="21" customHeight="1">
      <c r="A40" s="1"/>
      <c r="B40" s="1"/>
      <c r="C40" s="1"/>
      <c r="D40" s="1"/>
      <c r="E40" s="1"/>
      <c r="F40" s="1"/>
    </row>
  </sheetData>
  <pageMargins left="0.39370078740157477" right="0.39370078740157477" top="0.55118110236220463" bottom="0.55118110236220463" header="0.3" footer="0.3"/>
  <pageSetup paperSize="9" scale="73" orientation="landscape" r:id="rId1"/>
  <headerFooter>
    <oddFooter>&amp;CInstalaciones Eléctricas II | Aquiles Taylor Ramos Yapo | 227368&amp;RHoja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54D73"/>
    <pageSetUpPr fitToPage="1"/>
  </sheetPr>
  <dimension ref="A1:E35"/>
  <sheetViews>
    <sheetView showGridLines="0" zoomScale="85" zoomScaleNormal="85" workbookViewId="0"/>
  </sheetViews>
  <sheetFormatPr baseColWidth="10" defaultColWidth="9" defaultRowHeight="14.25"/>
  <cols>
    <col min="1" max="1" width="9" customWidth="1"/>
    <col min="2" max="2" width="46" customWidth="1"/>
    <col min="3" max="3" width="10" customWidth="1"/>
    <col min="4" max="4" width="49" customWidth="1"/>
    <col min="5" max="5" width="18" customWidth="1"/>
  </cols>
  <sheetData>
    <row r="1" spans="1:5" ht="21" customHeight="1">
      <c r="A1" s="1"/>
      <c r="B1" s="1"/>
      <c r="C1" s="1"/>
      <c r="D1" s="1"/>
      <c r="E1" s="1"/>
    </row>
    <row r="2" spans="1:5" ht="21" customHeight="1">
      <c r="A2" s="2" t="s">
        <v>47</v>
      </c>
      <c r="B2" s="2"/>
      <c r="C2" s="2"/>
      <c r="D2" s="2"/>
      <c r="E2" s="2"/>
    </row>
    <row r="3" spans="1:5" ht="21" customHeight="1">
      <c r="A3" s="1"/>
      <c r="B3" s="1" t="s">
        <v>48</v>
      </c>
      <c r="C3" s="1"/>
      <c r="D3" s="1"/>
      <c r="E3" s="1"/>
    </row>
    <row r="4" spans="1:5" ht="21" customHeight="1">
      <c r="A4" s="3"/>
      <c r="B4" s="3"/>
      <c r="C4" s="3"/>
      <c r="D4" s="3"/>
      <c r="E4" s="3"/>
    </row>
    <row r="5" spans="1:5" ht="21" customHeight="1">
      <c r="A5" s="1"/>
      <c r="B5" s="1"/>
      <c r="C5" s="1"/>
      <c r="D5" s="1"/>
      <c r="E5" s="1"/>
    </row>
    <row r="6" spans="1:5" ht="36" customHeight="1">
      <c r="A6" s="4" t="s">
        <v>49</v>
      </c>
      <c r="B6" s="4" t="s">
        <v>2</v>
      </c>
      <c r="C6" s="4" t="s">
        <v>3</v>
      </c>
      <c r="D6" s="4" t="s">
        <v>50</v>
      </c>
      <c r="E6" s="4" t="s">
        <v>4</v>
      </c>
    </row>
    <row r="7" spans="1:5" ht="21" customHeight="1">
      <c r="A7" s="1" t="s">
        <v>7</v>
      </c>
      <c r="B7" s="1" t="s">
        <v>51</v>
      </c>
      <c r="C7" s="1" t="s">
        <v>12</v>
      </c>
      <c r="D7" s="1" t="s">
        <v>52</v>
      </c>
      <c r="E7" s="11">
        <f>COUNTIFS(Postes!$E$7:$E$117,13)</f>
        <v>72</v>
      </c>
    </row>
    <row r="8" spans="1:5" ht="21" customHeight="1">
      <c r="A8" s="1" t="s">
        <v>10</v>
      </c>
      <c r="B8" s="1" t="s">
        <v>53</v>
      </c>
      <c r="C8" s="1" t="s">
        <v>12</v>
      </c>
      <c r="D8" s="1" t="s">
        <v>52</v>
      </c>
      <c r="E8" s="11">
        <f>COUNTIFS(Postes!$E$7:$E$117,15)</f>
        <v>30</v>
      </c>
    </row>
    <row r="9" spans="1:5" ht="21" customHeight="1">
      <c r="A9" s="1" t="s">
        <v>13</v>
      </c>
      <c r="B9" s="1" t="s">
        <v>54</v>
      </c>
      <c r="C9" s="1" t="s">
        <v>12</v>
      </c>
      <c r="D9" s="1" t="s">
        <v>52</v>
      </c>
      <c r="E9" s="11">
        <f>COUNTIFS(Postes!$E$7:$E$117,17)</f>
        <v>9</v>
      </c>
    </row>
    <row r="10" spans="1:5" ht="21" customHeight="1">
      <c r="A10" s="9"/>
      <c r="B10" s="9" t="s">
        <v>55</v>
      </c>
      <c r="C10" s="9" t="s">
        <v>12</v>
      </c>
      <c r="D10" s="9" t="s">
        <v>56</v>
      </c>
      <c r="E10" s="12">
        <f>SUM(E7:E9)</f>
        <v>111</v>
      </c>
    </row>
    <row r="11" spans="1:5" ht="21" customHeight="1">
      <c r="A11" s="1"/>
      <c r="B11" s="1"/>
      <c r="C11" s="1"/>
      <c r="D11" s="1"/>
      <c r="E11" s="5"/>
    </row>
    <row r="12" spans="1:5" ht="21" customHeight="1">
      <c r="A12" s="1" t="s">
        <v>17</v>
      </c>
      <c r="B12" s="1" t="s">
        <v>18</v>
      </c>
      <c r="C12" s="1" t="s">
        <v>19</v>
      </c>
      <c r="D12" s="1" t="s">
        <v>57</v>
      </c>
      <c r="E12" s="11">
        <f>COUNTIFS(Postes!$I$7:$I$117,"SUSPENSION")</f>
        <v>30</v>
      </c>
    </row>
    <row r="13" spans="1:5" ht="21" customHeight="1">
      <c r="A13" s="1" t="s">
        <v>20</v>
      </c>
      <c r="B13" s="1" t="s">
        <v>21</v>
      </c>
      <c r="C13" s="1" t="s">
        <v>19</v>
      </c>
      <c r="D13" s="1" t="s">
        <v>57</v>
      </c>
      <c r="E13" s="11">
        <f>COUNTIFS(Postes!$I$7:$I$117,"ANGULO")</f>
        <v>41</v>
      </c>
    </row>
    <row r="14" spans="1:5" ht="21" customHeight="1">
      <c r="A14" s="1" t="s">
        <v>22</v>
      </c>
      <c r="B14" s="1" t="s">
        <v>58</v>
      </c>
      <c r="C14" s="1" t="s">
        <v>19</v>
      </c>
      <c r="D14" s="1" t="s">
        <v>57</v>
      </c>
      <c r="E14" s="11">
        <f>COUNTIFS(Postes!$I$7:$I$117,"ANCLAJE")</f>
        <v>22</v>
      </c>
    </row>
    <row r="15" spans="1:5" ht="21" customHeight="1">
      <c r="A15" s="1" t="s">
        <v>24</v>
      </c>
      <c r="B15" s="1" t="s">
        <v>59</v>
      </c>
      <c r="C15" s="1" t="s">
        <v>19</v>
      </c>
      <c r="D15" s="1" t="s">
        <v>57</v>
      </c>
      <c r="E15" s="11">
        <f>COUNTIFS(Postes!$I$7:$I$117,"ANCLAJE_PROPUESTO")</f>
        <v>16</v>
      </c>
    </row>
    <row r="16" spans="1:5" ht="21" customHeight="1">
      <c r="A16" s="1" t="s">
        <v>60</v>
      </c>
      <c r="B16" s="1" t="s">
        <v>25</v>
      </c>
      <c r="C16" s="1" t="s">
        <v>19</v>
      </c>
      <c r="D16" s="1" t="s">
        <v>57</v>
      </c>
      <c r="E16" s="11">
        <f>COUNTIFS(Postes!$I$7:$I$117,"TERMINAL")</f>
        <v>2</v>
      </c>
    </row>
    <row r="17" spans="1:5" ht="21" customHeight="1">
      <c r="A17" s="9"/>
      <c r="B17" s="9" t="s">
        <v>61</v>
      </c>
      <c r="C17" s="9" t="s">
        <v>19</v>
      </c>
      <c r="D17" s="9" t="s">
        <v>62</v>
      </c>
      <c r="E17" s="12">
        <f>SUM(E12:E16)</f>
        <v>111</v>
      </c>
    </row>
    <row r="18" spans="1:5" ht="21" customHeight="1">
      <c r="A18" s="1"/>
      <c r="B18" s="1"/>
      <c r="C18" s="1"/>
      <c r="D18" s="1"/>
      <c r="E18" s="5"/>
    </row>
    <row r="19" spans="1:5" ht="21" customHeight="1">
      <c r="A19" s="1" t="s">
        <v>26</v>
      </c>
      <c r="B19" s="1" t="s">
        <v>27</v>
      </c>
      <c r="C19" s="1" t="s">
        <v>12</v>
      </c>
      <c r="D19" s="1" t="s">
        <v>63</v>
      </c>
      <c r="E19" s="11">
        <f>SUM(Postes!$J$7:$J$117)</f>
        <v>160</v>
      </c>
    </row>
    <row r="20" spans="1:5" ht="21" customHeight="1">
      <c r="A20" s="1" t="s">
        <v>28</v>
      </c>
      <c r="B20" s="1" t="s">
        <v>64</v>
      </c>
      <c r="C20" s="1" t="s">
        <v>12</v>
      </c>
      <c r="D20" s="1" t="s">
        <v>65</v>
      </c>
      <c r="E20" s="11">
        <f>1+1</f>
        <v>2</v>
      </c>
    </row>
    <row r="21" spans="1:5" ht="21" customHeight="1">
      <c r="A21" s="1"/>
      <c r="B21" s="1"/>
      <c r="C21" s="1"/>
      <c r="D21" s="1"/>
      <c r="E21" s="5"/>
    </row>
    <row r="22" spans="1:5" ht="21" customHeight="1">
      <c r="A22" s="1" t="s">
        <v>30</v>
      </c>
      <c r="B22" s="1" t="s">
        <v>66</v>
      </c>
      <c r="C22" s="1" t="s">
        <v>9</v>
      </c>
      <c r="D22" s="1" t="s">
        <v>67</v>
      </c>
      <c r="E22" s="5">
        <f>SUM(Vanos!$D$7:$D$116)</f>
        <v>6696.3686932123546</v>
      </c>
    </row>
    <row r="23" spans="1:5" ht="21" customHeight="1">
      <c r="A23" s="1" t="s">
        <v>32</v>
      </c>
      <c r="B23" s="1" t="s">
        <v>68</v>
      </c>
      <c r="C23" s="1" t="s">
        <v>9</v>
      </c>
      <c r="D23" s="1" t="s">
        <v>69</v>
      </c>
      <c r="E23" s="5">
        <f>SUM(Vanos!$M$7:$M$116)</f>
        <v>6758.1202970857503</v>
      </c>
    </row>
    <row r="24" spans="1:5" ht="21" customHeight="1">
      <c r="A24" s="1" t="s">
        <v>34</v>
      </c>
      <c r="B24" s="1" t="s">
        <v>70</v>
      </c>
      <c r="C24" s="1" t="s">
        <v>9</v>
      </c>
      <c r="D24" s="1" t="s">
        <v>71</v>
      </c>
      <c r="E24" s="5">
        <f>E23*Parametros!$E$5</f>
        <v>20274.360891257253</v>
      </c>
    </row>
    <row r="25" spans="1:5" ht="21" customHeight="1">
      <c r="A25" s="1" t="s">
        <v>36</v>
      </c>
      <c r="B25" s="1" t="s">
        <v>72</v>
      </c>
      <c r="C25" s="1" t="s">
        <v>9</v>
      </c>
      <c r="D25" s="1" t="s">
        <v>73</v>
      </c>
      <c r="E25" s="5">
        <f>SUM(Postes!$M$7:$M$117)</f>
        <v>960</v>
      </c>
    </row>
    <row r="26" spans="1:5" ht="21" customHeight="1">
      <c r="A26" s="1" t="s">
        <v>74</v>
      </c>
      <c r="B26" s="1" t="s">
        <v>75</v>
      </c>
      <c r="C26" s="1" t="s">
        <v>9</v>
      </c>
      <c r="D26" s="1" t="s">
        <v>76</v>
      </c>
      <c r="E26" s="11">
        <f>ROUNDUP(SUM(E24:E25)*Parametros!$E$7,0)</f>
        <v>638</v>
      </c>
    </row>
    <row r="27" spans="1:5" ht="21" customHeight="1">
      <c r="A27" s="9"/>
      <c r="B27" s="9" t="s">
        <v>77</v>
      </c>
      <c r="C27" s="9" t="s">
        <v>9</v>
      </c>
      <c r="D27" s="9" t="s">
        <v>78</v>
      </c>
      <c r="E27" s="12">
        <f>ROUNDUP(SUM(E24:E26),0)</f>
        <v>21873</v>
      </c>
    </row>
    <row r="28" spans="1:5" ht="21" customHeight="1">
      <c r="A28" s="1"/>
      <c r="B28" s="1"/>
      <c r="C28" s="1"/>
      <c r="D28" s="1"/>
      <c r="E28" s="1"/>
    </row>
    <row r="29" spans="1:5" ht="21" customHeight="1">
      <c r="A29" s="1"/>
      <c r="B29" s="1"/>
      <c r="C29" s="1"/>
      <c r="D29" s="1"/>
      <c r="E29" s="1"/>
    </row>
    <row r="30" spans="1:5" ht="21" customHeight="1">
      <c r="A30" s="1"/>
      <c r="B30" s="1" t="s">
        <v>79</v>
      </c>
      <c r="C30" s="1"/>
      <c r="D30" s="1"/>
      <c r="E30" s="1"/>
    </row>
    <row r="31" spans="1:5" ht="21" customHeight="1">
      <c r="A31" s="1"/>
      <c r="B31" s="1" t="s">
        <v>80</v>
      </c>
      <c r="C31" s="1"/>
      <c r="D31" s="1"/>
      <c r="E31" s="1"/>
    </row>
    <row r="32" spans="1:5" ht="21" customHeight="1">
      <c r="A32" s="1"/>
      <c r="B32" s="1"/>
      <c r="C32" s="1"/>
      <c r="D32" s="1"/>
      <c r="E32" s="1"/>
    </row>
    <row r="33" spans="1:5" ht="21" customHeight="1">
      <c r="A33" s="1"/>
      <c r="B33" s="1"/>
      <c r="C33" s="1"/>
      <c r="D33" s="1"/>
      <c r="E33" s="1"/>
    </row>
    <row r="34" spans="1:5" ht="21" customHeight="1">
      <c r="A34" s="1"/>
      <c r="B34" s="1"/>
      <c r="C34" s="1"/>
      <c r="D34" s="1"/>
      <c r="E34" s="1"/>
    </row>
    <row r="35" spans="1:5" ht="21" customHeight="1">
      <c r="A35" s="1"/>
      <c r="B35" s="1"/>
      <c r="C35" s="1"/>
      <c r="D35" s="1"/>
      <c r="E35" s="1"/>
    </row>
  </sheetData>
  <pageMargins left="0.39370078740157477" right="0.39370078740157477" top="0.55118110236220463" bottom="0.55118110236220463" header="0.3" footer="0.3"/>
  <pageSetup paperSize="8" fitToHeight="0" orientation="landscape" r:id="rId1"/>
  <headerFooter>
    <oddFooter>&amp;CInstalaciones Eléctricas II | Aquiles Taylor Ramos Yapo | 227368&amp;RHoja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140"/>
  <sheetViews>
    <sheetView showGridLines="0" zoomScale="85" zoomScaleNormal="85"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" defaultRowHeight="14.25"/>
  <cols>
    <col min="1" max="1" width="10" customWidth="1"/>
    <col min="2" max="2" width="17" customWidth="1"/>
    <col min="3" max="3" width="18" customWidth="1"/>
    <col min="4" max="4" width="13" customWidth="1"/>
    <col min="5" max="5" width="11" customWidth="1"/>
    <col min="6" max="6" width="13" customWidth="1"/>
    <col min="7" max="7" width="12" customWidth="1"/>
    <col min="8" max="8" width="13" customWidth="1"/>
    <col min="9" max="9" width="26" customWidth="1"/>
    <col min="10" max="10" width="13" customWidth="1"/>
    <col min="11" max="12" width="10" customWidth="1"/>
    <col min="13" max="13" width="16" customWidth="1"/>
  </cols>
  <sheetData>
    <row r="1" spans="1:13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1" customHeight="1">
      <c r="A2" s="2" t="s">
        <v>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2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36" customHeight="1">
      <c r="A6" s="4" t="s">
        <v>82</v>
      </c>
      <c r="B6" s="4" t="s">
        <v>83</v>
      </c>
      <c r="C6" s="4" t="s">
        <v>84</v>
      </c>
      <c r="D6" s="4" t="s">
        <v>85</v>
      </c>
      <c r="E6" s="4" t="s">
        <v>86</v>
      </c>
      <c r="F6" s="4" t="s">
        <v>87</v>
      </c>
      <c r="G6" s="4" t="s">
        <v>88</v>
      </c>
      <c r="H6" s="4" t="s">
        <v>89</v>
      </c>
      <c r="I6" s="4" t="s">
        <v>90</v>
      </c>
      <c r="J6" s="4" t="s">
        <v>91</v>
      </c>
      <c r="K6" s="4" t="s">
        <v>92</v>
      </c>
      <c r="L6" s="4" t="s">
        <v>93</v>
      </c>
      <c r="M6" s="4" t="s">
        <v>94</v>
      </c>
    </row>
    <row r="7" spans="1:13" ht="21" customHeight="1">
      <c r="A7" s="1" t="s">
        <v>95</v>
      </c>
      <c r="B7" s="7">
        <v>425715</v>
      </c>
      <c r="C7" s="7">
        <v>8436650</v>
      </c>
      <c r="D7" s="7">
        <v>3235.3252128347076</v>
      </c>
      <c r="E7" s="7">
        <v>13</v>
      </c>
      <c r="F7" s="7">
        <v>1.9</v>
      </c>
      <c r="G7" s="7">
        <v>10.6</v>
      </c>
      <c r="H7" s="7">
        <v>0</v>
      </c>
      <c r="I7" s="13" t="s">
        <v>96</v>
      </c>
      <c r="J7" s="15">
        <f t="shared" ref="J7:J38" si="0">IF(I7="SUSPENSION",0,IF(I7="TERMINAL",1,2))</f>
        <v>1</v>
      </c>
      <c r="K7" s="15">
        <f>1</f>
        <v>1</v>
      </c>
      <c r="L7" s="15">
        <f>1</f>
        <v>1</v>
      </c>
      <c r="M7" s="16">
        <f>J7*Parametros!$E$5*Parametros!$E$6</f>
        <v>6</v>
      </c>
    </row>
    <row r="8" spans="1:13" ht="21" customHeight="1">
      <c r="A8" s="1" t="s">
        <v>97</v>
      </c>
      <c r="B8" s="7">
        <v>425745.15828882635</v>
      </c>
      <c r="C8" s="7">
        <v>8436613.7608059794</v>
      </c>
      <c r="D8" s="7">
        <v>3249.6405993728868</v>
      </c>
      <c r="E8" s="7">
        <v>13</v>
      </c>
      <c r="F8" s="7">
        <v>1.9</v>
      </c>
      <c r="G8" s="7">
        <v>10.6</v>
      </c>
      <c r="H8" s="7">
        <v>0</v>
      </c>
      <c r="I8" s="13" t="s">
        <v>98</v>
      </c>
      <c r="J8" s="15">
        <f t="shared" si="0"/>
        <v>0</v>
      </c>
      <c r="K8" s="15">
        <f>1</f>
        <v>1</v>
      </c>
      <c r="L8" s="15">
        <f>1</f>
        <v>1</v>
      </c>
      <c r="M8" s="16">
        <f>J8*Parametros!$E$5*Parametros!$E$6</f>
        <v>0</v>
      </c>
    </row>
    <row r="9" spans="1:13" ht="21" customHeight="1">
      <c r="A9" s="1" t="s">
        <v>99</v>
      </c>
      <c r="B9" s="7">
        <v>425775.31657765264</v>
      </c>
      <c r="C9" s="7">
        <v>8436577.5216119606</v>
      </c>
      <c r="D9" s="7">
        <v>3261.105846597628</v>
      </c>
      <c r="E9" s="7">
        <v>15</v>
      </c>
      <c r="F9" s="7">
        <v>2.1</v>
      </c>
      <c r="G9" s="7">
        <v>12.4</v>
      </c>
      <c r="H9" s="7">
        <v>92.594133690840494</v>
      </c>
      <c r="I9" s="13" t="s">
        <v>100</v>
      </c>
      <c r="J9" s="15">
        <f t="shared" si="0"/>
        <v>2</v>
      </c>
      <c r="K9" s="15">
        <f>1</f>
        <v>1</v>
      </c>
      <c r="L9" s="15">
        <f>1</f>
        <v>1</v>
      </c>
      <c r="M9" s="16">
        <f>J9*Parametros!$E$5*Parametros!$E$6</f>
        <v>12</v>
      </c>
    </row>
    <row r="10" spans="1:13" ht="21" customHeight="1">
      <c r="A10" s="1" t="s">
        <v>101</v>
      </c>
      <c r="B10" s="7">
        <v>425715.10564964579</v>
      </c>
      <c r="C10" s="7">
        <v>8436531.8635314535</v>
      </c>
      <c r="D10" s="7">
        <v>3261.1197545384221</v>
      </c>
      <c r="E10" s="7">
        <v>15</v>
      </c>
      <c r="F10" s="7">
        <v>2.1</v>
      </c>
      <c r="G10" s="7">
        <v>12.4</v>
      </c>
      <c r="H10" s="7">
        <v>0</v>
      </c>
      <c r="I10" s="13" t="s">
        <v>98</v>
      </c>
      <c r="J10" s="15">
        <f t="shared" si="0"/>
        <v>0</v>
      </c>
      <c r="K10" s="15">
        <f>1</f>
        <v>1</v>
      </c>
      <c r="L10" s="15">
        <f>1</f>
        <v>1</v>
      </c>
      <c r="M10" s="16">
        <f>J10*Parametros!$E$5*Parametros!$E$6</f>
        <v>0</v>
      </c>
    </row>
    <row r="11" spans="1:13" ht="21" customHeight="1">
      <c r="A11" s="1" t="s">
        <v>102</v>
      </c>
      <c r="B11" s="7">
        <v>425654.89472163899</v>
      </c>
      <c r="C11" s="7">
        <v>8436486.2054509465</v>
      </c>
      <c r="D11" s="7">
        <v>3260.1333276230534</v>
      </c>
      <c r="E11" s="7">
        <v>15</v>
      </c>
      <c r="F11" s="7">
        <v>2.1</v>
      </c>
      <c r="G11" s="7">
        <v>12.4</v>
      </c>
      <c r="H11" s="7">
        <v>14.059955960026103</v>
      </c>
      <c r="I11" s="13" t="s">
        <v>103</v>
      </c>
      <c r="J11" s="15">
        <f t="shared" si="0"/>
        <v>2</v>
      </c>
      <c r="K11" s="15">
        <f>1</f>
        <v>1</v>
      </c>
      <c r="L11" s="15">
        <f>1</f>
        <v>1</v>
      </c>
      <c r="M11" s="16">
        <f>J11*Parametros!$E$5*Parametros!$E$6</f>
        <v>12</v>
      </c>
    </row>
    <row r="12" spans="1:13" ht="21" customHeight="1">
      <c r="A12" s="1" t="s">
        <v>104</v>
      </c>
      <c r="B12" s="7">
        <v>425610.42243317585</v>
      </c>
      <c r="C12" s="7">
        <v>8436430.8276390694</v>
      </c>
      <c r="D12" s="7">
        <v>3265.7273619007901</v>
      </c>
      <c r="E12" s="7">
        <v>17</v>
      </c>
      <c r="F12" s="7">
        <v>2.1</v>
      </c>
      <c r="G12" s="7">
        <v>14.200000000000001</v>
      </c>
      <c r="H12" s="7">
        <v>1.2074182697257333E-6</v>
      </c>
      <c r="I12" s="13" t="s">
        <v>98</v>
      </c>
      <c r="J12" s="15">
        <f t="shared" si="0"/>
        <v>0</v>
      </c>
      <c r="K12" s="15">
        <f>1</f>
        <v>1</v>
      </c>
      <c r="L12" s="15">
        <f>1</f>
        <v>1</v>
      </c>
      <c r="M12" s="16">
        <f>J12*Parametros!$E$5*Parametros!$E$6</f>
        <v>0</v>
      </c>
    </row>
    <row r="13" spans="1:13" ht="21" customHeight="1">
      <c r="A13" s="1" t="s">
        <v>105</v>
      </c>
      <c r="B13" s="7">
        <v>425565.95014471275</v>
      </c>
      <c r="C13" s="7">
        <v>8436375.4498271905</v>
      </c>
      <c r="D13" s="7">
        <v>3270.1190235185372</v>
      </c>
      <c r="E13" s="7">
        <v>15</v>
      </c>
      <c r="F13" s="7">
        <v>2.1</v>
      </c>
      <c r="G13" s="7">
        <v>12.4</v>
      </c>
      <c r="H13" s="7">
        <v>7.8217250843489943</v>
      </c>
      <c r="I13" s="13" t="s">
        <v>103</v>
      </c>
      <c r="J13" s="15">
        <f t="shared" si="0"/>
        <v>2</v>
      </c>
      <c r="K13" s="15">
        <f>1</f>
        <v>1</v>
      </c>
      <c r="L13" s="15">
        <f>1</f>
        <v>1</v>
      </c>
      <c r="M13" s="16">
        <f>J13*Parametros!$E$5*Parametros!$E$6</f>
        <v>12</v>
      </c>
    </row>
    <row r="14" spans="1:13" ht="21" customHeight="1">
      <c r="A14" s="1" t="s">
        <v>106</v>
      </c>
      <c r="B14" s="7">
        <v>425536.37881176191</v>
      </c>
      <c r="C14" s="7">
        <v>8436326.1280635688</v>
      </c>
      <c r="D14" s="7">
        <v>3270.4140056020965</v>
      </c>
      <c r="E14" s="7">
        <v>13</v>
      </c>
      <c r="F14" s="7">
        <v>1.9</v>
      </c>
      <c r="G14" s="7">
        <v>10.6</v>
      </c>
      <c r="H14" s="7">
        <v>13.486931802868162</v>
      </c>
      <c r="I14" s="13" t="s">
        <v>103</v>
      </c>
      <c r="J14" s="15">
        <f t="shared" si="0"/>
        <v>2</v>
      </c>
      <c r="K14" s="15">
        <f>1</f>
        <v>1</v>
      </c>
      <c r="L14" s="15">
        <f>1</f>
        <v>1</v>
      </c>
      <c r="M14" s="16">
        <f>J14*Parametros!$E$5*Parametros!$E$6</f>
        <v>12</v>
      </c>
    </row>
    <row r="15" spans="1:13" ht="21" customHeight="1">
      <c r="A15" s="1" t="s">
        <v>107</v>
      </c>
      <c r="B15" s="7">
        <v>425515.34374428377</v>
      </c>
      <c r="C15" s="7">
        <v>8436259.2435079925</v>
      </c>
      <c r="D15" s="7">
        <v>3272.2680197592717</v>
      </c>
      <c r="E15" s="7">
        <v>13</v>
      </c>
      <c r="F15" s="7">
        <v>1.9</v>
      </c>
      <c r="G15" s="7">
        <v>10.6</v>
      </c>
      <c r="H15" s="7">
        <v>0</v>
      </c>
      <c r="I15" s="13" t="s">
        <v>108</v>
      </c>
      <c r="J15" s="15">
        <f t="shared" si="0"/>
        <v>2</v>
      </c>
      <c r="K15" s="15">
        <f>1</f>
        <v>1</v>
      </c>
      <c r="L15" s="15">
        <f>1</f>
        <v>1</v>
      </c>
      <c r="M15" s="16">
        <f>J15*Parametros!$E$5*Parametros!$E$6</f>
        <v>12</v>
      </c>
    </row>
    <row r="16" spans="1:13" ht="21" customHeight="1">
      <c r="A16" s="1" t="s">
        <v>109</v>
      </c>
      <c r="B16" s="7">
        <v>425494.30867680564</v>
      </c>
      <c r="C16" s="7">
        <v>8436192.3589524142</v>
      </c>
      <c r="D16" s="7">
        <v>3278.5608491116582</v>
      </c>
      <c r="E16" s="7">
        <v>13</v>
      </c>
      <c r="F16" s="7">
        <v>1.9</v>
      </c>
      <c r="G16" s="7">
        <v>10.6</v>
      </c>
      <c r="H16" s="7">
        <v>21.802611230060748</v>
      </c>
      <c r="I16" s="13" t="s">
        <v>103</v>
      </c>
      <c r="J16" s="15">
        <f t="shared" si="0"/>
        <v>2</v>
      </c>
      <c r="K16" s="15">
        <f>1</f>
        <v>1</v>
      </c>
      <c r="L16" s="15">
        <f>1</f>
        <v>1</v>
      </c>
      <c r="M16" s="16">
        <f>J16*Parametros!$E$5*Parametros!$E$6</f>
        <v>12</v>
      </c>
    </row>
    <row r="17" spans="1:13" ht="21" customHeight="1">
      <c r="A17" s="1" t="s">
        <v>110</v>
      </c>
      <c r="B17" s="7">
        <v>425462.53050669475</v>
      </c>
      <c r="C17" s="7">
        <v>8436153.4794789329</v>
      </c>
      <c r="D17" s="7">
        <v>3289.0418010120438</v>
      </c>
      <c r="E17" s="7">
        <v>13</v>
      </c>
      <c r="F17" s="7">
        <v>1.9</v>
      </c>
      <c r="G17" s="7">
        <v>10.6</v>
      </c>
      <c r="H17" s="7">
        <v>57.411798308578142</v>
      </c>
      <c r="I17" s="13" t="s">
        <v>100</v>
      </c>
      <c r="J17" s="15">
        <f t="shared" si="0"/>
        <v>2</v>
      </c>
      <c r="K17" s="15">
        <f>1</f>
        <v>1</v>
      </c>
      <c r="L17" s="15">
        <f>1</f>
        <v>1</v>
      </c>
      <c r="M17" s="16">
        <f>J17*Parametros!$E$5*Parametros!$E$6</f>
        <v>12</v>
      </c>
    </row>
    <row r="18" spans="1:13" ht="21" customHeight="1">
      <c r="A18" s="1" t="s">
        <v>111</v>
      </c>
      <c r="B18" s="7">
        <v>425481.52361971437</v>
      </c>
      <c r="C18" s="7">
        <v>8436095.5443948116</v>
      </c>
      <c r="D18" s="7">
        <v>3292.781031450616</v>
      </c>
      <c r="E18" s="7">
        <v>13</v>
      </c>
      <c r="F18" s="7">
        <v>1.9</v>
      </c>
      <c r="G18" s="7">
        <v>10.6</v>
      </c>
      <c r="H18" s="7">
        <v>23.894065842350852</v>
      </c>
      <c r="I18" s="13" t="s">
        <v>103</v>
      </c>
      <c r="J18" s="15">
        <f t="shared" si="0"/>
        <v>2</v>
      </c>
      <c r="K18" s="15">
        <f>1</f>
        <v>1</v>
      </c>
      <c r="L18" s="15">
        <f>1</f>
        <v>1</v>
      </c>
      <c r="M18" s="16">
        <f>J18*Parametros!$E$5*Parametros!$E$6</f>
        <v>12</v>
      </c>
    </row>
    <row r="19" spans="1:13" ht="21" customHeight="1">
      <c r="A19" s="1" t="s">
        <v>112</v>
      </c>
      <c r="B19" s="7">
        <v>425476.08905447368</v>
      </c>
      <c r="C19" s="7">
        <v>8436041.5088055097</v>
      </c>
      <c r="D19" s="7">
        <v>3296.3307127673252</v>
      </c>
      <c r="E19" s="7">
        <v>13</v>
      </c>
      <c r="F19" s="7">
        <v>1.9</v>
      </c>
      <c r="G19" s="7">
        <v>10.6</v>
      </c>
      <c r="H19" s="7">
        <v>68.61190048695444</v>
      </c>
      <c r="I19" s="13" t="s">
        <v>100</v>
      </c>
      <c r="J19" s="15">
        <f t="shared" si="0"/>
        <v>2</v>
      </c>
      <c r="K19" s="15">
        <f>1</f>
        <v>1</v>
      </c>
      <c r="L19" s="15">
        <f>1</f>
        <v>1</v>
      </c>
      <c r="M19" s="16">
        <f>J19*Parametros!$E$5*Parametros!$E$6</f>
        <v>12</v>
      </c>
    </row>
    <row r="20" spans="1:13" ht="21" customHeight="1">
      <c r="A20" s="1" t="s">
        <v>113</v>
      </c>
      <c r="B20" s="7">
        <v>425437.89753690327</v>
      </c>
      <c r="C20" s="7">
        <v>8436030.8132323734</v>
      </c>
      <c r="D20" s="7">
        <v>3308.04547261687</v>
      </c>
      <c r="E20" s="7">
        <v>13</v>
      </c>
      <c r="F20" s="7">
        <v>1.9</v>
      </c>
      <c r="G20" s="7">
        <v>10.6</v>
      </c>
      <c r="H20" s="7">
        <v>53.191938245256281</v>
      </c>
      <c r="I20" s="13" t="s">
        <v>100</v>
      </c>
      <c r="J20" s="15">
        <f t="shared" si="0"/>
        <v>2</v>
      </c>
      <c r="K20" s="15">
        <f>1</f>
        <v>1</v>
      </c>
      <c r="L20" s="15">
        <f>1</f>
        <v>1</v>
      </c>
      <c r="M20" s="16">
        <f>J20*Parametros!$E$5*Parametros!$E$6</f>
        <v>12</v>
      </c>
    </row>
    <row r="21" spans="1:13" ht="21" customHeight="1">
      <c r="A21" s="1" t="s">
        <v>114</v>
      </c>
      <c r="B21" s="7">
        <v>425411.9669002858</v>
      </c>
      <c r="C21" s="7">
        <v>8435963.8321622293</v>
      </c>
      <c r="D21" s="7">
        <v>3318.7523526544264</v>
      </c>
      <c r="E21" s="7">
        <v>15</v>
      </c>
      <c r="F21" s="7">
        <v>2.1</v>
      </c>
      <c r="G21" s="7">
        <v>12.4</v>
      </c>
      <c r="H21" s="7">
        <v>0</v>
      </c>
      <c r="I21" s="13" t="s">
        <v>98</v>
      </c>
      <c r="J21" s="15">
        <f t="shared" si="0"/>
        <v>0</v>
      </c>
      <c r="K21" s="15">
        <f>1</f>
        <v>1</v>
      </c>
      <c r="L21" s="15">
        <f>1</f>
        <v>1</v>
      </c>
      <c r="M21" s="16">
        <f>J21*Parametros!$E$5*Parametros!$E$6</f>
        <v>0</v>
      </c>
    </row>
    <row r="22" spans="1:13" ht="21" customHeight="1">
      <c r="A22" s="1" t="s">
        <v>115</v>
      </c>
      <c r="B22" s="7">
        <v>425386.03626366827</v>
      </c>
      <c r="C22" s="7">
        <v>8435896.8510920871</v>
      </c>
      <c r="D22" s="7">
        <v>3330.0829109035535</v>
      </c>
      <c r="E22" s="7">
        <v>15</v>
      </c>
      <c r="F22" s="7">
        <v>2.1</v>
      </c>
      <c r="G22" s="7">
        <v>12.4</v>
      </c>
      <c r="H22" s="7">
        <v>0</v>
      </c>
      <c r="I22" s="13" t="s">
        <v>98</v>
      </c>
      <c r="J22" s="15">
        <f t="shared" si="0"/>
        <v>0</v>
      </c>
      <c r="K22" s="15">
        <f>1</f>
        <v>1</v>
      </c>
      <c r="L22" s="15">
        <f>1</f>
        <v>1</v>
      </c>
      <c r="M22" s="16">
        <f>J22*Parametros!$E$5*Parametros!$E$6</f>
        <v>0</v>
      </c>
    </row>
    <row r="23" spans="1:13" ht="21" customHeight="1">
      <c r="A23" s="1" t="s">
        <v>116</v>
      </c>
      <c r="B23" s="7">
        <v>425360.1056270508</v>
      </c>
      <c r="C23" s="7">
        <v>8435829.870021943</v>
      </c>
      <c r="D23" s="7">
        <v>3337.3696559706905</v>
      </c>
      <c r="E23" s="7">
        <v>13</v>
      </c>
      <c r="F23" s="7">
        <v>1.9</v>
      </c>
      <c r="G23" s="7">
        <v>10.6</v>
      </c>
      <c r="H23" s="7">
        <v>25.92674675106424</v>
      </c>
      <c r="I23" s="13" t="s">
        <v>103</v>
      </c>
      <c r="J23" s="15">
        <f t="shared" si="0"/>
        <v>2</v>
      </c>
      <c r="K23" s="15">
        <f>1</f>
        <v>1</v>
      </c>
      <c r="L23" s="15">
        <f>1</f>
        <v>1</v>
      </c>
      <c r="M23" s="16">
        <f>J23*Parametros!$E$5*Parametros!$E$6</f>
        <v>12</v>
      </c>
    </row>
    <row r="24" spans="1:13" ht="21" customHeight="1">
      <c r="A24" s="1" t="s">
        <v>117</v>
      </c>
      <c r="B24" s="7">
        <v>425364.1056270508</v>
      </c>
      <c r="C24" s="7">
        <v>8435781.870021943</v>
      </c>
      <c r="D24" s="7">
        <v>3339.7054376628826</v>
      </c>
      <c r="E24" s="7">
        <v>13</v>
      </c>
      <c r="F24" s="7">
        <v>1.9</v>
      </c>
      <c r="G24" s="7">
        <v>10.6</v>
      </c>
      <c r="H24" s="7">
        <v>0.55819507265109236</v>
      </c>
      <c r="I24" s="13" t="s">
        <v>98</v>
      </c>
      <c r="J24" s="15">
        <f t="shared" si="0"/>
        <v>0</v>
      </c>
      <c r="K24" s="15">
        <f>1</f>
        <v>1</v>
      </c>
      <c r="L24" s="15">
        <f>1</f>
        <v>1</v>
      </c>
      <c r="M24" s="16">
        <f>J24*Parametros!$E$5*Parametros!$E$6</f>
        <v>0</v>
      </c>
    </row>
    <row r="25" spans="1:13" ht="21" customHeight="1">
      <c r="A25" s="1" t="s">
        <v>118</v>
      </c>
      <c r="B25" s="7">
        <v>425367.62901446101</v>
      </c>
      <c r="C25" s="7">
        <v>8435733.9529779553</v>
      </c>
      <c r="D25" s="7">
        <v>3343.7867613753324</v>
      </c>
      <c r="E25" s="7">
        <v>13</v>
      </c>
      <c r="F25" s="7">
        <v>1.9</v>
      </c>
      <c r="G25" s="7">
        <v>10.6</v>
      </c>
      <c r="H25" s="7">
        <v>26.825311566115872</v>
      </c>
      <c r="I25" s="13" t="s">
        <v>103</v>
      </c>
      <c r="J25" s="15">
        <f t="shared" si="0"/>
        <v>2</v>
      </c>
      <c r="K25" s="15">
        <f>1</f>
        <v>1</v>
      </c>
      <c r="L25" s="15">
        <f>1</f>
        <v>1</v>
      </c>
      <c r="M25" s="16">
        <f>J25*Parametros!$E$5*Parametros!$E$6</f>
        <v>12</v>
      </c>
    </row>
    <row r="26" spans="1:13" ht="21" customHeight="1">
      <c r="A26" s="1" t="s">
        <v>119</v>
      </c>
      <c r="B26" s="7">
        <v>425357.62901446101</v>
      </c>
      <c r="C26" s="7">
        <v>8435709.9529779553</v>
      </c>
      <c r="D26" s="7">
        <v>3348.5824852034671</v>
      </c>
      <c r="E26" s="7">
        <v>13</v>
      </c>
      <c r="F26" s="7">
        <v>1.9</v>
      </c>
      <c r="G26" s="7">
        <v>10.6</v>
      </c>
      <c r="H26" s="7">
        <v>13.873702685485192</v>
      </c>
      <c r="I26" s="13" t="s">
        <v>103</v>
      </c>
      <c r="J26" s="15">
        <f t="shared" si="0"/>
        <v>2</v>
      </c>
      <c r="K26" s="15">
        <f>1</f>
        <v>1</v>
      </c>
      <c r="L26" s="15">
        <f>1</f>
        <v>1</v>
      </c>
      <c r="M26" s="16">
        <f>J26*Parametros!$E$5*Parametros!$E$6</f>
        <v>12</v>
      </c>
    </row>
    <row r="27" spans="1:13" ht="21" customHeight="1">
      <c r="A27" s="1" t="s">
        <v>120</v>
      </c>
      <c r="B27" s="7">
        <v>425353.62901446101</v>
      </c>
      <c r="C27" s="7">
        <v>8435683.9529779553</v>
      </c>
      <c r="D27" s="7">
        <v>3351.4854216586391</v>
      </c>
      <c r="E27" s="7">
        <v>13</v>
      </c>
      <c r="F27" s="7">
        <v>1.9</v>
      </c>
      <c r="G27" s="7">
        <v>10.6</v>
      </c>
      <c r="H27" s="7">
        <v>7.5007979958176385</v>
      </c>
      <c r="I27" s="13" t="s">
        <v>103</v>
      </c>
      <c r="J27" s="15">
        <f t="shared" si="0"/>
        <v>2</v>
      </c>
      <c r="K27" s="15">
        <f>1</f>
        <v>1</v>
      </c>
      <c r="L27" s="15">
        <f>1</f>
        <v>1</v>
      </c>
      <c r="M27" s="16">
        <f>J27*Parametros!$E$5*Parametros!$E$6</f>
        <v>12</v>
      </c>
    </row>
    <row r="28" spans="1:13" ht="21" customHeight="1">
      <c r="A28" s="1" t="s">
        <v>121</v>
      </c>
      <c r="B28" s="7">
        <v>425352.2956811277</v>
      </c>
      <c r="C28" s="7">
        <v>8435622.6196446214</v>
      </c>
      <c r="D28" s="7">
        <v>3362.4578944734621</v>
      </c>
      <c r="E28" s="7">
        <v>13</v>
      </c>
      <c r="F28" s="7">
        <v>1.9</v>
      </c>
      <c r="G28" s="7">
        <v>10.6</v>
      </c>
      <c r="H28" s="7">
        <v>0</v>
      </c>
      <c r="I28" s="13" t="s">
        <v>98</v>
      </c>
      <c r="J28" s="15">
        <f t="shared" si="0"/>
        <v>0</v>
      </c>
      <c r="K28" s="15">
        <f>1</f>
        <v>1</v>
      </c>
      <c r="L28" s="15">
        <f>1</f>
        <v>1</v>
      </c>
      <c r="M28" s="16">
        <f>J28*Parametros!$E$5*Parametros!$E$6</f>
        <v>0</v>
      </c>
    </row>
    <row r="29" spans="1:13" ht="21" customHeight="1">
      <c r="A29" s="1" t="s">
        <v>122</v>
      </c>
      <c r="B29" s="7">
        <v>425350.96234779432</v>
      </c>
      <c r="C29" s="7">
        <v>8435561.2863112893</v>
      </c>
      <c r="D29" s="7">
        <v>3369.6739830204724</v>
      </c>
      <c r="E29" s="7">
        <v>15</v>
      </c>
      <c r="F29" s="7">
        <v>2.1</v>
      </c>
      <c r="G29" s="7">
        <v>12.4</v>
      </c>
      <c r="H29" s="7">
        <v>0</v>
      </c>
      <c r="I29" s="13" t="s">
        <v>98</v>
      </c>
      <c r="J29" s="15">
        <f t="shared" si="0"/>
        <v>0</v>
      </c>
      <c r="K29" s="15">
        <f>1</f>
        <v>1</v>
      </c>
      <c r="L29" s="15">
        <f>1</f>
        <v>1</v>
      </c>
      <c r="M29" s="16">
        <f>J29*Parametros!$E$5*Parametros!$E$6</f>
        <v>0</v>
      </c>
    </row>
    <row r="30" spans="1:13" ht="21" customHeight="1">
      <c r="A30" s="1" t="s">
        <v>123</v>
      </c>
      <c r="B30" s="7">
        <v>425349.62901446101</v>
      </c>
      <c r="C30" s="7">
        <v>8435499.9529779553</v>
      </c>
      <c r="D30" s="7">
        <v>3378.5335471964704</v>
      </c>
      <c r="E30" s="7">
        <v>17</v>
      </c>
      <c r="F30" s="7">
        <v>2.1</v>
      </c>
      <c r="G30" s="7">
        <v>14.200000000000001</v>
      </c>
      <c r="H30" s="7">
        <v>4.3817226350703073</v>
      </c>
      <c r="I30" s="13" t="s">
        <v>98</v>
      </c>
      <c r="J30" s="15">
        <f t="shared" si="0"/>
        <v>0</v>
      </c>
      <c r="K30" s="15">
        <f>1</f>
        <v>1</v>
      </c>
      <c r="L30" s="15">
        <f>1</f>
        <v>1</v>
      </c>
      <c r="M30" s="16">
        <f>J30*Parametros!$E$5*Parametros!$E$6</f>
        <v>0</v>
      </c>
    </row>
    <row r="31" spans="1:13" ht="21" customHeight="1">
      <c r="A31" s="1" t="s">
        <v>124</v>
      </c>
      <c r="B31" s="7">
        <v>425353.62901446101</v>
      </c>
      <c r="C31" s="7">
        <v>8435426.9529779553</v>
      </c>
      <c r="D31" s="7">
        <v>3376.4162788713033</v>
      </c>
      <c r="E31" s="7">
        <v>17</v>
      </c>
      <c r="F31" s="7">
        <v>2.1</v>
      </c>
      <c r="G31" s="7">
        <v>14.200000000000001</v>
      </c>
      <c r="H31" s="7">
        <v>1.2074182697257333E-6</v>
      </c>
      <c r="I31" s="13" t="s">
        <v>98</v>
      </c>
      <c r="J31" s="15">
        <f t="shared" si="0"/>
        <v>0</v>
      </c>
      <c r="K31" s="15">
        <f>1</f>
        <v>1</v>
      </c>
      <c r="L31" s="15">
        <f>1</f>
        <v>1</v>
      </c>
      <c r="M31" s="16">
        <f>J31*Parametros!$E$5*Parametros!$E$6</f>
        <v>0</v>
      </c>
    </row>
    <row r="32" spans="1:13" ht="21" customHeight="1">
      <c r="A32" s="1" t="s">
        <v>125</v>
      </c>
      <c r="B32" s="7">
        <v>425357.62901446101</v>
      </c>
      <c r="C32" s="7">
        <v>8435353.9529779553</v>
      </c>
      <c r="D32" s="7">
        <v>3379.7078657461243</v>
      </c>
      <c r="E32" s="7">
        <v>15</v>
      </c>
      <c r="F32" s="7">
        <v>2.1</v>
      </c>
      <c r="G32" s="7">
        <v>12.4</v>
      </c>
      <c r="H32" s="7">
        <v>1.2074182697257333E-6</v>
      </c>
      <c r="I32" s="13" t="s">
        <v>108</v>
      </c>
      <c r="J32" s="15">
        <f t="shared" si="0"/>
        <v>2</v>
      </c>
      <c r="K32" s="15">
        <f>1</f>
        <v>1</v>
      </c>
      <c r="L32" s="15">
        <f>1</f>
        <v>1</v>
      </c>
      <c r="M32" s="16">
        <f>J32*Parametros!$E$5*Parametros!$E$6</f>
        <v>12</v>
      </c>
    </row>
    <row r="33" spans="1:13" ht="21" customHeight="1">
      <c r="A33" s="1" t="s">
        <v>126</v>
      </c>
      <c r="B33" s="7">
        <v>425361.62901446101</v>
      </c>
      <c r="C33" s="7">
        <v>8435280.9529779553</v>
      </c>
      <c r="D33" s="7">
        <v>3386.5423934100013</v>
      </c>
      <c r="E33" s="7">
        <v>15</v>
      </c>
      <c r="F33" s="7">
        <v>2.1</v>
      </c>
      <c r="G33" s="7">
        <v>12.4</v>
      </c>
      <c r="H33" s="7">
        <v>1.2074182697257333E-6</v>
      </c>
      <c r="I33" s="13" t="s">
        <v>98</v>
      </c>
      <c r="J33" s="15">
        <f t="shared" si="0"/>
        <v>0</v>
      </c>
      <c r="K33" s="15">
        <f>1</f>
        <v>1</v>
      </c>
      <c r="L33" s="15">
        <f>1</f>
        <v>1</v>
      </c>
      <c r="M33" s="16">
        <f>J33*Parametros!$E$5*Parametros!$E$6</f>
        <v>0</v>
      </c>
    </row>
    <row r="34" spans="1:13" ht="21" customHeight="1">
      <c r="A34" s="1" t="s">
        <v>127</v>
      </c>
      <c r="B34" s="7">
        <v>425365.62901446101</v>
      </c>
      <c r="C34" s="7">
        <v>8435207.9529779553</v>
      </c>
      <c r="D34" s="7">
        <v>3394.7254952982739</v>
      </c>
      <c r="E34" s="7">
        <v>15</v>
      </c>
      <c r="F34" s="7">
        <v>2.1</v>
      </c>
      <c r="G34" s="7">
        <v>12.4</v>
      </c>
      <c r="H34" s="7">
        <v>15.142466251579568</v>
      </c>
      <c r="I34" s="13" t="s">
        <v>103</v>
      </c>
      <c r="J34" s="15">
        <f t="shared" si="0"/>
        <v>2</v>
      </c>
      <c r="K34" s="15">
        <f>1</f>
        <v>1</v>
      </c>
      <c r="L34" s="15">
        <f>1</f>
        <v>1</v>
      </c>
      <c r="M34" s="16">
        <f>J34*Parametros!$E$5*Parametros!$E$6</f>
        <v>12</v>
      </c>
    </row>
    <row r="35" spans="1:13" ht="21" customHeight="1">
      <c r="A35" s="1" t="s">
        <v>128</v>
      </c>
      <c r="B35" s="7">
        <v>425353.35345257737</v>
      </c>
      <c r="C35" s="7">
        <v>8435150.2312574666</v>
      </c>
      <c r="D35" s="7">
        <v>3401.8413132448791</v>
      </c>
      <c r="E35" s="7">
        <v>13</v>
      </c>
      <c r="F35" s="7">
        <v>1.9</v>
      </c>
      <c r="G35" s="7">
        <v>10.6</v>
      </c>
      <c r="H35" s="7">
        <v>3.8760055290910387</v>
      </c>
      <c r="I35" s="13" t="s">
        <v>108</v>
      </c>
      <c r="J35" s="15">
        <f t="shared" si="0"/>
        <v>2</v>
      </c>
      <c r="K35" s="15">
        <f>1</f>
        <v>1</v>
      </c>
      <c r="L35" s="15">
        <f>1</f>
        <v>1</v>
      </c>
      <c r="M35" s="16">
        <f>J35*Parametros!$E$5*Parametros!$E$6</f>
        <v>12</v>
      </c>
    </row>
    <row r="36" spans="1:13" ht="21" customHeight="1">
      <c r="A36" s="1" t="s">
        <v>129</v>
      </c>
      <c r="B36" s="7">
        <v>425351.35345257737</v>
      </c>
      <c r="C36" s="7">
        <v>8435136.2312574666</v>
      </c>
      <c r="D36" s="7">
        <v>3403.3906340927342</v>
      </c>
      <c r="E36" s="7">
        <v>15</v>
      </c>
      <c r="F36" s="7">
        <v>2.1</v>
      </c>
      <c r="G36" s="7">
        <v>12.4</v>
      </c>
      <c r="H36" s="7">
        <v>6.0309423947335929</v>
      </c>
      <c r="I36" s="13" t="s">
        <v>103</v>
      </c>
      <c r="J36" s="15">
        <f t="shared" si="0"/>
        <v>2</v>
      </c>
      <c r="K36" s="15">
        <f>1</f>
        <v>1</v>
      </c>
      <c r="L36" s="15">
        <f>1</f>
        <v>1</v>
      </c>
      <c r="M36" s="16">
        <f>J36*Parametros!$E$5*Parametros!$E$6</f>
        <v>12</v>
      </c>
    </row>
    <row r="37" spans="1:13" ht="21" customHeight="1">
      <c r="A37" s="1" t="s">
        <v>130</v>
      </c>
      <c r="B37" s="7">
        <v>425348.35345257737</v>
      </c>
      <c r="C37" s="7">
        <v>8435054.3840292785</v>
      </c>
      <c r="D37" s="7">
        <v>3409.7129936758338</v>
      </c>
      <c r="E37" s="7">
        <v>17</v>
      </c>
      <c r="F37" s="7">
        <v>2.1</v>
      </c>
      <c r="G37" s="7">
        <v>14.200000000000001</v>
      </c>
      <c r="H37" s="7">
        <v>0</v>
      </c>
      <c r="I37" s="13" t="s">
        <v>98</v>
      </c>
      <c r="J37" s="15">
        <f t="shared" si="0"/>
        <v>0</v>
      </c>
      <c r="K37" s="15">
        <f>1</f>
        <v>1</v>
      </c>
      <c r="L37" s="15">
        <f>1</f>
        <v>1</v>
      </c>
      <c r="M37" s="16">
        <f>J37*Parametros!$E$5*Parametros!$E$6</f>
        <v>0</v>
      </c>
    </row>
    <row r="38" spans="1:13" ht="21" customHeight="1">
      <c r="A38" s="1" t="s">
        <v>131</v>
      </c>
      <c r="B38" s="7">
        <v>425345.35345257737</v>
      </c>
      <c r="C38" s="7">
        <v>8434972.5368010905</v>
      </c>
      <c r="D38" s="7">
        <v>3415.8595734494538</v>
      </c>
      <c r="E38" s="7">
        <v>15</v>
      </c>
      <c r="F38" s="7">
        <v>2.1</v>
      </c>
      <c r="G38" s="7">
        <v>12.4</v>
      </c>
      <c r="H38" s="7">
        <v>5.4619308461952549</v>
      </c>
      <c r="I38" s="13" t="s">
        <v>103</v>
      </c>
      <c r="J38" s="15">
        <f t="shared" si="0"/>
        <v>2</v>
      </c>
      <c r="K38" s="15">
        <f>1</f>
        <v>1</v>
      </c>
      <c r="L38" s="15">
        <f>1</f>
        <v>1</v>
      </c>
      <c r="M38" s="16">
        <f>J38*Parametros!$E$5*Parametros!$E$6</f>
        <v>12</v>
      </c>
    </row>
    <row r="39" spans="1:13" ht="21" customHeight="1">
      <c r="A39" s="1" t="s">
        <v>132</v>
      </c>
      <c r="B39" s="7">
        <v>425349.66243916936</v>
      </c>
      <c r="C39" s="7">
        <v>8434899.2034677565</v>
      </c>
      <c r="D39" s="7">
        <v>3420.5314746830377</v>
      </c>
      <c r="E39" s="7">
        <v>15</v>
      </c>
      <c r="F39" s="7">
        <v>2.1</v>
      </c>
      <c r="G39" s="7">
        <v>12.4</v>
      </c>
      <c r="H39" s="7">
        <v>1.2074182697257333E-6</v>
      </c>
      <c r="I39" s="13" t="s">
        <v>98</v>
      </c>
      <c r="J39" s="15">
        <f t="shared" ref="J39:J70" si="1">IF(I39="SUSPENSION",0,IF(I39="TERMINAL",1,2))</f>
        <v>0</v>
      </c>
      <c r="K39" s="15">
        <f>1</f>
        <v>1</v>
      </c>
      <c r="L39" s="15">
        <f>1</f>
        <v>1</v>
      </c>
      <c r="M39" s="16">
        <f>J39*Parametros!$E$5*Parametros!$E$6</f>
        <v>0</v>
      </c>
    </row>
    <row r="40" spans="1:13" ht="21" customHeight="1">
      <c r="A40" s="1" t="s">
        <v>133</v>
      </c>
      <c r="B40" s="7">
        <v>425353.97142576135</v>
      </c>
      <c r="C40" s="7">
        <v>8434825.8701344244</v>
      </c>
      <c r="D40" s="7">
        <v>3428.2097153614259</v>
      </c>
      <c r="E40" s="7">
        <v>15</v>
      </c>
      <c r="F40" s="7">
        <v>2.1</v>
      </c>
      <c r="G40" s="7">
        <v>12.4</v>
      </c>
      <c r="H40" s="7">
        <v>1.2074182697257333E-6</v>
      </c>
      <c r="I40" s="13" t="s">
        <v>98</v>
      </c>
      <c r="J40" s="15">
        <f t="shared" si="1"/>
        <v>0</v>
      </c>
      <c r="K40" s="15">
        <f>1</f>
        <v>1</v>
      </c>
      <c r="L40" s="15">
        <f>1</f>
        <v>1</v>
      </c>
      <c r="M40" s="16">
        <f>J40*Parametros!$E$5*Parametros!$E$6</f>
        <v>0</v>
      </c>
    </row>
    <row r="41" spans="1:13" ht="21" customHeight="1">
      <c r="A41" s="1" t="s">
        <v>134</v>
      </c>
      <c r="B41" s="7">
        <v>425358.28041235334</v>
      </c>
      <c r="C41" s="7">
        <v>8434752.5368010905</v>
      </c>
      <c r="D41" s="7">
        <v>3430.1756948726515</v>
      </c>
      <c r="E41" s="7">
        <v>13</v>
      </c>
      <c r="F41" s="7">
        <v>1.9</v>
      </c>
      <c r="G41" s="7">
        <v>10.6</v>
      </c>
      <c r="H41" s="7">
        <v>152.53486967090092</v>
      </c>
      <c r="I41" s="13" t="s">
        <v>100</v>
      </c>
      <c r="J41" s="15">
        <f t="shared" si="1"/>
        <v>2</v>
      </c>
      <c r="K41" s="15">
        <f>1</f>
        <v>1</v>
      </c>
      <c r="L41" s="15">
        <f>1</f>
        <v>1</v>
      </c>
      <c r="M41" s="16">
        <f>J41*Parametros!$E$5*Parametros!$E$6</f>
        <v>12</v>
      </c>
    </row>
    <row r="42" spans="1:13" ht="21" customHeight="1">
      <c r="A42" s="1" t="s">
        <v>135</v>
      </c>
      <c r="B42" s="7">
        <v>425345.49736683076</v>
      </c>
      <c r="C42" s="7">
        <v>8434773.9568365607</v>
      </c>
      <c r="D42" s="7">
        <v>3437.6291660571942</v>
      </c>
      <c r="E42" s="7">
        <v>13</v>
      </c>
      <c r="F42" s="7">
        <v>1.9</v>
      </c>
      <c r="G42" s="7">
        <v>10.6</v>
      </c>
      <c r="H42" s="7">
        <v>51.799556426976679</v>
      </c>
      <c r="I42" s="13" t="s">
        <v>100</v>
      </c>
      <c r="J42" s="15">
        <f t="shared" si="1"/>
        <v>2</v>
      </c>
      <c r="K42" s="15">
        <f>1</f>
        <v>1</v>
      </c>
      <c r="L42" s="15">
        <f>1</f>
        <v>1</v>
      </c>
      <c r="M42" s="16">
        <f>J42*Parametros!$E$5*Parametros!$E$6</f>
        <v>12</v>
      </c>
    </row>
    <row r="43" spans="1:13" ht="21" customHeight="1">
      <c r="A43" s="1" t="s">
        <v>136</v>
      </c>
      <c r="B43" s="7">
        <v>425325.65742027189</v>
      </c>
      <c r="C43" s="7">
        <v>8434776.5239281207</v>
      </c>
      <c r="D43" s="7">
        <v>3450.2241974787744</v>
      </c>
      <c r="E43" s="7">
        <v>13</v>
      </c>
      <c r="F43" s="7">
        <v>1.9</v>
      </c>
      <c r="G43" s="7">
        <v>10.6</v>
      </c>
      <c r="H43" s="7">
        <v>48.713486867208616</v>
      </c>
      <c r="I43" s="13" t="s">
        <v>100</v>
      </c>
      <c r="J43" s="15">
        <f t="shared" si="1"/>
        <v>2</v>
      </c>
      <c r="K43" s="15">
        <f>1</f>
        <v>1</v>
      </c>
      <c r="L43" s="15">
        <f>1</f>
        <v>1</v>
      </c>
      <c r="M43" s="16">
        <f>J43*Parametros!$E$5*Parametros!$E$6</f>
        <v>12</v>
      </c>
    </row>
    <row r="44" spans="1:13" ht="21" customHeight="1">
      <c r="A44" s="1" t="s">
        <v>137</v>
      </c>
      <c r="B44" s="7">
        <v>425302.82052006002</v>
      </c>
      <c r="C44" s="7">
        <v>8434756.4322877843</v>
      </c>
      <c r="D44" s="7">
        <v>3470.8715527353288</v>
      </c>
      <c r="E44" s="7">
        <v>13</v>
      </c>
      <c r="F44" s="7">
        <v>1.9</v>
      </c>
      <c r="G44" s="7">
        <v>10.6</v>
      </c>
      <c r="H44" s="7">
        <v>41.939492361641264</v>
      </c>
      <c r="I44" s="13" t="s">
        <v>100</v>
      </c>
      <c r="J44" s="15">
        <f t="shared" si="1"/>
        <v>2</v>
      </c>
      <c r="K44" s="15">
        <f>1</f>
        <v>1</v>
      </c>
      <c r="L44" s="15">
        <f>1</f>
        <v>1</v>
      </c>
      <c r="M44" s="16">
        <f>J44*Parametros!$E$5*Parametros!$E$6</f>
        <v>12</v>
      </c>
    </row>
    <row r="45" spans="1:13" ht="21" customHeight="1">
      <c r="A45" s="1" t="s">
        <v>138</v>
      </c>
      <c r="B45" s="7">
        <v>425293.96000487707</v>
      </c>
      <c r="C45" s="7">
        <v>8434681.2279273886</v>
      </c>
      <c r="D45" s="7">
        <v>3468.7483936730341</v>
      </c>
      <c r="E45" s="7">
        <v>17</v>
      </c>
      <c r="F45" s="7">
        <v>2.1</v>
      </c>
      <c r="G45" s="7">
        <v>14.200000000000001</v>
      </c>
      <c r="H45" s="7">
        <v>10.23144828424002</v>
      </c>
      <c r="I45" s="13" t="s">
        <v>103</v>
      </c>
      <c r="J45" s="15">
        <f t="shared" si="1"/>
        <v>2</v>
      </c>
      <c r="K45" s="15">
        <f>1</f>
        <v>1</v>
      </c>
      <c r="L45" s="15">
        <f>1</f>
        <v>1</v>
      </c>
      <c r="M45" s="16">
        <f>J45*Parametros!$E$5*Parametros!$E$6</f>
        <v>12</v>
      </c>
    </row>
    <row r="46" spans="1:13" ht="21" customHeight="1">
      <c r="A46" s="1" t="s">
        <v>139</v>
      </c>
      <c r="B46" s="7">
        <v>425269.94362536201</v>
      </c>
      <c r="C46" s="7">
        <v>8434602.4329958297</v>
      </c>
      <c r="D46" s="7">
        <v>3476.7659509418081</v>
      </c>
      <c r="E46" s="7">
        <v>17</v>
      </c>
      <c r="F46" s="7">
        <v>2.1</v>
      </c>
      <c r="G46" s="7">
        <v>14.200000000000001</v>
      </c>
      <c r="H46" s="7">
        <v>0</v>
      </c>
      <c r="I46" s="13" t="s">
        <v>108</v>
      </c>
      <c r="J46" s="15">
        <f t="shared" si="1"/>
        <v>2</v>
      </c>
      <c r="K46" s="15">
        <f>1</f>
        <v>1</v>
      </c>
      <c r="L46" s="15">
        <f>1</f>
        <v>1</v>
      </c>
      <c r="M46" s="16">
        <f>J46*Parametros!$E$5*Parametros!$E$6</f>
        <v>12</v>
      </c>
    </row>
    <row r="47" spans="1:13" ht="21" customHeight="1">
      <c r="A47" s="1" t="s">
        <v>140</v>
      </c>
      <c r="B47" s="7">
        <v>425245.92724584689</v>
      </c>
      <c r="C47" s="7">
        <v>8434523.6380642727</v>
      </c>
      <c r="D47" s="7">
        <v>3499.5001081418577</v>
      </c>
      <c r="E47" s="7">
        <v>17</v>
      </c>
      <c r="F47" s="7">
        <v>2.1</v>
      </c>
      <c r="G47" s="7">
        <v>14.200000000000001</v>
      </c>
      <c r="H47" s="7">
        <v>21.728144298761485</v>
      </c>
      <c r="I47" s="13" t="s">
        <v>103</v>
      </c>
      <c r="J47" s="15">
        <f t="shared" si="1"/>
        <v>2</v>
      </c>
      <c r="K47" s="15">
        <f>1</f>
        <v>1</v>
      </c>
      <c r="L47" s="15">
        <f>1</f>
        <v>1</v>
      </c>
      <c r="M47" s="16">
        <f>J47*Parametros!$E$5*Parametros!$E$6</f>
        <v>12</v>
      </c>
    </row>
    <row r="48" spans="1:13" ht="21" customHeight="1">
      <c r="A48" s="1" t="s">
        <v>141</v>
      </c>
      <c r="B48" s="7">
        <v>425251.17624207243</v>
      </c>
      <c r="C48" s="7">
        <v>8434460.8288186602</v>
      </c>
      <c r="D48" s="7">
        <v>3494.3856064468741</v>
      </c>
      <c r="E48" s="7">
        <v>17</v>
      </c>
      <c r="F48" s="7">
        <v>2.1</v>
      </c>
      <c r="G48" s="7">
        <v>14.200000000000001</v>
      </c>
      <c r="H48" s="7">
        <v>29.070450134740565</v>
      </c>
      <c r="I48" s="13" t="s">
        <v>103</v>
      </c>
      <c r="J48" s="15">
        <f t="shared" si="1"/>
        <v>2</v>
      </c>
      <c r="K48" s="15">
        <f>1</f>
        <v>1</v>
      </c>
      <c r="L48" s="15">
        <f>1</f>
        <v>1</v>
      </c>
      <c r="M48" s="16">
        <f>J48*Parametros!$E$5*Parametros!$E$6</f>
        <v>12</v>
      </c>
    </row>
    <row r="49" spans="1:13" ht="21" customHeight="1">
      <c r="A49" s="1" t="s">
        <v>142</v>
      </c>
      <c r="B49" s="7">
        <v>425230.65577476646</v>
      </c>
      <c r="C49" s="7">
        <v>8434415.366884239</v>
      </c>
      <c r="D49" s="7">
        <v>3502.2573071261322</v>
      </c>
      <c r="E49" s="7">
        <v>15</v>
      </c>
      <c r="F49" s="7">
        <v>2.1</v>
      </c>
      <c r="G49" s="7">
        <v>12.4</v>
      </c>
      <c r="H49" s="7">
        <v>23.136435820036748</v>
      </c>
      <c r="I49" s="13" t="s">
        <v>103</v>
      </c>
      <c r="J49" s="15">
        <f t="shared" si="1"/>
        <v>2</v>
      </c>
      <c r="K49" s="15">
        <f>1</f>
        <v>1</v>
      </c>
      <c r="L49" s="15">
        <f>1</f>
        <v>1</v>
      </c>
      <c r="M49" s="16">
        <f>J49*Parametros!$E$5*Parametros!$E$6</f>
        <v>12</v>
      </c>
    </row>
    <row r="50" spans="1:13" ht="21" customHeight="1">
      <c r="A50" s="1" t="s">
        <v>143</v>
      </c>
      <c r="B50" s="7">
        <v>425229.04021171306</v>
      </c>
      <c r="C50" s="7">
        <v>8434335.3652846739</v>
      </c>
      <c r="D50" s="7">
        <v>3505.8337622892736</v>
      </c>
      <c r="E50" s="7">
        <v>15</v>
      </c>
      <c r="F50" s="7">
        <v>2.1</v>
      </c>
      <c r="G50" s="7">
        <v>12.4</v>
      </c>
      <c r="H50" s="7">
        <v>0</v>
      </c>
      <c r="I50" s="13" t="s">
        <v>108</v>
      </c>
      <c r="J50" s="15">
        <f t="shared" si="1"/>
        <v>2</v>
      </c>
      <c r="K50" s="15">
        <f>1</f>
        <v>1</v>
      </c>
      <c r="L50" s="15">
        <f>1</f>
        <v>1</v>
      </c>
      <c r="M50" s="16">
        <f>J50*Parametros!$E$5*Parametros!$E$6</f>
        <v>12</v>
      </c>
    </row>
    <row r="51" spans="1:13" ht="21" customHeight="1">
      <c r="A51" s="1" t="s">
        <v>144</v>
      </c>
      <c r="B51" s="7">
        <v>425227.42464865959</v>
      </c>
      <c r="C51" s="7">
        <v>8434255.3636851106</v>
      </c>
      <c r="D51" s="7">
        <v>3516.0023376822628</v>
      </c>
      <c r="E51" s="7">
        <v>13</v>
      </c>
      <c r="F51" s="7">
        <v>1.9</v>
      </c>
      <c r="G51" s="7">
        <v>10.6</v>
      </c>
      <c r="H51" s="7">
        <v>30.952298989334814</v>
      </c>
      <c r="I51" s="13" t="s">
        <v>100</v>
      </c>
      <c r="J51" s="15">
        <f t="shared" si="1"/>
        <v>2</v>
      </c>
      <c r="K51" s="15">
        <f>1</f>
        <v>1</v>
      </c>
      <c r="L51" s="15">
        <f>1</f>
        <v>1</v>
      </c>
      <c r="M51" s="16">
        <f>J51*Parametros!$E$5*Parametros!$E$6</f>
        <v>12</v>
      </c>
    </row>
    <row r="52" spans="1:13" ht="21" customHeight="1">
      <c r="A52" s="1" t="s">
        <v>145</v>
      </c>
      <c r="B52" s="7">
        <v>425257.94863373309</v>
      </c>
      <c r="C52" s="7">
        <v>8434202.0559169501</v>
      </c>
      <c r="D52" s="7">
        <v>3514.7779191706973</v>
      </c>
      <c r="E52" s="7">
        <v>13</v>
      </c>
      <c r="F52" s="7">
        <v>1.9</v>
      </c>
      <c r="G52" s="7">
        <v>10.6</v>
      </c>
      <c r="H52" s="7">
        <v>0</v>
      </c>
      <c r="I52" s="13" t="s">
        <v>98</v>
      </c>
      <c r="J52" s="15">
        <f t="shared" si="1"/>
        <v>0</v>
      </c>
      <c r="K52" s="15">
        <f>1</f>
        <v>1</v>
      </c>
      <c r="L52" s="15">
        <f>1</f>
        <v>1</v>
      </c>
      <c r="M52" s="16">
        <f>J52*Parametros!$E$5*Parametros!$E$6</f>
        <v>0</v>
      </c>
    </row>
    <row r="53" spans="1:13" ht="21" customHeight="1">
      <c r="A53" s="1" t="s">
        <v>146</v>
      </c>
      <c r="B53" s="7">
        <v>425288.47261880653</v>
      </c>
      <c r="C53" s="7">
        <v>8434148.7481487878</v>
      </c>
      <c r="D53" s="7">
        <v>3516.1706348904886</v>
      </c>
      <c r="E53" s="7">
        <v>13</v>
      </c>
      <c r="F53" s="7">
        <v>1.9</v>
      </c>
      <c r="G53" s="7">
        <v>10.6</v>
      </c>
      <c r="H53" s="7">
        <v>0</v>
      </c>
      <c r="I53" s="13" t="s">
        <v>108</v>
      </c>
      <c r="J53" s="15">
        <f t="shared" si="1"/>
        <v>2</v>
      </c>
      <c r="K53" s="15">
        <f>1</f>
        <v>1</v>
      </c>
      <c r="L53" s="15">
        <f>1</f>
        <v>1</v>
      </c>
      <c r="M53" s="16">
        <f>J53*Parametros!$E$5*Parametros!$E$6</f>
        <v>12</v>
      </c>
    </row>
    <row r="54" spans="1:13" ht="21" customHeight="1">
      <c r="A54" s="1" t="s">
        <v>147</v>
      </c>
      <c r="B54" s="7">
        <v>425318.99660388002</v>
      </c>
      <c r="C54" s="7">
        <v>8434095.4403806273</v>
      </c>
      <c r="D54" s="7">
        <v>3520.6696943308866</v>
      </c>
      <c r="E54" s="7">
        <v>13</v>
      </c>
      <c r="F54" s="7">
        <v>1.9</v>
      </c>
      <c r="G54" s="7">
        <v>10.6</v>
      </c>
      <c r="H54" s="7">
        <v>76.904295911557469</v>
      </c>
      <c r="I54" s="13" t="s">
        <v>100</v>
      </c>
      <c r="J54" s="15">
        <f t="shared" si="1"/>
        <v>2</v>
      </c>
      <c r="K54" s="15">
        <f>1</f>
        <v>1</v>
      </c>
      <c r="L54" s="15">
        <f>1</f>
        <v>1</v>
      </c>
      <c r="M54" s="16">
        <f>J54*Parametros!$E$5*Parametros!$E$6</f>
        <v>12</v>
      </c>
    </row>
    <row r="55" spans="1:13" ht="21" customHeight="1">
      <c r="A55" s="1" t="s">
        <v>148</v>
      </c>
      <c r="B55" s="7">
        <v>425290.83520851267</v>
      </c>
      <c r="C55" s="7">
        <v>8434069.279327983</v>
      </c>
      <c r="D55" s="7">
        <v>3530.5858022218454</v>
      </c>
      <c r="E55" s="7">
        <v>13</v>
      </c>
      <c r="F55" s="7">
        <v>1.9</v>
      </c>
      <c r="G55" s="7">
        <v>10.6</v>
      </c>
      <c r="H55" s="7">
        <v>65.382423125973986</v>
      </c>
      <c r="I55" s="13" t="s">
        <v>100</v>
      </c>
      <c r="J55" s="15">
        <f t="shared" si="1"/>
        <v>2</v>
      </c>
      <c r="K55" s="15">
        <f>1</f>
        <v>1</v>
      </c>
      <c r="L55" s="15">
        <f>1</f>
        <v>1</v>
      </c>
      <c r="M55" s="16">
        <f>J55*Parametros!$E$5*Parametros!$E$6</f>
        <v>12</v>
      </c>
    </row>
    <row r="56" spans="1:13" ht="21" customHeight="1">
      <c r="A56" s="1" t="s">
        <v>149</v>
      </c>
      <c r="B56" s="7">
        <v>425315.81551378971</v>
      </c>
      <c r="C56" s="7">
        <v>8433993.6287092976</v>
      </c>
      <c r="D56" s="7">
        <v>3538.9760214856201</v>
      </c>
      <c r="E56" s="7">
        <v>13</v>
      </c>
      <c r="F56" s="7">
        <v>1.9</v>
      </c>
      <c r="G56" s="7">
        <v>10.6</v>
      </c>
      <c r="H56" s="7">
        <v>18.008239297147313</v>
      </c>
      <c r="I56" s="13" t="s">
        <v>103</v>
      </c>
      <c r="J56" s="15">
        <f t="shared" si="1"/>
        <v>2</v>
      </c>
      <c r="K56" s="15">
        <f>1</f>
        <v>1</v>
      </c>
      <c r="L56" s="15">
        <f>1</f>
        <v>1</v>
      </c>
      <c r="M56" s="16">
        <f>J56*Parametros!$E$5*Parametros!$E$6</f>
        <v>12</v>
      </c>
    </row>
    <row r="57" spans="1:13" ht="21" customHeight="1">
      <c r="A57" s="1" t="s">
        <v>150</v>
      </c>
      <c r="B57" s="7">
        <v>425350.05149901495</v>
      </c>
      <c r="C57" s="7">
        <v>8433946.990993429</v>
      </c>
      <c r="D57" s="7">
        <v>3538.7937698852916</v>
      </c>
      <c r="E57" s="7">
        <v>13</v>
      </c>
      <c r="F57" s="7">
        <v>1.9</v>
      </c>
      <c r="G57" s="7">
        <v>10.6</v>
      </c>
      <c r="H57" s="7">
        <v>0</v>
      </c>
      <c r="I57" s="13" t="s">
        <v>108</v>
      </c>
      <c r="J57" s="15">
        <f t="shared" si="1"/>
        <v>2</v>
      </c>
      <c r="K57" s="15">
        <f>1</f>
        <v>1</v>
      </c>
      <c r="L57" s="15">
        <f>1</f>
        <v>1</v>
      </c>
      <c r="M57" s="16">
        <f>J57*Parametros!$E$5*Parametros!$E$6</f>
        <v>12</v>
      </c>
    </row>
    <row r="58" spans="1:13" ht="21" customHeight="1">
      <c r="A58" s="1" t="s">
        <v>151</v>
      </c>
      <c r="B58" s="7">
        <v>425384.28748424025</v>
      </c>
      <c r="C58" s="7">
        <v>8433900.3532775585</v>
      </c>
      <c r="D58" s="7">
        <v>3541.9263420480247</v>
      </c>
      <c r="E58" s="7">
        <v>13</v>
      </c>
      <c r="F58" s="7">
        <v>1.9</v>
      </c>
      <c r="G58" s="7">
        <v>10.6</v>
      </c>
      <c r="H58" s="7">
        <v>41.606463983436541</v>
      </c>
      <c r="I58" s="13" t="s">
        <v>100</v>
      </c>
      <c r="J58" s="15">
        <f t="shared" si="1"/>
        <v>2</v>
      </c>
      <c r="K58" s="15">
        <f>1</f>
        <v>1</v>
      </c>
      <c r="L58" s="15">
        <f>1</f>
        <v>1</v>
      </c>
      <c r="M58" s="16">
        <f>J58*Parametros!$E$5*Parametros!$E$6</f>
        <v>12</v>
      </c>
    </row>
    <row r="59" spans="1:13" ht="21" customHeight="1">
      <c r="A59" s="1" t="s">
        <v>152</v>
      </c>
      <c r="B59" s="7">
        <v>425376.61155212892</v>
      </c>
      <c r="C59" s="7">
        <v>8433817.9949624632</v>
      </c>
      <c r="D59" s="7">
        <v>3563.4529950787796</v>
      </c>
      <c r="E59" s="7">
        <v>13</v>
      </c>
      <c r="F59" s="7">
        <v>1.9</v>
      </c>
      <c r="G59" s="7">
        <v>10.6</v>
      </c>
      <c r="H59" s="7">
        <v>28.180611880565685</v>
      </c>
      <c r="I59" s="13" t="s">
        <v>103</v>
      </c>
      <c r="J59" s="15">
        <f t="shared" si="1"/>
        <v>2</v>
      </c>
      <c r="K59" s="15">
        <f>1</f>
        <v>1</v>
      </c>
      <c r="L59" s="15">
        <f>1</f>
        <v>1</v>
      </c>
      <c r="M59" s="16">
        <f>J59*Parametros!$E$5*Parametros!$E$6</f>
        <v>12</v>
      </c>
    </row>
    <row r="60" spans="1:13" ht="21" customHeight="1">
      <c r="A60" s="1" t="s">
        <v>153</v>
      </c>
      <c r="B60" s="7">
        <v>425395.25570193038</v>
      </c>
      <c r="C60" s="7">
        <v>8433773.7632017117</v>
      </c>
      <c r="D60" s="7">
        <v>3565.3465473866936</v>
      </c>
      <c r="E60" s="7">
        <v>13</v>
      </c>
      <c r="F60" s="7">
        <v>1.9</v>
      </c>
      <c r="G60" s="7">
        <v>10.6</v>
      </c>
      <c r="H60" s="7">
        <v>1.2074182697257333E-6</v>
      </c>
      <c r="I60" s="13" t="s">
        <v>98</v>
      </c>
      <c r="J60" s="15">
        <f t="shared" si="1"/>
        <v>0</v>
      </c>
      <c r="K60" s="15">
        <f>1</f>
        <v>1</v>
      </c>
      <c r="L60" s="15">
        <f>1</f>
        <v>1</v>
      </c>
      <c r="M60" s="16">
        <f>J60*Parametros!$E$5*Parametros!$E$6</f>
        <v>0</v>
      </c>
    </row>
    <row r="61" spans="1:13" ht="21" customHeight="1">
      <c r="A61" s="1" t="s">
        <v>154</v>
      </c>
      <c r="B61" s="7">
        <v>425413.8998517319</v>
      </c>
      <c r="C61" s="7">
        <v>8433729.5314409602</v>
      </c>
      <c r="D61" s="7">
        <v>3564.0539619326551</v>
      </c>
      <c r="E61" s="7">
        <v>13</v>
      </c>
      <c r="F61" s="7">
        <v>1.9</v>
      </c>
      <c r="G61" s="7">
        <v>10.6</v>
      </c>
      <c r="H61" s="7">
        <v>20.392065060628639</v>
      </c>
      <c r="I61" s="13" t="s">
        <v>103</v>
      </c>
      <c r="J61" s="15">
        <f t="shared" si="1"/>
        <v>2</v>
      </c>
      <c r="K61" s="15">
        <f>1</f>
        <v>1</v>
      </c>
      <c r="L61" s="15">
        <f>1</f>
        <v>1</v>
      </c>
      <c r="M61" s="16">
        <f>J61*Parametros!$E$5*Parametros!$E$6</f>
        <v>12</v>
      </c>
    </row>
    <row r="62" spans="1:13" ht="21" customHeight="1">
      <c r="A62" s="1" t="s">
        <v>155</v>
      </c>
      <c r="B62" s="7">
        <v>425417.10093087645</v>
      </c>
      <c r="C62" s="7">
        <v>8433655.1381139122</v>
      </c>
      <c r="D62" s="7">
        <v>3574.6032670546988</v>
      </c>
      <c r="E62" s="7">
        <v>13</v>
      </c>
      <c r="F62" s="7">
        <v>1.9</v>
      </c>
      <c r="G62" s="7">
        <v>10.6</v>
      </c>
      <c r="H62" s="7">
        <v>59.297281032246829</v>
      </c>
      <c r="I62" s="13" t="s">
        <v>100</v>
      </c>
      <c r="J62" s="15">
        <f t="shared" si="1"/>
        <v>2</v>
      </c>
      <c r="K62" s="15">
        <f>1</f>
        <v>1</v>
      </c>
      <c r="L62" s="15">
        <f>1</f>
        <v>1</v>
      </c>
      <c r="M62" s="16">
        <f>J62*Parametros!$E$5*Parametros!$E$6</f>
        <v>12</v>
      </c>
    </row>
    <row r="63" spans="1:13" ht="21" customHeight="1">
      <c r="A63" s="1" t="s">
        <v>156</v>
      </c>
      <c r="B63" s="7">
        <v>425489.26358542667</v>
      </c>
      <c r="C63" s="7">
        <v>8433616.3818133064</v>
      </c>
      <c r="D63" s="7">
        <v>3565.0653996850497</v>
      </c>
      <c r="E63" s="7">
        <v>13</v>
      </c>
      <c r="F63" s="7">
        <v>1.9</v>
      </c>
      <c r="G63" s="7">
        <v>10.6</v>
      </c>
      <c r="H63" s="7">
        <v>102.70650938822992</v>
      </c>
      <c r="I63" s="13" t="s">
        <v>100</v>
      </c>
      <c r="J63" s="15">
        <f t="shared" si="1"/>
        <v>2</v>
      </c>
      <c r="K63" s="15">
        <f>1</f>
        <v>1</v>
      </c>
      <c r="L63" s="15">
        <f>1</f>
        <v>1</v>
      </c>
      <c r="M63" s="16">
        <f>J63*Parametros!$E$5*Parametros!$E$6</f>
        <v>12</v>
      </c>
    </row>
    <row r="64" spans="1:13" ht="21" customHeight="1">
      <c r="A64" s="1" t="s">
        <v>157</v>
      </c>
      <c r="B64" s="7">
        <v>425458.25485453429</v>
      </c>
      <c r="C64" s="7">
        <v>8433580.6415706258</v>
      </c>
      <c r="D64" s="7">
        <v>3573.0507383727577</v>
      </c>
      <c r="E64" s="7">
        <v>13</v>
      </c>
      <c r="F64" s="7">
        <v>1.9</v>
      </c>
      <c r="G64" s="7">
        <v>10.6</v>
      </c>
      <c r="H64" s="7">
        <v>1.2074182697257333E-6</v>
      </c>
      <c r="I64" s="13" t="s">
        <v>108</v>
      </c>
      <c r="J64" s="15">
        <f t="shared" si="1"/>
        <v>2</v>
      </c>
      <c r="K64" s="15">
        <f>1</f>
        <v>1</v>
      </c>
      <c r="L64" s="15">
        <f>1</f>
        <v>1</v>
      </c>
      <c r="M64" s="16">
        <f>J64*Parametros!$E$5*Parametros!$E$6</f>
        <v>12</v>
      </c>
    </row>
    <row r="65" spans="1:13" ht="21" customHeight="1">
      <c r="A65" s="1" t="s">
        <v>158</v>
      </c>
      <c r="B65" s="7">
        <v>425427.24612364196</v>
      </c>
      <c r="C65" s="7">
        <v>8433544.9013279453</v>
      </c>
      <c r="D65" s="7">
        <v>3588.8654658184046</v>
      </c>
      <c r="E65" s="7">
        <v>13</v>
      </c>
      <c r="F65" s="7">
        <v>1.9</v>
      </c>
      <c r="G65" s="7">
        <v>10.6</v>
      </c>
      <c r="H65" s="7">
        <v>18.954708174298542</v>
      </c>
      <c r="I65" s="13" t="s">
        <v>103</v>
      </c>
      <c r="J65" s="15">
        <f t="shared" si="1"/>
        <v>2</v>
      </c>
      <c r="K65" s="15">
        <f>1</f>
        <v>1</v>
      </c>
      <c r="L65" s="15">
        <f>1</f>
        <v>1</v>
      </c>
      <c r="M65" s="16">
        <f>J65*Parametros!$E$5*Parametros!$E$6</f>
        <v>12</v>
      </c>
    </row>
    <row r="66" spans="1:13" ht="21" customHeight="1">
      <c r="A66" s="1" t="s">
        <v>159</v>
      </c>
      <c r="B66" s="7">
        <v>425412.86697142443</v>
      </c>
      <c r="C66" s="7">
        <v>8433509.2949550785</v>
      </c>
      <c r="D66" s="7">
        <v>3597.3100339854786</v>
      </c>
      <c r="E66" s="7">
        <v>15</v>
      </c>
      <c r="F66" s="7">
        <v>2.1</v>
      </c>
      <c r="G66" s="7">
        <v>12.4</v>
      </c>
      <c r="H66" s="7">
        <v>20.139219612708757</v>
      </c>
      <c r="I66" s="13" t="s">
        <v>103</v>
      </c>
      <c r="J66" s="15">
        <f t="shared" si="1"/>
        <v>2</v>
      </c>
      <c r="K66" s="15">
        <f>1</f>
        <v>1</v>
      </c>
      <c r="L66" s="15">
        <f>1</f>
        <v>1</v>
      </c>
      <c r="M66" s="16">
        <f>J66*Parametros!$E$5*Parametros!$E$6</f>
        <v>12</v>
      </c>
    </row>
    <row r="67" spans="1:13" ht="21" customHeight="1">
      <c r="A67" s="1" t="s">
        <v>160</v>
      </c>
      <c r="B67" s="7">
        <v>425410.66509508807</v>
      </c>
      <c r="C67" s="7">
        <v>8433441.1778464522</v>
      </c>
      <c r="D67" s="7">
        <v>3600.0183964855387</v>
      </c>
      <c r="E67" s="7">
        <v>15</v>
      </c>
      <c r="F67" s="7">
        <v>2.1</v>
      </c>
      <c r="G67" s="7">
        <v>12.4</v>
      </c>
      <c r="H67" s="7">
        <v>0</v>
      </c>
      <c r="I67" s="13" t="s">
        <v>98</v>
      </c>
      <c r="J67" s="15">
        <f t="shared" si="1"/>
        <v>0</v>
      </c>
      <c r="K67" s="15">
        <f>1</f>
        <v>1</v>
      </c>
      <c r="L67" s="15">
        <f>1</f>
        <v>1</v>
      </c>
      <c r="M67" s="16">
        <f>J67*Parametros!$E$5*Parametros!$E$6</f>
        <v>0</v>
      </c>
    </row>
    <row r="68" spans="1:13" ht="21" customHeight="1">
      <c r="A68" s="1" t="s">
        <v>161</v>
      </c>
      <c r="B68" s="7">
        <v>425408.46321875177</v>
      </c>
      <c r="C68" s="7">
        <v>8433373.0607378259</v>
      </c>
      <c r="D68" s="7">
        <v>3590.8799060407428</v>
      </c>
      <c r="E68" s="7">
        <v>13</v>
      </c>
      <c r="F68" s="7">
        <v>1.9</v>
      </c>
      <c r="G68" s="7">
        <v>10.6</v>
      </c>
      <c r="H68" s="7">
        <v>0</v>
      </c>
      <c r="I68" s="13" t="s">
        <v>108</v>
      </c>
      <c r="J68" s="15">
        <f t="shared" si="1"/>
        <v>2</v>
      </c>
      <c r="K68" s="15">
        <f>1</f>
        <v>1</v>
      </c>
      <c r="L68" s="15">
        <f>1</f>
        <v>1</v>
      </c>
      <c r="M68" s="16">
        <f>J68*Parametros!$E$5*Parametros!$E$6</f>
        <v>12</v>
      </c>
    </row>
    <row r="69" spans="1:13" ht="21" customHeight="1">
      <c r="A69" s="1" t="s">
        <v>162</v>
      </c>
      <c r="B69" s="7">
        <v>425406.26134241547</v>
      </c>
      <c r="C69" s="7">
        <v>8433304.9436291996</v>
      </c>
      <c r="D69" s="7">
        <v>3603.6786173424407</v>
      </c>
      <c r="E69" s="7">
        <v>13</v>
      </c>
      <c r="F69" s="7">
        <v>1.9</v>
      </c>
      <c r="G69" s="7">
        <v>10.6</v>
      </c>
      <c r="H69" s="7">
        <v>0</v>
      </c>
      <c r="I69" s="13" t="s">
        <v>98</v>
      </c>
      <c r="J69" s="15">
        <f t="shared" si="1"/>
        <v>0</v>
      </c>
      <c r="K69" s="15">
        <f>1</f>
        <v>1</v>
      </c>
      <c r="L69" s="15">
        <f>1</f>
        <v>1</v>
      </c>
      <c r="M69" s="16">
        <f>J69*Parametros!$E$5*Parametros!$E$6</f>
        <v>0</v>
      </c>
    </row>
    <row r="70" spans="1:13" ht="21" customHeight="1">
      <c r="A70" s="1" t="s">
        <v>163</v>
      </c>
      <c r="B70" s="7">
        <v>425404.05946607911</v>
      </c>
      <c r="C70" s="7">
        <v>8433236.8265205733</v>
      </c>
      <c r="D70" s="7">
        <v>3599.5748121291758</v>
      </c>
      <c r="E70" s="7">
        <v>13</v>
      </c>
      <c r="F70" s="7">
        <v>1.9</v>
      </c>
      <c r="G70" s="7">
        <v>10.6</v>
      </c>
      <c r="H70" s="7">
        <v>44.619066625605534</v>
      </c>
      <c r="I70" s="13" t="s">
        <v>100</v>
      </c>
      <c r="J70" s="15">
        <f t="shared" si="1"/>
        <v>2</v>
      </c>
      <c r="K70" s="15">
        <f>1</f>
        <v>1</v>
      </c>
      <c r="L70" s="15">
        <f>1</f>
        <v>1</v>
      </c>
      <c r="M70" s="16">
        <f>J70*Parametros!$E$5*Parametros!$E$6</f>
        <v>12</v>
      </c>
    </row>
    <row r="71" spans="1:13" ht="21" customHeight="1">
      <c r="A71" s="1" t="s">
        <v>164</v>
      </c>
      <c r="B71" s="7">
        <v>425363.45149874949</v>
      </c>
      <c r="C71" s="7">
        <v>8433198.2512432206</v>
      </c>
      <c r="D71" s="7">
        <v>3609.2427700422618</v>
      </c>
      <c r="E71" s="7">
        <v>15</v>
      </c>
      <c r="F71" s="7">
        <v>2.1</v>
      </c>
      <c r="G71" s="7">
        <v>12.4</v>
      </c>
      <c r="H71" s="7">
        <v>26.274980700070262</v>
      </c>
      <c r="I71" s="13" t="s">
        <v>103</v>
      </c>
      <c r="J71" s="15">
        <f t="shared" ref="J71:J102" si="2">IF(I71="SUSPENSION",0,IF(I71="TERMINAL",1,2))</f>
        <v>2</v>
      </c>
      <c r="K71" s="15">
        <f>1</f>
        <v>1</v>
      </c>
      <c r="L71" s="15">
        <f>1</f>
        <v>1</v>
      </c>
      <c r="M71" s="16">
        <f>J71*Parametros!$E$5*Parametros!$E$6</f>
        <v>12</v>
      </c>
    </row>
    <row r="72" spans="1:13" ht="21" customHeight="1">
      <c r="A72" s="1" t="s">
        <v>165</v>
      </c>
      <c r="B72" s="7">
        <v>425339.35654560255</v>
      </c>
      <c r="C72" s="7">
        <v>8433132.7472721562</v>
      </c>
      <c r="D72" s="7">
        <v>3621.4274419880931</v>
      </c>
      <c r="E72" s="7">
        <v>15</v>
      </c>
      <c r="F72" s="7">
        <v>2.1</v>
      </c>
      <c r="G72" s="7">
        <v>12.4</v>
      </c>
      <c r="H72" s="7">
        <v>0</v>
      </c>
      <c r="I72" s="13" t="s">
        <v>98</v>
      </c>
      <c r="J72" s="15">
        <f t="shared" si="2"/>
        <v>0</v>
      </c>
      <c r="K72" s="15">
        <f>1</f>
        <v>1</v>
      </c>
      <c r="L72" s="15">
        <f>1</f>
        <v>1</v>
      </c>
      <c r="M72" s="16">
        <f>J72*Parametros!$E$5*Parametros!$E$6</f>
        <v>0</v>
      </c>
    </row>
    <row r="73" spans="1:13" ht="21" customHeight="1">
      <c r="A73" s="1" t="s">
        <v>166</v>
      </c>
      <c r="B73" s="7">
        <v>425315.26159245562</v>
      </c>
      <c r="C73" s="7">
        <v>8433067.2433010917</v>
      </c>
      <c r="D73" s="7">
        <v>3624.8749271826259</v>
      </c>
      <c r="E73" s="7">
        <v>15</v>
      </c>
      <c r="F73" s="7">
        <v>2.1</v>
      </c>
      <c r="G73" s="7">
        <v>12.4</v>
      </c>
      <c r="H73" s="7">
        <v>19.936751583783799</v>
      </c>
      <c r="I73" s="13" t="s">
        <v>103</v>
      </c>
      <c r="J73" s="15">
        <f t="shared" si="2"/>
        <v>2</v>
      </c>
      <c r="K73" s="15">
        <f>1</f>
        <v>1</v>
      </c>
      <c r="L73" s="15">
        <f>1</f>
        <v>1</v>
      </c>
      <c r="M73" s="16">
        <f>J73*Parametros!$E$5*Parametros!$E$6</f>
        <v>12</v>
      </c>
    </row>
    <row r="74" spans="1:13" ht="21" customHeight="1">
      <c r="A74" s="1" t="s">
        <v>167</v>
      </c>
      <c r="B74" s="7">
        <v>425278.59596942738</v>
      </c>
      <c r="C74" s="7">
        <v>8433023.7512158677</v>
      </c>
      <c r="D74" s="7">
        <v>3636.688831048637</v>
      </c>
      <c r="E74" s="7">
        <v>15</v>
      </c>
      <c r="F74" s="7">
        <v>2.1</v>
      </c>
      <c r="G74" s="7">
        <v>12.4</v>
      </c>
      <c r="H74" s="7">
        <v>8.5377364625159387E-7</v>
      </c>
      <c r="I74" s="13" t="s">
        <v>98</v>
      </c>
      <c r="J74" s="15">
        <f t="shared" si="2"/>
        <v>0</v>
      </c>
      <c r="K74" s="15">
        <f>1</f>
        <v>1</v>
      </c>
      <c r="L74" s="15">
        <f>1</f>
        <v>1</v>
      </c>
      <c r="M74" s="16">
        <f>J74*Parametros!$E$5*Parametros!$E$6</f>
        <v>0</v>
      </c>
    </row>
    <row r="75" spans="1:13" ht="21" customHeight="1">
      <c r="A75" s="1" t="s">
        <v>168</v>
      </c>
      <c r="B75" s="7">
        <v>425241.9303463992</v>
      </c>
      <c r="C75" s="7">
        <v>8432980.2591306437</v>
      </c>
      <c r="D75" s="7">
        <v>3648.2096364300414</v>
      </c>
      <c r="E75" s="7">
        <v>13</v>
      </c>
      <c r="F75" s="7">
        <v>1.9</v>
      </c>
      <c r="G75" s="7">
        <v>10.6</v>
      </c>
      <c r="H75" s="7">
        <v>12.229327495079691</v>
      </c>
      <c r="I75" s="13" t="s">
        <v>103</v>
      </c>
      <c r="J75" s="15">
        <f t="shared" si="2"/>
        <v>2</v>
      </c>
      <c r="K75" s="15">
        <f>1</f>
        <v>1</v>
      </c>
      <c r="L75" s="15">
        <f>1</f>
        <v>1</v>
      </c>
      <c r="M75" s="16">
        <f>J75*Parametros!$E$5*Parametros!$E$6</f>
        <v>12</v>
      </c>
    </row>
    <row r="76" spans="1:13" ht="21" customHeight="1">
      <c r="A76" s="1" t="s">
        <v>169</v>
      </c>
      <c r="B76" s="7">
        <v>425210.03831929574</v>
      </c>
      <c r="C76" s="7">
        <v>8432920.0330555122</v>
      </c>
      <c r="D76" s="7">
        <v>3645.2784641089593</v>
      </c>
      <c r="E76" s="7">
        <v>13</v>
      </c>
      <c r="F76" s="7">
        <v>1.9</v>
      </c>
      <c r="G76" s="7">
        <v>10.6</v>
      </c>
      <c r="H76" s="7">
        <v>0</v>
      </c>
      <c r="I76" s="13" t="s">
        <v>108</v>
      </c>
      <c r="J76" s="15">
        <f t="shared" si="2"/>
        <v>2</v>
      </c>
      <c r="K76" s="15">
        <f>1</f>
        <v>1</v>
      </c>
      <c r="L76" s="15">
        <f>1</f>
        <v>1</v>
      </c>
      <c r="M76" s="16">
        <f>J76*Parametros!$E$5*Parametros!$E$6</f>
        <v>12</v>
      </c>
    </row>
    <row r="77" spans="1:13" ht="21" customHeight="1">
      <c r="A77" s="1" t="s">
        <v>170</v>
      </c>
      <c r="B77" s="7">
        <v>425178.14629219228</v>
      </c>
      <c r="C77" s="7">
        <v>8432859.8069803808</v>
      </c>
      <c r="D77" s="7">
        <v>3647.0345877113396</v>
      </c>
      <c r="E77" s="7">
        <v>13</v>
      </c>
      <c r="F77" s="7">
        <v>1.9</v>
      </c>
      <c r="G77" s="7">
        <v>10.6</v>
      </c>
      <c r="H77" s="7">
        <v>12.674316344049593</v>
      </c>
      <c r="I77" s="13" t="s">
        <v>103</v>
      </c>
      <c r="J77" s="15">
        <f t="shared" si="2"/>
        <v>2</v>
      </c>
      <c r="K77" s="15">
        <f>1</f>
        <v>1</v>
      </c>
      <c r="L77" s="15">
        <f>1</f>
        <v>1</v>
      </c>
      <c r="M77" s="16">
        <f>J77*Parametros!$E$5*Parametros!$E$6</f>
        <v>12</v>
      </c>
    </row>
    <row r="78" spans="1:13" ht="21" customHeight="1">
      <c r="A78" s="1" t="s">
        <v>171</v>
      </c>
      <c r="B78" s="7">
        <v>425139.97777473938</v>
      </c>
      <c r="C78" s="7">
        <v>8432815.2392209545</v>
      </c>
      <c r="D78" s="7">
        <v>3646.3536994177198</v>
      </c>
      <c r="E78" s="7">
        <v>13</v>
      </c>
      <c r="F78" s="7">
        <v>1.9</v>
      </c>
      <c r="G78" s="7">
        <v>10.6</v>
      </c>
      <c r="H78" s="7">
        <v>0</v>
      </c>
      <c r="I78" s="13" t="s">
        <v>108</v>
      </c>
      <c r="J78" s="15">
        <f t="shared" si="2"/>
        <v>2</v>
      </c>
      <c r="K78" s="15">
        <f>1</f>
        <v>1</v>
      </c>
      <c r="L78" s="15">
        <f>1</f>
        <v>1</v>
      </c>
      <c r="M78" s="16">
        <f>J78*Parametros!$E$5*Parametros!$E$6</f>
        <v>12</v>
      </c>
    </row>
    <row r="79" spans="1:13" ht="21" customHeight="1">
      <c r="A79" s="1" t="s">
        <v>172</v>
      </c>
      <c r="B79" s="7">
        <v>425101.80925728648</v>
      </c>
      <c r="C79" s="7">
        <v>8432770.67146153</v>
      </c>
      <c r="D79" s="7">
        <v>3655.9977188257717</v>
      </c>
      <c r="E79" s="7">
        <v>15</v>
      </c>
      <c r="F79" s="7">
        <v>2.1</v>
      </c>
      <c r="G79" s="7">
        <v>12.4</v>
      </c>
      <c r="H79" s="7">
        <v>8.0949537977522468</v>
      </c>
      <c r="I79" s="13" t="s">
        <v>103</v>
      </c>
      <c r="J79" s="15">
        <f t="shared" si="2"/>
        <v>2</v>
      </c>
      <c r="K79" s="15">
        <f>1</f>
        <v>1</v>
      </c>
      <c r="L79" s="15">
        <f>1</f>
        <v>1</v>
      </c>
      <c r="M79" s="16">
        <f>J79*Parametros!$E$5*Parametros!$E$6</f>
        <v>12</v>
      </c>
    </row>
    <row r="80" spans="1:13" ht="21" customHeight="1">
      <c r="A80" s="1" t="s">
        <v>173</v>
      </c>
      <c r="B80" s="7">
        <v>425063.28526405658</v>
      </c>
      <c r="C80" s="7">
        <v>8432710.1596756093</v>
      </c>
      <c r="D80" s="7">
        <v>3664.8647279390325</v>
      </c>
      <c r="E80" s="7">
        <v>17</v>
      </c>
      <c r="F80" s="7">
        <v>2.1</v>
      </c>
      <c r="G80" s="7">
        <v>14.200000000000001</v>
      </c>
      <c r="H80" s="7">
        <v>0</v>
      </c>
      <c r="I80" s="13" t="s">
        <v>98</v>
      </c>
      <c r="J80" s="15">
        <f t="shared" si="2"/>
        <v>0</v>
      </c>
      <c r="K80" s="15">
        <f>1</f>
        <v>1</v>
      </c>
      <c r="L80" s="15">
        <f>1</f>
        <v>1</v>
      </c>
      <c r="M80" s="16">
        <f>J80*Parametros!$E$5*Parametros!$E$6</f>
        <v>0</v>
      </c>
    </row>
    <row r="81" spans="1:13" ht="21" customHeight="1">
      <c r="A81" s="1" t="s">
        <v>174</v>
      </c>
      <c r="B81" s="7">
        <v>425024.76127082668</v>
      </c>
      <c r="C81" s="7">
        <v>8432649.6478896886</v>
      </c>
      <c r="D81" s="7">
        <v>3661.6178215818327</v>
      </c>
      <c r="E81" s="7">
        <v>15</v>
      </c>
      <c r="F81" s="7">
        <v>2.1</v>
      </c>
      <c r="G81" s="7">
        <v>12.4</v>
      </c>
      <c r="H81" s="7">
        <v>16.101387960519965</v>
      </c>
      <c r="I81" s="13" t="s">
        <v>103</v>
      </c>
      <c r="J81" s="15">
        <f t="shared" si="2"/>
        <v>2</v>
      </c>
      <c r="K81" s="15">
        <f>1</f>
        <v>1</v>
      </c>
      <c r="L81" s="15">
        <f>1</f>
        <v>1</v>
      </c>
      <c r="M81" s="16">
        <f>J81*Parametros!$E$5*Parametros!$E$6</f>
        <v>12</v>
      </c>
    </row>
    <row r="82" spans="1:13" ht="21" customHeight="1">
      <c r="A82" s="1" t="s">
        <v>175</v>
      </c>
      <c r="B82" s="7">
        <v>424988.40702243324</v>
      </c>
      <c r="C82" s="7">
        <v>8432617.5789162256</v>
      </c>
      <c r="D82" s="7">
        <v>3666.9013621119761</v>
      </c>
      <c r="E82" s="7">
        <v>13</v>
      </c>
      <c r="F82" s="7">
        <v>1.9</v>
      </c>
      <c r="G82" s="7">
        <v>10.6</v>
      </c>
      <c r="H82" s="7">
        <v>20.846987802912547</v>
      </c>
      <c r="I82" s="13" t="s">
        <v>103</v>
      </c>
      <c r="J82" s="15">
        <f t="shared" si="2"/>
        <v>2</v>
      </c>
      <c r="K82" s="15">
        <f>1</f>
        <v>1</v>
      </c>
      <c r="L82" s="15">
        <f>1</f>
        <v>1</v>
      </c>
      <c r="M82" s="16">
        <f>J82*Parametros!$E$5*Parametros!$E$6</f>
        <v>12</v>
      </c>
    </row>
    <row r="83" spans="1:13" ht="21" customHeight="1">
      <c r="A83" s="1" t="s">
        <v>176</v>
      </c>
      <c r="B83" s="7">
        <v>424963.70409344567</v>
      </c>
      <c r="C83" s="7">
        <v>8432570.5999222305</v>
      </c>
      <c r="D83" s="7">
        <v>3665.9673770760146</v>
      </c>
      <c r="E83" s="7">
        <v>13</v>
      </c>
      <c r="F83" s="7">
        <v>1.9</v>
      </c>
      <c r="G83" s="7">
        <v>10.6</v>
      </c>
      <c r="H83" s="7">
        <v>0</v>
      </c>
      <c r="I83" s="13" t="s">
        <v>108</v>
      </c>
      <c r="J83" s="15">
        <f t="shared" si="2"/>
        <v>2</v>
      </c>
      <c r="K83" s="15">
        <f>1</f>
        <v>1</v>
      </c>
      <c r="L83" s="15">
        <f>1</f>
        <v>1</v>
      </c>
      <c r="M83" s="16">
        <f>J83*Parametros!$E$5*Parametros!$E$6</f>
        <v>12</v>
      </c>
    </row>
    <row r="84" spans="1:13" ht="21" customHeight="1">
      <c r="A84" s="1" t="s">
        <v>177</v>
      </c>
      <c r="B84" s="7">
        <v>424939.00116445817</v>
      </c>
      <c r="C84" s="7">
        <v>8432523.6209282354</v>
      </c>
      <c r="D84" s="7">
        <v>3672.0283748940701</v>
      </c>
      <c r="E84" s="7">
        <v>13</v>
      </c>
      <c r="F84" s="7">
        <v>1.9</v>
      </c>
      <c r="G84" s="7">
        <v>10.6</v>
      </c>
      <c r="H84" s="7">
        <v>12.700378809416629</v>
      </c>
      <c r="I84" s="13" t="s">
        <v>103</v>
      </c>
      <c r="J84" s="15">
        <f t="shared" si="2"/>
        <v>2</v>
      </c>
      <c r="K84" s="15">
        <f>1</f>
        <v>1</v>
      </c>
      <c r="L84" s="15">
        <f>1</f>
        <v>1</v>
      </c>
      <c r="M84" s="16">
        <f>J84*Parametros!$E$5*Parametros!$E$6</f>
        <v>12</v>
      </c>
    </row>
    <row r="85" spans="1:13" ht="21" customHeight="1">
      <c r="A85" s="1" t="s">
        <v>178</v>
      </c>
      <c r="B85" s="7">
        <v>424920.38187759958</v>
      </c>
      <c r="C85" s="7">
        <v>8432454.3086194918</v>
      </c>
      <c r="D85" s="7">
        <v>3671.1606131332983</v>
      </c>
      <c r="E85" s="7">
        <v>13</v>
      </c>
      <c r="F85" s="7">
        <v>1.9</v>
      </c>
      <c r="G85" s="7">
        <v>10.6</v>
      </c>
      <c r="H85" s="7">
        <v>17.083011653847873</v>
      </c>
      <c r="I85" s="13" t="s">
        <v>103</v>
      </c>
      <c r="J85" s="15">
        <f t="shared" si="2"/>
        <v>2</v>
      </c>
      <c r="K85" s="15">
        <f>1</f>
        <v>1</v>
      </c>
      <c r="L85" s="15">
        <f>1</f>
        <v>1</v>
      </c>
      <c r="M85" s="16">
        <f>J85*Parametros!$E$5*Parametros!$E$6</f>
        <v>12</v>
      </c>
    </row>
    <row r="86" spans="1:13" ht="21" customHeight="1">
      <c r="A86" s="1" t="s">
        <v>179</v>
      </c>
      <c r="B86" s="7">
        <v>424884.23286074068</v>
      </c>
      <c r="C86" s="7">
        <v>8432396.7253344543</v>
      </c>
      <c r="D86" s="7">
        <v>3674.7234680681731</v>
      </c>
      <c r="E86" s="7">
        <v>13</v>
      </c>
      <c r="F86" s="7">
        <v>1.9</v>
      </c>
      <c r="G86" s="7">
        <v>10.6</v>
      </c>
      <c r="H86" s="7">
        <v>21.810718193323019</v>
      </c>
      <c r="I86" s="13" t="s">
        <v>103</v>
      </c>
      <c r="J86" s="15">
        <f t="shared" si="2"/>
        <v>2</v>
      </c>
      <c r="K86" s="15">
        <f>1</f>
        <v>1</v>
      </c>
      <c r="L86" s="15">
        <f>1</f>
        <v>1</v>
      </c>
      <c r="M86" s="16">
        <f>J86*Parametros!$E$5*Parametros!$E$6</f>
        <v>12</v>
      </c>
    </row>
    <row r="87" spans="1:13" ht="21" customHeight="1">
      <c r="A87" s="1" t="s">
        <v>180</v>
      </c>
      <c r="B87" s="7">
        <v>424819.56146531919</v>
      </c>
      <c r="C87" s="7">
        <v>8432349.6180891339</v>
      </c>
      <c r="D87" s="7">
        <v>3684.9362869523638</v>
      </c>
      <c r="E87" s="7">
        <v>13</v>
      </c>
      <c r="F87" s="7">
        <v>1.9</v>
      </c>
      <c r="G87" s="7">
        <v>10.6</v>
      </c>
      <c r="H87" s="7">
        <v>0</v>
      </c>
      <c r="I87" s="13" t="s">
        <v>98</v>
      </c>
      <c r="J87" s="15">
        <f t="shared" si="2"/>
        <v>0</v>
      </c>
      <c r="K87" s="15">
        <f>1</f>
        <v>1</v>
      </c>
      <c r="L87" s="15">
        <f>1</f>
        <v>1</v>
      </c>
      <c r="M87" s="16">
        <f>J87*Parametros!$E$5*Parametros!$E$6</f>
        <v>0</v>
      </c>
    </row>
    <row r="88" spans="1:13" ht="21" customHeight="1">
      <c r="A88" s="1" t="s">
        <v>181</v>
      </c>
      <c r="B88" s="7">
        <v>424754.89006989769</v>
      </c>
      <c r="C88" s="7">
        <v>8432302.5108438116</v>
      </c>
      <c r="D88" s="7">
        <v>3689.2066971866238</v>
      </c>
      <c r="E88" s="7">
        <v>13</v>
      </c>
      <c r="F88" s="7">
        <v>1.9</v>
      </c>
      <c r="G88" s="7">
        <v>10.6</v>
      </c>
      <c r="H88" s="7">
        <v>0</v>
      </c>
      <c r="I88" s="13" t="s">
        <v>108</v>
      </c>
      <c r="J88" s="15">
        <f t="shared" si="2"/>
        <v>2</v>
      </c>
      <c r="K88" s="15">
        <f>1</f>
        <v>1</v>
      </c>
      <c r="L88" s="15">
        <f>1</f>
        <v>1</v>
      </c>
      <c r="M88" s="16">
        <f>J88*Parametros!$E$5*Parametros!$E$6</f>
        <v>12</v>
      </c>
    </row>
    <row r="89" spans="1:13" ht="21" customHeight="1">
      <c r="A89" s="1" t="s">
        <v>182</v>
      </c>
      <c r="B89" s="7">
        <v>424690.2186744762</v>
      </c>
      <c r="C89" s="7">
        <v>8432255.4035984911</v>
      </c>
      <c r="D89" s="7">
        <v>3699.6808937411392</v>
      </c>
      <c r="E89" s="7">
        <v>13</v>
      </c>
      <c r="F89" s="7">
        <v>1.9</v>
      </c>
      <c r="G89" s="7">
        <v>10.6</v>
      </c>
      <c r="H89" s="7">
        <v>12.487864933509675</v>
      </c>
      <c r="I89" s="13" t="s">
        <v>103</v>
      </c>
      <c r="J89" s="15">
        <f t="shared" si="2"/>
        <v>2</v>
      </c>
      <c r="K89" s="15">
        <f>1</f>
        <v>1</v>
      </c>
      <c r="L89" s="15">
        <f>1</f>
        <v>1</v>
      </c>
      <c r="M89" s="16">
        <f>J89*Parametros!$E$5*Parametros!$E$6</f>
        <v>12</v>
      </c>
    </row>
    <row r="90" spans="1:13" ht="21" customHeight="1">
      <c r="A90" s="1" t="s">
        <v>183</v>
      </c>
      <c r="B90" s="7">
        <v>424641.06666112383</v>
      </c>
      <c r="C90" s="7">
        <v>8432199.7342779562</v>
      </c>
      <c r="D90" s="7">
        <v>3708.0891795472976</v>
      </c>
      <c r="E90" s="7">
        <v>13</v>
      </c>
      <c r="F90" s="7">
        <v>1.9</v>
      </c>
      <c r="G90" s="7">
        <v>10.6</v>
      </c>
      <c r="H90" s="7">
        <v>0</v>
      </c>
      <c r="I90" s="13" t="s">
        <v>98</v>
      </c>
      <c r="J90" s="15">
        <f t="shared" si="2"/>
        <v>0</v>
      </c>
      <c r="K90" s="15">
        <f>1</f>
        <v>1</v>
      </c>
      <c r="L90" s="15">
        <f>1</f>
        <v>1</v>
      </c>
      <c r="M90" s="16">
        <f>J90*Parametros!$E$5*Parametros!$E$6</f>
        <v>0</v>
      </c>
    </row>
    <row r="91" spans="1:13" ht="21" customHeight="1">
      <c r="A91" s="1" t="s">
        <v>184</v>
      </c>
      <c r="B91" s="7">
        <v>424591.91464777139</v>
      </c>
      <c r="C91" s="7">
        <v>8432144.0649574194</v>
      </c>
      <c r="D91" s="7">
        <v>3715.4127055486679</v>
      </c>
      <c r="E91" s="7">
        <v>13</v>
      </c>
      <c r="F91" s="7">
        <v>1.9</v>
      </c>
      <c r="G91" s="7">
        <v>10.6</v>
      </c>
      <c r="H91" s="7">
        <v>0</v>
      </c>
      <c r="I91" s="13" t="s">
        <v>108</v>
      </c>
      <c r="J91" s="15">
        <f t="shared" si="2"/>
        <v>2</v>
      </c>
      <c r="K91" s="15">
        <f>1</f>
        <v>1</v>
      </c>
      <c r="L91" s="15">
        <f>1</f>
        <v>1</v>
      </c>
      <c r="M91" s="16">
        <f>J91*Parametros!$E$5*Parametros!$E$6</f>
        <v>12</v>
      </c>
    </row>
    <row r="92" spans="1:13" ht="21" customHeight="1">
      <c r="A92" s="1" t="s">
        <v>185</v>
      </c>
      <c r="B92" s="7">
        <v>424542.76263441902</v>
      </c>
      <c r="C92" s="7">
        <v>8432088.3956368845</v>
      </c>
      <c r="D92" s="7">
        <v>3727.6668650821666</v>
      </c>
      <c r="E92" s="7">
        <v>13</v>
      </c>
      <c r="F92" s="7">
        <v>1.9</v>
      </c>
      <c r="G92" s="7">
        <v>10.6</v>
      </c>
      <c r="H92" s="7">
        <v>27.828965935209052</v>
      </c>
      <c r="I92" s="13" t="s">
        <v>103</v>
      </c>
      <c r="J92" s="15">
        <f t="shared" si="2"/>
        <v>2</v>
      </c>
      <c r="K92" s="15">
        <f>1</f>
        <v>1</v>
      </c>
      <c r="L92" s="15">
        <f>1</f>
        <v>1</v>
      </c>
      <c r="M92" s="16">
        <f>J92*Parametros!$E$5*Parametros!$E$6</f>
        <v>12</v>
      </c>
    </row>
    <row r="93" spans="1:13" ht="21" customHeight="1">
      <c r="A93" s="1" t="s">
        <v>186</v>
      </c>
      <c r="B93" s="7">
        <v>424534.04980394035</v>
      </c>
      <c r="C93" s="7">
        <v>8432052.4174541738</v>
      </c>
      <c r="D93" s="7">
        <v>3723.8424792505839</v>
      </c>
      <c r="E93" s="7">
        <v>13</v>
      </c>
      <c r="F93" s="7">
        <v>1.9</v>
      </c>
      <c r="G93" s="7">
        <v>10.6</v>
      </c>
      <c r="H93" s="7">
        <v>22.765532883567303</v>
      </c>
      <c r="I93" s="13" t="s">
        <v>103</v>
      </c>
      <c r="J93" s="15">
        <f t="shared" si="2"/>
        <v>2</v>
      </c>
      <c r="K93" s="15">
        <f>1</f>
        <v>1</v>
      </c>
      <c r="L93" s="15">
        <f>1</f>
        <v>1</v>
      </c>
      <c r="M93" s="16">
        <f>J93*Parametros!$E$5*Parametros!$E$6</f>
        <v>12</v>
      </c>
    </row>
    <row r="94" spans="1:13" ht="21" customHeight="1">
      <c r="A94" s="1" t="s">
        <v>187</v>
      </c>
      <c r="B94" s="7">
        <v>424545.29453148227</v>
      </c>
      <c r="C94" s="7">
        <v>8431982.622339787</v>
      </c>
      <c r="D94" s="7">
        <v>3721.8602734583455</v>
      </c>
      <c r="E94" s="7">
        <v>13</v>
      </c>
      <c r="F94" s="7">
        <v>1.9</v>
      </c>
      <c r="G94" s="7">
        <v>10.6</v>
      </c>
      <c r="H94" s="7">
        <v>37.564224795703055</v>
      </c>
      <c r="I94" s="13" t="s">
        <v>100</v>
      </c>
      <c r="J94" s="15">
        <f t="shared" si="2"/>
        <v>2</v>
      </c>
      <c r="K94" s="15">
        <f>1</f>
        <v>1</v>
      </c>
      <c r="L94" s="15">
        <f>1</f>
        <v>1</v>
      </c>
      <c r="M94" s="16">
        <f>J94*Parametros!$E$5*Parametros!$E$6</f>
        <v>12</v>
      </c>
    </row>
    <row r="95" spans="1:13" ht="21" customHeight="1">
      <c r="A95" s="1" t="s">
        <v>188</v>
      </c>
      <c r="B95" s="7">
        <v>424518.93086513737</v>
      </c>
      <c r="C95" s="7">
        <v>8431933.8879919574</v>
      </c>
      <c r="D95" s="7">
        <v>3730.0481419375806</v>
      </c>
      <c r="E95" s="7">
        <v>13</v>
      </c>
      <c r="F95" s="7">
        <v>1.9</v>
      </c>
      <c r="G95" s="7">
        <v>10.6</v>
      </c>
      <c r="H95" s="7">
        <v>0</v>
      </c>
      <c r="I95" s="13" t="s">
        <v>98</v>
      </c>
      <c r="J95" s="15">
        <f t="shared" si="2"/>
        <v>0</v>
      </c>
      <c r="K95" s="15">
        <f>1</f>
        <v>1</v>
      </c>
      <c r="L95" s="15">
        <f>1</f>
        <v>1</v>
      </c>
      <c r="M95" s="16">
        <f>J95*Parametros!$E$5*Parametros!$E$6</f>
        <v>0</v>
      </c>
    </row>
    <row r="96" spans="1:13" ht="21" customHeight="1">
      <c r="A96" s="1" t="s">
        <v>189</v>
      </c>
      <c r="B96" s="7">
        <v>424492.56719879253</v>
      </c>
      <c r="C96" s="7">
        <v>8431885.1536441278</v>
      </c>
      <c r="D96" s="7">
        <v>3737.006878534055</v>
      </c>
      <c r="E96" s="7">
        <v>15</v>
      </c>
      <c r="F96" s="7">
        <v>2.1</v>
      </c>
      <c r="G96" s="7">
        <v>12.4</v>
      </c>
      <c r="H96" s="7">
        <v>27.203368811068597</v>
      </c>
      <c r="I96" s="13" t="s">
        <v>103</v>
      </c>
      <c r="J96" s="15">
        <f t="shared" si="2"/>
        <v>2</v>
      </c>
      <c r="K96" s="15">
        <f>1</f>
        <v>1</v>
      </c>
      <c r="L96" s="15">
        <f>1</f>
        <v>1</v>
      </c>
      <c r="M96" s="16">
        <f>J96*Parametros!$E$5*Parametros!$E$6</f>
        <v>12</v>
      </c>
    </row>
    <row r="97" spans="1:13" ht="21" customHeight="1">
      <c r="A97" s="1" t="s">
        <v>190</v>
      </c>
      <c r="B97" s="7">
        <v>424491.23384793533</v>
      </c>
      <c r="C97" s="7">
        <v>8431821.9505755957</v>
      </c>
      <c r="D97" s="7">
        <v>3740.6542898967427</v>
      </c>
      <c r="E97" s="7">
        <v>15</v>
      </c>
      <c r="F97" s="7">
        <v>2.1</v>
      </c>
      <c r="G97" s="7">
        <v>12.4</v>
      </c>
      <c r="H97" s="7">
        <v>33.615485704043536</v>
      </c>
      <c r="I97" s="13" t="s">
        <v>100</v>
      </c>
      <c r="J97" s="15">
        <f t="shared" si="2"/>
        <v>2</v>
      </c>
      <c r="K97" s="15">
        <f>1</f>
        <v>1</v>
      </c>
      <c r="L97" s="15">
        <f>1</f>
        <v>1</v>
      </c>
      <c r="M97" s="16">
        <f>J97*Parametros!$E$5*Parametros!$E$6</f>
        <v>12</v>
      </c>
    </row>
    <row r="98" spans="1:13" ht="21" customHeight="1">
      <c r="A98" s="1" t="s">
        <v>191</v>
      </c>
      <c r="B98" s="7">
        <v>424515.39844688849</v>
      </c>
      <c r="C98" s="7">
        <v>8431783.8834473062</v>
      </c>
      <c r="D98" s="7">
        <v>3738.1882255937103</v>
      </c>
      <c r="E98" s="7">
        <v>13</v>
      </c>
      <c r="F98" s="7">
        <v>1.9</v>
      </c>
      <c r="G98" s="7">
        <v>10.6</v>
      </c>
      <c r="H98" s="7">
        <v>41.856975708589729</v>
      </c>
      <c r="I98" s="13" t="s">
        <v>100</v>
      </c>
      <c r="J98" s="15">
        <f t="shared" si="2"/>
        <v>2</v>
      </c>
      <c r="K98" s="15">
        <f>1</f>
        <v>1</v>
      </c>
      <c r="L98" s="15">
        <f>1</f>
        <v>1</v>
      </c>
      <c r="M98" s="16">
        <f>J98*Parametros!$E$5*Parametros!$E$6</f>
        <v>12</v>
      </c>
    </row>
    <row r="99" spans="1:13" ht="21" customHeight="1">
      <c r="A99" s="1" t="s">
        <v>192</v>
      </c>
      <c r="B99" s="7">
        <v>424506.79641887575</v>
      </c>
      <c r="C99" s="7">
        <v>8431732.2029624246</v>
      </c>
      <c r="D99" s="7">
        <v>3739.6123895805531</v>
      </c>
      <c r="E99" s="7">
        <v>13</v>
      </c>
      <c r="F99" s="7">
        <v>1.9</v>
      </c>
      <c r="G99" s="7">
        <v>10.6</v>
      </c>
      <c r="H99" s="7">
        <v>71.008550494088709</v>
      </c>
      <c r="I99" s="13" t="s">
        <v>100</v>
      </c>
      <c r="J99" s="15">
        <f t="shared" si="2"/>
        <v>2</v>
      </c>
      <c r="K99" s="15">
        <f>1</f>
        <v>1</v>
      </c>
      <c r="L99" s="15">
        <f>1</f>
        <v>1</v>
      </c>
      <c r="M99" s="16">
        <f>J99*Parametros!$E$5*Parametros!$E$6</f>
        <v>12</v>
      </c>
    </row>
    <row r="100" spans="1:13" ht="21" customHeight="1">
      <c r="A100" s="1" t="s">
        <v>193</v>
      </c>
      <c r="B100" s="7">
        <v>424459.20904710278</v>
      </c>
      <c r="C100" s="7">
        <v>8431724.2042068448</v>
      </c>
      <c r="D100" s="7">
        <v>3747.5249699813644</v>
      </c>
      <c r="E100" s="7">
        <v>13</v>
      </c>
      <c r="F100" s="7">
        <v>1.9</v>
      </c>
      <c r="G100" s="7">
        <v>10.6</v>
      </c>
      <c r="H100" s="7">
        <v>36.948844959400454</v>
      </c>
      <c r="I100" s="13" t="s">
        <v>100</v>
      </c>
      <c r="J100" s="15">
        <f t="shared" si="2"/>
        <v>2</v>
      </c>
      <c r="K100" s="15">
        <f>1</f>
        <v>1</v>
      </c>
      <c r="L100" s="15">
        <f>1</f>
        <v>1</v>
      </c>
      <c r="M100" s="16">
        <f>J100*Parametros!$E$5*Parametros!$E$6</f>
        <v>12</v>
      </c>
    </row>
    <row r="101" spans="1:13" ht="21" customHeight="1">
      <c r="A101" s="1" t="s">
        <v>194</v>
      </c>
      <c r="B101" s="7">
        <v>424425.22569916979</v>
      </c>
      <c r="C101" s="7">
        <v>8431688.4054266009</v>
      </c>
      <c r="D101" s="7">
        <v>3754.5948171375662</v>
      </c>
      <c r="E101" s="7">
        <v>13</v>
      </c>
      <c r="F101" s="7">
        <v>1.9</v>
      </c>
      <c r="G101" s="7">
        <v>10.6</v>
      </c>
      <c r="H101" s="7">
        <v>21.122760513792688</v>
      </c>
      <c r="I101" s="13" t="s">
        <v>103</v>
      </c>
      <c r="J101" s="15">
        <f t="shared" si="2"/>
        <v>2</v>
      </c>
      <c r="K101" s="15">
        <f>1</f>
        <v>1</v>
      </c>
      <c r="L101" s="15">
        <f>1</f>
        <v>1</v>
      </c>
      <c r="M101" s="16">
        <f>J101*Parametros!$E$5*Parametros!$E$6</f>
        <v>12</v>
      </c>
    </row>
    <row r="102" spans="1:13" ht="21" customHeight="1">
      <c r="A102" s="1" t="s">
        <v>195</v>
      </c>
      <c r="B102" s="7">
        <v>424397.89416603412</v>
      </c>
      <c r="C102" s="7">
        <v>8431622.0513782799</v>
      </c>
      <c r="D102" s="7">
        <v>3758.4170389002411</v>
      </c>
      <c r="E102" s="7">
        <v>15</v>
      </c>
      <c r="F102" s="7">
        <v>2.1</v>
      </c>
      <c r="G102" s="7">
        <v>12.4</v>
      </c>
      <c r="H102" s="7">
        <v>0</v>
      </c>
      <c r="I102" s="13" t="s">
        <v>98</v>
      </c>
      <c r="J102" s="15">
        <f t="shared" si="2"/>
        <v>0</v>
      </c>
      <c r="K102" s="15">
        <f>1</f>
        <v>1</v>
      </c>
      <c r="L102" s="15">
        <f>1</f>
        <v>1</v>
      </c>
      <c r="M102" s="16">
        <f>J102*Parametros!$E$5*Parametros!$E$6</f>
        <v>0</v>
      </c>
    </row>
    <row r="103" spans="1:13" ht="21" customHeight="1">
      <c r="A103" s="1" t="s">
        <v>196</v>
      </c>
      <c r="B103" s="7">
        <v>424370.56263289845</v>
      </c>
      <c r="C103" s="7">
        <v>8431555.6973299608</v>
      </c>
      <c r="D103" s="7">
        <v>3756.3324575783313</v>
      </c>
      <c r="E103" s="7">
        <v>15</v>
      </c>
      <c r="F103" s="7">
        <v>2.1</v>
      </c>
      <c r="G103" s="7">
        <v>12.4</v>
      </c>
      <c r="H103" s="7">
        <v>0</v>
      </c>
      <c r="I103" s="13" t="s">
        <v>98</v>
      </c>
      <c r="J103" s="15">
        <f t="shared" ref="J103:J134" si="3">IF(I103="SUSPENSION",0,IF(I103="TERMINAL",1,2))</f>
        <v>0</v>
      </c>
      <c r="K103" s="15">
        <f>1</f>
        <v>1</v>
      </c>
      <c r="L103" s="15">
        <f>1</f>
        <v>1</v>
      </c>
      <c r="M103" s="16">
        <f>J103*Parametros!$E$5*Parametros!$E$6</f>
        <v>0</v>
      </c>
    </row>
    <row r="104" spans="1:13" ht="21" customHeight="1">
      <c r="A104" s="1" t="s">
        <v>197</v>
      </c>
      <c r="B104" s="7">
        <v>424343.23109976284</v>
      </c>
      <c r="C104" s="7">
        <v>8431489.3432816397</v>
      </c>
      <c r="D104" s="7">
        <v>3750.256108507946</v>
      </c>
      <c r="E104" s="7">
        <v>13</v>
      </c>
      <c r="F104" s="7">
        <v>1.9</v>
      </c>
      <c r="G104" s="7">
        <v>10.6</v>
      </c>
      <c r="H104" s="7">
        <v>0</v>
      </c>
      <c r="I104" s="13" t="s">
        <v>108</v>
      </c>
      <c r="J104" s="15">
        <f t="shared" si="3"/>
        <v>2</v>
      </c>
      <c r="K104" s="15">
        <f>1</f>
        <v>1</v>
      </c>
      <c r="L104" s="15">
        <f>1</f>
        <v>1</v>
      </c>
      <c r="M104" s="16">
        <f>J104*Parametros!$E$5*Parametros!$E$6</f>
        <v>12</v>
      </c>
    </row>
    <row r="105" spans="1:13" ht="21" customHeight="1">
      <c r="A105" s="1" t="s">
        <v>198</v>
      </c>
      <c r="B105" s="7">
        <v>424315.89956662717</v>
      </c>
      <c r="C105" s="7">
        <v>8431422.9892333206</v>
      </c>
      <c r="D105" s="7">
        <v>3760.2646548450334</v>
      </c>
      <c r="E105" s="7">
        <v>15</v>
      </c>
      <c r="F105" s="7">
        <v>2.1</v>
      </c>
      <c r="G105" s="7">
        <v>12.4</v>
      </c>
      <c r="H105" s="7">
        <v>0</v>
      </c>
      <c r="I105" s="13" t="s">
        <v>98</v>
      </c>
      <c r="J105" s="15">
        <f t="shared" si="3"/>
        <v>0</v>
      </c>
      <c r="K105" s="15">
        <f>1</f>
        <v>1</v>
      </c>
      <c r="L105" s="15">
        <f>1</f>
        <v>1</v>
      </c>
      <c r="M105" s="16">
        <f>J105*Parametros!$E$5*Parametros!$E$6</f>
        <v>0</v>
      </c>
    </row>
    <row r="106" spans="1:13" ht="21" customHeight="1">
      <c r="A106" s="1" t="s">
        <v>199</v>
      </c>
      <c r="B106" s="7">
        <v>424288.56803349149</v>
      </c>
      <c r="C106" s="7">
        <v>8431356.6351849996</v>
      </c>
      <c r="D106" s="7">
        <v>3758.5860630359057</v>
      </c>
      <c r="E106" s="7">
        <v>15</v>
      </c>
      <c r="F106" s="7">
        <v>2.1</v>
      </c>
      <c r="G106" s="7">
        <v>12.4</v>
      </c>
      <c r="H106" s="7">
        <v>27.579404977836727</v>
      </c>
      <c r="I106" s="13" t="s">
        <v>103</v>
      </c>
      <c r="J106" s="15">
        <f t="shared" si="3"/>
        <v>2</v>
      </c>
      <c r="K106" s="15">
        <f>1</f>
        <v>1</v>
      </c>
      <c r="L106" s="15">
        <f>1</f>
        <v>1</v>
      </c>
      <c r="M106" s="16">
        <f>J106*Parametros!$E$5*Parametros!$E$6</f>
        <v>12</v>
      </c>
    </row>
    <row r="107" spans="1:13" ht="21" customHeight="1">
      <c r="A107" s="1" t="s">
        <v>200</v>
      </c>
      <c r="B107" s="7">
        <v>424253.70236987981</v>
      </c>
      <c r="C107" s="7">
        <v>8431327.3445493393</v>
      </c>
      <c r="D107" s="7">
        <v>3764.4393251157717</v>
      </c>
      <c r="E107" s="7">
        <v>13</v>
      </c>
      <c r="F107" s="7">
        <v>1.9</v>
      </c>
      <c r="G107" s="7">
        <v>10.6</v>
      </c>
      <c r="H107" s="7">
        <v>0</v>
      </c>
      <c r="I107" s="13" t="s">
        <v>98</v>
      </c>
      <c r="J107" s="15">
        <f t="shared" si="3"/>
        <v>0</v>
      </c>
      <c r="K107" s="15">
        <f>1</f>
        <v>1</v>
      </c>
      <c r="L107" s="15">
        <f>1</f>
        <v>1</v>
      </c>
      <c r="M107" s="16">
        <f>J107*Parametros!$E$5*Parametros!$E$6</f>
        <v>0</v>
      </c>
    </row>
    <row r="108" spans="1:13" ht="21" customHeight="1">
      <c r="A108" s="1" t="s">
        <v>201</v>
      </c>
      <c r="B108" s="7">
        <v>424218.83670626814</v>
      </c>
      <c r="C108" s="7">
        <v>8431298.053913679</v>
      </c>
      <c r="D108" s="7">
        <v>3762.0947769405875</v>
      </c>
      <c r="E108" s="7">
        <v>13</v>
      </c>
      <c r="F108" s="7">
        <v>1.9</v>
      </c>
      <c r="G108" s="7">
        <v>10.6</v>
      </c>
      <c r="H108" s="7">
        <v>15.817544490560049</v>
      </c>
      <c r="I108" s="13" t="s">
        <v>103</v>
      </c>
      <c r="J108" s="15">
        <f t="shared" si="3"/>
        <v>2</v>
      </c>
      <c r="K108" s="15">
        <f>1</f>
        <v>1</v>
      </c>
      <c r="L108" s="15">
        <f>1</f>
        <v>1</v>
      </c>
      <c r="M108" s="16">
        <f>J108*Parametros!$E$5*Parametros!$E$6</f>
        <v>12</v>
      </c>
    </row>
    <row r="109" spans="1:13" ht="21" customHeight="1">
      <c r="A109" s="1" t="s">
        <v>202</v>
      </c>
      <c r="B109" s="7">
        <v>424175.0795029453</v>
      </c>
      <c r="C109" s="7">
        <v>8431278.3738971278</v>
      </c>
      <c r="D109" s="7">
        <v>3770.4665273626215</v>
      </c>
      <c r="E109" s="7">
        <v>13</v>
      </c>
      <c r="F109" s="7">
        <v>1.9</v>
      </c>
      <c r="G109" s="7">
        <v>10.6</v>
      </c>
      <c r="H109" s="7">
        <v>0</v>
      </c>
      <c r="I109" s="13" t="s">
        <v>98</v>
      </c>
      <c r="J109" s="15">
        <f t="shared" si="3"/>
        <v>0</v>
      </c>
      <c r="K109" s="15">
        <f>1</f>
        <v>1</v>
      </c>
      <c r="L109" s="15">
        <f>1</f>
        <v>1</v>
      </c>
      <c r="M109" s="16">
        <f>J109*Parametros!$E$5*Parametros!$E$6</f>
        <v>0</v>
      </c>
    </row>
    <row r="110" spans="1:13" ht="21" customHeight="1">
      <c r="A110" s="1" t="s">
        <v>203</v>
      </c>
      <c r="B110" s="7">
        <v>424131.32229962246</v>
      </c>
      <c r="C110" s="7">
        <v>8431258.6938805785</v>
      </c>
      <c r="D110" s="7">
        <v>3771.4102875829267</v>
      </c>
      <c r="E110" s="7">
        <v>13</v>
      </c>
      <c r="F110" s="7">
        <v>1.9</v>
      </c>
      <c r="G110" s="7">
        <v>10.6</v>
      </c>
      <c r="H110" s="7">
        <v>19.821554534501018</v>
      </c>
      <c r="I110" s="13" t="s">
        <v>103</v>
      </c>
      <c r="J110" s="15">
        <f t="shared" si="3"/>
        <v>2</v>
      </c>
      <c r="K110" s="15">
        <f>1</f>
        <v>1</v>
      </c>
      <c r="L110" s="15">
        <f>1</f>
        <v>1</v>
      </c>
      <c r="M110" s="16">
        <f>J110*Parametros!$E$5*Parametros!$E$6</f>
        <v>12</v>
      </c>
    </row>
    <row r="111" spans="1:13" ht="21" customHeight="1">
      <c r="A111" s="1" t="s">
        <v>204</v>
      </c>
      <c r="B111" s="7">
        <v>424075.52620313031</v>
      </c>
      <c r="C111" s="7">
        <v>8431204.7413710952</v>
      </c>
      <c r="D111" s="7">
        <v>3763.617592327586</v>
      </c>
      <c r="E111" s="7">
        <v>13</v>
      </c>
      <c r="F111" s="7">
        <v>1.9</v>
      </c>
      <c r="G111" s="7">
        <v>10.6</v>
      </c>
      <c r="H111" s="7">
        <v>8.5377364625159387E-7</v>
      </c>
      <c r="I111" s="13" t="s">
        <v>98</v>
      </c>
      <c r="J111" s="15">
        <f t="shared" si="3"/>
        <v>0</v>
      </c>
      <c r="K111" s="15">
        <f>1</f>
        <v>1</v>
      </c>
      <c r="L111" s="15">
        <f>1</f>
        <v>1</v>
      </c>
      <c r="M111" s="16">
        <f>J111*Parametros!$E$5*Parametros!$E$6</f>
        <v>0</v>
      </c>
    </row>
    <row r="112" spans="1:13" ht="21" customHeight="1">
      <c r="A112" s="1" t="s">
        <v>205</v>
      </c>
      <c r="B112" s="7">
        <v>424019.73010663816</v>
      </c>
      <c r="C112" s="7">
        <v>8431150.78886161</v>
      </c>
      <c r="D112" s="7">
        <v>3758.4738690794829</v>
      </c>
      <c r="E112" s="7">
        <v>13</v>
      </c>
      <c r="F112" s="7">
        <v>1.9</v>
      </c>
      <c r="G112" s="7">
        <v>10.6</v>
      </c>
      <c r="H112" s="7">
        <v>18.408623916005617</v>
      </c>
      <c r="I112" s="13" t="s">
        <v>103</v>
      </c>
      <c r="J112" s="15">
        <f t="shared" si="3"/>
        <v>2</v>
      </c>
      <c r="K112" s="15">
        <f>1</f>
        <v>1</v>
      </c>
      <c r="L112" s="15">
        <f>1</f>
        <v>1</v>
      </c>
      <c r="M112" s="16">
        <f>J112*Parametros!$E$5*Parametros!$E$6</f>
        <v>12</v>
      </c>
    </row>
    <row r="113" spans="1:13" ht="21" customHeight="1">
      <c r="A113" s="1" t="s">
        <v>206</v>
      </c>
      <c r="B113" s="7">
        <v>423992.6227964469</v>
      </c>
      <c r="C113" s="7">
        <v>8431098.835271256</v>
      </c>
      <c r="D113" s="7">
        <v>3758.7368793586434</v>
      </c>
      <c r="E113" s="7">
        <v>13</v>
      </c>
      <c r="F113" s="7">
        <v>1.9</v>
      </c>
      <c r="G113" s="7">
        <v>10.6</v>
      </c>
      <c r="H113" s="7">
        <v>0</v>
      </c>
      <c r="I113" s="13" t="s">
        <v>108</v>
      </c>
      <c r="J113" s="15">
        <f t="shared" si="3"/>
        <v>2</v>
      </c>
      <c r="K113" s="15">
        <f>1</f>
        <v>1</v>
      </c>
      <c r="L113" s="15">
        <f>1</f>
        <v>1</v>
      </c>
      <c r="M113" s="16">
        <f>J113*Parametros!$E$5*Parametros!$E$6</f>
        <v>12</v>
      </c>
    </row>
    <row r="114" spans="1:13" ht="21" customHeight="1">
      <c r="A114" s="1" t="s">
        <v>207</v>
      </c>
      <c r="B114" s="7">
        <v>423965.51548625564</v>
      </c>
      <c r="C114" s="7">
        <v>8431046.8816809021</v>
      </c>
      <c r="D114" s="7">
        <v>3763.5347842252786</v>
      </c>
      <c r="E114" s="7">
        <v>13</v>
      </c>
      <c r="F114" s="7">
        <v>1.9</v>
      </c>
      <c r="G114" s="7">
        <v>10.6</v>
      </c>
      <c r="H114" s="7">
        <v>35.104305646520835</v>
      </c>
      <c r="I114" s="13" t="s">
        <v>100</v>
      </c>
      <c r="J114" s="15">
        <f t="shared" si="3"/>
        <v>2</v>
      </c>
      <c r="K114" s="15">
        <f>1</f>
        <v>1</v>
      </c>
      <c r="L114" s="15">
        <f>1</f>
        <v>1</v>
      </c>
      <c r="M114" s="16">
        <f>J114*Parametros!$E$5*Parametros!$E$6</f>
        <v>12</v>
      </c>
    </row>
    <row r="115" spans="1:13" ht="21" customHeight="1">
      <c r="A115" s="1" t="s">
        <v>208</v>
      </c>
      <c r="B115" s="7">
        <v>423971.29191568104</v>
      </c>
      <c r="C115" s="7">
        <v>8431003.3024837077</v>
      </c>
      <c r="D115" s="7">
        <v>3759.5291475761578</v>
      </c>
      <c r="E115" s="7">
        <v>13</v>
      </c>
      <c r="F115" s="7">
        <v>1.9</v>
      </c>
      <c r="G115" s="7">
        <v>10.6</v>
      </c>
      <c r="H115" s="7">
        <v>37.283869715807135</v>
      </c>
      <c r="I115" s="13" t="s">
        <v>100</v>
      </c>
      <c r="J115" s="15">
        <f t="shared" si="3"/>
        <v>2</v>
      </c>
      <c r="K115" s="15">
        <f>1</f>
        <v>1</v>
      </c>
      <c r="L115" s="15">
        <f>1</f>
        <v>1</v>
      </c>
      <c r="M115" s="16">
        <f>J115*Parametros!$E$5*Parametros!$E$6</f>
        <v>12</v>
      </c>
    </row>
    <row r="116" spans="1:13" ht="21" customHeight="1">
      <c r="A116" s="1" t="s">
        <v>209</v>
      </c>
      <c r="B116" s="7">
        <v>423952.39715311577</v>
      </c>
      <c r="C116" s="7">
        <v>8430970.2211545967</v>
      </c>
      <c r="D116" s="7">
        <v>3759.9286245307594</v>
      </c>
      <c r="E116" s="7">
        <v>13</v>
      </c>
      <c r="F116" s="7">
        <v>1.9</v>
      </c>
      <c r="G116" s="7">
        <v>10.6</v>
      </c>
      <c r="H116" s="7">
        <v>8.332159727981848</v>
      </c>
      <c r="I116" s="13" t="s">
        <v>103</v>
      </c>
      <c r="J116" s="15">
        <f t="shared" si="3"/>
        <v>2</v>
      </c>
      <c r="K116" s="15">
        <f>1</f>
        <v>1</v>
      </c>
      <c r="L116" s="15">
        <f>1</f>
        <v>1</v>
      </c>
      <c r="M116" s="16">
        <f>J116*Parametros!$E$5*Parametros!$E$6</f>
        <v>12</v>
      </c>
    </row>
    <row r="117" spans="1:13" ht="21" customHeight="1">
      <c r="A117" s="1" t="s">
        <v>210</v>
      </c>
      <c r="B117" s="7">
        <v>423945.20799878985</v>
      </c>
      <c r="C117" s="7">
        <v>8430951.8776881471</v>
      </c>
      <c r="D117" s="7">
        <v>3760.897252147387</v>
      </c>
      <c r="E117" s="7">
        <v>13</v>
      </c>
      <c r="F117" s="7">
        <v>1.9</v>
      </c>
      <c r="G117" s="7">
        <v>10.6</v>
      </c>
      <c r="H117" s="7">
        <v>0</v>
      </c>
      <c r="I117" s="13" t="s">
        <v>96</v>
      </c>
      <c r="J117" s="15">
        <f t="shared" si="3"/>
        <v>1</v>
      </c>
      <c r="K117" s="15">
        <f>1</f>
        <v>1</v>
      </c>
      <c r="L117" s="15">
        <f>1</f>
        <v>1</v>
      </c>
      <c r="M117" s="16">
        <f>J117*Parametros!$E$5*Parametros!$E$6</f>
        <v>6</v>
      </c>
    </row>
    <row r="118" spans="1:13" ht="2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2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2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2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2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2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2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2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2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2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2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2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2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2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2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2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2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2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2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2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2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2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2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</sheetData>
  <dataValidations count="1">
    <dataValidation type="list" sqref="I7:I117" xr:uid="{00000000-0002-0000-0200-000000000000}">
      <formula1>"SUSPENSION,ANGULO,ANCLAJE,ANCLAJE_PROPUESTO,TERMINAL"</formula1>
    </dataValidation>
  </dataValidations>
  <pageMargins left="0.39370078740157477" right="0.39370078740157477" top="0.55118110236220463" bottom="0.55118110236220463" header="0.3" footer="0.3"/>
  <pageSetup paperSize="8" fitToHeight="0" orientation="landscape" r:id="rId1"/>
  <headerFooter>
    <oddFooter>&amp;CInstalaciones Eléctricas II | Aquiles Taylor Ramos Yapo | 227368&amp;RHoja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140"/>
  <sheetViews>
    <sheetView showGridLines="0" zoomScale="85" zoomScaleNormal="85" workbookViewId="0">
      <pane xSplit="3" ySplit="6" topLeftCell="D7" activePane="bottomRight" state="frozen"/>
      <selection pane="topRight"/>
      <selection pane="bottomLeft"/>
      <selection pane="bottomRight"/>
    </sheetView>
  </sheetViews>
  <sheetFormatPr baseColWidth="10" defaultColWidth="9" defaultRowHeight="14.25"/>
  <cols>
    <col min="1" max="1" width="9" customWidth="1"/>
    <col min="2" max="3" width="10" customWidth="1"/>
    <col min="4" max="7" width="14" customWidth="1"/>
    <col min="8" max="8" width="16" customWidth="1"/>
    <col min="9" max="12" width="14" customWidth="1"/>
    <col min="13" max="14" width="17" customWidth="1"/>
  </cols>
  <sheetData>
    <row r="1" spans="1:14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1" customHeight="1">
      <c r="A2" s="2" t="s">
        <v>211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2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36" customHeight="1">
      <c r="A6" s="4" t="s">
        <v>212</v>
      </c>
      <c r="B6" s="4" t="s">
        <v>213</v>
      </c>
      <c r="C6" s="4" t="s">
        <v>214</v>
      </c>
      <c r="D6" s="4" t="s">
        <v>215</v>
      </c>
      <c r="E6" s="4" t="s">
        <v>216</v>
      </c>
      <c r="F6" s="4" t="s">
        <v>217</v>
      </c>
      <c r="G6" s="4" t="s">
        <v>218</v>
      </c>
      <c r="H6" s="4" t="s">
        <v>219</v>
      </c>
      <c r="I6" s="4" t="s">
        <v>220</v>
      </c>
      <c r="J6" s="4" t="s">
        <v>221</v>
      </c>
      <c r="K6" s="4" t="s">
        <v>222</v>
      </c>
      <c r="L6" s="4" t="s">
        <v>223</v>
      </c>
      <c r="M6" s="4" t="s">
        <v>224</v>
      </c>
      <c r="N6" s="4" t="s">
        <v>225</v>
      </c>
    </row>
    <row r="7" spans="1:14" ht="21" customHeight="1">
      <c r="A7" s="1" t="s">
        <v>226</v>
      </c>
      <c r="B7" s="1" t="s">
        <v>95</v>
      </c>
      <c r="C7" s="1" t="s">
        <v>97</v>
      </c>
      <c r="D7" s="5">
        <f>SQRT((INDEX(Postes!$B$7:$B$117,MATCH(C7,Postes!$A$7:$A$117,0))-INDEX(Postes!$B$7:$B$117,MATCH(B7,Postes!$A$7:$A$117,0)))^2+(INDEX(Postes!$C$7:$C$117,MATCH(C7,Postes!$A$7:$A$117,0))-INDEX(Postes!$C$7:$C$117,MATCH(B7,Postes!$A$7:$A$117,0)))^2)</f>
        <v>47.146596570679399</v>
      </c>
      <c r="E7" s="5">
        <f>INDEX(Postes!$D$7:$D$117,MATCH(C7,Postes!$A$7:$A$117,0))+INDEX(Postes!$G$7:$G$117,MATCH(C7,Postes!$A$7:$A$117,0))-INDEX(Postes!$D$7:$D$117,MATCH(B7,Postes!$A$7:$A$117,0))-INDEX(Postes!$G$7:$G$117,MATCH(B7,Postes!$A$7:$A$117,0))</f>
        <v>14.315386538179064</v>
      </c>
      <c r="F7" s="5">
        <f>Parametros!$E$8*Parametros!$E$9</f>
        <v>2205</v>
      </c>
      <c r="G7" s="5">
        <f>Parametros!$E$10/1000*Parametros!$E$11</f>
        <v>1.32389775</v>
      </c>
      <c r="H7" s="5">
        <f t="shared" ref="H7:H38" si="0">F7/G7</f>
        <v>1665.5364811972829</v>
      </c>
      <c r="I7" s="5">
        <f t="shared" ref="I7:I38" si="1">ASINH(E7/(2*H7*SINH(D7/(2*H7))))</f>
        <v>0.2991439016677041</v>
      </c>
      <c r="J7" s="5">
        <f t="shared" ref="J7:J38" si="2">D7/2-H7*I7</f>
        <v>-474.66178306991418</v>
      </c>
      <c r="K7" s="5">
        <f t="shared" ref="K7:K38" si="3">-J7/H7</f>
        <v>0.28499032499648408</v>
      </c>
      <c r="L7" s="5">
        <f t="shared" ref="L7:L38" si="4">(D7-J7)/H7</f>
        <v>0.31329747833892407</v>
      </c>
      <c r="M7" s="5">
        <f t="shared" ref="M7:M38" si="5">H7*(SINH(L7)-SINH(K7))</f>
        <v>49.273525249732664</v>
      </c>
      <c r="N7" s="5">
        <f>M7*Parametros!$E$5</f>
        <v>147.82057574919799</v>
      </c>
    </row>
    <row r="8" spans="1:14" ht="21" customHeight="1">
      <c r="A8" s="1" t="s">
        <v>227</v>
      </c>
      <c r="B8" s="1" t="s">
        <v>97</v>
      </c>
      <c r="C8" s="1" t="s">
        <v>99</v>
      </c>
      <c r="D8" s="5">
        <f>SQRT((INDEX(Postes!$B$7:$B$117,MATCH(C8,Postes!$A$7:$A$117,0))-INDEX(Postes!$B$7:$B$117,MATCH(B8,Postes!$A$7:$A$117,0)))^2+(INDEX(Postes!$C$7:$C$117,MATCH(C8,Postes!$A$7:$A$117,0))-INDEX(Postes!$C$7:$C$117,MATCH(B8,Postes!$A$7:$A$117,0)))^2)</f>
        <v>47.146596569210445</v>
      </c>
      <c r="E8" s="5">
        <f>INDEX(Postes!$D$7:$D$117,MATCH(C8,Postes!$A$7:$A$117,0))+INDEX(Postes!$G$7:$G$117,MATCH(C8,Postes!$A$7:$A$117,0))-INDEX(Postes!$D$7:$D$117,MATCH(B8,Postes!$A$7:$A$117,0))-INDEX(Postes!$G$7:$G$117,MATCH(B8,Postes!$A$7:$A$117,0))</f>
        <v>13.265247224741325</v>
      </c>
      <c r="F8" s="5">
        <f>Parametros!$E$8*Parametros!$E$9</f>
        <v>2205</v>
      </c>
      <c r="G8" s="5">
        <f>Parametros!$E$10/1000*Parametros!$E$11</f>
        <v>1.32389775</v>
      </c>
      <c r="H8" s="5">
        <f t="shared" si="0"/>
        <v>1665.5364811972829</v>
      </c>
      <c r="I8" s="5">
        <f t="shared" si="1"/>
        <v>0.27776669835993156</v>
      </c>
      <c r="J8" s="5">
        <f t="shared" si="2"/>
        <v>-439.05727109558228</v>
      </c>
      <c r="K8" s="5">
        <f t="shared" si="3"/>
        <v>0.26361312168915257</v>
      </c>
      <c r="L8" s="5">
        <f t="shared" si="4"/>
        <v>0.29192027503071055</v>
      </c>
      <c r="M8" s="5">
        <f t="shared" si="5"/>
        <v>48.978738066568539</v>
      </c>
      <c r="N8" s="5">
        <f>M8*Parametros!$E$5</f>
        <v>146.9362141997056</v>
      </c>
    </row>
    <row r="9" spans="1:14" ht="21" customHeight="1">
      <c r="A9" s="1" t="s">
        <v>228</v>
      </c>
      <c r="B9" s="1" t="s">
        <v>99</v>
      </c>
      <c r="C9" s="1" t="s">
        <v>101</v>
      </c>
      <c r="D9" s="5">
        <f>SQRT((INDEX(Postes!$B$7:$B$117,MATCH(C9,Postes!$A$7:$A$117,0))-INDEX(Postes!$B$7:$B$117,MATCH(B9,Postes!$A$7:$A$117,0)))^2+(INDEX(Postes!$C$7:$C$117,MATCH(C9,Postes!$A$7:$A$117,0))-INDEX(Postes!$C$7:$C$117,MATCH(B9,Postes!$A$7:$A$117,0)))^2)</f>
        <v>75.564648924193847</v>
      </c>
      <c r="E9" s="5">
        <f>INDEX(Postes!$D$7:$D$117,MATCH(C9,Postes!$A$7:$A$117,0))+INDEX(Postes!$G$7:$G$117,MATCH(C9,Postes!$A$7:$A$117,0))-INDEX(Postes!$D$7:$D$117,MATCH(B9,Postes!$A$7:$A$117,0))-INDEX(Postes!$G$7:$G$117,MATCH(B9,Postes!$A$7:$A$117,0))</f>
        <v>1.3907940794160467E-2</v>
      </c>
      <c r="F9" s="5">
        <f>Parametros!$E$8*Parametros!$E$9</f>
        <v>2205</v>
      </c>
      <c r="G9" s="5">
        <f>Parametros!$E$10/1000*Parametros!$E$11</f>
        <v>1.32389775</v>
      </c>
      <c r="H9" s="5">
        <f t="shared" si="0"/>
        <v>1665.5364811972829</v>
      </c>
      <c r="I9" s="5">
        <f t="shared" si="1"/>
        <v>1.8403774978848199E-4</v>
      </c>
      <c r="J9" s="5">
        <f t="shared" si="2"/>
        <v>37.475802875906751</v>
      </c>
      <c r="K9" s="5">
        <f t="shared" si="3"/>
        <v>-2.2500739731000668E-2</v>
      </c>
      <c r="L9" s="5">
        <f t="shared" si="4"/>
        <v>2.2868815230577631E-2</v>
      </c>
      <c r="M9" s="5">
        <f t="shared" si="5"/>
        <v>75.571131287833708</v>
      </c>
      <c r="N9" s="5">
        <f>M9*Parametros!$E$5</f>
        <v>226.71339386350112</v>
      </c>
    </row>
    <row r="10" spans="1:14" ht="21" customHeight="1">
      <c r="A10" s="1" t="s">
        <v>229</v>
      </c>
      <c r="B10" s="1" t="s">
        <v>101</v>
      </c>
      <c r="C10" s="1" t="s">
        <v>102</v>
      </c>
      <c r="D10" s="5">
        <f>SQRT((INDEX(Postes!$B$7:$B$117,MATCH(C10,Postes!$A$7:$A$117,0))-INDEX(Postes!$B$7:$B$117,MATCH(B10,Postes!$A$7:$A$117,0)))^2+(INDEX(Postes!$C$7:$C$117,MATCH(C10,Postes!$A$7:$A$117,0))-INDEX(Postes!$C$7:$C$117,MATCH(B10,Postes!$A$7:$A$117,0)))^2)</f>
        <v>75.564648924147463</v>
      </c>
      <c r="E10" s="5">
        <f>INDEX(Postes!$D$7:$D$117,MATCH(C10,Postes!$A$7:$A$117,0))+INDEX(Postes!$G$7:$G$117,MATCH(C10,Postes!$A$7:$A$117,0))-INDEX(Postes!$D$7:$D$117,MATCH(B10,Postes!$A$7:$A$117,0))-INDEX(Postes!$G$7:$G$117,MATCH(B10,Postes!$A$7:$A$117,0))</f>
        <v>-0.98642691536852034</v>
      </c>
      <c r="F10" s="5">
        <f>Parametros!$E$8*Parametros!$E$9</f>
        <v>2205</v>
      </c>
      <c r="G10" s="5">
        <f>Parametros!$E$10/1000*Parametros!$E$11</f>
        <v>1.32389775</v>
      </c>
      <c r="H10" s="5">
        <f t="shared" si="0"/>
        <v>1665.5364811972829</v>
      </c>
      <c r="I10" s="5">
        <f t="shared" si="1"/>
        <v>-1.3052589080184526E-2</v>
      </c>
      <c r="J10" s="5">
        <f t="shared" si="2"/>
        <v>59.521887749198342</v>
      </c>
      <c r="K10" s="5">
        <f t="shared" si="3"/>
        <v>-3.573736656095975E-2</v>
      </c>
      <c r="L10" s="5">
        <f t="shared" si="4"/>
        <v>9.6321884005907011E-3</v>
      </c>
      <c r="M10" s="5">
        <f t="shared" si="5"/>
        <v>75.577567629188309</v>
      </c>
      <c r="N10" s="5">
        <f>M10*Parametros!$E$5</f>
        <v>226.73270288756493</v>
      </c>
    </row>
    <row r="11" spans="1:14" ht="21" customHeight="1">
      <c r="A11" s="1" t="s">
        <v>230</v>
      </c>
      <c r="B11" s="1" t="s">
        <v>102</v>
      </c>
      <c r="C11" s="1" t="s">
        <v>104</v>
      </c>
      <c r="D11" s="5">
        <f>SQRT((INDEX(Postes!$B$7:$B$117,MATCH(C11,Postes!$A$7:$A$117,0))-INDEX(Postes!$B$7:$B$117,MATCH(B11,Postes!$A$7:$A$117,0)))^2+(INDEX(Postes!$C$7:$C$117,MATCH(C11,Postes!$A$7:$A$117,0))-INDEX(Postes!$C$7:$C$117,MATCH(B11,Postes!$A$7:$A$117,0)))^2)</f>
        <v>71.024548498671805</v>
      </c>
      <c r="E11" s="5">
        <f>INDEX(Postes!$D$7:$D$117,MATCH(C11,Postes!$A$7:$A$117,0))+INDEX(Postes!$G$7:$G$117,MATCH(C11,Postes!$A$7:$A$117,0))-INDEX(Postes!$D$7:$D$117,MATCH(B11,Postes!$A$7:$A$117,0))-INDEX(Postes!$G$7:$G$117,MATCH(B11,Postes!$A$7:$A$117,0))</f>
        <v>7.3940342777365</v>
      </c>
      <c r="F11" s="5">
        <f>Parametros!$E$8*Parametros!$E$9</f>
        <v>2205</v>
      </c>
      <c r="G11" s="5">
        <f>Parametros!$E$10/1000*Parametros!$E$11</f>
        <v>1.32389775</v>
      </c>
      <c r="H11" s="5">
        <f t="shared" si="0"/>
        <v>1665.5364811972829</v>
      </c>
      <c r="I11" s="5">
        <f t="shared" si="1"/>
        <v>0.10391035151713193</v>
      </c>
      <c r="J11" s="5">
        <f t="shared" si="2"/>
        <v>-137.55420697648077</v>
      </c>
      <c r="K11" s="5">
        <f t="shared" si="3"/>
        <v>8.2588528398728878E-2</v>
      </c>
      <c r="L11" s="5">
        <f t="shared" si="4"/>
        <v>0.12523217463553499</v>
      </c>
      <c r="M11" s="5">
        <f t="shared" si="5"/>
        <v>71.41374321795</v>
      </c>
      <c r="N11" s="5">
        <f>M11*Parametros!$E$5</f>
        <v>214.24122965384998</v>
      </c>
    </row>
    <row r="12" spans="1:14" ht="21" customHeight="1">
      <c r="A12" s="1" t="s">
        <v>231</v>
      </c>
      <c r="B12" s="1" t="s">
        <v>104</v>
      </c>
      <c r="C12" s="1" t="s">
        <v>105</v>
      </c>
      <c r="D12" s="5">
        <f>SQRT((INDEX(Postes!$B$7:$B$117,MATCH(C12,Postes!$A$7:$A$117,0))-INDEX(Postes!$B$7:$B$117,MATCH(B12,Postes!$A$7:$A$117,0)))^2+(INDEX(Postes!$C$7:$C$117,MATCH(C12,Postes!$A$7:$A$117,0))-INDEX(Postes!$C$7:$C$117,MATCH(B12,Postes!$A$7:$A$117,0)))^2)</f>
        <v>71.024548500087661</v>
      </c>
      <c r="E12" s="5">
        <f>INDEX(Postes!$D$7:$D$117,MATCH(C12,Postes!$A$7:$A$117,0))+INDEX(Postes!$G$7:$G$117,MATCH(C12,Postes!$A$7:$A$117,0))-INDEX(Postes!$D$7:$D$117,MATCH(B12,Postes!$A$7:$A$117,0))-INDEX(Postes!$G$7:$G$117,MATCH(B12,Postes!$A$7:$A$117,0))</f>
        <v>2.5916616177471941</v>
      </c>
      <c r="F12" s="5">
        <f>Parametros!$E$8*Parametros!$E$9</f>
        <v>2205</v>
      </c>
      <c r="G12" s="5">
        <f>Parametros!$E$10/1000*Parametros!$E$11</f>
        <v>1.32389775</v>
      </c>
      <c r="H12" s="5">
        <f t="shared" si="0"/>
        <v>1665.5364811972829</v>
      </c>
      <c r="I12" s="5">
        <f t="shared" si="1"/>
        <v>3.6478804253787286E-2</v>
      </c>
      <c r="J12" s="5">
        <f t="shared" si="2"/>
        <v>-25.244505025093524</v>
      </c>
      <c r="K12" s="5">
        <f t="shared" si="3"/>
        <v>1.5156981134959188E-2</v>
      </c>
      <c r="L12" s="5">
        <f t="shared" si="4"/>
        <v>5.780062737261539E-2</v>
      </c>
      <c r="M12" s="5">
        <f t="shared" si="5"/>
        <v>71.077195271345957</v>
      </c>
      <c r="N12" s="5">
        <f>M12*Parametros!$E$5</f>
        <v>213.23158581403789</v>
      </c>
    </row>
    <row r="13" spans="1:14" ht="21" customHeight="1">
      <c r="A13" s="1" t="s">
        <v>232</v>
      </c>
      <c r="B13" s="1" t="s">
        <v>105</v>
      </c>
      <c r="C13" s="1" t="s">
        <v>106</v>
      </c>
      <c r="D13" s="5">
        <f>SQRT((INDEX(Postes!$B$7:$B$117,MATCH(C13,Postes!$A$7:$A$117,0))-INDEX(Postes!$B$7:$B$117,MATCH(B13,Postes!$A$7:$A$117,0)))^2+(INDEX(Postes!$C$7:$C$117,MATCH(C13,Postes!$A$7:$A$117,0))-INDEX(Postes!$C$7:$C$117,MATCH(B13,Postes!$A$7:$A$117,0)))^2)</f>
        <v>57.507391692189344</v>
      </c>
      <c r="E13" s="5">
        <f>INDEX(Postes!$D$7:$D$117,MATCH(C13,Postes!$A$7:$A$117,0))+INDEX(Postes!$G$7:$G$117,MATCH(C13,Postes!$A$7:$A$117,0))-INDEX(Postes!$D$7:$D$117,MATCH(B13,Postes!$A$7:$A$117,0))-INDEX(Postes!$G$7:$G$117,MATCH(B13,Postes!$A$7:$A$117,0))</f>
        <v>-1.5050179164408295</v>
      </c>
      <c r="F13" s="5">
        <f>Parametros!$E$8*Parametros!$E$9</f>
        <v>2205</v>
      </c>
      <c r="G13" s="5">
        <f>Parametros!$E$10/1000*Parametros!$E$11</f>
        <v>1.32389775</v>
      </c>
      <c r="H13" s="5">
        <f t="shared" si="0"/>
        <v>1665.5364811972829</v>
      </c>
      <c r="I13" s="5">
        <f t="shared" si="1"/>
        <v>-2.6166574277808184E-2</v>
      </c>
      <c r="J13" s="5">
        <f t="shared" si="2"/>
        <v>72.335079893742659</v>
      </c>
      <c r="K13" s="5">
        <f t="shared" si="3"/>
        <v>-4.3430498647345189E-2</v>
      </c>
      <c r="L13" s="5">
        <f t="shared" si="4"/>
        <v>-8.9026499082711912E-3</v>
      </c>
      <c r="M13" s="5">
        <f t="shared" si="5"/>
        <v>57.529937806293098</v>
      </c>
      <c r="N13" s="5">
        <f>M13*Parametros!$E$5</f>
        <v>172.58981341887929</v>
      </c>
    </row>
    <row r="14" spans="1:14" ht="21" customHeight="1">
      <c r="A14" s="1" t="s">
        <v>233</v>
      </c>
      <c r="B14" s="1" t="s">
        <v>106</v>
      </c>
      <c r="C14" s="1" t="s">
        <v>107</v>
      </c>
      <c r="D14" s="5">
        <f>SQRT((INDEX(Postes!$B$7:$B$117,MATCH(C14,Postes!$A$7:$A$117,0))-INDEX(Postes!$B$7:$B$117,MATCH(B14,Postes!$A$7:$A$117,0)))^2+(INDEX(Postes!$C$7:$C$117,MATCH(C14,Postes!$A$7:$A$117,0))-INDEX(Postes!$C$7:$C$117,MATCH(B14,Postes!$A$7:$A$117,0)))^2)</f>
        <v>70.11431978175483</v>
      </c>
      <c r="E14" s="5">
        <f>INDEX(Postes!$D$7:$D$117,MATCH(C14,Postes!$A$7:$A$117,0))+INDEX(Postes!$G$7:$G$117,MATCH(C14,Postes!$A$7:$A$117,0))-INDEX(Postes!$D$7:$D$117,MATCH(B14,Postes!$A$7:$A$117,0))-INDEX(Postes!$G$7:$G$117,MATCH(B14,Postes!$A$7:$A$117,0))</f>
        <v>1.8540141571751523</v>
      </c>
      <c r="F14" s="5">
        <f>Parametros!$E$8*Parametros!$E$9</f>
        <v>2205</v>
      </c>
      <c r="G14" s="5">
        <f>Parametros!$E$10/1000*Parametros!$E$11</f>
        <v>1.32389775</v>
      </c>
      <c r="H14" s="5">
        <f t="shared" si="0"/>
        <v>1665.5364811972829</v>
      </c>
      <c r="I14" s="5">
        <f t="shared" si="1"/>
        <v>2.6437699526544716E-2</v>
      </c>
      <c r="J14" s="5">
        <f t="shared" si="2"/>
        <v>-8.9757931495149421</v>
      </c>
      <c r="K14" s="5">
        <f t="shared" si="3"/>
        <v>5.3891303197769816E-3</v>
      </c>
      <c r="L14" s="5">
        <f t="shared" si="4"/>
        <v>4.7486268733312451E-2</v>
      </c>
      <c r="M14" s="5">
        <f t="shared" si="5"/>
        <v>70.144003671505303</v>
      </c>
      <c r="N14" s="5">
        <f>M14*Parametros!$E$5</f>
        <v>210.43201101451592</v>
      </c>
    </row>
    <row r="15" spans="1:14" ht="21" customHeight="1">
      <c r="A15" s="1" t="s">
        <v>234</v>
      </c>
      <c r="B15" s="1" t="s">
        <v>107</v>
      </c>
      <c r="C15" s="1" t="s">
        <v>109</v>
      </c>
      <c r="D15" s="5">
        <f>SQRT((INDEX(Postes!$B$7:$B$117,MATCH(C15,Postes!$A$7:$A$117,0))-INDEX(Postes!$B$7:$B$117,MATCH(B15,Postes!$A$7:$A$117,0)))^2+(INDEX(Postes!$C$7:$C$117,MATCH(C15,Postes!$A$7:$A$117,0))-INDEX(Postes!$C$7:$C$117,MATCH(B15,Postes!$A$7:$A$117,0)))^2)</f>
        <v>70.11431978353167</v>
      </c>
      <c r="E15" s="5">
        <f>INDEX(Postes!$D$7:$D$117,MATCH(C15,Postes!$A$7:$A$117,0))+INDEX(Postes!$G$7:$G$117,MATCH(C15,Postes!$A$7:$A$117,0))-INDEX(Postes!$D$7:$D$117,MATCH(B15,Postes!$A$7:$A$117,0))-INDEX(Postes!$G$7:$G$117,MATCH(B15,Postes!$A$7:$A$117,0))</f>
        <v>6.2928293523863434</v>
      </c>
      <c r="F15" s="5">
        <f>Parametros!$E$8*Parametros!$E$9</f>
        <v>2205</v>
      </c>
      <c r="G15" s="5">
        <f>Parametros!$E$10/1000*Parametros!$E$11</f>
        <v>1.32389775</v>
      </c>
      <c r="H15" s="5">
        <f t="shared" si="0"/>
        <v>1665.5364811972829</v>
      </c>
      <c r="I15" s="5">
        <f t="shared" si="1"/>
        <v>8.9624326306315685E-2</v>
      </c>
      <c r="J15" s="5">
        <f t="shared" si="2"/>
        <v>-114.21542517413228</v>
      </c>
      <c r="K15" s="5">
        <f t="shared" si="3"/>
        <v>6.8575757099014548E-2</v>
      </c>
      <c r="L15" s="5">
        <f t="shared" si="4"/>
        <v>0.11067289551361684</v>
      </c>
      <c r="M15" s="5">
        <f t="shared" si="5"/>
        <v>70.401303852134959</v>
      </c>
      <c r="N15" s="5">
        <f>M15*Parametros!$E$5</f>
        <v>211.20391155640488</v>
      </c>
    </row>
    <row r="16" spans="1:14" ht="21" customHeight="1">
      <c r="A16" s="1" t="s">
        <v>235</v>
      </c>
      <c r="B16" s="1" t="s">
        <v>109</v>
      </c>
      <c r="C16" s="1" t="s">
        <v>110</v>
      </c>
      <c r="D16" s="5">
        <f>SQRT((INDEX(Postes!$B$7:$B$117,MATCH(C16,Postes!$A$7:$A$117,0))-INDEX(Postes!$B$7:$B$117,MATCH(B16,Postes!$A$7:$A$117,0)))^2+(INDEX(Postes!$C$7:$C$117,MATCH(C16,Postes!$A$7:$A$117,0))-INDEX(Postes!$C$7:$C$117,MATCH(B16,Postes!$A$7:$A$117,0)))^2)</f>
        <v>50.214196735404776</v>
      </c>
      <c r="E16" s="5">
        <f>INDEX(Postes!$D$7:$D$117,MATCH(C16,Postes!$A$7:$A$117,0))+INDEX(Postes!$G$7:$G$117,MATCH(C16,Postes!$A$7:$A$117,0))-INDEX(Postes!$D$7:$D$117,MATCH(B16,Postes!$A$7:$A$117,0))-INDEX(Postes!$G$7:$G$117,MATCH(B16,Postes!$A$7:$A$117,0))</f>
        <v>10.480951900385572</v>
      </c>
      <c r="F16" s="5">
        <f>Parametros!$E$8*Parametros!$E$9</f>
        <v>2205</v>
      </c>
      <c r="G16" s="5">
        <f>Parametros!$E$10/1000*Parametros!$E$11</f>
        <v>1.32389775</v>
      </c>
      <c r="H16" s="5">
        <f t="shared" si="0"/>
        <v>1665.5364811972829</v>
      </c>
      <c r="I16" s="5">
        <f t="shared" si="1"/>
        <v>0.20723054594463494</v>
      </c>
      <c r="J16" s="5">
        <f t="shared" si="2"/>
        <v>-320.04293592151674</v>
      </c>
      <c r="K16" s="5">
        <f t="shared" si="3"/>
        <v>0.19215606474824951</v>
      </c>
      <c r="L16" s="5">
        <f t="shared" si="4"/>
        <v>0.22230502714102035</v>
      </c>
      <c r="M16" s="5">
        <f t="shared" si="5"/>
        <v>51.298215416365693</v>
      </c>
      <c r="N16" s="5">
        <f>M16*Parametros!$E$5</f>
        <v>153.89464624909709</v>
      </c>
    </row>
    <row r="17" spans="1:14" ht="21" customHeight="1">
      <c r="A17" s="1" t="s">
        <v>236</v>
      </c>
      <c r="B17" s="1" t="s">
        <v>110</v>
      </c>
      <c r="C17" s="1" t="s">
        <v>111</v>
      </c>
      <c r="D17" s="5">
        <f>SQRT((INDEX(Postes!$B$7:$B$117,MATCH(C17,Postes!$A$7:$A$117,0))-INDEX(Postes!$B$7:$B$117,MATCH(B17,Postes!$A$7:$A$117,0)))^2+(INDEX(Postes!$C$7:$C$117,MATCH(C17,Postes!$A$7:$A$117,0))-INDEX(Postes!$C$7:$C$117,MATCH(B17,Postes!$A$7:$A$117,0)))^2)</f>
        <v>60.968945491277559</v>
      </c>
      <c r="E17" s="5">
        <f>INDEX(Postes!$D$7:$D$117,MATCH(C17,Postes!$A$7:$A$117,0))+INDEX(Postes!$G$7:$G$117,MATCH(C17,Postes!$A$7:$A$117,0))-INDEX(Postes!$D$7:$D$117,MATCH(B17,Postes!$A$7:$A$117,0))-INDEX(Postes!$G$7:$G$117,MATCH(B17,Postes!$A$7:$A$117,0))</f>
        <v>3.7392304385720312</v>
      </c>
      <c r="F17" s="5">
        <f>Parametros!$E$8*Parametros!$E$9</f>
        <v>2205</v>
      </c>
      <c r="G17" s="5">
        <f>Parametros!$E$10/1000*Parametros!$E$11</f>
        <v>1.32389775</v>
      </c>
      <c r="H17" s="5">
        <f t="shared" si="0"/>
        <v>1665.5364811972829</v>
      </c>
      <c r="I17" s="5">
        <f t="shared" si="1"/>
        <v>6.1288281775848864E-2</v>
      </c>
      <c r="J17" s="5">
        <f t="shared" si="2"/>
        <v>-71.593396421936092</v>
      </c>
      <c r="K17" s="5">
        <f t="shared" si="3"/>
        <v>4.298518659313344E-2</v>
      </c>
      <c r="L17" s="5">
        <f t="shared" si="4"/>
        <v>7.9591376958564289E-2</v>
      </c>
      <c r="M17" s="5">
        <f t="shared" si="5"/>
        <v>61.086899331375314</v>
      </c>
      <c r="N17" s="5">
        <f>M17*Parametros!$E$5</f>
        <v>183.26069799412593</v>
      </c>
    </row>
    <row r="18" spans="1:14" ht="21" customHeight="1">
      <c r="A18" s="1" t="s">
        <v>237</v>
      </c>
      <c r="B18" s="1" t="s">
        <v>111</v>
      </c>
      <c r="C18" s="1" t="s">
        <v>112</v>
      </c>
      <c r="D18" s="5">
        <f>SQRT((INDEX(Postes!$B$7:$B$117,MATCH(C18,Postes!$A$7:$A$117,0))-INDEX(Postes!$B$7:$B$117,MATCH(B18,Postes!$A$7:$A$117,0)))^2+(INDEX(Postes!$C$7:$C$117,MATCH(C18,Postes!$A$7:$A$117,0))-INDEX(Postes!$C$7:$C$117,MATCH(B18,Postes!$A$7:$A$117,0)))^2)</f>
        <v>54.308189166692785</v>
      </c>
      <c r="E18" s="5">
        <f>INDEX(Postes!$D$7:$D$117,MATCH(C18,Postes!$A$7:$A$117,0))+INDEX(Postes!$G$7:$G$117,MATCH(C18,Postes!$A$7:$A$117,0))-INDEX(Postes!$D$7:$D$117,MATCH(B18,Postes!$A$7:$A$117,0))-INDEX(Postes!$G$7:$G$117,MATCH(B18,Postes!$A$7:$A$117,0))</f>
        <v>3.5496813167091208</v>
      </c>
      <c r="F18" s="5">
        <f>Parametros!$E$8*Parametros!$E$9</f>
        <v>2205</v>
      </c>
      <c r="G18" s="5">
        <f>Parametros!$E$10/1000*Parametros!$E$11</f>
        <v>1.32389775</v>
      </c>
      <c r="H18" s="5">
        <f t="shared" si="0"/>
        <v>1665.5364811972829</v>
      </c>
      <c r="I18" s="5">
        <f t="shared" si="1"/>
        <v>6.5312466367189168E-2</v>
      </c>
      <c r="J18" s="5">
        <f t="shared" si="2"/>
        <v>-81.626200828177744</v>
      </c>
      <c r="K18" s="5">
        <f t="shared" si="3"/>
        <v>4.9008954021529542E-2</v>
      </c>
      <c r="L18" s="5">
        <f t="shared" si="4"/>
        <v>8.1615978712848786E-2</v>
      </c>
      <c r="M18" s="5">
        <f t="shared" si="5"/>
        <v>54.426473124127533</v>
      </c>
      <c r="N18" s="5">
        <f>M18*Parametros!$E$5</f>
        <v>163.27941937238259</v>
      </c>
    </row>
    <row r="19" spans="1:14" ht="21" customHeight="1">
      <c r="A19" s="1" t="s">
        <v>238</v>
      </c>
      <c r="B19" s="1" t="s">
        <v>112</v>
      </c>
      <c r="C19" s="1" t="s">
        <v>113</v>
      </c>
      <c r="D19" s="5">
        <f>SQRT((INDEX(Postes!$B$7:$B$117,MATCH(C19,Postes!$A$7:$A$117,0))-INDEX(Postes!$B$7:$B$117,MATCH(B19,Postes!$A$7:$A$117,0)))^2+(INDEX(Postes!$C$7:$C$117,MATCH(C19,Postes!$A$7:$A$117,0))-INDEX(Postes!$C$7:$C$117,MATCH(B19,Postes!$A$7:$A$117,0)))^2)</f>
        <v>39.660903911063357</v>
      </c>
      <c r="E19" s="5">
        <f>INDEX(Postes!$D$7:$D$117,MATCH(C19,Postes!$A$7:$A$117,0))+INDEX(Postes!$G$7:$G$117,MATCH(C19,Postes!$A$7:$A$117,0))-INDEX(Postes!$D$7:$D$117,MATCH(B19,Postes!$A$7:$A$117,0))-INDEX(Postes!$G$7:$G$117,MATCH(B19,Postes!$A$7:$A$117,0))</f>
        <v>11.714759849544771</v>
      </c>
      <c r="F19" s="5">
        <f>Parametros!$E$8*Parametros!$E$9</f>
        <v>2205</v>
      </c>
      <c r="G19" s="5">
        <f>Parametros!$E$10/1000*Parametros!$E$11</f>
        <v>1.32389775</v>
      </c>
      <c r="H19" s="5">
        <f t="shared" si="0"/>
        <v>1665.5364811972829</v>
      </c>
      <c r="I19" s="5">
        <f t="shared" si="1"/>
        <v>0.29123167379225628</v>
      </c>
      <c r="J19" s="5">
        <f t="shared" si="2"/>
        <v>-465.22652522561782</v>
      </c>
      <c r="K19" s="5">
        <f t="shared" si="3"/>
        <v>0.27932532879206967</v>
      </c>
      <c r="L19" s="5">
        <f t="shared" si="4"/>
        <v>0.3031380187924429</v>
      </c>
      <c r="M19" s="5">
        <f t="shared" si="5"/>
        <v>41.355739967076396</v>
      </c>
      <c r="N19" s="5">
        <f>M19*Parametros!$E$5</f>
        <v>124.06721990122918</v>
      </c>
    </row>
    <row r="20" spans="1:14" ht="21" customHeight="1">
      <c r="A20" s="1" t="s">
        <v>239</v>
      </c>
      <c r="B20" s="1" t="s">
        <v>113</v>
      </c>
      <c r="C20" s="1" t="s">
        <v>114</v>
      </c>
      <c r="D20" s="5">
        <f>SQRT((INDEX(Postes!$B$7:$B$117,MATCH(C20,Postes!$A$7:$A$117,0))-INDEX(Postes!$B$7:$B$117,MATCH(B20,Postes!$A$7:$A$117,0)))^2+(INDEX(Postes!$C$7:$C$117,MATCH(C20,Postes!$A$7:$A$117,0))-INDEX(Postes!$C$7:$C$117,MATCH(B20,Postes!$A$7:$A$117,0)))^2)</f>
        <v>71.825216136371367</v>
      </c>
      <c r="E20" s="5">
        <f>INDEX(Postes!$D$7:$D$117,MATCH(C20,Postes!$A$7:$A$117,0))+INDEX(Postes!$G$7:$G$117,MATCH(C20,Postes!$A$7:$A$117,0))-INDEX(Postes!$D$7:$D$117,MATCH(B20,Postes!$A$7:$A$117,0))-INDEX(Postes!$G$7:$G$117,MATCH(B20,Postes!$A$7:$A$117,0))</f>
        <v>12.506880037556494</v>
      </c>
      <c r="F20" s="5">
        <f>Parametros!$E$8*Parametros!$E$9</f>
        <v>2205</v>
      </c>
      <c r="G20" s="5">
        <f>Parametros!$E$10/1000*Parametros!$E$11</f>
        <v>1.32389775</v>
      </c>
      <c r="H20" s="5">
        <f t="shared" si="0"/>
        <v>1665.5364811972829</v>
      </c>
      <c r="I20" s="5">
        <f t="shared" si="1"/>
        <v>0.17324791375707146</v>
      </c>
      <c r="J20" s="5">
        <f t="shared" si="2"/>
        <v>-252.63811258553747</v>
      </c>
      <c r="K20" s="5">
        <f t="shared" si="3"/>
        <v>0.15168572735430372</v>
      </c>
      <c r="L20" s="5">
        <f t="shared" si="4"/>
        <v>0.19481010015983921</v>
      </c>
      <c r="M20" s="5">
        <f t="shared" si="5"/>
        <v>72.911475574272657</v>
      </c>
      <c r="N20" s="5">
        <f>M20*Parametros!$E$5</f>
        <v>218.73442672281797</v>
      </c>
    </row>
    <row r="21" spans="1:14" ht="21" customHeight="1">
      <c r="A21" s="1" t="s">
        <v>240</v>
      </c>
      <c r="B21" s="1" t="s">
        <v>114</v>
      </c>
      <c r="C21" s="1" t="s">
        <v>115</v>
      </c>
      <c r="D21" s="5">
        <f>SQRT((INDEX(Postes!$B$7:$B$117,MATCH(C21,Postes!$A$7:$A$117,0))-INDEX(Postes!$B$7:$B$117,MATCH(B21,Postes!$A$7:$A$117,0)))^2+(INDEX(Postes!$C$7:$C$117,MATCH(C21,Postes!$A$7:$A$117,0))-INDEX(Postes!$C$7:$C$117,MATCH(B21,Postes!$A$7:$A$117,0)))^2)</f>
        <v>71.825216134655349</v>
      </c>
      <c r="E21" s="5">
        <f>INDEX(Postes!$D$7:$D$117,MATCH(C21,Postes!$A$7:$A$117,0))+INDEX(Postes!$G$7:$G$117,MATCH(C21,Postes!$A$7:$A$117,0))-INDEX(Postes!$D$7:$D$117,MATCH(B21,Postes!$A$7:$A$117,0))-INDEX(Postes!$G$7:$G$117,MATCH(B21,Postes!$A$7:$A$117,0))</f>
        <v>11.33055824912717</v>
      </c>
      <c r="F21" s="5">
        <f>Parametros!$E$8*Parametros!$E$9</f>
        <v>2205</v>
      </c>
      <c r="G21" s="5">
        <f>Parametros!$E$10/1000*Parametros!$E$11</f>
        <v>1.32389775</v>
      </c>
      <c r="H21" s="5">
        <f t="shared" si="0"/>
        <v>1665.5364811972829</v>
      </c>
      <c r="I21" s="5">
        <f t="shared" si="1"/>
        <v>0.15709266969170668</v>
      </c>
      <c r="J21" s="5">
        <f t="shared" si="2"/>
        <v>-225.73096423288453</v>
      </c>
      <c r="K21" s="5">
        <f t="shared" si="3"/>
        <v>0.13553048328945411</v>
      </c>
      <c r="L21" s="5">
        <f t="shared" si="4"/>
        <v>0.17865485609395926</v>
      </c>
      <c r="M21" s="5">
        <f t="shared" si="5"/>
        <v>72.718929943544978</v>
      </c>
      <c r="N21" s="5">
        <f>M21*Parametros!$E$5</f>
        <v>218.15678983063492</v>
      </c>
    </row>
    <row r="22" spans="1:14" ht="21" customHeight="1">
      <c r="A22" s="1" t="s">
        <v>241</v>
      </c>
      <c r="B22" s="1" t="s">
        <v>115</v>
      </c>
      <c r="C22" s="1" t="s">
        <v>116</v>
      </c>
      <c r="D22" s="5">
        <f>SQRT((INDEX(Postes!$B$7:$B$117,MATCH(C22,Postes!$A$7:$A$117,0))-INDEX(Postes!$B$7:$B$117,MATCH(B22,Postes!$A$7:$A$117,0)))^2+(INDEX(Postes!$C$7:$C$117,MATCH(C22,Postes!$A$7:$A$117,0))-INDEX(Postes!$C$7:$C$117,MATCH(B22,Postes!$A$7:$A$117,0)))^2)</f>
        <v>71.825216136371367</v>
      </c>
      <c r="E22" s="5">
        <f>INDEX(Postes!$D$7:$D$117,MATCH(C22,Postes!$A$7:$A$117,0))+INDEX(Postes!$G$7:$G$117,MATCH(C22,Postes!$A$7:$A$117,0))-INDEX(Postes!$D$7:$D$117,MATCH(B22,Postes!$A$7:$A$117,0))-INDEX(Postes!$G$7:$G$117,MATCH(B22,Postes!$A$7:$A$117,0))</f>
        <v>5.4867450671368712</v>
      </c>
      <c r="F22" s="5">
        <f>Parametros!$E$8*Parametros!$E$9</f>
        <v>2205</v>
      </c>
      <c r="G22" s="5">
        <f>Parametros!$E$10/1000*Parametros!$E$11</f>
        <v>1.32389775</v>
      </c>
      <c r="H22" s="5">
        <f t="shared" si="0"/>
        <v>1665.5364811972829</v>
      </c>
      <c r="I22" s="5">
        <f t="shared" si="1"/>
        <v>7.6310231143868368E-2</v>
      </c>
      <c r="J22" s="5">
        <f t="shared" si="2"/>
        <v>-91.184865790524157</v>
      </c>
      <c r="K22" s="5">
        <f t="shared" si="3"/>
        <v>5.4748044741100635E-2</v>
      </c>
      <c r="L22" s="5">
        <f t="shared" si="4"/>
        <v>9.7872417546636101E-2</v>
      </c>
      <c r="M22" s="5">
        <f t="shared" si="5"/>
        <v>72.040027717760267</v>
      </c>
      <c r="N22" s="5">
        <f>M22*Parametros!$E$5</f>
        <v>216.1200831532808</v>
      </c>
    </row>
    <row r="23" spans="1:14" ht="21" customHeight="1">
      <c r="A23" s="1" t="s">
        <v>242</v>
      </c>
      <c r="B23" s="1" t="s">
        <v>116</v>
      </c>
      <c r="C23" s="1" t="s">
        <v>117</v>
      </c>
      <c r="D23" s="5">
        <f>SQRT((INDEX(Postes!$B$7:$B$117,MATCH(C23,Postes!$A$7:$A$117,0))-INDEX(Postes!$B$7:$B$117,MATCH(B23,Postes!$A$7:$A$117,0)))^2+(INDEX(Postes!$C$7:$C$117,MATCH(C23,Postes!$A$7:$A$117,0))-INDEX(Postes!$C$7:$C$117,MATCH(B23,Postes!$A$7:$A$117,0)))^2)</f>
        <v>48.166378315169183</v>
      </c>
      <c r="E23" s="5">
        <f>INDEX(Postes!$D$7:$D$117,MATCH(C23,Postes!$A$7:$A$117,0))+INDEX(Postes!$G$7:$G$117,MATCH(C23,Postes!$A$7:$A$117,0))-INDEX(Postes!$D$7:$D$117,MATCH(B23,Postes!$A$7:$A$117,0))-INDEX(Postes!$G$7:$G$117,MATCH(B23,Postes!$A$7:$A$117,0))</f>
        <v>2.3357816921919952</v>
      </c>
      <c r="F23" s="5">
        <f>Parametros!$E$8*Parametros!$E$9</f>
        <v>2205</v>
      </c>
      <c r="G23" s="5">
        <f>Parametros!$E$10/1000*Parametros!$E$11</f>
        <v>1.32389775</v>
      </c>
      <c r="H23" s="5">
        <f t="shared" si="0"/>
        <v>1665.5364811972829</v>
      </c>
      <c r="I23" s="5">
        <f t="shared" si="1"/>
        <v>4.8473353095153437E-2</v>
      </c>
      <c r="J23" s="5">
        <f t="shared" si="2"/>
        <v>-56.650948788350682</v>
      </c>
      <c r="K23" s="5">
        <f t="shared" si="3"/>
        <v>3.4013634302159951E-2</v>
      </c>
      <c r="L23" s="5">
        <f t="shared" si="4"/>
        <v>6.293307188814691E-2</v>
      </c>
      <c r="M23" s="5">
        <f t="shared" si="5"/>
        <v>48.224657301386422</v>
      </c>
      <c r="N23" s="5">
        <f>M23*Parametros!$E$5</f>
        <v>144.67397190415926</v>
      </c>
    </row>
    <row r="24" spans="1:14" ht="21" customHeight="1">
      <c r="A24" s="1" t="s">
        <v>243</v>
      </c>
      <c r="B24" s="1" t="s">
        <v>117</v>
      </c>
      <c r="C24" s="1" t="s">
        <v>118</v>
      </c>
      <c r="D24" s="5">
        <f>SQRT((INDEX(Postes!$B$7:$B$117,MATCH(C24,Postes!$A$7:$A$117,0))-INDEX(Postes!$B$7:$B$117,MATCH(B24,Postes!$A$7:$A$117,0)))^2+(INDEX(Postes!$C$7:$C$117,MATCH(C24,Postes!$A$7:$A$117,0))-INDEX(Postes!$C$7:$C$117,MATCH(B24,Postes!$A$7:$A$117,0)))^2)</f>
        <v>48.046408433492083</v>
      </c>
      <c r="E24" s="5">
        <f>INDEX(Postes!$D$7:$D$117,MATCH(C24,Postes!$A$7:$A$117,0))+INDEX(Postes!$G$7:$G$117,MATCH(C24,Postes!$A$7:$A$117,0))-INDEX(Postes!$D$7:$D$117,MATCH(B24,Postes!$A$7:$A$117,0))-INDEX(Postes!$G$7:$G$117,MATCH(B24,Postes!$A$7:$A$117,0))</f>
        <v>4.0813237124497395</v>
      </c>
      <c r="F24" s="5">
        <f>Parametros!$E$8*Parametros!$E$9</f>
        <v>2205</v>
      </c>
      <c r="G24" s="5">
        <f>Parametros!$E$10/1000*Parametros!$E$11</f>
        <v>1.32389775</v>
      </c>
      <c r="H24" s="5">
        <f t="shared" si="0"/>
        <v>1665.5364811972829</v>
      </c>
      <c r="I24" s="5">
        <f t="shared" si="1"/>
        <v>8.4840686806227653E-2</v>
      </c>
      <c r="J24" s="5">
        <f t="shared" si="2"/>
        <v>-117.28205474885912</v>
      </c>
      <c r="K24" s="5">
        <f t="shared" si="3"/>
        <v>7.0416983400177505E-2</v>
      </c>
      <c r="L24" s="5">
        <f t="shared" si="4"/>
        <v>9.9264390212277828E-2</v>
      </c>
      <c r="M24" s="5">
        <f t="shared" si="5"/>
        <v>48.221101784856145</v>
      </c>
      <c r="N24" s="5">
        <f>M24*Parametros!$E$5</f>
        <v>144.66330535456842</v>
      </c>
    </row>
    <row r="25" spans="1:14" ht="21" customHeight="1">
      <c r="A25" s="1" t="s">
        <v>244</v>
      </c>
      <c r="B25" s="1" t="s">
        <v>118</v>
      </c>
      <c r="C25" s="1" t="s">
        <v>119</v>
      </c>
      <c r="D25" s="5">
        <f>SQRT((INDEX(Postes!$B$7:$B$117,MATCH(C25,Postes!$A$7:$A$117,0))-INDEX(Postes!$B$7:$B$117,MATCH(B25,Postes!$A$7:$A$117,0)))^2+(INDEX(Postes!$C$7:$C$117,MATCH(C25,Postes!$A$7:$A$117,0))-INDEX(Postes!$C$7:$C$117,MATCH(B25,Postes!$A$7:$A$117,0)))^2)</f>
        <v>26</v>
      </c>
      <c r="E25" s="5">
        <f>INDEX(Postes!$D$7:$D$117,MATCH(C25,Postes!$A$7:$A$117,0))+INDEX(Postes!$G$7:$G$117,MATCH(C25,Postes!$A$7:$A$117,0))-INDEX(Postes!$D$7:$D$117,MATCH(B25,Postes!$A$7:$A$117,0))-INDEX(Postes!$G$7:$G$117,MATCH(B25,Postes!$A$7:$A$117,0))</f>
        <v>4.7957238281345784</v>
      </c>
      <c r="F25" s="5">
        <f>Parametros!$E$8*Parametros!$E$9</f>
        <v>2205</v>
      </c>
      <c r="G25" s="5">
        <f>Parametros!$E$10/1000*Parametros!$E$11</f>
        <v>1.32389775</v>
      </c>
      <c r="H25" s="5">
        <f t="shared" si="0"/>
        <v>1665.5364811972829</v>
      </c>
      <c r="I25" s="5">
        <f t="shared" si="1"/>
        <v>0.18341886795093099</v>
      </c>
      <c r="J25" s="5">
        <f t="shared" si="2"/>
        <v>-292.49081591218271</v>
      </c>
      <c r="K25" s="5">
        <f t="shared" si="3"/>
        <v>0.17561357509378814</v>
      </c>
      <c r="L25" s="5">
        <f t="shared" si="4"/>
        <v>0.19122416080807386</v>
      </c>
      <c r="M25" s="5">
        <f t="shared" si="5"/>
        <v>26.438848216951769</v>
      </c>
      <c r="N25" s="5">
        <f>M25*Parametros!$E$5</f>
        <v>79.316544650855306</v>
      </c>
    </row>
    <row r="26" spans="1:14" ht="21" customHeight="1">
      <c r="A26" s="1" t="s">
        <v>245</v>
      </c>
      <c r="B26" s="1" t="s">
        <v>119</v>
      </c>
      <c r="C26" s="1" t="s">
        <v>120</v>
      </c>
      <c r="D26" s="5">
        <f>SQRT((INDEX(Postes!$B$7:$B$117,MATCH(C26,Postes!$A$7:$A$117,0))-INDEX(Postes!$B$7:$B$117,MATCH(B26,Postes!$A$7:$A$117,0)))^2+(INDEX(Postes!$C$7:$C$117,MATCH(C26,Postes!$A$7:$A$117,0))-INDEX(Postes!$C$7:$C$117,MATCH(B26,Postes!$A$7:$A$117,0)))^2)</f>
        <v>26.305892875931811</v>
      </c>
      <c r="E26" s="5">
        <f>INDEX(Postes!$D$7:$D$117,MATCH(C26,Postes!$A$7:$A$117,0))+INDEX(Postes!$G$7:$G$117,MATCH(C26,Postes!$A$7:$A$117,0))-INDEX(Postes!$D$7:$D$117,MATCH(B26,Postes!$A$7:$A$117,0))-INDEX(Postes!$G$7:$G$117,MATCH(B26,Postes!$A$7:$A$117,0))</f>
        <v>2.9029364551719485</v>
      </c>
      <c r="F26" s="5">
        <f>Parametros!$E$8*Parametros!$E$9</f>
        <v>2205</v>
      </c>
      <c r="G26" s="5">
        <f>Parametros!$E$10/1000*Parametros!$E$11</f>
        <v>1.32389775</v>
      </c>
      <c r="H26" s="5">
        <f t="shared" si="0"/>
        <v>1665.5364811972829</v>
      </c>
      <c r="I26" s="5">
        <f t="shared" si="1"/>
        <v>0.11012918797166148</v>
      </c>
      <c r="J26" s="5">
        <f t="shared" si="2"/>
        <v>-170.27123377346928</v>
      </c>
      <c r="K26" s="5">
        <f t="shared" si="3"/>
        <v>0.10223206498068933</v>
      </c>
      <c r="L26" s="5">
        <f t="shared" si="4"/>
        <v>0.11802631096263362</v>
      </c>
      <c r="M26" s="5">
        <f t="shared" si="5"/>
        <v>26.465853955721986</v>
      </c>
      <c r="N26" s="5">
        <f>M26*Parametros!$E$5</f>
        <v>79.397561867165962</v>
      </c>
    </row>
    <row r="27" spans="1:14" ht="21" customHeight="1">
      <c r="A27" s="1" t="s">
        <v>246</v>
      </c>
      <c r="B27" s="1" t="s">
        <v>120</v>
      </c>
      <c r="C27" s="1" t="s">
        <v>121</v>
      </c>
      <c r="D27" s="5">
        <f>SQRT((INDEX(Postes!$B$7:$B$117,MATCH(C27,Postes!$A$7:$A$117,0))-INDEX(Postes!$B$7:$B$117,MATCH(B27,Postes!$A$7:$A$117,0)))^2+(INDEX(Postes!$C$7:$C$117,MATCH(C27,Postes!$A$7:$A$117,0))-INDEX(Postes!$C$7:$C$117,MATCH(B27,Postes!$A$7:$A$117,0)))^2)</f>
        <v>61.347824375699467</v>
      </c>
      <c r="E27" s="5">
        <f>INDEX(Postes!$D$7:$D$117,MATCH(C27,Postes!$A$7:$A$117,0))+INDEX(Postes!$G$7:$G$117,MATCH(C27,Postes!$A$7:$A$117,0))-INDEX(Postes!$D$7:$D$117,MATCH(B27,Postes!$A$7:$A$117,0))-INDEX(Postes!$G$7:$G$117,MATCH(B27,Postes!$A$7:$A$117,0))</f>
        <v>10.972472814822959</v>
      </c>
      <c r="F27" s="5">
        <f>Parametros!$E$8*Parametros!$E$9</f>
        <v>2205</v>
      </c>
      <c r="G27" s="5">
        <f>Parametros!$E$10/1000*Parametros!$E$11</f>
        <v>1.32389775</v>
      </c>
      <c r="H27" s="5">
        <f t="shared" si="0"/>
        <v>1665.5364811972829</v>
      </c>
      <c r="I27" s="5">
        <f t="shared" si="1"/>
        <v>0.17790667763767523</v>
      </c>
      <c r="J27" s="5">
        <f t="shared" si="2"/>
        <v>-265.6361496663032</v>
      </c>
      <c r="K27" s="5">
        <f t="shared" si="3"/>
        <v>0.15948984166071747</v>
      </c>
      <c r="L27" s="5">
        <f t="shared" si="4"/>
        <v>0.19632351361463299</v>
      </c>
      <c r="M27" s="5">
        <f t="shared" si="5"/>
        <v>62.324764275101685</v>
      </c>
      <c r="N27" s="5">
        <f>M27*Parametros!$E$5</f>
        <v>186.97429282530504</v>
      </c>
    </row>
    <row r="28" spans="1:14" ht="21" customHeight="1">
      <c r="A28" s="1" t="s">
        <v>247</v>
      </c>
      <c r="B28" s="1" t="s">
        <v>121</v>
      </c>
      <c r="C28" s="1" t="s">
        <v>122</v>
      </c>
      <c r="D28" s="5">
        <f>SQRT((INDEX(Postes!$B$7:$B$117,MATCH(C28,Postes!$A$7:$A$117,0))-INDEX(Postes!$B$7:$B$117,MATCH(B28,Postes!$A$7:$A$117,0)))^2+(INDEX(Postes!$C$7:$C$117,MATCH(C28,Postes!$A$7:$A$117,0))-INDEX(Postes!$C$7:$C$117,MATCH(B28,Postes!$A$7:$A$117,0)))^2)</f>
        <v>61.34782437383852</v>
      </c>
      <c r="E28" s="5">
        <f>INDEX(Postes!$D$7:$D$117,MATCH(C28,Postes!$A$7:$A$117,0))+INDEX(Postes!$G$7:$G$117,MATCH(C28,Postes!$A$7:$A$117,0))-INDEX(Postes!$D$7:$D$117,MATCH(B28,Postes!$A$7:$A$117,0))-INDEX(Postes!$G$7:$G$117,MATCH(B28,Postes!$A$7:$A$117,0))</f>
        <v>9.0160885470103498</v>
      </c>
      <c r="F28" s="5">
        <f>Parametros!$E$8*Parametros!$E$9</f>
        <v>2205</v>
      </c>
      <c r="G28" s="5">
        <f>Parametros!$E$10/1000*Parametros!$E$11</f>
        <v>1.32389775</v>
      </c>
      <c r="H28" s="5">
        <f t="shared" si="0"/>
        <v>1665.5364811972829</v>
      </c>
      <c r="I28" s="5">
        <f t="shared" si="1"/>
        <v>0.146434517030719</v>
      </c>
      <c r="J28" s="5">
        <f t="shared" si="2"/>
        <v>-213.21811803424805</v>
      </c>
      <c r="K28" s="5">
        <f t="shared" si="3"/>
        <v>0.1280176810543199</v>
      </c>
      <c r="L28" s="5">
        <f t="shared" si="4"/>
        <v>0.16485135300711809</v>
      </c>
      <c r="M28" s="5">
        <f t="shared" si="5"/>
        <v>62.010248626610952</v>
      </c>
      <c r="N28" s="5">
        <f>M28*Parametros!$E$5</f>
        <v>186.03074587983286</v>
      </c>
    </row>
    <row r="29" spans="1:14" ht="21" customHeight="1">
      <c r="A29" s="1" t="s">
        <v>248</v>
      </c>
      <c r="B29" s="1" t="s">
        <v>122</v>
      </c>
      <c r="C29" s="1" t="s">
        <v>123</v>
      </c>
      <c r="D29" s="5">
        <f>SQRT((INDEX(Postes!$B$7:$B$117,MATCH(C29,Postes!$A$7:$A$117,0))-INDEX(Postes!$B$7:$B$117,MATCH(B29,Postes!$A$7:$A$117,0)))^2+(INDEX(Postes!$C$7:$C$117,MATCH(C29,Postes!$A$7:$A$117,0))-INDEX(Postes!$C$7:$C$117,MATCH(B29,Postes!$A$7:$A$117,0)))^2)</f>
        <v>61.347824375699467</v>
      </c>
      <c r="E29" s="5">
        <f>INDEX(Postes!$D$7:$D$117,MATCH(C29,Postes!$A$7:$A$117,0))+INDEX(Postes!$G$7:$G$117,MATCH(C29,Postes!$A$7:$A$117,0))-INDEX(Postes!$D$7:$D$117,MATCH(B29,Postes!$A$7:$A$117,0))-INDEX(Postes!$G$7:$G$117,MATCH(B29,Postes!$A$7:$A$117,0))</f>
        <v>10.65956417599782</v>
      </c>
      <c r="F29" s="5">
        <f>Parametros!$E$8*Parametros!$E$9</f>
        <v>2205</v>
      </c>
      <c r="G29" s="5">
        <f>Parametros!$E$10/1000*Parametros!$E$11</f>
        <v>1.32389775</v>
      </c>
      <c r="H29" s="5">
        <f t="shared" si="0"/>
        <v>1665.5364811972829</v>
      </c>
      <c r="I29" s="5">
        <f t="shared" si="1"/>
        <v>0.17288386308082751</v>
      </c>
      <c r="J29" s="5">
        <f t="shared" si="2"/>
        <v>-257.27046878358459</v>
      </c>
      <c r="K29" s="5">
        <f t="shared" si="3"/>
        <v>0.15446702710386978</v>
      </c>
      <c r="L29" s="5">
        <f t="shared" si="4"/>
        <v>0.19130069905778527</v>
      </c>
      <c r="M29" s="5">
        <f t="shared" si="5"/>
        <v>62.270437534171592</v>
      </c>
      <c r="N29" s="5">
        <f>M29*Parametros!$E$5</f>
        <v>186.81131260251476</v>
      </c>
    </row>
    <row r="30" spans="1:14" ht="21" customHeight="1">
      <c r="A30" s="1" t="s">
        <v>249</v>
      </c>
      <c r="B30" s="1" t="s">
        <v>123</v>
      </c>
      <c r="C30" s="1" t="s">
        <v>124</v>
      </c>
      <c r="D30" s="5">
        <f>SQRT((INDEX(Postes!$B$7:$B$117,MATCH(C30,Postes!$A$7:$A$117,0))-INDEX(Postes!$B$7:$B$117,MATCH(B30,Postes!$A$7:$A$117,0)))^2+(INDEX(Postes!$C$7:$C$117,MATCH(C30,Postes!$A$7:$A$117,0))-INDEX(Postes!$C$7:$C$117,MATCH(B30,Postes!$A$7:$A$117,0)))^2)</f>
        <v>73.109506905736964</v>
      </c>
      <c r="E30" s="5">
        <f>INDEX(Postes!$D$7:$D$117,MATCH(C30,Postes!$A$7:$A$117,0))+INDEX(Postes!$G$7:$G$117,MATCH(C30,Postes!$A$7:$A$117,0))-INDEX(Postes!$D$7:$D$117,MATCH(B30,Postes!$A$7:$A$117,0))-INDEX(Postes!$G$7:$G$117,MATCH(B30,Postes!$A$7:$A$117,0))</f>
        <v>-2.1172683251672435</v>
      </c>
      <c r="F30" s="5">
        <f>Parametros!$E$8*Parametros!$E$9</f>
        <v>2205</v>
      </c>
      <c r="G30" s="5">
        <f>Parametros!$E$10/1000*Parametros!$E$11</f>
        <v>1.32389775</v>
      </c>
      <c r="H30" s="5">
        <f t="shared" si="0"/>
        <v>1665.5364811972829</v>
      </c>
      <c r="I30" s="5">
        <f t="shared" si="1"/>
        <v>-2.89538620577665E-2</v>
      </c>
      <c r="J30" s="5">
        <f t="shared" si="2"/>
        <v>84.77846698163242</v>
      </c>
      <c r="K30" s="5">
        <f t="shared" si="3"/>
        <v>-5.0901597136250538E-2</v>
      </c>
      <c r="L30" s="5">
        <f t="shared" si="4"/>
        <v>-7.0061269792824586E-3</v>
      </c>
      <c r="M30" s="5">
        <f t="shared" si="5"/>
        <v>73.146025965848807</v>
      </c>
      <c r="N30" s="5">
        <f>M30*Parametros!$E$5</f>
        <v>219.43807789754641</v>
      </c>
    </row>
    <row r="31" spans="1:14" ht="21" customHeight="1">
      <c r="A31" s="1" t="s">
        <v>250</v>
      </c>
      <c r="B31" s="1" t="s">
        <v>124</v>
      </c>
      <c r="C31" s="1" t="s">
        <v>125</v>
      </c>
      <c r="D31" s="5">
        <f>SQRT((INDEX(Postes!$B$7:$B$117,MATCH(C31,Postes!$A$7:$A$117,0))-INDEX(Postes!$B$7:$B$117,MATCH(B31,Postes!$A$7:$A$117,0)))^2+(INDEX(Postes!$C$7:$C$117,MATCH(C31,Postes!$A$7:$A$117,0))-INDEX(Postes!$C$7:$C$117,MATCH(B31,Postes!$A$7:$A$117,0)))^2)</f>
        <v>73.109506905736964</v>
      </c>
      <c r="E31" s="5">
        <f>INDEX(Postes!$D$7:$D$117,MATCH(C31,Postes!$A$7:$A$117,0))+INDEX(Postes!$G$7:$G$117,MATCH(C31,Postes!$A$7:$A$117,0))-INDEX(Postes!$D$7:$D$117,MATCH(B31,Postes!$A$7:$A$117,0))-INDEX(Postes!$G$7:$G$117,MATCH(B31,Postes!$A$7:$A$117,0))</f>
        <v>1.4915868748210404</v>
      </c>
      <c r="F31" s="5">
        <f>Parametros!$E$8*Parametros!$E$9</f>
        <v>2205</v>
      </c>
      <c r="G31" s="5">
        <f>Parametros!$E$10/1000*Parametros!$E$11</f>
        <v>1.32389775</v>
      </c>
      <c r="H31" s="5">
        <f t="shared" si="0"/>
        <v>1665.5364811972829</v>
      </c>
      <c r="I31" s="5">
        <f t="shared" si="1"/>
        <v>2.039903920769158E-2</v>
      </c>
      <c r="J31" s="5">
        <f t="shared" si="2"/>
        <v>2.5794094710844391</v>
      </c>
      <c r="K31" s="5">
        <f t="shared" si="3"/>
        <v>-1.5486958707924619E-3</v>
      </c>
      <c r="L31" s="5">
        <f t="shared" si="4"/>
        <v>4.2346774286175622E-2</v>
      </c>
      <c r="M31" s="5">
        <f t="shared" si="5"/>
        <v>73.130589501528092</v>
      </c>
      <c r="N31" s="5">
        <f>M31*Parametros!$E$5</f>
        <v>219.39176850458426</v>
      </c>
    </row>
    <row r="32" spans="1:14" ht="21" customHeight="1">
      <c r="A32" s="1" t="s">
        <v>251</v>
      </c>
      <c r="B32" s="1" t="s">
        <v>125</v>
      </c>
      <c r="C32" s="1" t="s">
        <v>126</v>
      </c>
      <c r="D32" s="5">
        <f>SQRT((INDEX(Postes!$B$7:$B$117,MATCH(C32,Postes!$A$7:$A$117,0))-INDEX(Postes!$B$7:$B$117,MATCH(B32,Postes!$A$7:$A$117,0)))^2+(INDEX(Postes!$C$7:$C$117,MATCH(C32,Postes!$A$7:$A$117,0))-INDEX(Postes!$C$7:$C$117,MATCH(B32,Postes!$A$7:$A$117,0)))^2)</f>
        <v>73.109506905736964</v>
      </c>
      <c r="E32" s="5">
        <f>INDEX(Postes!$D$7:$D$117,MATCH(C32,Postes!$A$7:$A$117,0))+INDEX(Postes!$G$7:$G$117,MATCH(C32,Postes!$A$7:$A$117,0))-INDEX(Postes!$D$7:$D$117,MATCH(B32,Postes!$A$7:$A$117,0))-INDEX(Postes!$G$7:$G$117,MATCH(B32,Postes!$A$7:$A$117,0))</f>
        <v>6.834527663877088</v>
      </c>
      <c r="F32" s="5">
        <f>Parametros!$E$8*Parametros!$E$9</f>
        <v>2205</v>
      </c>
      <c r="G32" s="5">
        <f>Parametros!$E$10/1000*Parametros!$E$11</f>
        <v>1.32389775</v>
      </c>
      <c r="H32" s="5">
        <f t="shared" si="0"/>
        <v>1665.5364811972829</v>
      </c>
      <c r="I32" s="5">
        <f t="shared" si="1"/>
        <v>9.3340332134672591E-2</v>
      </c>
      <c r="J32" s="5">
        <f t="shared" si="2"/>
        <v>-118.90697488449979</v>
      </c>
      <c r="K32" s="5">
        <f t="shared" si="3"/>
        <v>7.1392597056188556E-2</v>
      </c>
      <c r="L32" s="5">
        <f t="shared" si="4"/>
        <v>0.11528806721315664</v>
      </c>
      <c r="M32" s="5">
        <f t="shared" si="5"/>
        <v>73.434113719879363</v>
      </c>
      <c r="N32" s="5">
        <f>M32*Parametros!$E$5</f>
        <v>220.3023411596381</v>
      </c>
    </row>
    <row r="33" spans="1:14" ht="21" customHeight="1">
      <c r="A33" s="1" t="s">
        <v>252</v>
      </c>
      <c r="B33" s="1" t="s">
        <v>126</v>
      </c>
      <c r="C33" s="1" t="s">
        <v>127</v>
      </c>
      <c r="D33" s="5">
        <f>SQRT((INDEX(Postes!$B$7:$B$117,MATCH(C33,Postes!$A$7:$A$117,0))-INDEX(Postes!$B$7:$B$117,MATCH(B33,Postes!$A$7:$A$117,0)))^2+(INDEX(Postes!$C$7:$C$117,MATCH(C33,Postes!$A$7:$A$117,0))-INDEX(Postes!$C$7:$C$117,MATCH(B33,Postes!$A$7:$A$117,0)))^2)</f>
        <v>73.109506905736964</v>
      </c>
      <c r="E33" s="5">
        <f>INDEX(Postes!$D$7:$D$117,MATCH(C33,Postes!$A$7:$A$117,0))+INDEX(Postes!$G$7:$G$117,MATCH(C33,Postes!$A$7:$A$117,0))-INDEX(Postes!$D$7:$D$117,MATCH(B33,Postes!$A$7:$A$117,0))-INDEX(Postes!$G$7:$G$117,MATCH(B33,Postes!$A$7:$A$117,0))</f>
        <v>8.1831018882727218</v>
      </c>
      <c r="F33" s="5">
        <f>Parametros!$E$8*Parametros!$E$9</f>
        <v>2205</v>
      </c>
      <c r="G33" s="5">
        <f>Parametros!$E$10/1000*Parametros!$E$11</f>
        <v>1.32389775</v>
      </c>
      <c r="H33" s="5">
        <f t="shared" si="0"/>
        <v>1665.5364811972829</v>
      </c>
      <c r="I33" s="5">
        <f t="shared" si="1"/>
        <v>0.11168804744811908</v>
      </c>
      <c r="J33" s="5">
        <f t="shared" si="2"/>
        <v>-149.46576408566693</v>
      </c>
      <c r="K33" s="5">
        <f t="shared" si="3"/>
        <v>8.9740312369635034E-2</v>
      </c>
      <c r="L33" s="5">
        <f t="shared" si="4"/>
        <v>0.1336357825266031</v>
      </c>
      <c r="M33" s="5">
        <f t="shared" si="5"/>
        <v>73.571879450981228</v>
      </c>
      <c r="N33" s="5">
        <f>M33*Parametros!$E$5</f>
        <v>220.7156383529437</v>
      </c>
    </row>
    <row r="34" spans="1:14" ht="21" customHeight="1">
      <c r="A34" s="1" t="s">
        <v>253</v>
      </c>
      <c r="B34" s="1" t="s">
        <v>127</v>
      </c>
      <c r="C34" s="1" t="s">
        <v>128</v>
      </c>
      <c r="D34" s="5">
        <f>SQRT((INDEX(Postes!$B$7:$B$117,MATCH(C34,Postes!$A$7:$A$117,0))-INDEX(Postes!$B$7:$B$117,MATCH(B34,Postes!$A$7:$A$117,0)))^2+(INDEX(Postes!$C$7:$C$117,MATCH(C34,Postes!$A$7:$A$117,0))-INDEX(Postes!$C$7:$C$117,MATCH(B34,Postes!$A$7:$A$117,0)))^2)</f>
        <v>59.012595568568983</v>
      </c>
      <c r="E34" s="5">
        <f>INDEX(Postes!$D$7:$D$117,MATCH(C34,Postes!$A$7:$A$117,0))+INDEX(Postes!$G$7:$G$117,MATCH(C34,Postes!$A$7:$A$117,0))-INDEX(Postes!$D$7:$D$117,MATCH(B34,Postes!$A$7:$A$117,0))-INDEX(Postes!$G$7:$G$117,MATCH(B34,Postes!$A$7:$A$117,0))</f>
        <v>5.3158179466050566</v>
      </c>
      <c r="F34" s="5">
        <f>Parametros!$E$8*Parametros!$E$9</f>
        <v>2205</v>
      </c>
      <c r="G34" s="5">
        <f>Parametros!$E$10/1000*Parametros!$E$11</f>
        <v>1.32389775</v>
      </c>
      <c r="H34" s="5">
        <f t="shared" si="0"/>
        <v>1665.5364811972829</v>
      </c>
      <c r="I34" s="5">
        <f t="shared" si="1"/>
        <v>8.9953306939668132E-2</v>
      </c>
      <c r="J34" s="5">
        <f t="shared" si="2"/>
        <v>-120.31421652806949</v>
      </c>
      <c r="K34" s="5">
        <f t="shared" si="3"/>
        <v>7.2237514990713833E-2</v>
      </c>
      <c r="L34" s="5">
        <f t="shared" si="4"/>
        <v>0.10766909888862243</v>
      </c>
      <c r="M34" s="5">
        <f t="shared" si="5"/>
        <v>59.254609075741499</v>
      </c>
      <c r="N34" s="5">
        <f>M34*Parametros!$E$5</f>
        <v>177.76382722722451</v>
      </c>
    </row>
    <row r="35" spans="1:14" ht="21" customHeight="1">
      <c r="A35" s="1" t="s">
        <v>254</v>
      </c>
      <c r="B35" s="1" t="s">
        <v>128</v>
      </c>
      <c r="C35" s="1" t="s">
        <v>129</v>
      </c>
      <c r="D35" s="5">
        <f>SQRT((INDEX(Postes!$B$7:$B$117,MATCH(C35,Postes!$A$7:$A$117,0))-INDEX(Postes!$B$7:$B$117,MATCH(B35,Postes!$A$7:$A$117,0)))^2+(INDEX(Postes!$C$7:$C$117,MATCH(C35,Postes!$A$7:$A$117,0))-INDEX(Postes!$C$7:$C$117,MATCH(B35,Postes!$A$7:$A$117,0)))^2)</f>
        <v>14.142135623730951</v>
      </c>
      <c r="E35" s="5">
        <f>INDEX(Postes!$D$7:$D$117,MATCH(C35,Postes!$A$7:$A$117,0))+INDEX(Postes!$G$7:$G$117,MATCH(C35,Postes!$A$7:$A$117,0))-INDEX(Postes!$D$7:$D$117,MATCH(B35,Postes!$A$7:$A$117,0))-INDEX(Postes!$G$7:$G$117,MATCH(B35,Postes!$A$7:$A$117,0))</f>
        <v>3.3493208478552337</v>
      </c>
      <c r="F35" s="5">
        <f>Parametros!$E$8*Parametros!$E$9</f>
        <v>2205</v>
      </c>
      <c r="G35" s="5">
        <f>Parametros!$E$10/1000*Parametros!$E$11</f>
        <v>1.32389775</v>
      </c>
      <c r="H35" s="5">
        <f t="shared" si="0"/>
        <v>1665.5364811972829</v>
      </c>
      <c r="I35" s="5">
        <f t="shared" si="1"/>
        <v>0.2346721588859349</v>
      </c>
      <c r="J35" s="5">
        <f t="shared" si="2"/>
        <v>-383.78397393398421</v>
      </c>
      <c r="K35" s="5">
        <f t="shared" si="3"/>
        <v>0.23042663926406365</v>
      </c>
      <c r="L35" s="5">
        <f t="shared" si="4"/>
        <v>0.23891767850780615</v>
      </c>
      <c r="M35" s="5">
        <f t="shared" si="5"/>
        <v>14.533380603764806</v>
      </c>
      <c r="N35" s="5">
        <f>M35*Parametros!$E$5</f>
        <v>43.600141811294421</v>
      </c>
    </row>
    <row r="36" spans="1:14" ht="21" customHeight="1">
      <c r="A36" s="1" t="s">
        <v>255</v>
      </c>
      <c r="B36" s="1" t="s">
        <v>129</v>
      </c>
      <c r="C36" s="1" t="s">
        <v>130</v>
      </c>
      <c r="D36" s="5">
        <f>SQRT((INDEX(Postes!$B$7:$B$117,MATCH(C36,Postes!$A$7:$A$117,0))-INDEX(Postes!$B$7:$B$117,MATCH(B36,Postes!$A$7:$A$117,0)))^2+(INDEX(Postes!$C$7:$C$117,MATCH(C36,Postes!$A$7:$A$117,0))-INDEX(Postes!$C$7:$C$117,MATCH(B36,Postes!$A$7:$A$117,0)))^2)</f>
        <v>81.902190215339289</v>
      </c>
      <c r="E36" s="5">
        <f>INDEX(Postes!$D$7:$D$117,MATCH(C36,Postes!$A$7:$A$117,0))+INDEX(Postes!$G$7:$G$117,MATCH(C36,Postes!$A$7:$A$117,0))-INDEX(Postes!$D$7:$D$117,MATCH(B36,Postes!$A$7:$A$117,0))-INDEX(Postes!$G$7:$G$117,MATCH(B36,Postes!$A$7:$A$117,0))</f>
        <v>8.1223595830993869</v>
      </c>
      <c r="F36" s="5">
        <f>Parametros!$E$8*Parametros!$E$9</f>
        <v>2205</v>
      </c>
      <c r="G36" s="5">
        <f>Parametros!$E$10/1000*Parametros!$E$11</f>
        <v>1.32389775</v>
      </c>
      <c r="H36" s="5">
        <f t="shared" si="0"/>
        <v>1665.5364811972829</v>
      </c>
      <c r="I36" s="5">
        <f t="shared" si="1"/>
        <v>9.8999671998642125E-2</v>
      </c>
      <c r="J36" s="5">
        <f t="shared" si="2"/>
        <v>-123.93647023263394</v>
      </c>
      <c r="K36" s="5">
        <f t="shared" si="3"/>
        <v>7.4412341988175076E-2</v>
      </c>
      <c r="L36" s="5">
        <f t="shared" si="4"/>
        <v>0.12358700200910916</v>
      </c>
      <c r="M36" s="5">
        <f t="shared" si="5"/>
        <v>82.312170024921372</v>
      </c>
      <c r="N36" s="5">
        <f>M36*Parametros!$E$5</f>
        <v>246.9365100747641</v>
      </c>
    </row>
    <row r="37" spans="1:14" ht="21" customHeight="1">
      <c r="A37" s="1" t="s">
        <v>256</v>
      </c>
      <c r="B37" s="1" t="s">
        <v>130</v>
      </c>
      <c r="C37" s="1" t="s">
        <v>131</v>
      </c>
      <c r="D37" s="5">
        <f>SQRT((INDEX(Postes!$B$7:$B$117,MATCH(C37,Postes!$A$7:$A$117,0))-INDEX(Postes!$B$7:$B$117,MATCH(B37,Postes!$A$7:$A$117,0)))^2+(INDEX(Postes!$C$7:$C$117,MATCH(C37,Postes!$A$7:$A$117,0))-INDEX(Postes!$C$7:$C$117,MATCH(B37,Postes!$A$7:$A$117,0)))^2)</f>
        <v>81.902190215339289</v>
      </c>
      <c r="E37" s="5">
        <f>INDEX(Postes!$D$7:$D$117,MATCH(C37,Postes!$A$7:$A$117,0))+INDEX(Postes!$G$7:$G$117,MATCH(C37,Postes!$A$7:$A$117,0))-INDEX(Postes!$D$7:$D$117,MATCH(B37,Postes!$A$7:$A$117,0))-INDEX(Postes!$G$7:$G$117,MATCH(B37,Postes!$A$7:$A$117,0))</f>
        <v>4.3465797736201228</v>
      </c>
      <c r="F37" s="5">
        <f>Parametros!$E$8*Parametros!$E$9</f>
        <v>2205</v>
      </c>
      <c r="G37" s="5">
        <f>Parametros!$E$10/1000*Parametros!$E$11</f>
        <v>1.32389775</v>
      </c>
      <c r="H37" s="5">
        <f t="shared" si="0"/>
        <v>1665.5364811972829</v>
      </c>
      <c r="I37" s="5">
        <f t="shared" si="1"/>
        <v>5.3040153312027993E-2</v>
      </c>
      <c r="J37" s="5">
        <f t="shared" si="2"/>
        <v>-47.389215201809876</v>
      </c>
      <c r="K37" s="5">
        <f t="shared" si="3"/>
        <v>2.8452823301560945E-2</v>
      </c>
      <c r="L37" s="5">
        <f t="shared" si="4"/>
        <v>7.7627483322495056E-2</v>
      </c>
      <c r="M37" s="5">
        <f t="shared" si="5"/>
        <v>82.025687225056785</v>
      </c>
      <c r="N37" s="5">
        <f>M37*Parametros!$E$5</f>
        <v>246.07706167517034</v>
      </c>
    </row>
    <row r="38" spans="1:14" ht="21" customHeight="1">
      <c r="A38" s="1" t="s">
        <v>257</v>
      </c>
      <c r="B38" s="1" t="s">
        <v>131</v>
      </c>
      <c r="C38" s="1" t="s">
        <v>132</v>
      </c>
      <c r="D38" s="5">
        <f>SQRT((INDEX(Postes!$B$7:$B$117,MATCH(C38,Postes!$A$7:$A$117,0))-INDEX(Postes!$B$7:$B$117,MATCH(B38,Postes!$A$7:$A$117,0)))^2+(INDEX(Postes!$C$7:$C$117,MATCH(C38,Postes!$A$7:$A$117,0))-INDEX(Postes!$C$7:$C$117,MATCH(B38,Postes!$A$7:$A$117,0)))^2)</f>
        <v>73.45981992435587</v>
      </c>
      <c r="E38" s="5">
        <f>INDEX(Postes!$D$7:$D$117,MATCH(C38,Postes!$A$7:$A$117,0))+INDEX(Postes!$G$7:$G$117,MATCH(C38,Postes!$A$7:$A$117,0))-INDEX(Postes!$D$7:$D$117,MATCH(B38,Postes!$A$7:$A$117,0))-INDEX(Postes!$G$7:$G$117,MATCH(B38,Postes!$A$7:$A$117,0))</f>
        <v>4.6719012335839576</v>
      </c>
      <c r="F38" s="5">
        <f>Parametros!$E$8*Parametros!$E$9</f>
        <v>2205</v>
      </c>
      <c r="G38" s="5">
        <f>Parametros!$E$10/1000*Parametros!$E$11</f>
        <v>1.32389775</v>
      </c>
      <c r="H38" s="5">
        <f t="shared" si="0"/>
        <v>1665.5364811972829</v>
      </c>
      <c r="I38" s="5">
        <f t="shared" si="1"/>
        <v>6.355011004450431E-2</v>
      </c>
      <c r="J38" s="5">
        <f t="shared" si="2"/>
        <v>-69.115116701045878</v>
      </c>
      <c r="K38" s="5">
        <f t="shared" si="3"/>
        <v>4.1497209746712949E-2</v>
      </c>
      <c r="L38" s="5">
        <f t="shared" si="4"/>
        <v>8.5603010342295657E-2</v>
      </c>
      <c r="M38" s="5">
        <f t="shared" si="5"/>
        <v>73.614174337788455</v>
      </c>
      <c r="N38" s="5">
        <f>M38*Parametros!$E$5</f>
        <v>220.84252301336537</v>
      </c>
    </row>
    <row r="39" spans="1:14" ht="21" customHeight="1">
      <c r="A39" s="1" t="s">
        <v>258</v>
      </c>
      <c r="B39" s="1" t="s">
        <v>132</v>
      </c>
      <c r="C39" s="1" t="s">
        <v>133</v>
      </c>
      <c r="D39" s="5">
        <f>SQRT((INDEX(Postes!$B$7:$B$117,MATCH(C39,Postes!$A$7:$A$117,0))-INDEX(Postes!$B$7:$B$117,MATCH(B39,Postes!$A$7:$A$117,0)))^2+(INDEX(Postes!$C$7:$C$117,MATCH(C39,Postes!$A$7:$A$117,0))-INDEX(Postes!$C$7:$C$117,MATCH(B39,Postes!$A$7:$A$117,0)))^2)</f>
        <v>73.459819922496436</v>
      </c>
      <c r="E39" s="5">
        <f>INDEX(Postes!$D$7:$D$117,MATCH(C39,Postes!$A$7:$A$117,0))+INDEX(Postes!$G$7:$G$117,MATCH(C39,Postes!$A$7:$A$117,0))-INDEX(Postes!$D$7:$D$117,MATCH(B39,Postes!$A$7:$A$117,0))-INDEX(Postes!$G$7:$G$117,MATCH(B39,Postes!$A$7:$A$117,0))</f>
        <v>7.6782406783882831</v>
      </c>
      <c r="F39" s="5">
        <f>Parametros!$E$8*Parametros!$E$9</f>
        <v>2205</v>
      </c>
      <c r="G39" s="5">
        <f>Parametros!$E$10/1000*Parametros!$E$11</f>
        <v>1.32389775</v>
      </c>
      <c r="H39" s="5">
        <f t="shared" ref="H39:H70" si="6">F39/G39</f>
        <v>1665.5364811972829</v>
      </c>
      <c r="I39" s="5">
        <f t="shared" ref="I39:I70" si="7">ASINH(E39/(2*H39*SINH(D39/(2*H39))))</f>
        <v>0.10432518284533474</v>
      </c>
      <c r="J39" s="5">
        <f t="shared" ref="J39:J70" si="8">D39/2-H39*I39</f>
        <v>-137.02748797523375</v>
      </c>
      <c r="K39" s="5">
        <f t="shared" ref="K39:K70" si="9">-J39/H39</f>
        <v>8.2272282548101594E-2</v>
      </c>
      <c r="L39" s="5">
        <f t="shared" ref="L39:L70" si="10">(D39-J39)/H39</f>
        <v>0.1263780831425679</v>
      </c>
      <c r="M39" s="5">
        <f t="shared" ref="M39:M70" si="11">H39*(SINH(L39)-SINH(K39))</f>
        <v>73.865928424002973</v>
      </c>
      <c r="N39" s="5">
        <f>M39*Parametros!$E$5</f>
        <v>221.59778527200893</v>
      </c>
    </row>
    <row r="40" spans="1:14" ht="21" customHeight="1">
      <c r="A40" s="1" t="s">
        <v>259</v>
      </c>
      <c r="B40" s="1" t="s">
        <v>133</v>
      </c>
      <c r="C40" s="1" t="s">
        <v>134</v>
      </c>
      <c r="D40" s="5">
        <f>SQRT((INDEX(Postes!$B$7:$B$117,MATCH(C40,Postes!$A$7:$A$117,0))-INDEX(Postes!$B$7:$B$117,MATCH(B40,Postes!$A$7:$A$117,0)))^2+(INDEX(Postes!$C$7:$C$117,MATCH(C40,Postes!$A$7:$A$117,0))-INDEX(Postes!$C$7:$C$117,MATCH(B40,Postes!$A$7:$A$117,0)))^2)</f>
        <v>73.45981992435587</v>
      </c>
      <c r="E40" s="5">
        <f>INDEX(Postes!$D$7:$D$117,MATCH(C40,Postes!$A$7:$A$117,0))+INDEX(Postes!$G$7:$G$117,MATCH(C40,Postes!$A$7:$A$117,0))-INDEX(Postes!$D$7:$D$117,MATCH(B40,Postes!$A$7:$A$117,0))-INDEX(Postes!$G$7:$G$117,MATCH(B40,Postes!$A$7:$A$117,0))</f>
        <v>0.16597951122557753</v>
      </c>
      <c r="F40" s="5">
        <f>Parametros!$E$8*Parametros!$E$9</f>
        <v>2205</v>
      </c>
      <c r="G40" s="5">
        <f>Parametros!$E$10/1000*Parametros!$E$11</f>
        <v>1.32389775</v>
      </c>
      <c r="H40" s="5">
        <f t="shared" si="6"/>
        <v>1665.5364811972829</v>
      </c>
      <c r="I40" s="5">
        <f t="shared" si="7"/>
        <v>2.2592747639249709E-3</v>
      </c>
      <c r="J40" s="5">
        <f t="shared" si="8"/>
        <v>32.967005421812516</v>
      </c>
      <c r="K40" s="5">
        <f t="shared" si="9"/>
        <v>-1.9793625533866387E-2</v>
      </c>
      <c r="L40" s="5">
        <f t="shared" si="10"/>
        <v>2.4312175061716332E-2</v>
      </c>
      <c r="M40" s="5">
        <f t="shared" si="11"/>
        <v>73.465961856468567</v>
      </c>
      <c r="N40" s="5">
        <f>M40*Parametros!$E$5</f>
        <v>220.3978855694057</v>
      </c>
    </row>
    <row r="41" spans="1:14" ht="21" customHeight="1">
      <c r="A41" s="1" t="s">
        <v>260</v>
      </c>
      <c r="B41" s="1" t="s">
        <v>134</v>
      </c>
      <c r="C41" s="1" t="s">
        <v>135</v>
      </c>
      <c r="D41" s="5">
        <f>SQRT((INDEX(Postes!$B$7:$B$117,MATCH(C41,Postes!$A$7:$A$117,0))-INDEX(Postes!$B$7:$B$117,MATCH(B41,Postes!$A$7:$A$117,0)))^2+(INDEX(Postes!$C$7:$C$117,MATCH(C41,Postes!$A$7:$A$117,0))-INDEX(Postes!$C$7:$C$117,MATCH(B41,Postes!$A$7:$A$117,0)))^2)</f>
        <v>24.944421668585925</v>
      </c>
      <c r="E41" s="5">
        <f>INDEX(Postes!$D$7:$D$117,MATCH(C41,Postes!$A$7:$A$117,0))+INDEX(Postes!$G$7:$G$117,MATCH(C41,Postes!$A$7:$A$117,0))-INDEX(Postes!$D$7:$D$117,MATCH(B41,Postes!$A$7:$A$117,0))-INDEX(Postes!$G$7:$G$117,MATCH(B41,Postes!$A$7:$A$117,0))</f>
        <v>7.4534711845425594</v>
      </c>
      <c r="F41" s="5">
        <f>Parametros!$E$8*Parametros!$E$9</f>
        <v>2205</v>
      </c>
      <c r="G41" s="5">
        <f>Parametros!$E$10/1000*Parametros!$E$11</f>
        <v>1.32389775</v>
      </c>
      <c r="H41" s="5">
        <f t="shared" si="6"/>
        <v>1665.5364811972829</v>
      </c>
      <c r="I41" s="5">
        <f t="shared" si="7"/>
        <v>0.29452378636946308</v>
      </c>
      <c r="J41" s="5">
        <f t="shared" si="8"/>
        <v>-478.06789994440282</v>
      </c>
      <c r="K41" s="5">
        <f t="shared" si="9"/>
        <v>0.28703538189733335</v>
      </c>
      <c r="L41" s="5">
        <f t="shared" si="10"/>
        <v>0.30201219084159281</v>
      </c>
      <c r="M41" s="5">
        <f t="shared" si="11"/>
        <v>26.034401007551782</v>
      </c>
      <c r="N41" s="5">
        <f>M41*Parametros!$E$5</f>
        <v>78.10320302265535</v>
      </c>
    </row>
    <row r="42" spans="1:14" ht="21" customHeight="1">
      <c r="A42" s="1" t="s">
        <v>261</v>
      </c>
      <c r="B42" s="1" t="s">
        <v>135</v>
      </c>
      <c r="C42" s="1" t="s">
        <v>136</v>
      </c>
      <c r="D42" s="5">
        <f>SQRT((INDEX(Postes!$B$7:$B$117,MATCH(C42,Postes!$A$7:$A$117,0))-INDEX(Postes!$B$7:$B$117,MATCH(B42,Postes!$A$7:$A$117,0)))^2+(INDEX(Postes!$C$7:$C$117,MATCH(C42,Postes!$A$7:$A$117,0))-INDEX(Postes!$C$7:$C$117,MATCH(B42,Postes!$A$7:$A$117,0)))^2)</f>
        <v>20.005335251785709</v>
      </c>
      <c r="E42" s="5">
        <f>INDEX(Postes!$D$7:$D$117,MATCH(C42,Postes!$A$7:$A$117,0))+INDEX(Postes!$G$7:$G$117,MATCH(C42,Postes!$A$7:$A$117,0))-INDEX(Postes!$D$7:$D$117,MATCH(B42,Postes!$A$7:$A$117,0))-INDEX(Postes!$G$7:$G$117,MATCH(B42,Postes!$A$7:$A$117,0))</f>
        <v>12.595031421580098</v>
      </c>
      <c r="F42" s="5">
        <f>Parametros!$E$8*Parametros!$E$9</f>
        <v>2205</v>
      </c>
      <c r="G42" s="5">
        <f>Parametros!$E$10/1000*Parametros!$E$11</f>
        <v>1.32389775</v>
      </c>
      <c r="H42" s="5">
        <f t="shared" si="6"/>
        <v>1665.5364811972829</v>
      </c>
      <c r="I42" s="5">
        <f t="shared" si="7"/>
        <v>0.59402338134644472</v>
      </c>
      <c r="J42" s="5">
        <f t="shared" si="8"/>
        <v>-979.36494469077638</v>
      </c>
      <c r="K42" s="5">
        <f t="shared" si="9"/>
        <v>0.58801770825623279</v>
      </c>
      <c r="L42" s="5">
        <f t="shared" si="10"/>
        <v>0.60002905443665666</v>
      </c>
      <c r="M42" s="5">
        <f t="shared" si="11"/>
        <v>23.640073323012526</v>
      </c>
      <c r="N42" s="5">
        <f>M42*Parametros!$E$5</f>
        <v>70.920219969037575</v>
      </c>
    </row>
    <row r="43" spans="1:14" ht="21" customHeight="1">
      <c r="A43" s="1" t="s">
        <v>262</v>
      </c>
      <c r="B43" s="1" t="s">
        <v>136</v>
      </c>
      <c r="C43" s="1" t="s">
        <v>137</v>
      </c>
      <c r="D43" s="5">
        <f>SQRT((INDEX(Postes!$B$7:$B$117,MATCH(C43,Postes!$A$7:$A$117,0))-INDEX(Postes!$B$7:$B$117,MATCH(B43,Postes!$A$7:$A$117,0)))^2+(INDEX(Postes!$C$7:$C$117,MATCH(C43,Postes!$A$7:$A$117,0))-INDEX(Postes!$C$7:$C$117,MATCH(B43,Postes!$A$7:$A$117,0)))^2)</f>
        <v>30.417067950342648</v>
      </c>
      <c r="E43" s="5">
        <f>INDEX(Postes!$D$7:$D$117,MATCH(C43,Postes!$A$7:$A$117,0))+INDEX(Postes!$G$7:$G$117,MATCH(C43,Postes!$A$7:$A$117,0))-INDEX(Postes!$D$7:$D$117,MATCH(B43,Postes!$A$7:$A$117,0))-INDEX(Postes!$G$7:$G$117,MATCH(B43,Postes!$A$7:$A$117,0))</f>
        <v>20.647355256554327</v>
      </c>
      <c r="F43" s="5">
        <f>Parametros!$E$8*Parametros!$E$9</f>
        <v>2205</v>
      </c>
      <c r="G43" s="5">
        <f>Parametros!$E$10/1000*Parametros!$E$11</f>
        <v>1.32389775</v>
      </c>
      <c r="H43" s="5">
        <f t="shared" si="6"/>
        <v>1665.5364811972829</v>
      </c>
      <c r="I43" s="5">
        <f t="shared" si="7"/>
        <v>0.63521136388067911</v>
      </c>
      <c r="J43" s="5">
        <f t="shared" si="8"/>
        <v>-1042.7591658391818</v>
      </c>
      <c r="K43" s="5">
        <f t="shared" si="9"/>
        <v>0.62608005144960077</v>
      </c>
      <c r="L43" s="5">
        <f t="shared" si="10"/>
        <v>0.64434267631175757</v>
      </c>
      <c r="M43" s="5">
        <f t="shared" si="11"/>
        <v>36.763256339398602</v>
      </c>
      <c r="N43" s="5">
        <f>M43*Parametros!$E$5</f>
        <v>110.28976901819581</v>
      </c>
    </row>
    <row r="44" spans="1:14" ht="21" customHeight="1">
      <c r="A44" s="1" t="s">
        <v>263</v>
      </c>
      <c r="B44" s="1" t="s">
        <v>137</v>
      </c>
      <c r="C44" s="1" t="s">
        <v>138</v>
      </c>
      <c r="D44" s="5">
        <f>SQRT((INDEX(Postes!$B$7:$B$117,MATCH(C44,Postes!$A$7:$A$117,0))-INDEX(Postes!$B$7:$B$117,MATCH(B44,Postes!$A$7:$A$117,0)))^2+(INDEX(Postes!$C$7:$C$117,MATCH(C44,Postes!$A$7:$A$117,0))-INDEX(Postes!$C$7:$C$117,MATCH(B44,Postes!$A$7:$A$117,0)))^2)</f>
        <v>75.724530713825956</v>
      </c>
      <c r="E44" s="5">
        <f>INDEX(Postes!$D$7:$D$117,MATCH(C44,Postes!$A$7:$A$117,0))+INDEX(Postes!$G$7:$G$117,MATCH(C44,Postes!$A$7:$A$117,0))-INDEX(Postes!$D$7:$D$117,MATCH(B44,Postes!$A$7:$A$117,0))-INDEX(Postes!$G$7:$G$117,MATCH(B44,Postes!$A$7:$A$117,0))</f>
        <v>1.4768409377051288</v>
      </c>
      <c r="F44" s="5">
        <f>Parametros!$E$8*Parametros!$E$9</f>
        <v>2205</v>
      </c>
      <c r="G44" s="5">
        <f>Parametros!$E$10/1000*Parametros!$E$11</f>
        <v>1.32389775</v>
      </c>
      <c r="H44" s="5">
        <f t="shared" si="6"/>
        <v>1665.5364811972829</v>
      </c>
      <c r="I44" s="5">
        <f t="shared" si="7"/>
        <v>1.9499891908686031E-2</v>
      </c>
      <c r="J44" s="5">
        <f t="shared" si="8"/>
        <v>5.3844840035926751</v>
      </c>
      <c r="K44" s="5">
        <f t="shared" si="9"/>
        <v>-3.2328826563570675E-3</v>
      </c>
      <c r="L44" s="5">
        <f t="shared" si="10"/>
        <v>4.2232666473729134E-2</v>
      </c>
      <c r="M44" s="5">
        <f t="shared" si="11"/>
        <v>75.745451687136637</v>
      </c>
      <c r="N44" s="5">
        <f>M44*Parametros!$E$5</f>
        <v>227.23635506140991</v>
      </c>
    </row>
    <row r="45" spans="1:14" ht="21" customHeight="1">
      <c r="A45" s="1" t="s">
        <v>264</v>
      </c>
      <c r="B45" s="1" t="s">
        <v>138</v>
      </c>
      <c r="C45" s="1" t="s">
        <v>139</v>
      </c>
      <c r="D45" s="5">
        <f>SQRT((INDEX(Postes!$B$7:$B$117,MATCH(C45,Postes!$A$7:$A$117,0))-INDEX(Postes!$B$7:$B$117,MATCH(B45,Postes!$A$7:$A$117,0)))^2+(INDEX(Postes!$C$7:$C$117,MATCH(C45,Postes!$A$7:$A$117,0))-INDEX(Postes!$C$7:$C$117,MATCH(B45,Postes!$A$7:$A$117,0)))^2)</f>
        <v>82.373707725109767</v>
      </c>
      <c r="E45" s="5">
        <f>INDEX(Postes!$D$7:$D$117,MATCH(C45,Postes!$A$7:$A$117,0))+INDEX(Postes!$G$7:$G$117,MATCH(C45,Postes!$A$7:$A$117,0))-INDEX(Postes!$D$7:$D$117,MATCH(B45,Postes!$A$7:$A$117,0))-INDEX(Postes!$G$7:$G$117,MATCH(B45,Postes!$A$7:$A$117,0))</f>
        <v>8.0175572687738157</v>
      </c>
      <c r="F45" s="5">
        <f>Parametros!$E$8*Parametros!$E$9</f>
        <v>2205</v>
      </c>
      <c r="G45" s="5">
        <f>Parametros!$E$10/1000*Parametros!$E$11</f>
        <v>1.32389775</v>
      </c>
      <c r="H45" s="5">
        <f t="shared" si="6"/>
        <v>1665.5364811972829</v>
      </c>
      <c r="I45" s="5">
        <f t="shared" si="7"/>
        <v>9.7168610669752742E-2</v>
      </c>
      <c r="J45" s="5">
        <f t="shared" si="8"/>
        <v>-120.65101203517385</v>
      </c>
      <c r="K45" s="5">
        <f t="shared" si="9"/>
        <v>7.2439729418861482E-2</v>
      </c>
      <c r="L45" s="5">
        <f t="shared" si="10"/>
        <v>0.121897491920644</v>
      </c>
      <c r="M45" s="5">
        <f t="shared" si="11"/>
        <v>82.771324731492484</v>
      </c>
      <c r="N45" s="5">
        <f>M45*Parametros!$E$5</f>
        <v>248.31397419447745</v>
      </c>
    </row>
    <row r="46" spans="1:14" ht="21" customHeight="1">
      <c r="A46" s="1" t="s">
        <v>265</v>
      </c>
      <c r="B46" s="1" t="s">
        <v>139</v>
      </c>
      <c r="C46" s="1" t="s">
        <v>140</v>
      </c>
      <c r="D46" s="5">
        <f>SQRT((INDEX(Postes!$B$7:$B$117,MATCH(C46,Postes!$A$7:$A$117,0))-INDEX(Postes!$B$7:$B$117,MATCH(B46,Postes!$A$7:$A$117,0)))^2+(INDEX(Postes!$C$7:$C$117,MATCH(C46,Postes!$A$7:$A$117,0))-INDEX(Postes!$C$7:$C$117,MATCH(B46,Postes!$A$7:$A$117,0)))^2)</f>
        <v>82.373707723345021</v>
      </c>
      <c r="E46" s="5">
        <f>INDEX(Postes!$D$7:$D$117,MATCH(C46,Postes!$A$7:$A$117,0))+INDEX(Postes!$G$7:$G$117,MATCH(C46,Postes!$A$7:$A$117,0))-INDEX(Postes!$D$7:$D$117,MATCH(B46,Postes!$A$7:$A$117,0))-INDEX(Postes!$G$7:$G$117,MATCH(B46,Postes!$A$7:$A$117,0))</f>
        <v>22.73415720004941</v>
      </c>
      <c r="F46" s="5">
        <f>Parametros!$E$8*Parametros!$E$9</f>
        <v>2205</v>
      </c>
      <c r="G46" s="5">
        <f>Parametros!$E$10/1000*Parametros!$E$11</f>
        <v>1.32389775</v>
      </c>
      <c r="H46" s="5">
        <f t="shared" si="6"/>
        <v>1665.5364811972829</v>
      </c>
      <c r="I46" s="5">
        <f t="shared" si="7"/>
        <v>0.2725721895071484</v>
      </c>
      <c r="J46" s="5">
        <f t="shared" si="8"/>
        <v>-412.79207152230242</v>
      </c>
      <c r="K46" s="5">
        <f t="shared" si="9"/>
        <v>0.24784330825678694</v>
      </c>
      <c r="L46" s="5">
        <f t="shared" si="10"/>
        <v>0.29730107075750989</v>
      </c>
      <c r="M46" s="5">
        <f t="shared" si="11"/>
        <v>85.461411622754142</v>
      </c>
      <c r="N46" s="5">
        <f>M46*Parametros!$E$5</f>
        <v>256.38423486826241</v>
      </c>
    </row>
    <row r="47" spans="1:14" ht="21" customHeight="1">
      <c r="A47" s="1" t="s">
        <v>266</v>
      </c>
      <c r="B47" s="1" t="s">
        <v>140</v>
      </c>
      <c r="C47" s="1" t="s">
        <v>141</v>
      </c>
      <c r="D47" s="5">
        <f>SQRT((INDEX(Postes!$B$7:$B$117,MATCH(C47,Postes!$A$7:$A$117,0))-INDEX(Postes!$B$7:$B$117,MATCH(B47,Postes!$A$7:$A$117,0)))^2+(INDEX(Postes!$C$7:$C$117,MATCH(C47,Postes!$A$7:$A$117,0))-INDEX(Postes!$C$7:$C$117,MATCH(B47,Postes!$A$7:$A$117,0)))^2)</f>
        <v>63.028194451241824</v>
      </c>
      <c r="E47" s="5">
        <f>INDEX(Postes!$D$7:$D$117,MATCH(C47,Postes!$A$7:$A$117,0))+INDEX(Postes!$G$7:$G$117,MATCH(C47,Postes!$A$7:$A$117,0))-INDEX(Postes!$D$7:$D$117,MATCH(B47,Postes!$A$7:$A$117,0))-INDEX(Postes!$G$7:$G$117,MATCH(B47,Postes!$A$7:$A$117,0))</f>
        <v>-5.1145016949837565</v>
      </c>
      <c r="F47" s="5">
        <f>Parametros!$E$8*Parametros!$E$9</f>
        <v>2205</v>
      </c>
      <c r="G47" s="5">
        <f>Parametros!$E$10/1000*Parametros!$E$11</f>
        <v>1.32389775</v>
      </c>
      <c r="H47" s="5">
        <f t="shared" si="6"/>
        <v>1665.5364811972829</v>
      </c>
      <c r="I47" s="5">
        <f t="shared" si="7"/>
        <v>-8.1052633963442644E-2</v>
      </c>
      <c r="J47" s="5">
        <f t="shared" si="8"/>
        <v>166.51021598886456</v>
      </c>
      <c r="K47" s="5">
        <f t="shared" si="9"/>
        <v>-9.9973923038399914E-2</v>
      </c>
      <c r="L47" s="5">
        <f t="shared" si="10"/>
        <v>-6.2131344888485381E-2</v>
      </c>
      <c r="M47" s="5">
        <f t="shared" si="11"/>
        <v>63.239113878441607</v>
      </c>
      <c r="N47" s="5">
        <f>M47*Parametros!$E$5</f>
        <v>189.71734163532483</v>
      </c>
    </row>
    <row r="48" spans="1:14" ht="21" customHeight="1">
      <c r="A48" s="1" t="s">
        <v>267</v>
      </c>
      <c r="B48" s="1" t="s">
        <v>141</v>
      </c>
      <c r="C48" s="1" t="s">
        <v>142</v>
      </c>
      <c r="D48" s="5">
        <f>SQRT((INDEX(Postes!$B$7:$B$117,MATCH(C48,Postes!$A$7:$A$117,0))-INDEX(Postes!$B$7:$B$117,MATCH(B48,Postes!$A$7:$A$117,0)))^2+(INDEX(Postes!$C$7:$C$117,MATCH(C48,Postes!$A$7:$A$117,0))-INDEX(Postes!$C$7:$C$117,MATCH(B48,Postes!$A$7:$A$117,0)))^2)</f>
        <v>49.878623274641868</v>
      </c>
      <c r="E48" s="5">
        <f>INDEX(Postes!$D$7:$D$117,MATCH(C48,Postes!$A$7:$A$117,0))+INDEX(Postes!$G$7:$G$117,MATCH(C48,Postes!$A$7:$A$117,0))-INDEX(Postes!$D$7:$D$117,MATCH(B48,Postes!$A$7:$A$117,0))-INDEX(Postes!$G$7:$G$117,MATCH(B48,Postes!$A$7:$A$117,0))</f>
        <v>6.0717006792581731</v>
      </c>
      <c r="F48" s="5">
        <f>Parametros!$E$8*Parametros!$E$9</f>
        <v>2205</v>
      </c>
      <c r="G48" s="5">
        <f>Parametros!$E$10/1000*Parametros!$E$11</f>
        <v>1.32389775</v>
      </c>
      <c r="H48" s="5">
        <f t="shared" si="6"/>
        <v>1665.5364811972829</v>
      </c>
      <c r="I48" s="5">
        <f t="shared" si="7"/>
        <v>0.12142635505020405</v>
      </c>
      <c r="J48" s="5">
        <f t="shared" si="8"/>
        <v>-177.30071247760785</v>
      </c>
      <c r="K48" s="5">
        <f t="shared" si="9"/>
        <v>0.1064526142052163</v>
      </c>
      <c r="L48" s="5">
        <f t="shared" si="10"/>
        <v>0.13640009589519181</v>
      </c>
      <c r="M48" s="5">
        <f t="shared" si="11"/>
        <v>50.24866717164435</v>
      </c>
      <c r="N48" s="5">
        <f>M48*Parametros!$E$5</f>
        <v>150.74600151493306</v>
      </c>
    </row>
    <row r="49" spans="1:14" ht="21" customHeight="1">
      <c r="A49" s="1" t="s">
        <v>268</v>
      </c>
      <c r="B49" s="1" t="s">
        <v>142</v>
      </c>
      <c r="C49" s="1" t="s">
        <v>143</v>
      </c>
      <c r="D49" s="5">
        <f>SQRT((INDEX(Postes!$B$7:$B$117,MATCH(C49,Postes!$A$7:$A$117,0))-INDEX(Postes!$B$7:$B$117,MATCH(B49,Postes!$A$7:$A$117,0)))^2+(INDEX(Postes!$C$7:$C$117,MATCH(C49,Postes!$A$7:$A$117,0))-INDEX(Postes!$C$7:$C$117,MATCH(B49,Postes!$A$7:$A$117,0)))^2)</f>
        <v>80.017910351132471</v>
      </c>
      <c r="E49" s="5">
        <f>INDEX(Postes!$D$7:$D$117,MATCH(C49,Postes!$A$7:$A$117,0))+INDEX(Postes!$G$7:$G$117,MATCH(C49,Postes!$A$7:$A$117,0))-INDEX(Postes!$D$7:$D$117,MATCH(B49,Postes!$A$7:$A$117,0))-INDEX(Postes!$G$7:$G$117,MATCH(B49,Postes!$A$7:$A$117,0))</f>
        <v>3.5764551631415085</v>
      </c>
      <c r="F49" s="5">
        <f>Parametros!$E$8*Parametros!$E$9</f>
        <v>2205</v>
      </c>
      <c r="G49" s="5">
        <f>Parametros!$E$10/1000*Parametros!$E$11</f>
        <v>1.32389775</v>
      </c>
      <c r="H49" s="5">
        <f t="shared" si="6"/>
        <v>1665.5364811972829</v>
      </c>
      <c r="I49" s="5">
        <f t="shared" si="7"/>
        <v>4.4676521041974865E-2</v>
      </c>
      <c r="J49" s="5">
        <f t="shared" si="8"/>
        <v>-34.401420472820952</v>
      </c>
      <c r="K49" s="5">
        <f t="shared" si="9"/>
        <v>2.0654858576313648E-2</v>
      </c>
      <c r="L49" s="5">
        <f t="shared" si="10"/>
        <v>6.8698183507636096E-2</v>
      </c>
      <c r="M49" s="5">
        <f t="shared" si="11"/>
        <v>80.105484667119569</v>
      </c>
      <c r="N49" s="5">
        <f>M49*Parametros!$E$5</f>
        <v>240.31645400135869</v>
      </c>
    </row>
    <row r="50" spans="1:14" ht="21" customHeight="1">
      <c r="A50" s="1" t="s">
        <v>269</v>
      </c>
      <c r="B50" s="1" t="s">
        <v>143</v>
      </c>
      <c r="C50" s="1" t="s">
        <v>144</v>
      </c>
      <c r="D50" s="5">
        <f>SQRT((INDEX(Postes!$B$7:$B$117,MATCH(C50,Postes!$A$7:$A$117,0))-INDEX(Postes!$B$7:$B$117,MATCH(B50,Postes!$A$7:$A$117,0)))^2+(INDEX(Postes!$C$7:$C$117,MATCH(C50,Postes!$A$7:$A$117,0))-INDEX(Postes!$C$7:$C$117,MATCH(B50,Postes!$A$7:$A$117,0)))^2)</f>
        <v>80.017910349271375</v>
      </c>
      <c r="E50" s="5">
        <f>INDEX(Postes!$D$7:$D$117,MATCH(C50,Postes!$A$7:$A$117,0))+INDEX(Postes!$G$7:$G$117,MATCH(C50,Postes!$A$7:$A$117,0))-INDEX(Postes!$D$7:$D$117,MATCH(B50,Postes!$A$7:$A$117,0))-INDEX(Postes!$G$7:$G$117,MATCH(B50,Postes!$A$7:$A$117,0))</f>
        <v>8.3685753929890776</v>
      </c>
      <c r="F50" s="5">
        <f>Parametros!$E$8*Parametros!$E$9</f>
        <v>2205</v>
      </c>
      <c r="G50" s="5">
        <f>Parametros!$E$10/1000*Parametros!$E$11</f>
        <v>1.32389775</v>
      </c>
      <c r="H50" s="5">
        <f t="shared" si="6"/>
        <v>1665.5364811972829</v>
      </c>
      <c r="I50" s="5">
        <f t="shared" si="7"/>
        <v>0.10438405547906725</v>
      </c>
      <c r="J50" s="5">
        <f t="shared" si="8"/>
        <v>-133.84649728107195</v>
      </c>
      <c r="K50" s="5">
        <f t="shared" si="9"/>
        <v>8.0362393013964736E-2</v>
      </c>
      <c r="L50" s="5">
        <f t="shared" si="10"/>
        <v>0.12840571794416977</v>
      </c>
      <c r="M50" s="5">
        <f t="shared" si="11"/>
        <v>80.461982923802893</v>
      </c>
      <c r="N50" s="5">
        <f>M50*Parametros!$E$5</f>
        <v>241.38594877140866</v>
      </c>
    </row>
    <row r="51" spans="1:14" ht="21" customHeight="1">
      <c r="A51" s="1" t="s">
        <v>270</v>
      </c>
      <c r="B51" s="1" t="s">
        <v>144</v>
      </c>
      <c r="C51" s="1" t="s">
        <v>145</v>
      </c>
      <c r="D51" s="5">
        <f>SQRT((INDEX(Postes!$B$7:$B$117,MATCH(C51,Postes!$A$7:$A$117,0))-INDEX(Postes!$B$7:$B$117,MATCH(B51,Postes!$A$7:$A$117,0)))^2+(INDEX(Postes!$C$7:$C$117,MATCH(C51,Postes!$A$7:$A$117,0))-INDEX(Postes!$C$7:$C$117,MATCH(B51,Postes!$A$7:$A$117,0)))^2)</f>
        <v>61.4282655706483</v>
      </c>
      <c r="E51" s="5">
        <f>INDEX(Postes!$D$7:$D$117,MATCH(C51,Postes!$A$7:$A$117,0))+INDEX(Postes!$G$7:$G$117,MATCH(C51,Postes!$A$7:$A$117,0))-INDEX(Postes!$D$7:$D$117,MATCH(B51,Postes!$A$7:$A$117,0))-INDEX(Postes!$G$7:$G$117,MATCH(B51,Postes!$A$7:$A$117,0))</f>
        <v>-1.2244185115656361</v>
      </c>
      <c r="F51" s="5">
        <f>Parametros!$E$8*Parametros!$E$9</f>
        <v>2205</v>
      </c>
      <c r="G51" s="5">
        <f>Parametros!$E$10/1000*Parametros!$E$11</f>
        <v>1.32389775</v>
      </c>
      <c r="H51" s="5">
        <f t="shared" si="6"/>
        <v>1665.5364811972829</v>
      </c>
      <c r="I51" s="5">
        <f t="shared" si="7"/>
        <v>-1.9930044507113224E-2</v>
      </c>
      <c r="J51" s="5">
        <f t="shared" si="8"/>
        <v>63.908348983806746</v>
      </c>
      <c r="K51" s="5">
        <f t="shared" si="9"/>
        <v>-3.8371029218084593E-2</v>
      </c>
      <c r="L51" s="5">
        <f t="shared" si="10"/>
        <v>-1.4890597961418539E-3</v>
      </c>
      <c r="M51" s="5">
        <f t="shared" si="11"/>
        <v>61.443948234572225</v>
      </c>
      <c r="N51" s="5">
        <f>M51*Parametros!$E$5</f>
        <v>184.33184470371668</v>
      </c>
    </row>
    <row r="52" spans="1:14" ht="21" customHeight="1">
      <c r="A52" s="1" t="s">
        <v>271</v>
      </c>
      <c r="B52" s="1" t="s">
        <v>145</v>
      </c>
      <c r="C52" s="1" t="s">
        <v>146</v>
      </c>
      <c r="D52" s="5">
        <f>SQRT((INDEX(Postes!$B$7:$B$117,MATCH(C52,Postes!$A$7:$A$117,0))-INDEX(Postes!$B$7:$B$117,MATCH(B52,Postes!$A$7:$A$117,0)))^2+(INDEX(Postes!$C$7:$C$117,MATCH(C52,Postes!$A$7:$A$117,0))-INDEX(Postes!$C$7:$C$117,MATCH(B52,Postes!$A$7:$A$117,0)))^2)</f>
        <v>61.428265572235794</v>
      </c>
      <c r="E52" s="5">
        <f>INDEX(Postes!$D$7:$D$117,MATCH(C52,Postes!$A$7:$A$117,0))+INDEX(Postes!$G$7:$G$117,MATCH(C52,Postes!$A$7:$A$117,0))-INDEX(Postes!$D$7:$D$117,MATCH(B52,Postes!$A$7:$A$117,0))-INDEX(Postes!$G$7:$G$117,MATCH(B52,Postes!$A$7:$A$117,0))</f>
        <v>1.3927157197912496</v>
      </c>
      <c r="F52" s="5">
        <f>Parametros!$E$8*Parametros!$E$9</f>
        <v>2205</v>
      </c>
      <c r="G52" s="5">
        <f>Parametros!$E$10/1000*Parametros!$E$11</f>
        <v>1.32389775</v>
      </c>
      <c r="H52" s="5">
        <f t="shared" si="6"/>
        <v>1665.5364811972829</v>
      </c>
      <c r="I52" s="5">
        <f t="shared" si="7"/>
        <v>2.2669002693815679E-2</v>
      </c>
      <c r="J52" s="5">
        <f t="shared" si="8"/>
        <v>-7.041918192791595</v>
      </c>
      <c r="K52" s="5">
        <f t="shared" si="9"/>
        <v>4.2280179823677363E-3</v>
      </c>
      <c r="L52" s="5">
        <f t="shared" si="10"/>
        <v>4.1109987405263622E-2</v>
      </c>
      <c r="M52" s="5">
        <f t="shared" si="11"/>
        <v>61.447532344534054</v>
      </c>
      <c r="N52" s="5">
        <f>M52*Parametros!$E$5</f>
        <v>184.34259703360215</v>
      </c>
    </row>
    <row r="53" spans="1:14" ht="21" customHeight="1">
      <c r="A53" s="1" t="s">
        <v>272</v>
      </c>
      <c r="B53" s="1" t="s">
        <v>146</v>
      </c>
      <c r="C53" s="1" t="s">
        <v>147</v>
      </c>
      <c r="D53" s="5">
        <f>SQRT((INDEX(Postes!$B$7:$B$117,MATCH(C53,Postes!$A$7:$A$117,0))-INDEX(Postes!$B$7:$B$117,MATCH(B53,Postes!$A$7:$A$117,0)))^2+(INDEX(Postes!$C$7:$C$117,MATCH(C53,Postes!$A$7:$A$117,0))-INDEX(Postes!$C$7:$C$117,MATCH(B53,Postes!$A$7:$A$117,0)))^2)</f>
        <v>61.4282655706483</v>
      </c>
      <c r="E53" s="5">
        <f>INDEX(Postes!$D$7:$D$117,MATCH(C53,Postes!$A$7:$A$117,0))+INDEX(Postes!$G$7:$G$117,MATCH(C53,Postes!$A$7:$A$117,0))-INDEX(Postes!$D$7:$D$117,MATCH(B53,Postes!$A$7:$A$117,0))-INDEX(Postes!$G$7:$G$117,MATCH(B53,Postes!$A$7:$A$117,0))</f>
        <v>4.4990594403979234</v>
      </c>
      <c r="F53" s="5">
        <f>Parametros!$E$8*Parametros!$E$9</f>
        <v>2205</v>
      </c>
      <c r="G53" s="5">
        <f>Parametros!$E$10/1000*Parametros!$E$11</f>
        <v>1.32389775</v>
      </c>
      <c r="H53" s="5">
        <f t="shared" si="6"/>
        <v>1665.5364811972829</v>
      </c>
      <c r="I53" s="5">
        <f t="shared" si="7"/>
        <v>7.317140475641172E-2</v>
      </c>
      <c r="J53" s="5">
        <f t="shared" si="8"/>
        <v>-91.155511216931956</v>
      </c>
      <c r="K53" s="5">
        <f t="shared" si="9"/>
        <v>5.4730420045440348E-2</v>
      </c>
      <c r="L53" s="5">
        <f t="shared" si="10"/>
        <v>9.1612389467383093E-2</v>
      </c>
      <c r="M53" s="5">
        <f t="shared" si="11"/>
        <v>61.596275129341713</v>
      </c>
      <c r="N53" s="5">
        <f>M53*Parametros!$E$5</f>
        <v>184.78882538802515</v>
      </c>
    </row>
    <row r="54" spans="1:14" ht="21" customHeight="1">
      <c r="A54" s="1" t="s">
        <v>273</v>
      </c>
      <c r="B54" s="1" t="s">
        <v>147</v>
      </c>
      <c r="C54" s="1" t="s">
        <v>148</v>
      </c>
      <c r="D54" s="5">
        <f>SQRT((INDEX(Postes!$B$7:$B$117,MATCH(C54,Postes!$A$7:$A$117,0))-INDEX(Postes!$B$7:$B$117,MATCH(B54,Postes!$A$7:$A$117,0)))^2+(INDEX(Postes!$C$7:$C$117,MATCH(C54,Postes!$A$7:$A$117,0))-INDEX(Postes!$C$7:$C$117,MATCH(B54,Postes!$A$7:$A$117,0)))^2)</f>
        <v>38.437805146647534</v>
      </c>
      <c r="E54" s="5">
        <f>INDEX(Postes!$D$7:$D$117,MATCH(C54,Postes!$A$7:$A$117,0))+INDEX(Postes!$G$7:$G$117,MATCH(C54,Postes!$A$7:$A$117,0))-INDEX(Postes!$D$7:$D$117,MATCH(B54,Postes!$A$7:$A$117,0))-INDEX(Postes!$G$7:$G$117,MATCH(B54,Postes!$A$7:$A$117,0))</f>
        <v>9.9161078909586653</v>
      </c>
      <c r="F54" s="5">
        <f>Parametros!$E$8*Parametros!$E$9</f>
        <v>2205</v>
      </c>
      <c r="G54" s="5">
        <f>Parametros!$E$10/1000*Parametros!$E$11</f>
        <v>1.32389775</v>
      </c>
      <c r="H54" s="5">
        <f t="shared" si="6"/>
        <v>1665.5364811972829</v>
      </c>
      <c r="I54" s="5">
        <f t="shared" si="7"/>
        <v>0.25519338193752666</v>
      </c>
      <c r="J54" s="5">
        <f t="shared" si="8"/>
        <v>-405.81498480373864</v>
      </c>
      <c r="K54" s="5">
        <f t="shared" si="9"/>
        <v>0.24365421555462755</v>
      </c>
      <c r="L54" s="5">
        <f t="shared" si="10"/>
        <v>0.26673254832042576</v>
      </c>
      <c r="M54" s="5">
        <f t="shared" si="11"/>
        <v>39.697098601021636</v>
      </c>
      <c r="N54" s="5">
        <f>M54*Parametros!$E$5</f>
        <v>119.09129580306491</v>
      </c>
    </row>
    <row r="55" spans="1:14" ht="21" customHeight="1">
      <c r="A55" s="1" t="s">
        <v>274</v>
      </c>
      <c r="B55" s="1" t="s">
        <v>148</v>
      </c>
      <c r="C55" s="1" t="s">
        <v>149</v>
      </c>
      <c r="D55" s="5">
        <f>SQRT((INDEX(Postes!$B$7:$B$117,MATCH(C55,Postes!$A$7:$A$117,0))-INDEX(Postes!$B$7:$B$117,MATCH(B55,Postes!$A$7:$A$117,0)))^2+(INDEX(Postes!$C$7:$C$117,MATCH(C55,Postes!$A$7:$A$117,0))-INDEX(Postes!$C$7:$C$117,MATCH(B55,Postes!$A$7:$A$117,0)))^2)</f>
        <v>79.668260676504843</v>
      </c>
      <c r="E55" s="5">
        <f>INDEX(Postes!$D$7:$D$117,MATCH(C55,Postes!$A$7:$A$117,0))+INDEX(Postes!$G$7:$G$117,MATCH(C55,Postes!$A$7:$A$117,0))-INDEX(Postes!$D$7:$D$117,MATCH(B55,Postes!$A$7:$A$117,0))-INDEX(Postes!$G$7:$G$117,MATCH(B55,Postes!$A$7:$A$117,0))</f>
        <v>8.3902192637746342</v>
      </c>
      <c r="F55" s="5">
        <f>Parametros!$E$8*Parametros!$E$9</f>
        <v>2205</v>
      </c>
      <c r="G55" s="5">
        <f>Parametros!$E$10/1000*Parametros!$E$11</f>
        <v>1.32389775</v>
      </c>
      <c r="H55" s="5">
        <f t="shared" si="6"/>
        <v>1665.5364811972829</v>
      </c>
      <c r="I55" s="5">
        <f t="shared" si="7"/>
        <v>0.10511075751618745</v>
      </c>
      <c r="J55" s="5">
        <f t="shared" si="8"/>
        <v>-135.23167087123926</v>
      </c>
      <c r="K55" s="5">
        <f t="shared" si="9"/>
        <v>8.1194061131598272E-2</v>
      </c>
      <c r="L55" s="5">
        <f t="shared" si="10"/>
        <v>0.12902745390077661</v>
      </c>
      <c r="M55" s="5">
        <f t="shared" si="11"/>
        <v>80.11640166597634</v>
      </c>
      <c r="N55" s="5">
        <f>M55*Parametros!$E$5</f>
        <v>240.34920499792901</v>
      </c>
    </row>
    <row r="56" spans="1:14" ht="21" customHeight="1">
      <c r="A56" s="1" t="s">
        <v>275</v>
      </c>
      <c r="B56" s="1" t="s">
        <v>149</v>
      </c>
      <c r="C56" s="1" t="s">
        <v>150</v>
      </c>
      <c r="D56" s="5">
        <f>SQRT((INDEX(Postes!$B$7:$B$117,MATCH(C56,Postes!$A$7:$A$117,0))-INDEX(Postes!$B$7:$B$117,MATCH(B56,Postes!$A$7:$A$117,0)))^2+(INDEX(Postes!$C$7:$C$117,MATCH(C56,Postes!$A$7:$A$117,0))-INDEX(Postes!$C$7:$C$117,MATCH(B56,Postes!$A$7:$A$117,0)))^2)</f>
        <v>57.854811604464096</v>
      </c>
      <c r="E56" s="5">
        <f>INDEX(Postes!$D$7:$D$117,MATCH(C56,Postes!$A$7:$A$117,0))+INDEX(Postes!$G$7:$G$117,MATCH(C56,Postes!$A$7:$A$117,0))-INDEX(Postes!$D$7:$D$117,MATCH(B56,Postes!$A$7:$A$117,0))-INDEX(Postes!$G$7:$G$117,MATCH(B56,Postes!$A$7:$A$117,0))</f>
        <v>-0.18225160032861787</v>
      </c>
      <c r="F56" s="5">
        <f>Parametros!$E$8*Parametros!$E$9</f>
        <v>2205</v>
      </c>
      <c r="G56" s="5">
        <f>Parametros!$E$10/1000*Parametros!$E$11</f>
        <v>1.32389775</v>
      </c>
      <c r="H56" s="5">
        <f t="shared" si="6"/>
        <v>1665.5364811972829</v>
      </c>
      <c r="I56" s="5">
        <f t="shared" si="7"/>
        <v>-3.1499910095886571E-3</v>
      </c>
      <c r="J56" s="5">
        <f t="shared" si="8"/>
        <v>34.17383074414542</v>
      </c>
      <c r="K56" s="5">
        <f t="shared" si="9"/>
        <v>-2.051821207757594E-2</v>
      </c>
      <c r="L56" s="5">
        <f t="shared" si="10"/>
        <v>1.4218230058398621E-2</v>
      </c>
      <c r="M56" s="5">
        <f t="shared" si="11"/>
        <v>57.858007393409103</v>
      </c>
      <c r="N56" s="5">
        <f>M56*Parametros!$E$5</f>
        <v>173.5740221802273</v>
      </c>
    </row>
    <row r="57" spans="1:14" ht="21" customHeight="1">
      <c r="A57" s="1" t="s">
        <v>276</v>
      </c>
      <c r="B57" s="1" t="s">
        <v>150</v>
      </c>
      <c r="C57" s="1" t="s">
        <v>151</v>
      </c>
      <c r="D57" s="5">
        <f>SQRT((INDEX(Postes!$B$7:$B$117,MATCH(C57,Postes!$A$7:$A$117,0))-INDEX(Postes!$B$7:$B$117,MATCH(B57,Postes!$A$7:$A$117,0)))^2+(INDEX(Postes!$C$7:$C$117,MATCH(C57,Postes!$A$7:$A$117,0))-INDEX(Postes!$C$7:$C$117,MATCH(B57,Postes!$A$7:$A$117,0)))^2)</f>
        <v>57.854811606000048</v>
      </c>
      <c r="E57" s="5">
        <f>INDEX(Postes!$D$7:$D$117,MATCH(C57,Postes!$A$7:$A$117,0))+INDEX(Postes!$G$7:$G$117,MATCH(C57,Postes!$A$7:$A$117,0))-INDEX(Postes!$D$7:$D$117,MATCH(B57,Postes!$A$7:$A$117,0))-INDEX(Postes!$G$7:$G$117,MATCH(B57,Postes!$A$7:$A$117,0))</f>
        <v>3.1325721627330498</v>
      </c>
      <c r="F57" s="5">
        <f>Parametros!$E$8*Parametros!$E$9</f>
        <v>2205</v>
      </c>
      <c r="G57" s="5">
        <f>Parametros!$E$10/1000*Parametros!$E$11</f>
        <v>1.32389775</v>
      </c>
      <c r="H57" s="5">
        <f t="shared" si="6"/>
        <v>1665.5364811972829</v>
      </c>
      <c r="I57" s="5">
        <f t="shared" si="7"/>
        <v>5.4116264401768699E-2</v>
      </c>
      <c r="J57" s="5">
        <f t="shared" si="8"/>
        <v>-61.205206784263595</v>
      </c>
      <c r="K57" s="5">
        <f t="shared" si="9"/>
        <v>3.6748043333320317E-2</v>
      </c>
      <c r="L57" s="5">
        <f t="shared" si="10"/>
        <v>7.1484485470217074E-2</v>
      </c>
      <c r="M57" s="5">
        <f t="shared" si="11"/>
        <v>57.942461221650326</v>
      </c>
      <c r="N57" s="5">
        <f>M57*Parametros!$E$5</f>
        <v>173.82738366495099</v>
      </c>
    </row>
    <row r="58" spans="1:14" ht="21" customHeight="1">
      <c r="A58" s="1" t="s">
        <v>277</v>
      </c>
      <c r="B58" s="1" t="s">
        <v>151</v>
      </c>
      <c r="C58" s="1" t="s">
        <v>152</v>
      </c>
      <c r="D58" s="5">
        <f>SQRT((INDEX(Postes!$B$7:$B$117,MATCH(C58,Postes!$A$7:$A$117,0))-INDEX(Postes!$B$7:$B$117,MATCH(B58,Postes!$A$7:$A$117,0)))^2+(INDEX(Postes!$C$7:$C$117,MATCH(C58,Postes!$A$7:$A$117,0))-INDEX(Postes!$C$7:$C$117,MATCH(B58,Postes!$A$7:$A$117,0)))^2)</f>
        <v>82.715246473158984</v>
      </c>
      <c r="E58" s="5">
        <f>INDEX(Postes!$D$7:$D$117,MATCH(C58,Postes!$A$7:$A$117,0))+INDEX(Postes!$G$7:$G$117,MATCH(C58,Postes!$A$7:$A$117,0))-INDEX(Postes!$D$7:$D$117,MATCH(B58,Postes!$A$7:$A$117,0))-INDEX(Postes!$G$7:$G$117,MATCH(B58,Postes!$A$7:$A$117,0))</f>
        <v>21.526653030754822</v>
      </c>
      <c r="F58" s="5">
        <f>Parametros!$E$8*Parametros!$E$9</f>
        <v>2205</v>
      </c>
      <c r="G58" s="5">
        <f>Parametros!$E$10/1000*Parametros!$E$11</f>
        <v>1.32389775</v>
      </c>
      <c r="H58" s="5">
        <f t="shared" si="6"/>
        <v>1665.5364811972829</v>
      </c>
      <c r="I58" s="5">
        <f t="shared" si="7"/>
        <v>0.25737253430979684</v>
      </c>
      <c r="J58" s="5">
        <f t="shared" si="8"/>
        <v>-387.30572191458646</v>
      </c>
      <c r="K58" s="5">
        <f t="shared" si="9"/>
        <v>0.23254112190695994</v>
      </c>
      <c r="L58" s="5">
        <f t="shared" si="10"/>
        <v>0.28220394671263366</v>
      </c>
      <c r="M58" s="5">
        <f t="shared" si="11"/>
        <v>85.478740770310608</v>
      </c>
      <c r="N58" s="5">
        <f>M58*Parametros!$E$5</f>
        <v>256.43622231093184</v>
      </c>
    </row>
    <row r="59" spans="1:14" ht="21" customHeight="1">
      <c r="A59" s="1" t="s">
        <v>278</v>
      </c>
      <c r="B59" s="1" t="s">
        <v>152</v>
      </c>
      <c r="C59" s="1" t="s">
        <v>153</v>
      </c>
      <c r="D59" s="5">
        <f>SQRT((INDEX(Postes!$B$7:$B$117,MATCH(C59,Postes!$A$7:$A$117,0))-INDEX(Postes!$B$7:$B$117,MATCH(B59,Postes!$A$7:$A$117,0)))^2+(INDEX(Postes!$C$7:$C$117,MATCH(C59,Postes!$A$7:$A$117,0))-INDEX(Postes!$C$7:$C$117,MATCH(B59,Postes!$A$7:$A$117,0)))^2)</f>
        <v>48.000551882174904</v>
      </c>
      <c r="E59" s="5">
        <f>INDEX(Postes!$D$7:$D$117,MATCH(C59,Postes!$A$7:$A$117,0))+INDEX(Postes!$G$7:$G$117,MATCH(C59,Postes!$A$7:$A$117,0))-INDEX(Postes!$D$7:$D$117,MATCH(B59,Postes!$A$7:$A$117,0))-INDEX(Postes!$G$7:$G$117,MATCH(B59,Postes!$A$7:$A$117,0))</f>
        <v>1.8935523079138878</v>
      </c>
      <c r="F59" s="5">
        <f>Parametros!$E$8*Parametros!$E$9</f>
        <v>2205</v>
      </c>
      <c r="G59" s="5">
        <f>Parametros!$E$10/1000*Parametros!$E$11</f>
        <v>1.32389775</v>
      </c>
      <c r="H59" s="5">
        <f t="shared" si="6"/>
        <v>1665.5364811972829</v>
      </c>
      <c r="I59" s="5">
        <f t="shared" si="7"/>
        <v>3.9436964318634131E-2</v>
      </c>
      <c r="J59" s="5">
        <f t="shared" si="8"/>
        <v>-41.683426839273238</v>
      </c>
      <c r="K59" s="5">
        <f t="shared" si="9"/>
        <v>2.502702721306279E-2</v>
      </c>
      <c r="L59" s="5">
        <f t="shared" si="10"/>
        <v>5.3846901424205472E-2</v>
      </c>
      <c r="M59" s="5">
        <f t="shared" si="11"/>
        <v>48.039546227741702</v>
      </c>
      <c r="N59" s="5">
        <f>M59*Parametros!$E$5</f>
        <v>144.1186386832251</v>
      </c>
    </row>
    <row r="60" spans="1:14" ht="21" customHeight="1">
      <c r="A60" s="1" t="s">
        <v>279</v>
      </c>
      <c r="B60" s="1" t="s">
        <v>153</v>
      </c>
      <c r="C60" s="1" t="s">
        <v>154</v>
      </c>
      <c r="D60" s="5">
        <f>SQRT((INDEX(Postes!$B$7:$B$117,MATCH(C60,Postes!$A$7:$A$117,0))-INDEX(Postes!$B$7:$B$117,MATCH(B60,Postes!$A$7:$A$117,0)))^2+(INDEX(Postes!$C$7:$C$117,MATCH(C60,Postes!$A$7:$A$117,0))-INDEX(Postes!$C$7:$C$117,MATCH(B60,Postes!$A$7:$A$117,0)))^2)</f>
        <v>48.000551882197513</v>
      </c>
      <c r="E60" s="5">
        <f>INDEX(Postes!$D$7:$D$117,MATCH(C60,Postes!$A$7:$A$117,0))+INDEX(Postes!$G$7:$G$117,MATCH(C60,Postes!$A$7:$A$117,0))-INDEX(Postes!$D$7:$D$117,MATCH(B60,Postes!$A$7:$A$117,0))-INDEX(Postes!$G$7:$G$117,MATCH(B60,Postes!$A$7:$A$117,0))</f>
        <v>-1.292585454038635</v>
      </c>
      <c r="F60" s="5">
        <f>Parametros!$E$8*Parametros!$E$9</f>
        <v>2205</v>
      </c>
      <c r="G60" s="5">
        <f>Parametros!$E$10/1000*Parametros!$E$11</f>
        <v>1.32389775</v>
      </c>
      <c r="H60" s="5">
        <f t="shared" si="6"/>
        <v>1665.5364811972829</v>
      </c>
      <c r="I60" s="5">
        <f t="shared" si="7"/>
        <v>-2.6924368972837211E-2</v>
      </c>
      <c r="J60" s="5">
        <f t="shared" si="8"/>
        <v>68.843794698575351</v>
      </c>
      <c r="K60" s="5">
        <f t="shared" si="9"/>
        <v>-4.1334306078415345E-2</v>
      </c>
      <c r="L60" s="5">
        <f t="shared" si="10"/>
        <v>-1.2514431867259085E-2</v>
      </c>
      <c r="M60" s="5">
        <f t="shared" si="11"/>
        <v>48.019613061567753</v>
      </c>
      <c r="N60" s="5">
        <f>M60*Parametros!$E$5</f>
        <v>144.05883918470326</v>
      </c>
    </row>
    <row r="61" spans="1:14" ht="21" customHeight="1">
      <c r="A61" s="1" t="s">
        <v>280</v>
      </c>
      <c r="B61" s="1" t="s">
        <v>154</v>
      </c>
      <c r="C61" s="1" t="s">
        <v>155</v>
      </c>
      <c r="D61" s="5">
        <f>SQRT((INDEX(Postes!$B$7:$B$117,MATCH(C61,Postes!$A$7:$A$117,0))-INDEX(Postes!$B$7:$B$117,MATCH(B61,Postes!$A$7:$A$117,0)))^2+(INDEX(Postes!$C$7:$C$117,MATCH(C61,Postes!$A$7:$A$117,0))-INDEX(Postes!$C$7:$C$117,MATCH(B61,Postes!$A$7:$A$117,0)))^2)</f>
        <v>74.462165003225351</v>
      </c>
      <c r="E61" s="5">
        <f>INDEX(Postes!$D$7:$D$117,MATCH(C61,Postes!$A$7:$A$117,0))+INDEX(Postes!$G$7:$G$117,MATCH(C61,Postes!$A$7:$A$117,0))-INDEX(Postes!$D$7:$D$117,MATCH(B61,Postes!$A$7:$A$117,0))-INDEX(Postes!$G$7:$G$117,MATCH(B61,Postes!$A$7:$A$117,0))</f>
        <v>10.549305122043643</v>
      </c>
      <c r="F61" s="5">
        <f>Parametros!$E$8*Parametros!$E$9</f>
        <v>2205</v>
      </c>
      <c r="G61" s="5">
        <f>Parametros!$E$10/1000*Parametros!$E$11</f>
        <v>1.32389775</v>
      </c>
      <c r="H61" s="5">
        <f t="shared" si="6"/>
        <v>1665.5364811972829</v>
      </c>
      <c r="I61" s="5">
        <f t="shared" si="7"/>
        <v>0.14119197971676051</v>
      </c>
      <c r="J61" s="5">
        <f t="shared" si="8"/>
        <v>-197.92931056911874</v>
      </c>
      <c r="K61" s="5">
        <f t="shared" si="9"/>
        <v>0.11883817184648866</v>
      </c>
      <c r="L61" s="5">
        <f t="shared" si="10"/>
        <v>0.16354578758703234</v>
      </c>
      <c r="M61" s="5">
        <f t="shared" si="11"/>
        <v>75.211870416114024</v>
      </c>
      <c r="N61" s="5">
        <f>M61*Parametros!$E$5</f>
        <v>225.63561124834206</v>
      </c>
    </row>
    <row r="62" spans="1:14" ht="21" customHeight="1">
      <c r="A62" s="1" t="s">
        <v>281</v>
      </c>
      <c r="B62" s="1" t="s">
        <v>155</v>
      </c>
      <c r="C62" s="1" t="s">
        <v>156</v>
      </c>
      <c r="D62" s="5">
        <f>SQRT((INDEX(Postes!$B$7:$B$117,MATCH(C62,Postes!$A$7:$A$117,0))-INDEX(Postes!$B$7:$B$117,MATCH(B62,Postes!$A$7:$A$117,0)))^2+(INDEX(Postes!$C$7:$C$117,MATCH(C62,Postes!$A$7:$A$117,0))-INDEX(Postes!$C$7:$C$117,MATCH(B62,Postes!$A$7:$A$117,0)))^2)</f>
        <v>81.911534892128842</v>
      </c>
      <c r="E62" s="5">
        <f>INDEX(Postes!$D$7:$D$117,MATCH(C62,Postes!$A$7:$A$117,0))+INDEX(Postes!$G$7:$G$117,MATCH(C62,Postes!$A$7:$A$117,0))-INDEX(Postes!$D$7:$D$117,MATCH(B62,Postes!$A$7:$A$117,0))-INDEX(Postes!$G$7:$G$117,MATCH(B62,Postes!$A$7:$A$117,0))</f>
        <v>-9.5378673696492111</v>
      </c>
      <c r="F62" s="5">
        <f>Parametros!$E$8*Parametros!$E$9</f>
        <v>2205</v>
      </c>
      <c r="G62" s="5">
        <f>Parametros!$E$10/1000*Parametros!$E$11</f>
        <v>1.32389775</v>
      </c>
      <c r="H62" s="5">
        <f t="shared" si="6"/>
        <v>1665.5364811972829</v>
      </c>
      <c r="I62" s="5">
        <f t="shared" si="7"/>
        <v>-0.11616788647618741</v>
      </c>
      <c r="J62" s="5">
        <f t="shared" si="8"/>
        <v>234.43762031573903</v>
      </c>
      <c r="K62" s="5">
        <f t="shared" si="9"/>
        <v>-0.14075802179200053</v>
      </c>
      <c r="L62" s="5">
        <f t="shared" si="10"/>
        <v>-9.1577751160374296E-2</v>
      </c>
      <c r="M62" s="5">
        <f t="shared" si="11"/>
        <v>82.473164886402216</v>
      </c>
      <c r="N62" s="5">
        <f>M62*Parametros!$E$5</f>
        <v>247.41949465920663</v>
      </c>
    </row>
    <row r="63" spans="1:14" ht="21" customHeight="1">
      <c r="A63" s="1" t="s">
        <v>282</v>
      </c>
      <c r="B63" s="1" t="s">
        <v>156</v>
      </c>
      <c r="C63" s="1" t="s">
        <v>157</v>
      </c>
      <c r="D63" s="5">
        <f>SQRT((INDEX(Postes!$B$7:$B$117,MATCH(C63,Postes!$A$7:$A$117,0))-INDEX(Postes!$B$7:$B$117,MATCH(B63,Postes!$A$7:$A$117,0)))^2+(INDEX(Postes!$C$7:$C$117,MATCH(C63,Postes!$A$7:$A$117,0))-INDEX(Postes!$C$7:$C$117,MATCH(B63,Postes!$A$7:$A$117,0)))^2)</f>
        <v>47.317082944954933</v>
      </c>
      <c r="E63" s="5">
        <f>INDEX(Postes!$D$7:$D$117,MATCH(C63,Postes!$A$7:$A$117,0))+INDEX(Postes!$G$7:$G$117,MATCH(C63,Postes!$A$7:$A$117,0))-INDEX(Postes!$D$7:$D$117,MATCH(B63,Postes!$A$7:$A$117,0))-INDEX(Postes!$G$7:$G$117,MATCH(B63,Postes!$A$7:$A$117,0))</f>
        <v>7.9853386877079178</v>
      </c>
      <c r="F63" s="5">
        <f>Parametros!$E$8*Parametros!$E$9</f>
        <v>2205</v>
      </c>
      <c r="G63" s="5">
        <f>Parametros!$E$10/1000*Parametros!$E$11</f>
        <v>1.32389775</v>
      </c>
      <c r="H63" s="5">
        <f t="shared" si="6"/>
        <v>1665.5364811972829</v>
      </c>
      <c r="I63" s="5">
        <f t="shared" si="7"/>
        <v>0.16796569951352958</v>
      </c>
      <c r="J63" s="5">
        <f t="shared" si="8"/>
        <v>-256.09445865712678</v>
      </c>
      <c r="K63" s="5">
        <f t="shared" si="9"/>
        <v>0.15376094222387218</v>
      </c>
      <c r="L63" s="5">
        <f t="shared" si="10"/>
        <v>0.182170456803187</v>
      </c>
      <c r="M63" s="5">
        <f t="shared" si="11"/>
        <v>47.987733449643436</v>
      </c>
      <c r="N63" s="5">
        <f>M63*Parametros!$E$5</f>
        <v>143.96320034893031</v>
      </c>
    </row>
    <row r="64" spans="1:14" ht="21" customHeight="1">
      <c r="A64" s="1" t="s">
        <v>283</v>
      </c>
      <c r="B64" s="1" t="s">
        <v>157</v>
      </c>
      <c r="C64" s="1" t="s">
        <v>158</v>
      </c>
      <c r="D64" s="5">
        <f>SQRT((INDEX(Postes!$B$7:$B$117,MATCH(C64,Postes!$A$7:$A$117,0))-INDEX(Postes!$B$7:$B$117,MATCH(B64,Postes!$A$7:$A$117,0)))^2+(INDEX(Postes!$C$7:$C$117,MATCH(C64,Postes!$A$7:$A$117,0))-INDEX(Postes!$C$7:$C$117,MATCH(B64,Postes!$A$7:$A$117,0)))^2)</f>
        <v>47.317082944916791</v>
      </c>
      <c r="E64" s="5">
        <f>INDEX(Postes!$D$7:$D$117,MATCH(C64,Postes!$A$7:$A$117,0))+INDEX(Postes!$G$7:$G$117,MATCH(C64,Postes!$A$7:$A$117,0))-INDEX(Postes!$D$7:$D$117,MATCH(B64,Postes!$A$7:$A$117,0))-INDEX(Postes!$G$7:$G$117,MATCH(B64,Postes!$A$7:$A$117,0))</f>
        <v>15.814727445646804</v>
      </c>
      <c r="F64" s="5">
        <f>Parametros!$E$8*Parametros!$E$9</f>
        <v>2205</v>
      </c>
      <c r="G64" s="5">
        <f>Parametros!$E$10/1000*Parametros!$E$11</f>
        <v>1.32389775</v>
      </c>
      <c r="H64" s="5">
        <f t="shared" si="6"/>
        <v>1665.5364811972829</v>
      </c>
      <c r="I64" s="5">
        <f t="shared" si="7"/>
        <v>0.32828880205593231</v>
      </c>
      <c r="J64" s="5">
        <f t="shared" si="8"/>
        <v>-523.11843472025043</v>
      </c>
      <c r="K64" s="5">
        <f t="shared" si="9"/>
        <v>0.31408404476628632</v>
      </c>
      <c r="L64" s="5">
        <f t="shared" si="10"/>
        <v>0.34249355934557829</v>
      </c>
      <c r="M64" s="5">
        <f t="shared" si="11"/>
        <v>49.891507612549866</v>
      </c>
      <c r="N64" s="5">
        <f>M64*Parametros!$E$5</f>
        <v>149.67452283764959</v>
      </c>
    </row>
    <row r="65" spans="1:14" ht="21" customHeight="1">
      <c r="A65" s="1" t="s">
        <v>284</v>
      </c>
      <c r="B65" s="1" t="s">
        <v>158</v>
      </c>
      <c r="C65" s="1" t="s">
        <v>159</v>
      </c>
      <c r="D65" s="5">
        <f>SQRT((INDEX(Postes!$B$7:$B$117,MATCH(C65,Postes!$A$7:$A$117,0))-INDEX(Postes!$B$7:$B$117,MATCH(B65,Postes!$A$7:$A$117,0)))^2+(INDEX(Postes!$C$7:$C$117,MATCH(C65,Postes!$A$7:$A$117,0))-INDEX(Postes!$C$7:$C$117,MATCH(B65,Postes!$A$7:$A$117,0)))^2)</f>
        <v>38.400179781129317</v>
      </c>
      <c r="E65" s="5">
        <f>INDEX(Postes!$D$7:$D$117,MATCH(C65,Postes!$A$7:$A$117,0))+INDEX(Postes!$G$7:$G$117,MATCH(C65,Postes!$A$7:$A$117,0))-INDEX(Postes!$D$7:$D$117,MATCH(B65,Postes!$A$7:$A$117,0))-INDEX(Postes!$G$7:$G$117,MATCH(B65,Postes!$A$7:$A$117,0))</f>
        <v>10.244568167074158</v>
      </c>
      <c r="F65" s="5">
        <f>Parametros!$E$8*Parametros!$E$9</f>
        <v>2205</v>
      </c>
      <c r="G65" s="5">
        <f>Parametros!$E$10/1000*Parametros!$E$11</f>
        <v>1.32389775</v>
      </c>
      <c r="H65" s="5">
        <f t="shared" si="6"/>
        <v>1665.5364811972829</v>
      </c>
      <c r="I65" s="5">
        <f t="shared" si="7"/>
        <v>0.26371125288659092</v>
      </c>
      <c r="J65" s="5">
        <f t="shared" si="8"/>
        <v>-420.02062229429481</v>
      </c>
      <c r="K65" s="5">
        <f t="shared" si="9"/>
        <v>0.2521833817727967</v>
      </c>
      <c r="L65" s="5">
        <f t="shared" si="10"/>
        <v>0.27523912400038519</v>
      </c>
      <c r="M65" s="5">
        <f t="shared" si="11"/>
        <v>39.744059995244058</v>
      </c>
      <c r="N65" s="5">
        <f>M65*Parametros!$E$5</f>
        <v>119.23217998573217</v>
      </c>
    </row>
    <row r="66" spans="1:14" ht="21" customHeight="1">
      <c r="A66" s="1" t="s">
        <v>285</v>
      </c>
      <c r="B66" s="1" t="s">
        <v>159</v>
      </c>
      <c r="C66" s="1" t="s">
        <v>160</v>
      </c>
      <c r="D66" s="5">
        <f>SQRT((INDEX(Postes!$B$7:$B$117,MATCH(C66,Postes!$A$7:$A$117,0))-INDEX(Postes!$B$7:$B$117,MATCH(B66,Postes!$A$7:$A$117,0)))^2+(INDEX(Postes!$C$7:$C$117,MATCH(C66,Postes!$A$7:$A$117,0))-INDEX(Postes!$C$7:$C$117,MATCH(B66,Postes!$A$7:$A$117,0)))^2)</f>
        <v>68.15268701237369</v>
      </c>
      <c r="E66" s="5">
        <f>INDEX(Postes!$D$7:$D$117,MATCH(C66,Postes!$A$7:$A$117,0))+INDEX(Postes!$G$7:$G$117,MATCH(C66,Postes!$A$7:$A$117,0))-INDEX(Postes!$D$7:$D$117,MATCH(B66,Postes!$A$7:$A$117,0))-INDEX(Postes!$G$7:$G$117,MATCH(B66,Postes!$A$7:$A$117,0))</f>
        <v>2.7083625000601383</v>
      </c>
      <c r="F66" s="5">
        <f>Parametros!$E$8*Parametros!$E$9</f>
        <v>2205</v>
      </c>
      <c r="G66" s="5">
        <f>Parametros!$E$10/1000*Parametros!$E$11</f>
        <v>1.32389775</v>
      </c>
      <c r="H66" s="5">
        <f t="shared" si="6"/>
        <v>1665.5364811972829</v>
      </c>
      <c r="I66" s="5">
        <f t="shared" si="7"/>
        <v>3.9726406575268887E-2</v>
      </c>
      <c r="J66" s="5">
        <f t="shared" si="8"/>
        <v>-32.0894359117991</v>
      </c>
      <c r="K66" s="5">
        <f t="shared" si="9"/>
        <v>1.9266726531700692E-2</v>
      </c>
      <c r="L66" s="5">
        <f t="shared" si="10"/>
        <v>6.0186086618837085E-2</v>
      </c>
      <c r="M66" s="5">
        <f t="shared" si="11"/>
        <v>68.211231561654145</v>
      </c>
      <c r="N66" s="5">
        <f>M66*Parametros!$E$5</f>
        <v>204.63369468496245</v>
      </c>
    </row>
    <row r="67" spans="1:14" ht="21" customHeight="1">
      <c r="A67" s="1" t="s">
        <v>286</v>
      </c>
      <c r="B67" s="1" t="s">
        <v>160</v>
      </c>
      <c r="C67" s="1" t="s">
        <v>161</v>
      </c>
      <c r="D67" s="5">
        <f>SQRT((INDEX(Postes!$B$7:$B$117,MATCH(C67,Postes!$A$7:$A$117,0))-INDEX(Postes!$B$7:$B$117,MATCH(B67,Postes!$A$7:$A$117,0)))^2+(INDEX(Postes!$C$7:$C$117,MATCH(C67,Postes!$A$7:$A$117,0))-INDEX(Postes!$C$7:$C$117,MATCH(B67,Postes!$A$7:$A$117,0)))^2)</f>
        <v>68.1526870123718</v>
      </c>
      <c r="E67" s="5">
        <f>INDEX(Postes!$D$7:$D$117,MATCH(C67,Postes!$A$7:$A$117,0))+INDEX(Postes!$G$7:$G$117,MATCH(C67,Postes!$A$7:$A$117,0))-INDEX(Postes!$D$7:$D$117,MATCH(B67,Postes!$A$7:$A$117,0))-INDEX(Postes!$G$7:$G$117,MATCH(B67,Postes!$A$7:$A$117,0))</f>
        <v>-10.938490444796026</v>
      </c>
      <c r="F67" s="5">
        <f>Parametros!$E$8*Parametros!$E$9</f>
        <v>2205</v>
      </c>
      <c r="G67" s="5">
        <f>Parametros!$E$10/1000*Parametros!$E$11</f>
        <v>1.32389775</v>
      </c>
      <c r="H67" s="5">
        <f t="shared" si="6"/>
        <v>1665.5364811972829</v>
      </c>
      <c r="I67" s="5">
        <f t="shared" si="7"/>
        <v>-0.1598074962373878</v>
      </c>
      <c r="J67" s="5">
        <f t="shared" si="8"/>
        <v>300.24155845835276</v>
      </c>
      <c r="K67" s="5">
        <f t="shared" si="9"/>
        <v>-0.1802671762809554</v>
      </c>
      <c r="L67" s="5">
        <f t="shared" si="10"/>
        <v>-0.13934781619382014</v>
      </c>
      <c r="M67" s="5">
        <f t="shared" si="11"/>
        <v>69.02961289864308</v>
      </c>
      <c r="N67" s="5">
        <f>M67*Parametros!$E$5</f>
        <v>207.08883869592924</v>
      </c>
    </row>
    <row r="68" spans="1:14" ht="21" customHeight="1">
      <c r="A68" s="1" t="s">
        <v>287</v>
      </c>
      <c r="B68" s="1" t="s">
        <v>161</v>
      </c>
      <c r="C68" s="1" t="s">
        <v>162</v>
      </c>
      <c r="D68" s="5">
        <f>SQRT((INDEX(Postes!$B$7:$B$117,MATCH(C68,Postes!$A$7:$A$117,0))-INDEX(Postes!$B$7:$B$117,MATCH(B68,Postes!$A$7:$A$117,0)))^2+(INDEX(Postes!$C$7:$C$117,MATCH(C68,Postes!$A$7:$A$117,0))-INDEX(Postes!$C$7:$C$117,MATCH(B68,Postes!$A$7:$A$117,0)))^2)</f>
        <v>68.1526870123718</v>
      </c>
      <c r="E68" s="5">
        <f>INDEX(Postes!$D$7:$D$117,MATCH(C68,Postes!$A$7:$A$117,0))+INDEX(Postes!$G$7:$G$117,MATCH(C68,Postes!$A$7:$A$117,0))-INDEX(Postes!$D$7:$D$117,MATCH(B68,Postes!$A$7:$A$117,0))-INDEX(Postes!$G$7:$G$117,MATCH(B68,Postes!$A$7:$A$117,0))</f>
        <v>12.798711301697859</v>
      </c>
      <c r="F68" s="5">
        <f>Parametros!$E$8*Parametros!$E$9</f>
        <v>2205</v>
      </c>
      <c r="G68" s="5">
        <f>Parametros!$E$10/1000*Parametros!$E$11</f>
        <v>1.32389775</v>
      </c>
      <c r="H68" s="5">
        <f t="shared" si="6"/>
        <v>1665.5364811972829</v>
      </c>
      <c r="I68" s="5">
        <f t="shared" si="7"/>
        <v>0.18669513088584017</v>
      </c>
      <c r="J68" s="5">
        <f t="shared" si="8"/>
        <v>-276.87120784608254</v>
      </c>
      <c r="K68" s="5">
        <f t="shared" si="9"/>
        <v>0.16623545084227256</v>
      </c>
      <c r="L68" s="5">
        <f t="shared" si="10"/>
        <v>0.20715481092940782</v>
      </c>
      <c r="M68" s="5">
        <f t="shared" si="11"/>
        <v>69.348712278670476</v>
      </c>
      <c r="N68" s="5">
        <f>M68*Parametros!$E$5</f>
        <v>208.04613683601144</v>
      </c>
    </row>
    <row r="69" spans="1:14" ht="21" customHeight="1">
      <c r="A69" s="1" t="s">
        <v>288</v>
      </c>
      <c r="B69" s="1" t="s">
        <v>162</v>
      </c>
      <c r="C69" s="1" t="s">
        <v>163</v>
      </c>
      <c r="D69" s="5">
        <f>SQRT((INDEX(Postes!$B$7:$B$117,MATCH(C69,Postes!$A$7:$A$117,0))-INDEX(Postes!$B$7:$B$117,MATCH(B69,Postes!$A$7:$A$117,0)))^2+(INDEX(Postes!$C$7:$C$117,MATCH(C69,Postes!$A$7:$A$117,0))-INDEX(Postes!$C$7:$C$117,MATCH(B69,Postes!$A$7:$A$117,0)))^2)</f>
        <v>68.15268701237369</v>
      </c>
      <c r="E69" s="5">
        <f>INDEX(Postes!$D$7:$D$117,MATCH(C69,Postes!$A$7:$A$117,0))+INDEX(Postes!$G$7:$G$117,MATCH(C69,Postes!$A$7:$A$117,0))-INDEX(Postes!$D$7:$D$117,MATCH(B69,Postes!$A$7:$A$117,0))-INDEX(Postes!$G$7:$G$117,MATCH(B69,Postes!$A$7:$A$117,0))</f>
        <v>-4.1038052132649678</v>
      </c>
      <c r="F69" s="5">
        <f>Parametros!$E$8*Parametros!$E$9</f>
        <v>2205</v>
      </c>
      <c r="G69" s="5">
        <f>Parametros!$E$10/1000*Parametros!$E$11</f>
        <v>1.32389775</v>
      </c>
      <c r="H69" s="5">
        <f t="shared" si="6"/>
        <v>1665.5364811972829</v>
      </c>
      <c r="I69" s="5">
        <f t="shared" si="7"/>
        <v>-6.0174348276273763E-2</v>
      </c>
      <c r="J69" s="5">
        <f t="shared" si="8"/>
        <v>134.29891579259163</v>
      </c>
      <c r="K69" s="5">
        <f t="shared" si="9"/>
        <v>-8.0634028319841955E-2</v>
      </c>
      <c r="L69" s="5">
        <f t="shared" si="10"/>
        <v>-3.9714668232705565E-2</v>
      </c>
      <c r="M69" s="5">
        <f t="shared" si="11"/>
        <v>68.280876539147386</v>
      </c>
      <c r="N69" s="5">
        <f>M69*Parametros!$E$5</f>
        <v>204.84262961744216</v>
      </c>
    </row>
    <row r="70" spans="1:14" ht="21" customHeight="1">
      <c r="A70" s="1" t="s">
        <v>289</v>
      </c>
      <c r="B70" s="1" t="s">
        <v>163</v>
      </c>
      <c r="C70" s="1" t="s">
        <v>164</v>
      </c>
      <c r="D70" s="5">
        <f>SQRT((INDEX(Postes!$B$7:$B$117,MATCH(C70,Postes!$A$7:$A$117,0))-INDEX(Postes!$B$7:$B$117,MATCH(B70,Postes!$A$7:$A$117,0)))^2+(INDEX(Postes!$C$7:$C$117,MATCH(C70,Postes!$A$7:$A$117,0))-INDEX(Postes!$C$7:$C$117,MATCH(B70,Postes!$A$7:$A$117,0)))^2)</f>
        <v>56.009454857921661</v>
      </c>
      <c r="E70" s="5">
        <f>INDEX(Postes!$D$7:$D$117,MATCH(C70,Postes!$A$7:$A$117,0))+INDEX(Postes!$G$7:$G$117,MATCH(C70,Postes!$A$7:$A$117,0))-INDEX(Postes!$D$7:$D$117,MATCH(B70,Postes!$A$7:$A$117,0))-INDEX(Postes!$G$7:$G$117,MATCH(B70,Postes!$A$7:$A$117,0))</f>
        <v>11.467957913086048</v>
      </c>
      <c r="F70" s="5">
        <f>Parametros!$E$8*Parametros!$E$9</f>
        <v>2205</v>
      </c>
      <c r="G70" s="5">
        <f>Parametros!$E$10/1000*Parametros!$E$11</f>
        <v>1.32389775</v>
      </c>
      <c r="H70" s="5">
        <f t="shared" si="6"/>
        <v>1665.5364811972829</v>
      </c>
      <c r="I70" s="5">
        <f t="shared" si="7"/>
        <v>0.20333666029826081</v>
      </c>
      <c r="J70" s="5">
        <f t="shared" si="8"/>
        <v>-310.6598982626117</v>
      </c>
      <c r="K70" s="5">
        <f t="shared" si="9"/>
        <v>0.18652242191614535</v>
      </c>
      <c r="L70" s="5">
        <f t="shared" si="10"/>
        <v>0.22015089868037621</v>
      </c>
      <c r="M70" s="5">
        <f t="shared" si="11"/>
        <v>57.174021533512935</v>
      </c>
      <c r="N70" s="5">
        <f>M70*Parametros!$E$5</f>
        <v>171.52206460053881</v>
      </c>
    </row>
    <row r="71" spans="1:14" ht="21" customHeight="1">
      <c r="A71" s="1" t="s">
        <v>290</v>
      </c>
      <c r="B71" s="1" t="s">
        <v>164</v>
      </c>
      <c r="C71" s="1" t="s">
        <v>165</v>
      </c>
      <c r="D71" s="5">
        <f>SQRT((INDEX(Postes!$B$7:$B$117,MATCH(C71,Postes!$A$7:$A$117,0))-INDEX(Postes!$B$7:$B$117,MATCH(B71,Postes!$A$7:$A$117,0)))^2+(INDEX(Postes!$C$7:$C$117,MATCH(C71,Postes!$A$7:$A$117,0))-INDEX(Postes!$C$7:$C$117,MATCH(B71,Postes!$A$7:$A$117,0)))^2)</f>
        <v>69.794963947029629</v>
      </c>
      <c r="E71" s="5">
        <f>INDEX(Postes!$D$7:$D$117,MATCH(C71,Postes!$A$7:$A$117,0))+INDEX(Postes!$G$7:$G$117,MATCH(C71,Postes!$A$7:$A$117,0))-INDEX(Postes!$D$7:$D$117,MATCH(B71,Postes!$A$7:$A$117,0))-INDEX(Postes!$G$7:$G$117,MATCH(B71,Postes!$A$7:$A$117,0))</f>
        <v>12.18467194583136</v>
      </c>
      <c r="F71" s="5">
        <f>Parametros!$E$8*Parametros!$E$9</f>
        <v>2205</v>
      </c>
      <c r="G71" s="5">
        <f>Parametros!$E$10/1000*Parametros!$E$11</f>
        <v>1.32389775</v>
      </c>
      <c r="H71" s="5">
        <f t="shared" ref="H71:H102" si="12">F71/G71</f>
        <v>1665.5364811972829</v>
      </c>
      <c r="I71" s="5">
        <f t="shared" ref="I71:I102" si="13">ASINH(E71/(2*H71*SINH(D71/(2*H71))))</f>
        <v>0.17369067527007684</v>
      </c>
      <c r="J71" s="5">
        <f t="shared" ref="J71:J102" si="14">D71/2-H71*I71</f>
        <v>-254.39067413258891</v>
      </c>
      <c r="K71" s="5">
        <f t="shared" ref="K71:K102" si="15">-J71/H71</f>
        <v>0.15273797782545018</v>
      </c>
      <c r="L71" s="5">
        <f t="shared" ref="L71:L102" si="16">(D71-J71)/H71</f>
        <v>0.19464337271470356</v>
      </c>
      <c r="M71" s="5">
        <f t="shared" ref="M71:M102" si="17">H71*(SINH(L71)-SINH(K71))</f>
        <v>70.855600545908203</v>
      </c>
      <c r="N71" s="5">
        <f>M71*Parametros!$E$5</f>
        <v>212.56680163772461</v>
      </c>
    </row>
    <row r="72" spans="1:14" ht="21" customHeight="1">
      <c r="A72" s="1" t="s">
        <v>291</v>
      </c>
      <c r="B72" s="1" t="s">
        <v>165</v>
      </c>
      <c r="C72" s="1" t="s">
        <v>166</v>
      </c>
      <c r="D72" s="5">
        <f>SQRT((INDEX(Postes!$B$7:$B$117,MATCH(C72,Postes!$A$7:$A$117,0))-INDEX(Postes!$B$7:$B$117,MATCH(B72,Postes!$A$7:$A$117,0)))^2+(INDEX(Postes!$C$7:$C$117,MATCH(C72,Postes!$A$7:$A$117,0))-INDEX(Postes!$C$7:$C$117,MATCH(B72,Postes!$A$7:$A$117,0)))^2)</f>
        <v>69.794963947029629</v>
      </c>
      <c r="E72" s="5">
        <f>INDEX(Postes!$D$7:$D$117,MATCH(C72,Postes!$A$7:$A$117,0))+INDEX(Postes!$G$7:$G$117,MATCH(C72,Postes!$A$7:$A$117,0))-INDEX(Postes!$D$7:$D$117,MATCH(B72,Postes!$A$7:$A$117,0))-INDEX(Postes!$G$7:$G$117,MATCH(B72,Postes!$A$7:$A$117,0))</f>
        <v>3.4474851945329643</v>
      </c>
      <c r="F72" s="5">
        <f>Parametros!$E$8*Parametros!$E$9</f>
        <v>2205</v>
      </c>
      <c r="G72" s="5">
        <f>Parametros!$E$10/1000*Parametros!$E$11</f>
        <v>1.32389775</v>
      </c>
      <c r="H72" s="5">
        <f t="shared" si="12"/>
        <v>1665.5364811972829</v>
      </c>
      <c r="I72" s="5">
        <f t="shared" si="13"/>
        <v>4.9370796064429637E-2</v>
      </c>
      <c r="J72" s="5">
        <f t="shared" si="14"/>
        <v>-47.331379977543989</v>
      </c>
      <c r="K72" s="5">
        <f t="shared" si="15"/>
        <v>2.8418098619802962E-2</v>
      </c>
      <c r="L72" s="5">
        <f t="shared" si="16"/>
        <v>7.0323493509056312E-2</v>
      </c>
      <c r="M72" s="5">
        <f t="shared" si="17"/>
        <v>69.885156166816273</v>
      </c>
      <c r="N72" s="5">
        <f>M72*Parametros!$E$5</f>
        <v>209.65546850044882</v>
      </c>
    </row>
    <row r="73" spans="1:14" ht="21" customHeight="1">
      <c r="A73" s="1" t="s">
        <v>292</v>
      </c>
      <c r="B73" s="1" t="s">
        <v>166</v>
      </c>
      <c r="C73" s="1" t="s">
        <v>167</v>
      </c>
      <c r="D73" s="5">
        <f>SQRT((INDEX(Postes!$B$7:$B$117,MATCH(C73,Postes!$A$7:$A$117,0))-INDEX(Postes!$B$7:$B$117,MATCH(B73,Postes!$A$7:$A$117,0)))^2+(INDEX(Postes!$C$7:$C$117,MATCH(C73,Postes!$A$7:$A$117,0))-INDEX(Postes!$C$7:$C$117,MATCH(B73,Postes!$A$7:$A$117,0)))^2)</f>
        <v>56.885229973887903</v>
      </c>
      <c r="E73" s="5">
        <f>INDEX(Postes!$D$7:$D$117,MATCH(C73,Postes!$A$7:$A$117,0))+INDEX(Postes!$G$7:$G$117,MATCH(C73,Postes!$A$7:$A$117,0))-INDEX(Postes!$D$7:$D$117,MATCH(B73,Postes!$A$7:$A$117,0))-INDEX(Postes!$G$7:$G$117,MATCH(B73,Postes!$A$7:$A$117,0))</f>
        <v>11.813903866011151</v>
      </c>
      <c r="F73" s="5">
        <f>Parametros!$E$8*Parametros!$E$9</f>
        <v>2205</v>
      </c>
      <c r="G73" s="5">
        <f>Parametros!$E$10/1000*Parametros!$E$11</f>
        <v>1.32389775</v>
      </c>
      <c r="H73" s="5">
        <f t="shared" si="12"/>
        <v>1665.5364811972829</v>
      </c>
      <c r="I73" s="5">
        <f t="shared" si="13"/>
        <v>0.20620510671880554</v>
      </c>
      <c r="J73" s="5">
        <f t="shared" si="14"/>
        <v>-314.9995128624056</v>
      </c>
      <c r="K73" s="5">
        <f t="shared" si="15"/>
        <v>0.18912795751910874</v>
      </c>
      <c r="L73" s="5">
        <f t="shared" si="16"/>
        <v>0.22328225591850231</v>
      </c>
      <c r="M73" s="5">
        <f t="shared" si="17"/>
        <v>58.101740848387642</v>
      </c>
      <c r="N73" s="5">
        <f>M73*Parametros!$E$5</f>
        <v>174.30522254516293</v>
      </c>
    </row>
    <row r="74" spans="1:14" ht="21" customHeight="1">
      <c r="A74" s="1" t="s">
        <v>293</v>
      </c>
      <c r="B74" s="1" t="s">
        <v>167</v>
      </c>
      <c r="C74" s="1" t="s">
        <v>168</v>
      </c>
      <c r="D74" s="5">
        <f>SQRT((INDEX(Postes!$B$7:$B$117,MATCH(C74,Postes!$A$7:$A$117,0))-INDEX(Postes!$B$7:$B$117,MATCH(B74,Postes!$A$7:$A$117,0)))^2+(INDEX(Postes!$C$7:$C$117,MATCH(C74,Postes!$A$7:$A$117,0))-INDEX(Postes!$C$7:$C$117,MATCH(B74,Postes!$A$7:$A$117,0)))^2)</f>
        <v>56.885229973850386</v>
      </c>
      <c r="E74" s="5">
        <f>INDEX(Postes!$D$7:$D$117,MATCH(C74,Postes!$A$7:$A$117,0))+INDEX(Postes!$G$7:$G$117,MATCH(C74,Postes!$A$7:$A$117,0))-INDEX(Postes!$D$7:$D$117,MATCH(B74,Postes!$A$7:$A$117,0))-INDEX(Postes!$G$7:$G$117,MATCH(B74,Postes!$A$7:$A$117,0))</f>
        <v>9.720805381404352</v>
      </c>
      <c r="F74" s="5">
        <f>Parametros!$E$8*Parametros!$E$9</f>
        <v>2205</v>
      </c>
      <c r="G74" s="5">
        <f>Parametros!$E$10/1000*Parametros!$E$11</f>
        <v>1.32389775</v>
      </c>
      <c r="H74" s="5">
        <f t="shared" si="12"/>
        <v>1665.5364811972829</v>
      </c>
      <c r="I74" s="5">
        <f t="shared" si="13"/>
        <v>0.17005539727559615</v>
      </c>
      <c r="J74" s="5">
        <f t="shared" si="14"/>
        <v>-254.79085300007722</v>
      </c>
      <c r="K74" s="5">
        <f t="shared" si="15"/>
        <v>0.15297824807591065</v>
      </c>
      <c r="L74" s="5">
        <f t="shared" si="16"/>
        <v>0.18713254647528163</v>
      </c>
      <c r="M74" s="5">
        <f t="shared" si="17"/>
        <v>57.712546489621303</v>
      </c>
      <c r="N74" s="5">
        <f>M74*Parametros!$E$5</f>
        <v>173.13763946886391</v>
      </c>
    </row>
    <row r="75" spans="1:14" ht="21" customHeight="1">
      <c r="A75" s="1" t="s">
        <v>294</v>
      </c>
      <c r="B75" s="1" t="s">
        <v>168</v>
      </c>
      <c r="C75" s="1" t="s">
        <v>169</v>
      </c>
      <c r="D75" s="5">
        <f>SQRT((INDEX(Postes!$B$7:$B$117,MATCH(C75,Postes!$A$7:$A$117,0))-INDEX(Postes!$B$7:$B$117,MATCH(B75,Postes!$A$7:$A$117,0)))^2+(INDEX(Postes!$C$7:$C$117,MATCH(C75,Postes!$A$7:$A$117,0))-INDEX(Postes!$C$7:$C$117,MATCH(B75,Postes!$A$7:$A$117,0)))^2)</f>
        <v>68.148965645168275</v>
      </c>
      <c r="E75" s="5">
        <f>INDEX(Postes!$D$7:$D$117,MATCH(C75,Postes!$A$7:$A$117,0))+INDEX(Postes!$G$7:$G$117,MATCH(C75,Postes!$A$7:$A$117,0))-INDEX(Postes!$D$7:$D$117,MATCH(B75,Postes!$A$7:$A$117,0))-INDEX(Postes!$G$7:$G$117,MATCH(B75,Postes!$A$7:$A$117,0))</f>
        <v>-2.9311723210822489</v>
      </c>
      <c r="F75" s="5">
        <f>Parametros!$E$8*Parametros!$E$9</f>
        <v>2205</v>
      </c>
      <c r="G75" s="5">
        <f>Parametros!$E$10/1000*Parametros!$E$11</f>
        <v>1.32389775</v>
      </c>
      <c r="H75" s="5">
        <f t="shared" si="12"/>
        <v>1665.5364811972829</v>
      </c>
      <c r="I75" s="5">
        <f t="shared" si="13"/>
        <v>-4.2995003757829366E-2</v>
      </c>
      <c r="J75" s="5">
        <f t="shared" si="14"/>
        <v>105.68423009046322</v>
      </c>
      <c r="K75" s="5">
        <f t="shared" si="15"/>
        <v>-6.3453566633671896E-2</v>
      </c>
      <c r="L75" s="5">
        <f t="shared" si="16"/>
        <v>-2.2536440881986832E-2</v>
      </c>
      <c r="M75" s="5">
        <f t="shared" si="17"/>
        <v>68.216722911961398</v>
      </c>
      <c r="N75" s="5">
        <f>M75*Parametros!$E$5</f>
        <v>204.65016873588419</v>
      </c>
    </row>
    <row r="76" spans="1:14" ht="21" customHeight="1">
      <c r="A76" s="1" t="s">
        <v>295</v>
      </c>
      <c r="B76" s="1" t="s">
        <v>169</v>
      </c>
      <c r="C76" s="1" t="s">
        <v>170</v>
      </c>
      <c r="D76" s="5">
        <f>SQRT((INDEX(Postes!$B$7:$B$117,MATCH(C76,Postes!$A$7:$A$117,0))-INDEX(Postes!$B$7:$B$117,MATCH(B76,Postes!$A$7:$A$117,0)))^2+(INDEX(Postes!$C$7:$C$117,MATCH(C76,Postes!$A$7:$A$117,0))-INDEX(Postes!$C$7:$C$117,MATCH(B76,Postes!$A$7:$A$117,0)))^2)</f>
        <v>68.148965645168275</v>
      </c>
      <c r="E76" s="5">
        <f>INDEX(Postes!$D$7:$D$117,MATCH(C76,Postes!$A$7:$A$117,0))+INDEX(Postes!$G$7:$G$117,MATCH(C76,Postes!$A$7:$A$117,0))-INDEX(Postes!$D$7:$D$117,MATCH(B76,Postes!$A$7:$A$117,0))-INDEX(Postes!$G$7:$G$117,MATCH(B76,Postes!$A$7:$A$117,0))</f>
        <v>1.7561236023801943</v>
      </c>
      <c r="F76" s="5">
        <f>Parametros!$E$8*Parametros!$E$9</f>
        <v>2205</v>
      </c>
      <c r="G76" s="5">
        <f>Parametros!$E$10/1000*Parametros!$E$11</f>
        <v>1.32389775</v>
      </c>
      <c r="H76" s="5">
        <f t="shared" si="12"/>
        <v>1665.5364811972829</v>
      </c>
      <c r="I76" s="5">
        <f t="shared" si="13"/>
        <v>2.5764247930797228E-2</v>
      </c>
      <c r="J76" s="5">
        <f t="shared" si="14"/>
        <v>-8.8368120167702529</v>
      </c>
      <c r="K76" s="5">
        <f t="shared" si="15"/>
        <v>5.3056850549546937E-3</v>
      </c>
      <c r="L76" s="5">
        <f t="shared" si="16"/>
        <v>4.6222810806639758E-2</v>
      </c>
      <c r="M76" s="5">
        <f t="shared" si="17"/>
        <v>68.176341085293487</v>
      </c>
      <c r="N76" s="5">
        <f>M76*Parametros!$E$5</f>
        <v>204.52902325588047</v>
      </c>
    </row>
    <row r="77" spans="1:14" ht="21" customHeight="1">
      <c r="A77" s="1" t="s">
        <v>296</v>
      </c>
      <c r="B77" s="1" t="s">
        <v>170</v>
      </c>
      <c r="C77" s="1" t="s">
        <v>171</v>
      </c>
      <c r="D77" s="5">
        <f>SQRT((INDEX(Postes!$B$7:$B$117,MATCH(C77,Postes!$A$7:$A$117,0))-INDEX(Postes!$B$7:$B$117,MATCH(B77,Postes!$A$7:$A$117,0)))^2+(INDEX(Postes!$C$7:$C$117,MATCH(C77,Postes!$A$7:$A$117,0))-INDEX(Postes!$C$7:$C$117,MATCH(B77,Postes!$A$7:$A$117,0)))^2)</f>
        <v>58.678112655688274</v>
      </c>
      <c r="E77" s="5">
        <f>INDEX(Postes!$D$7:$D$117,MATCH(C77,Postes!$A$7:$A$117,0))+INDEX(Postes!$G$7:$G$117,MATCH(C77,Postes!$A$7:$A$117,0))-INDEX(Postes!$D$7:$D$117,MATCH(B77,Postes!$A$7:$A$117,0))-INDEX(Postes!$G$7:$G$117,MATCH(B77,Postes!$A$7:$A$117,0))</f>
        <v>-0.68088829361986392</v>
      </c>
      <c r="F77" s="5">
        <f>Parametros!$E$8*Parametros!$E$9</f>
        <v>2205</v>
      </c>
      <c r="G77" s="5">
        <f>Parametros!$E$10/1000*Parametros!$E$11</f>
        <v>1.32389775</v>
      </c>
      <c r="H77" s="5">
        <f t="shared" si="12"/>
        <v>1665.5364811972829</v>
      </c>
      <c r="I77" s="5">
        <f t="shared" si="13"/>
        <v>-1.1602926097986884E-2</v>
      </c>
      <c r="J77" s="5">
        <f t="shared" si="14"/>
        <v>48.664153032677333</v>
      </c>
      <c r="K77" s="5">
        <f t="shared" si="15"/>
        <v>-2.921830508191256E-2</v>
      </c>
      <c r="L77" s="5">
        <f t="shared" si="16"/>
        <v>6.0124528859387899E-3</v>
      </c>
      <c r="M77" s="5">
        <f t="shared" si="17"/>
        <v>58.68509745854427</v>
      </c>
      <c r="N77" s="5">
        <f>M77*Parametros!$E$5</f>
        <v>176.0552923756328</v>
      </c>
    </row>
    <row r="78" spans="1:14" ht="21" customHeight="1">
      <c r="A78" s="1" t="s">
        <v>297</v>
      </c>
      <c r="B78" s="1" t="s">
        <v>171</v>
      </c>
      <c r="C78" s="1" t="s">
        <v>172</v>
      </c>
      <c r="D78" s="5">
        <f>SQRT((INDEX(Postes!$B$7:$B$117,MATCH(C78,Postes!$A$7:$A$117,0))-INDEX(Postes!$B$7:$B$117,MATCH(B78,Postes!$A$7:$A$117,0)))^2+(INDEX(Postes!$C$7:$C$117,MATCH(C78,Postes!$A$7:$A$117,0))-INDEX(Postes!$C$7:$C$117,MATCH(B78,Postes!$A$7:$A$117,0)))^2)</f>
        <v>58.678112654273534</v>
      </c>
      <c r="E78" s="5">
        <f>INDEX(Postes!$D$7:$D$117,MATCH(C78,Postes!$A$7:$A$117,0))+INDEX(Postes!$G$7:$G$117,MATCH(C78,Postes!$A$7:$A$117,0))-INDEX(Postes!$D$7:$D$117,MATCH(B78,Postes!$A$7:$A$117,0))-INDEX(Postes!$G$7:$G$117,MATCH(B78,Postes!$A$7:$A$117,0))</f>
        <v>11.444019408052009</v>
      </c>
      <c r="F78" s="5">
        <f>Parametros!$E$8*Parametros!$E$9</f>
        <v>2205</v>
      </c>
      <c r="G78" s="5">
        <f>Parametros!$E$10/1000*Parametros!$E$11</f>
        <v>1.32389775</v>
      </c>
      <c r="H78" s="5">
        <f t="shared" si="12"/>
        <v>1665.5364811972829</v>
      </c>
      <c r="I78" s="5">
        <f t="shared" si="13"/>
        <v>0.19380486627885982</v>
      </c>
      <c r="J78" s="5">
        <f t="shared" si="14"/>
        <v>-293.45001869386539</v>
      </c>
      <c r="K78" s="5">
        <f t="shared" si="15"/>
        <v>0.17618948729535885</v>
      </c>
      <c r="L78" s="5">
        <f t="shared" si="16"/>
        <v>0.21142024526236081</v>
      </c>
      <c r="M78" s="5">
        <f t="shared" si="17"/>
        <v>59.786642612679429</v>
      </c>
      <c r="N78" s="5">
        <f>M78*Parametros!$E$5</f>
        <v>179.35992783803829</v>
      </c>
    </row>
    <row r="79" spans="1:14" ht="21" customHeight="1">
      <c r="A79" s="1" t="s">
        <v>298</v>
      </c>
      <c r="B79" s="1" t="s">
        <v>172</v>
      </c>
      <c r="C79" s="1" t="s">
        <v>173</v>
      </c>
      <c r="D79" s="5">
        <f>SQRT((INDEX(Postes!$B$7:$B$117,MATCH(C79,Postes!$A$7:$A$117,0))-INDEX(Postes!$B$7:$B$117,MATCH(B79,Postes!$A$7:$A$117,0)))^2+(INDEX(Postes!$C$7:$C$117,MATCH(C79,Postes!$A$7:$A$117,0))-INDEX(Postes!$C$7:$C$117,MATCH(B79,Postes!$A$7:$A$117,0)))^2)</f>
        <v>71.734052511280964</v>
      </c>
      <c r="E79" s="5">
        <f>INDEX(Postes!$D$7:$D$117,MATCH(C79,Postes!$A$7:$A$117,0))+INDEX(Postes!$G$7:$G$117,MATCH(C79,Postes!$A$7:$A$117,0))-INDEX(Postes!$D$7:$D$117,MATCH(B79,Postes!$A$7:$A$117,0))-INDEX(Postes!$G$7:$G$117,MATCH(B79,Postes!$A$7:$A$117,0))</f>
        <v>10.66700911326061</v>
      </c>
      <c r="F79" s="5">
        <f>Parametros!$E$8*Parametros!$E$9</f>
        <v>2205</v>
      </c>
      <c r="G79" s="5">
        <f>Parametros!$E$10/1000*Parametros!$E$11</f>
        <v>1.32389775</v>
      </c>
      <c r="H79" s="5">
        <f t="shared" si="12"/>
        <v>1665.5364811972829</v>
      </c>
      <c r="I79" s="5">
        <f t="shared" si="13"/>
        <v>0.14814815709738252</v>
      </c>
      <c r="J79" s="5">
        <f t="shared" si="14"/>
        <v>-210.87913401219629</v>
      </c>
      <c r="K79" s="5">
        <f t="shared" si="15"/>
        <v>0.1266133383404513</v>
      </c>
      <c r="L79" s="5">
        <f t="shared" si="16"/>
        <v>0.16968297585431374</v>
      </c>
      <c r="M79" s="5">
        <f t="shared" si="17"/>
        <v>72.528303927022577</v>
      </c>
      <c r="N79" s="5">
        <f>M79*Parametros!$E$5</f>
        <v>217.58491178106772</v>
      </c>
    </row>
    <row r="80" spans="1:14" ht="21" customHeight="1">
      <c r="A80" s="1" t="s">
        <v>299</v>
      </c>
      <c r="B80" s="1" t="s">
        <v>173</v>
      </c>
      <c r="C80" s="1" t="s">
        <v>174</v>
      </c>
      <c r="D80" s="5">
        <f>SQRT((INDEX(Postes!$B$7:$B$117,MATCH(C80,Postes!$A$7:$A$117,0))-INDEX(Postes!$B$7:$B$117,MATCH(B80,Postes!$A$7:$A$117,0)))^2+(INDEX(Postes!$C$7:$C$117,MATCH(C80,Postes!$A$7:$A$117,0))-INDEX(Postes!$C$7:$C$117,MATCH(B80,Postes!$A$7:$A$117,0)))^2)</f>
        <v>71.734052511280964</v>
      </c>
      <c r="E80" s="5">
        <f>INDEX(Postes!$D$7:$D$117,MATCH(C80,Postes!$A$7:$A$117,0))+INDEX(Postes!$G$7:$G$117,MATCH(C80,Postes!$A$7:$A$117,0))-INDEX(Postes!$D$7:$D$117,MATCH(B80,Postes!$A$7:$A$117,0))-INDEX(Postes!$G$7:$G$117,MATCH(B80,Postes!$A$7:$A$117,0))</f>
        <v>-5.046906357199715</v>
      </c>
      <c r="F80" s="5">
        <f>Parametros!$E$8*Parametros!$E$9</f>
        <v>2205</v>
      </c>
      <c r="G80" s="5">
        <f>Parametros!$E$10/1000*Parametros!$E$11</f>
        <v>1.32389775</v>
      </c>
      <c r="H80" s="5">
        <f t="shared" si="12"/>
        <v>1665.5364811972829</v>
      </c>
      <c r="I80" s="5">
        <f t="shared" si="13"/>
        <v>-7.029245780233416E-2</v>
      </c>
      <c r="J80" s="5">
        <f t="shared" si="14"/>
        <v>152.9416790784486</v>
      </c>
      <c r="K80" s="5">
        <f t="shared" si="15"/>
        <v>-9.1827276559265383E-2</v>
      </c>
      <c r="L80" s="5">
        <f t="shared" si="16"/>
        <v>-4.8757639045402923E-2</v>
      </c>
      <c r="M80" s="5">
        <f t="shared" si="17"/>
        <v>71.916903791017802</v>
      </c>
      <c r="N80" s="5">
        <f>M80*Parametros!$E$5</f>
        <v>215.75071137305341</v>
      </c>
    </row>
    <row r="81" spans="1:14" ht="21" customHeight="1">
      <c r="A81" s="1" t="s">
        <v>300</v>
      </c>
      <c r="B81" s="1" t="s">
        <v>174</v>
      </c>
      <c r="C81" s="1" t="s">
        <v>175</v>
      </c>
      <c r="D81" s="5">
        <f>SQRT((INDEX(Postes!$B$7:$B$117,MATCH(C81,Postes!$A$7:$A$117,0))-INDEX(Postes!$B$7:$B$117,MATCH(B81,Postes!$A$7:$A$117,0)))^2+(INDEX(Postes!$C$7:$C$117,MATCH(C81,Postes!$A$7:$A$117,0))-INDEX(Postes!$C$7:$C$117,MATCH(B81,Postes!$A$7:$A$117,0)))^2)</f>
        <v>48.477318770994543</v>
      </c>
      <c r="E81" s="5">
        <f>INDEX(Postes!$D$7:$D$117,MATCH(C81,Postes!$A$7:$A$117,0))+INDEX(Postes!$G$7:$G$117,MATCH(C81,Postes!$A$7:$A$117,0))-INDEX(Postes!$D$7:$D$117,MATCH(B81,Postes!$A$7:$A$117,0))-INDEX(Postes!$G$7:$G$117,MATCH(B81,Postes!$A$7:$A$117,0))</f>
        <v>3.4835405301433635</v>
      </c>
      <c r="F81" s="5">
        <f>Parametros!$E$8*Parametros!$E$9</f>
        <v>2205</v>
      </c>
      <c r="G81" s="5">
        <f>Parametros!$E$10/1000*Parametros!$E$11</f>
        <v>1.32389775</v>
      </c>
      <c r="H81" s="5">
        <f t="shared" si="12"/>
        <v>1665.5364811972829</v>
      </c>
      <c r="I81" s="5">
        <f t="shared" si="13"/>
        <v>7.1794952795776315E-2</v>
      </c>
      <c r="J81" s="5">
        <f t="shared" si="14"/>
        <v>-95.338453661705046</v>
      </c>
      <c r="K81" s="5">
        <f t="shared" si="15"/>
        <v>5.7241888567442431E-2</v>
      </c>
      <c r="L81" s="5">
        <f t="shared" si="16"/>
        <v>8.6348017024110199E-2</v>
      </c>
      <c r="M81" s="5">
        <f t="shared" si="17"/>
        <v>48.604026598388948</v>
      </c>
      <c r="N81" s="5">
        <f>M81*Parametros!$E$5</f>
        <v>145.81207979516685</v>
      </c>
    </row>
    <row r="82" spans="1:14" ht="21" customHeight="1">
      <c r="A82" s="1" t="s">
        <v>301</v>
      </c>
      <c r="B82" s="1" t="s">
        <v>175</v>
      </c>
      <c r="C82" s="1" t="s">
        <v>176</v>
      </c>
      <c r="D82" s="5">
        <f>SQRT((INDEX(Postes!$B$7:$B$117,MATCH(C82,Postes!$A$7:$A$117,0))-INDEX(Postes!$B$7:$B$117,MATCH(B82,Postes!$A$7:$A$117,0)))^2+(INDEX(Postes!$C$7:$C$117,MATCH(C82,Postes!$A$7:$A$117,0))-INDEX(Postes!$C$7:$C$117,MATCH(B82,Postes!$A$7:$A$117,0)))^2)</f>
        <v>53.07787276594383</v>
      </c>
      <c r="E82" s="5">
        <f>INDEX(Postes!$D$7:$D$117,MATCH(C82,Postes!$A$7:$A$117,0))+INDEX(Postes!$G$7:$G$117,MATCH(C82,Postes!$A$7:$A$117,0))-INDEX(Postes!$D$7:$D$117,MATCH(B82,Postes!$A$7:$A$117,0))-INDEX(Postes!$G$7:$G$117,MATCH(B82,Postes!$A$7:$A$117,0))</f>
        <v>-0.93398503596163174</v>
      </c>
      <c r="F82" s="5">
        <f>Parametros!$E$8*Parametros!$E$9</f>
        <v>2205</v>
      </c>
      <c r="G82" s="5">
        <f>Parametros!$E$10/1000*Parametros!$E$11</f>
        <v>1.32389775</v>
      </c>
      <c r="H82" s="5">
        <f t="shared" si="12"/>
        <v>1665.5364811972829</v>
      </c>
      <c r="I82" s="5">
        <f t="shared" si="13"/>
        <v>-1.7594852226399258E-2</v>
      </c>
      <c r="J82" s="5">
        <f t="shared" si="14"/>
        <v>55.84380464731511</v>
      </c>
      <c r="K82" s="5">
        <f t="shared" si="15"/>
        <v>-3.3529019194566897E-2</v>
      </c>
      <c r="L82" s="5">
        <f t="shared" si="16"/>
        <v>-1.6606852582316119E-3</v>
      </c>
      <c r="M82" s="5">
        <f t="shared" si="17"/>
        <v>53.08833530493223</v>
      </c>
      <c r="N82" s="5">
        <f>M82*Parametros!$E$5</f>
        <v>159.26500591479669</v>
      </c>
    </row>
    <row r="83" spans="1:14" ht="21" customHeight="1">
      <c r="A83" s="1" t="s">
        <v>302</v>
      </c>
      <c r="B83" s="1" t="s">
        <v>176</v>
      </c>
      <c r="C83" s="1" t="s">
        <v>177</v>
      </c>
      <c r="D83" s="5">
        <f>SQRT((INDEX(Postes!$B$7:$B$117,MATCH(C83,Postes!$A$7:$A$117,0))-INDEX(Postes!$B$7:$B$117,MATCH(B83,Postes!$A$7:$A$117,0)))^2+(INDEX(Postes!$C$7:$C$117,MATCH(C83,Postes!$A$7:$A$117,0))-INDEX(Postes!$C$7:$C$117,MATCH(B83,Postes!$A$7:$A$117,0)))^2)</f>
        <v>53.077872765916737</v>
      </c>
      <c r="E83" s="5">
        <f>INDEX(Postes!$D$7:$D$117,MATCH(C83,Postes!$A$7:$A$117,0))+INDEX(Postes!$G$7:$G$117,MATCH(C83,Postes!$A$7:$A$117,0))-INDEX(Postes!$D$7:$D$117,MATCH(B83,Postes!$A$7:$A$117,0))-INDEX(Postes!$G$7:$G$117,MATCH(B83,Postes!$A$7:$A$117,0))</f>
        <v>6.0609978180554211</v>
      </c>
      <c r="F83" s="5">
        <f>Parametros!$E$8*Parametros!$E$9</f>
        <v>2205</v>
      </c>
      <c r="G83" s="5">
        <f>Parametros!$E$10/1000*Parametros!$E$11</f>
        <v>1.32389775</v>
      </c>
      <c r="H83" s="5">
        <f t="shared" si="12"/>
        <v>1665.5364811972829</v>
      </c>
      <c r="I83" s="5">
        <f t="shared" si="13"/>
        <v>0.11393914848376886</v>
      </c>
      <c r="J83" s="5">
        <f t="shared" si="14"/>
        <v>-163.23087205331274</v>
      </c>
      <c r="K83" s="5">
        <f t="shared" si="15"/>
        <v>9.8004981515609338E-2</v>
      </c>
      <c r="L83" s="5">
        <f t="shared" si="16"/>
        <v>0.12987331545192837</v>
      </c>
      <c r="M83" s="5">
        <f t="shared" si="17"/>
        <v>53.425038249393076</v>
      </c>
      <c r="N83" s="5">
        <f>M83*Parametros!$E$5</f>
        <v>160.27511474817922</v>
      </c>
    </row>
    <row r="84" spans="1:14" ht="21" customHeight="1">
      <c r="A84" s="1" t="s">
        <v>303</v>
      </c>
      <c r="B84" s="1" t="s">
        <v>177</v>
      </c>
      <c r="C84" s="1" t="s">
        <v>178</v>
      </c>
      <c r="D84" s="5">
        <f>SQRT((INDEX(Postes!$B$7:$B$117,MATCH(C84,Postes!$A$7:$A$117,0))-INDEX(Postes!$B$7:$B$117,MATCH(B84,Postes!$A$7:$A$117,0)))^2+(INDEX(Postes!$C$7:$C$117,MATCH(C84,Postes!$A$7:$A$117,0))-INDEX(Postes!$C$7:$C$117,MATCH(B84,Postes!$A$7:$A$117,0)))^2)</f>
        <v>71.769589566125873</v>
      </c>
      <c r="E84" s="5">
        <f>INDEX(Postes!$D$7:$D$117,MATCH(C84,Postes!$A$7:$A$117,0))+INDEX(Postes!$G$7:$G$117,MATCH(C84,Postes!$A$7:$A$117,0))-INDEX(Postes!$D$7:$D$117,MATCH(B84,Postes!$A$7:$A$117,0))-INDEX(Postes!$G$7:$G$117,MATCH(B84,Postes!$A$7:$A$117,0))</f>
        <v>-0.86776176077191813</v>
      </c>
      <c r="F84" s="5">
        <f>Parametros!$E$8*Parametros!$E$9</f>
        <v>2205</v>
      </c>
      <c r="G84" s="5">
        <f>Parametros!$E$10/1000*Parametros!$E$11</f>
        <v>1.32389775</v>
      </c>
      <c r="H84" s="5">
        <f t="shared" si="12"/>
        <v>1665.5364811972829</v>
      </c>
      <c r="I84" s="5">
        <f t="shared" si="13"/>
        <v>-1.2089709524921811E-2</v>
      </c>
      <c r="J84" s="5">
        <f t="shared" si="14"/>
        <v>56.020647043898485</v>
      </c>
      <c r="K84" s="5">
        <f t="shared" si="15"/>
        <v>-3.3635196632635533E-2</v>
      </c>
      <c r="L84" s="5">
        <f t="shared" si="16"/>
        <v>9.4557775827919105E-3</v>
      </c>
      <c r="M84" s="5">
        <f t="shared" si="17"/>
        <v>71.780387794711118</v>
      </c>
      <c r="N84" s="5">
        <f>M84*Parametros!$E$5</f>
        <v>215.34116338413335</v>
      </c>
    </row>
    <row r="85" spans="1:14" ht="21" customHeight="1">
      <c r="A85" s="1" t="s">
        <v>304</v>
      </c>
      <c r="B85" s="1" t="s">
        <v>178</v>
      </c>
      <c r="C85" s="1" t="s">
        <v>179</v>
      </c>
      <c r="D85" s="5">
        <f>SQRT((INDEX(Postes!$B$7:$B$117,MATCH(C85,Postes!$A$7:$A$117,0))-INDEX(Postes!$B$7:$B$117,MATCH(B85,Postes!$A$7:$A$117,0)))^2+(INDEX(Postes!$C$7:$C$117,MATCH(C85,Postes!$A$7:$A$117,0))-INDEX(Postes!$C$7:$C$117,MATCH(B85,Postes!$A$7:$A$117,0)))^2)</f>
        <v>67.989603143173724</v>
      </c>
      <c r="E85" s="5">
        <f>INDEX(Postes!$D$7:$D$117,MATCH(C85,Postes!$A$7:$A$117,0))+INDEX(Postes!$G$7:$G$117,MATCH(C85,Postes!$A$7:$A$117,0))-INDEX(Postes!$D$7:$D$117,MATCH(B85,Postes!$A$7:$A$117,0))-INDEX(Postes!$G$7:$G$117,MATCH(B85,Postes!$A$7:$A$117,0))</f>
        <v>3.5628549348747587</v>
      </c>
      <c r="F85" s="5">
        <f>Parametros!$E$8*Parametros!$E$9</f>
        <v>2205</v>
      </c>
      <c r="G85" s="5">
        <f>Parametros!$E$10/1000*Parametros!$E$11</f>
        <v>1.32389775</v>
      </c>
      <c r="H85" s="5">
        <f t="shared" si="12"/>
        <v>1665.5364811972829</v>
      </c>
      <c r="I85" s="5">
        <f t="shared" si="13"/>
        <v>5.2375350248386875E-2</v>
      </c>
      <c r="J85" s="5">
        <f t="shared" si="14"/>
        <v>-53.238254982586653</v>
      </c>
      <c r="K85" s="5">
        <f t="shared" si="15"/>
        <v>3.19646285647949E-2</v>
      </c>
      <c r="L85" s="5">
        <f t="shared" si="16"/>
        <v>7.2786071931978849E-2</v>
      </c>
      <c r="M85" s="5">
        <f t="shared" si="17"/>
        <v>68.087605523166445</v>
      </c>
      <c r="N85" s="5">
        <f>M85*Parametros!$E$5</f>
        <v>204.26281656949934</v>
      </c>
    </row>
    <row r="86" spans="1:14" ht="21" customHeight="1">
      <c r="A86" s="1" t="s">
        <v>305</v>
      </c>
      <c r="B86" s="1" t="s">
        <v>179</v>
      </c>
      <c r="C86" s="1" t="s">
        <v>180</v>
      </c>
      <c r="D86" s="5">
        <f>SQRT((INDEX(Postes!$B$7:$B$117,MATCH(C86,Postes!$A$7:$A$117,0))-INDEX(Postes!$B$7:$B$117,MATCH(B86,Postes!$A$7:$A$117,0)))^2+(INDEX(Postes!$C$7:$C$117,MATCH(C86,Postes!$A$7:$A$117,0))-INDEX(Postes!$C$7:$C$117,MATCH(B86,Postes!$A$7:$A$117,0)))^2)</f>
        <v>80.009261635417346</v>
      </c>
      <c r="E86" s="5">
        <f>INDEX(Postes!$D$7:$D$117,MATCH(C86,Postes!$A$7:$A$117,0))+INDEX(Postes!$G$7:$G$117,MATCH(C86,Postes!$A$7:$A$117,0))-INDEX(Postes!$D$7:$D$117,MATCH(B86,Postes!$A$7:$A$117,0))-INDEX(Postes!$G$7:$G$117,MATCH(B86,Postes!$A$7:$A$117,0))</f>
        <v>10.21281888419062</v>
      </c>
      <c r="F86" s="5">
        <f>Parametros!$E$8*Parametros!$E$9</f>
        <v>2205</v>
      </c>
      <c r="G86" s="5">
        <f>Parametros!$E$10/1000*Parametros!$E$11</f>
        <v>1.32389775</v>
      </c>
      <c r="H86" s="5">
        <f t="shared" si="12"/>
        <v>1665.5364811972829</v>
      </c>
      <c r="I86" s="5">
        <f t="shared" si="13"/>
        <v>0.12728917277541249</v>
      </c>
      <c r="J86" s="5">
        <f t="shared" si="14"/>
        <v>-172.00013010116481</v>
      </c>
      <c r="K86" s="5">
        <f t="shared" si="15"/>
        <v>0.10327010668509722</v>
      </c>
      <c r="L86" s="5">
        <f t="shared" si="16"/>
        <v>0.15130823886572775</v>
      </c>
      <c r="M86" s="5">
        <f t="shared" si="17"/>
        <v>80.666069383807027</v>
      </c>
      <c r="N86" s="5">
        <f>M86*Parametros!$E$5</f>
        <v>241.99820815142107</v>
      </c>
    </row>
    <row r="87" spans="1:14" ht="21" customHeight="1">
      <c r="A87" s="1" t="s">
        <v>306</v>
      </c>
      <c r="B87" s="1" t="s">
        <v>180</v>
      </c>
      <c r="C87" s="1" t="s">
        <v>181</v>
      </c>
      <c r="D87" s="5">
        <f>SQRT((INDEX(Postes!$B$7:$B$117,MATCH(C87,Postes!$A$7:$A$117,0))-INDEX(Postes!$B$7:$B$117,MATCH(B87,Postes!$A$7:$A$117,0)))^2+(INDEX(Postes!$C$7:$C$117,MATCH(C87,Postes!$A$7:$A$117,0))-INDEX(Postes!$C$7:$C$117,MATCH(B87,Postes!$A$7:$A$117,0)))^2)</f>
        <v>80.009261636514026</v>
      </c>
      <c r="E87" s="5">
        <f>INDEX(Postes!$D$7:$D$117,MATCH(C87,Postes!$A$7:$A$117,0))+INDEX(Postes!$G$7:$G$117,MATCH(C87,Postes!$A$7:$A$117,0))-INDEX(Postes!$D$7:$D$117,MATCH(B87,Postes!$A$7:$A$117,0))-INDEX(Postes!$G$7:$G$117,MATCH(B87,Postes!$A$7:$A$117,0))</f>
        <v>4.2704102342599075</v>
      </c>
      <c r="F87" s="5">
        <f>Parametros!$E$8*Parametros!$E$9</f>
        <v>2205</v>
      </c>
      <c r="G87" s="5">
        <f>Parametros!$E$10/1000*Parametros!$E$11</f>
        <v>1.32389775</v>
      </c>
      <c r="H87" s="5">
        <f t="shared" si="12"/>
        <v>1665.5364811972829</v>
      </c>
      <c r="I87" s="5">
        <f t="shared" si="13"/>
        <v>5.3343515070164653E-2</v>
      </c>
      <c r="J87" s="5">
        <f t="shared" si="14"/>
        <v>-48.840939566399257</v>
      </c>
      <c r="K87" s="5">
        <f t="shared" si="15"/>
        <v>2.9324448979520159E-2</v>
      </c>
      <c r="L87" s="5">
        <f t="shared" si="16"/>
        <v>7.7362581160809157E-2</v>
      </c>
      <c r="M87" s="5">
        <f t="shared" si="17"/>
        <v>80.130827301459433</v>
      </c>
      <c r="N87" s="5">
        <f>M87*Parametros!$E$5</f>
        <v>240.39248190437831</v>
      </c>
    </row>
    <row r="88" spans="1:14" ht="21" customHeight="1">
      <c r="A88" s="1" t="s">
        <v>307</v>
      </c>
      <c r="B88" s="1" t="s">
        <v>181</v>
      </c>
      <c r="C88" s="1" t="s">
        <v>182</v>
      </c>
      <c r="D88" s="5">
        <f>SQRT((INDEX(Postes!$B$7:$B$117,MATCH(C88,Postes!$A$7:$A$117,0))-INDEX(Postes!$B$7:$B$117,MATCH(B88,Postes!$A$7:$A$117,0)))^2+(INDEX(Postes!$C$7:$C$117,MATCH(C88,Postes!$A$7:$A$117,0))-INDEX(Postes!$C$7:$C$117,MATCH(B88,Postes!$A$7:$A$117,0)))^2)</f>
        <v>80.009261635417346</v>
      </c>
      <c r="E88" s="5">
        <f>INDEX(Postes!$D$7:$D$117,MATCH(C88,Postes!$A$7:$A$117,0))+INDEX(Postes!$G$7:$G$117,MATCH(C88,Postes!$A$7:$A$117,0))-INDEX(Postes!$D$7:$D$117,MATCH(B88,Postes!$A$7:$A$117,0))-INDEX(Postes!$G$7:$G$117,MATCH(B88,Postes!$A$7:$A$117,0))</f>
        <v>10.474196554515311</v>
      </c>
      <c r="F88" s="5">
        <f>Parametros!$E$8*Parametros!$E$9</f>
        <v>2205</v>
      </c>
      <c r="G88" s="5">
        <f>Parametros!$E$10/1000*Parametros!$E$11</f>
        <v>1.32389775</v>
      </c>
      <c r="H88" s="5">
        <f t="shared" si="12"/>
        <v>1665.5364811972829</v>
      </c>
      <c r="I88" s="5">
        <f t="shared" si="13"/>
        <v>0.13052874579869544</v>
      </c>
      <c r="J88" s="5">
        <f t="shared" si="14"/>
        <v>-177.39575715494516</v>
      </c>
      <c r="K88" s="5">
        <f t="shared" si="15"/>
        <v>0.10650967970838017</v>
      </c>
      <c r="L88" s="5">
        <f t="shared" si="16"/>
        <v>0.15454781188901073</v>
      </c>
      <c r="M88" s="5">
        <f t="shared" si="17"/>
        <v>80.699577903075252</v>
      </c>
      <c r="N88" s="5">
        <f>M88*Parametros!$E$5</f>
        <v>242.09873370922577</v>
      </c>
    </row>
    <row r="89" spans="1:14" ht="21" customHeight="1">
      <c r="A89" s="1" t="s">
        <v>308</v>
      </c>
      <c r="B89" s="1" t="s">
        <v>182</v>
      </c>
      <c r="C89" s="1" t="s">
        <v>183</v>
      </c>
      <c r="D89" s="5">
        <f>SQRT((INDEX(Postes!$B$7:$B$117,MATCH(C89,Postes!$A$7:$A$117,0))-INDEX(Postes!$B$7:$B$117,MATCH(B89,Postes!$A$7:$A$117,0)))^2+(INDEX(Postes!$C$7:$C$117,MATCH(C89,Postes!$A$7:$A$117,0))-INDEX(Postes!$C$7:$C$117,MATCH(B89,Postes!$A$7:$A$117,0)))^2)</f>
        <v>74.263003342249718</v>
      </c>
      <c r="E89" s="5">
        <f>INDEX(Postes!$D$7:$D$117,MATCH(C89,Postes!$A$7:$A$117,0))+INDEX(Postes!$G$7:$G$117,MATCH(C89,Postes!$A$7:$A$117,0))-INDEX(Postes!$D$7:$D$117,MATCH(B89,Postes!$A$7:$A$117,0))-INDEX(Postes!$G$7:$G$117,MATCH(B89,Postes!$A$7:$A$117,0))</f>
        <v>8.4082858061582559</v>
      </c>
      <c r="F89" s="5">
        <f>Parametros!$E$8*Parametros!$E$9</f>
        <v>2205</v>
      </c>
      <c r="G89" s="5">
        <f>Parametros!$E$10/1000*Parametros!$E$11</f>
        <v>1.32389775</v>
      </c>
      <c r="H89" s="5">
        <f t="shared" si="12"/>
        <v>1665.5364811972829</v>
      </c>
      <c r="I89" s="5">
        <f t="shared" si="13"/>
        <v>0.11297323388748</v>
      </c>
      <c r="J89" s="5">
        <f t="shared" si="14"/>
        <v>-151.02954076730623</v>
      </c>
      <c r="K89" s="5">
        <f t="shared" si="15"/>
        <v>9.0679215059124713E-2</v>
      </c>
      <c r="L89" s="5">
        <f t="shared" si="16"/>
        <v>0.13526725271583531</v>
      </c>
      <c r="M89" s="5">
        <f t="shared" si="17"/>
        <v>74.743606345738939</v>
      </c>
      <c r="N89" s="5">
        <f>M89*Parametros!$E$5</f>
        <v>224.2308190372168</v>
      </c>
    </row>
    <row r="90" spans="1:14" ht="21" customHeight="1">
      <c r="A90" s="1" t="s">
        <v>309</v>
      </c>
      <c r="B90" s="1" t="s">
        <v>183</v>
      </c>
      <c r="C90" s="1" t="s">
        <v>184</v>
      </c>
      <c r="D90" s="5">
        <f>SQRT((INDEX(Postes!$B$7:$B$117,MATCH(C90,Postes!$A$7:$A$117,0))-INDEX(Postes!$B$7:$B$117,MATCH(B90,Postes!$A$7:$A$117,0)))^2+(INDEX(Postes!$C$7:$C$117,MATCH(C90,Postes!$A$7:$A$117,0))-INDEX(Postes!$C$7:$C$117,MATCH(B90,Postes!$A$7:$A$117,0)))^2)</f>
        <v>74.263003343684531</v>
      </c>
      <c r="E90" s="5">
        <f>INDEX(Postes!$D$7:$D$117,MATCH(C90,Postes!$A$7:$A$117,0))+INDEX(Postes!$G$7:$G$117,MATCH(C90,Postes!$A$7:$A$117,0))-INDEX(Postes!$D$7:$D$117,MATCH(B90,Postes!$A$7:$A$117,0))-INDEX(Postes!$G$7:$G$117,MATCH(B90,Postes!$A$7:$A$117,0))</f>
        <v>7.3235260013701922</v>
      </c>
      <c r="F90" s="5">
        <f>Parametros!$E$8*Parametros!$E$9</f>
        <v>2205</v>
      </c>
      <c r="G90" s="5">
        <f>Parametros!$E$10/1000*Parametros!$E$11</f>
        <v>1.32389775</v>
      </c>
      <c r="H90" s="5">
        <f t="shared" si="12"/>
        <v>1665.5364811972829</v>
      </c>
      <c r="I90" s="5">
        <f t="shared" si="13"/>
        <v>9.8448800215360871E-2</v>
      </c>
      <c r="J90" s="5">
        <f t="shared" si="14"/>
        <v>-126.83856661694418</v>
      </c>
      <c r="K90" s="5">
        <f t="shared" si="15"/>
        <v>7.6154781386574832E-2</v>
      </c>
      <c r="L90" s="5">
        <f t="shared" si="16"/>
        <v>0.1207428190441469</v>
      </c>
      <c r="M90" s="5">
        <f t="shared" si="17"/>
        <v>74.62936052703833</v>
      </c>
      <c r="N90" s="5">
        <f>M90*Parametros!$E$5</f>
        <v>223.88808158111499</v>
      </c>
    </row>
    <row r="91" spans="1:14" ht="21" customHeight="1">
      <c r="A91" s="1" t="s">
        <v>310</v>
      </c>
      <c r="B91" s="1" t="s">
        <v>184</v>
      </c>
      <c r="C91" s="1" t="s">
        <v>185</v>
      </c>
      <c r="D91" s="5">
        <f>SQRT((INDEX(Postes!$B$7:$B$117,MATCH(C91,Postes!$A$7:$A$117,0))-INDEX(Postes!$B$7:$B$117,MATCH(B91,Postes!$A$7:$A$117,0)))^2+(INDEX(Postes!$C$7:$C$117,MATCH(C91,Postes!$A$7:$A$117,0))-INDEX(Postes!$C$7:$C$117,MATCH(B91,Postes!$A$7:$A$117,0)))^2)</f>
        <v>74.263003342249718</v>
      </c>
      <c r="E91" s="5">
        <f>INDEX(Postes!$D$7:$D$117,MATCH(C91,Postes!$A$7:$A$117,0))+INDEX(Postes!$G$7:$G$117,MATCH(C91,Postes!$A$7:$A$117,0))-INDEX(Postes!$D$7:$D$117,MATCH(B91,Postes!$A$7:$A$117,0))-INDEX(Postes!$G$7:$G$117,MATCH(B91,Postes!$A$7:$A$117,0))</f>
        <v>12.25415953349866</v>
      </c>
      <c r="F91" s="5">
        <f>Parametros!$E$8*Parametros!$E$9</f>
        <v>2205</v>
      </c>
      <c r="G91" s="5">
        <f>Parametros!$E$10/1000*Parametros!$E$11</f>
        <v>1.32389775</v>
      </c>
      <c r="H91" s="5">
        <f t="shared" si="12"/>
        <v>1665.5364811972829</v>
      </c>
      <c r="I91" s="5">
        <f t="shared" si="13"/>
        <v>0.16425700333504689</v>
      </c>
      <c r="J91" s="5">
        <f t="shared" si="14"/>
        <v>-236.44452967553951</v>
      </c>
      <c r="K91" s="5">
        <f t="shared" si="15"/>
        <v>0.14196298450669159</v>
      </c>
      <c r="L91" s="5">
        <f t="shared" si="16"/>
        <v>0.18655102216340219</v>
      </c>
      <c r="M91" s="5">
        <f t="shared" si="17"/>
        <v>75.27331429690858</v>
      </c>
      <c r="N91" s="5">
        <f>M91*Parametros!$E$5</f>
        <v>225.81994289072574</v>
      </c>
    </row>
    <row r="92" spans="1:14" ht="21" customHeight="1">
      <c r="A92" s="1" t="s">
        <v>311</v>
      </c>
      <c r="B92" s="1" t="s">
        <v>185</v>
      </c>
      <c r="C92" s="1" t="s">
        <v>186</v>
      </c>
      <c r="D92" s="5">
        <f>SQRT((INDEX(Postes!$B$7:$B$117,MATCH(C92,Postes!$A$7:$A$117,0))-INDEX(Postes!$B$7:$B$117,MATCH(B92,Postes!$A$7:$A$117,0)))^2+(INDEX(Postes!$C$7:$C$117,MATCH(C92,Postes!$A$7:$A$117,0))-INDEX(Postes!$C$7:$C$117,MATCH(B92,Postes!$A$7:$A$117,0)))^2)</f>
        <v>37.01814482271029</v>
      </c>
      <c r="E92" s="5">
        <f>INDEX(Postes!$D$7:$D$117,MATCH(C92,Postes!$A$7:$A$117,0))+INDEX(Postes!$G$7:$G$117,MATCH(C92,Postes!$A$7:$A$117,0))-INDEX(Postes!$D$7:$D$117,MATCH(B92,Postes!$A$7:$A$117,0))-INDEX(Postes!$G$7:$G$117,MATCH(B92,Postes!$A$7:$A$117,0))</f>
        <v>-3.8243858315828216</v>
      </c>
      <c r="F92" s="5">
        <f>Parametros!$E$8*Parametros!$E$9</f>
        <v>2205</v>
      </c>
      <c r="G92" s="5">
        <f>Parametros!$E$10/1000*Parametros!$E$11</f>
        <v>1.32389775</v>
      </c>
      <c r="H92" s="5">
        <f t="shared" si="12"/>
        <v>1665.5364811972829</v>
      </c>
      <c r="I92" s="5">
        <f t="shared" si="13"/>
        <v>-0.10312610085866983</v>
      </c>
      <c r="J92" s="5">
        <f t="shared" si="14"/>
        <v>190.26935555510016</v>
      </c>
      <c r="K92" s="5">
        <f t="shared" si="15"/>
        <v>-0.11423908014210753</v>
      </c>
      <c r="L92" s="5">
        <f t="shared" si="16"/>
        <v>-9.2013121575232101E-2</v>
      </c>
      <c r="M92" s="5">
        <f t="shared" si="17"/>
        <v>37.215929193231887</v>
      </c>
      <c r="N92" s="5">
        <f>M92*Parametros!$E$5</f>
        <v>111.64778757969566</v>
      </c>
    </row>
    <row r="93" spans="1:14" ht="21" customHeight="1">
      <c r="A93" s="1" t="s">
        <v>312</v>
      </c>
      <c r="B93" s="1" t="s">
        <v>186</v>
      </c>
      <c r="C93" s="1" t="s">
        <v>187</v>
      </c>
      <c r="D93" s="5">
        <f>SQRT((INDEX(Postes!$B$7:$B$117,MATCH(C93,Postes!$A$7:$A$117,0))-INDEX(Postes!$B$7:$B$117,MATCH(B93,Postes!$A$7:$A$117,0)))^2+(INDEX(Postes!$C$7:$C$117,MATCH(C93,Postes!$A$7:$A$117,0))-INDEX(Postes!$C$7:$C$117,MATCH(B93,Postes!$A$7:$A$117,0)))^2)</f>
        <v>70.695133423470992</v>
      </c>
      <c r="E93" s="5">
        <f>INDEX(Postes!$D$7:$D$117,MATCH(C93,Postes!$A$7:$A$117,0))+INDEX(Postes!$G$7:$G$117,MATCH(C93,Postes!$A$7:$A$117,0))-INDEX(Postes!$D$7:$D$117,MATCH(B93,Postes!$A$7:$A$117,0))-INDEX(Postes!$G$7:$G$117,MATCH(B93,Postes!$A$7:$A$117,0))</f>
        <v>-1.9822057922384371</v>
      </c>
      <c r="F93" s="5">
        <f>Parametros!$E$8*Parametros!$E$9</f>
        <v>2205</v>
      </c>
      <c r="G93" s="5">
        <f>Parametros!$E$10/1000*Parametros!$E$11</f>
        <v>1.32389775</v>
      </c>
      <c r="H93" s="5">
        <f t="shared" si="12"/>
        <v>1665.5364811972829</v>
      </c>
      <c r="I93" s="5">
        <f t="shared" si="13"/>
        <v>-2.8033010566046564E-2</v>
      </c>
      <c r="J93" s="5">
        <f t="shared" si="14"/>
        <v>82.037568487274939</v>
      </c>
      <c r="K93" s="5">
        <f t="shared" si="15"/>
        <v>-4.9255942102391925E-2</v>
      </c>
      <c r="L93" s="5">
        <f t="shared" si="16"/>
        <v>-6.8100790297012026E-3</v>
      </c>
      <c r="M93" s="5">
        <f t="shared" si="17"/>
        <v>70.728222320716483</v>
      </c>
      <c r="N93" s="5">
        <f>M93*Parametros!$E$5</f>
        <v>212.18466696214944</v>
      </c>
    </row>
    <row r="94" spans="1:14" ht="21" customHeight="1">
      <c r="A94" s="1" t="s">
        <v>313</v>
      </c>
      <c r="B94" s="1" t="s">
        <v>187</v>
      </c>
      <c r="C94" s="1" t="s">
        <v>188</v>
      </c>
      <c r="D94" s="5">
        <f>SQRT((INDEX(Postes!$B$7:$B$117,MATCH(C94,Postes!$A$7:$A$117,0))-INDEX(Postes!$B$7:$B$117,MATCH(B94,Postes!$A$7:$A$117,0)))^2+(INDEX(Postes!$C$7:$C$117,MATCH(C94,Postes!$A$7:$A$117,0))-INDEX(Postes!$C$7:$C$117,MATCH(B94,Postes!$A$7:$A$117,0)))^2)</f>
        <v>55.408298670155602</v>
      </c>
      <c r="E94" s="5">
        <f>INDEX(Postes!$D$7:$D$117,MATCH(C94,Postes!$A$7:$A$117,0))+INDEX(Postes!$G$7:$G$117,MATCH(C94,Postes!$A$7:$A$117,0))-INDEX(Postes!$D$7:$D$117,MATCH(B94,Postes!$A$7:$A$117,0))-INDEX(Postes!$G$7:$G$117,MATCH(B94,Postes!$A$7:$A$117,0))</f>
        <v>8.1878684792349308</v>
      </c>
      <c r="F94" s="5">
        <f>Parametros!$E$8*Parametros!$E$9</f>
        <v>2205</v>
      </c>
      <c r="G94" s="5">
        <f>Parametros!$E$10/1000*Parametros!$E$11</f>
        <v>1.32389775</v>
      </c>
      <c r="H94" s="5">
        <f t="shared" si="12"/>
        <v>1665.5364811972829</v>
      </c>
      <c r="I94" s="5">
        <f t="shared" si="13"/>
        <v>0.14723398053414838</v>
      </c>
      <c r="J94" s="5">
        <f t="shared" si="14"/>
        <v>-217.51941651643693</v>
      </c>
      <c r="K94" s="5">
        <f t="shared" si="15"/>
        <v>0.1306002113865867</v>
      </c>
      <c r="L94" s="5">
        <f t="shared" si="16"/>
        <v>0.16386774968171006</v>
      </c>
      <c r="M94" s="5">
        <f t="shared" si="17"/>
        <v>56.012533487905344</v>
      </c>
      <c r="N94" s="5">
        <f>M94*Parametros!$E$5</f>
        <v>168.03760046371605</v>
      </c>
    </row>
    <row r="95" spans="1:14" ht="21" customHeight="1">
      <c r="A95" s="1" t="s">
        <v>314</v>
      </c>
      <c r="B95" s="1" t="s">
        <v>188</v>
      </c>
      <c r="C95" s="1" t="s">
        <v>189</v>
      </c>
      <c r="D95" s="5">
        <f>SQRT((INDEX(Postes!$B$7:$B$117,MATCH(C95,Postes!$A$7:$A$117,0))-INDEX(Postes!$B$7:$B$117,MATCH(B95,Postes!$A$7:$A$117,0)))^2+(INDEX(Postes!$C$7:$C$117,MATCH(C95,Postes!$A$7:$A$117,0))-INDEX(Postes!$C$7:$C$117,MATCH(B95,Postes!$A$7:$A$117,0)))^2)</f>
        <v>55.408298670127913</v>
      </c>
      <c r="E95" s="5">
        <f>INDEX(Postes!$D$7:$D$117,MATCH(C95,Postes!$A$7:$A$117,0))+INDEX(Postes!$G$7:$G$117,MATCH(C95,Postes!$A$7:$A$117,0))-INDEX(Postes!$D$7:$D$117,MATCH(B95,Postes!$A$7:$A$117,0))-INDEX(Postes!$G$7:$G$117,MATCH(B95,Postes!$A$7:$A$117,0))</f>
        <v>8.7587365964745008</v>
      </c>
      <c r="F95" s="5">
        <f>Parametros!$E$8*Parametros!$E$9</f>
        <v>2205</v>
      </c>
      <c r="G95" s="5">
        <f>Parametros!$E$10/1000*Parametros!$E$11</f>
        <v>1.32389775</v>
      </c>
      <c r="H95" s="5">
        <f t="shared" si="12"/>
        <v>1665.5364811972829</v>
      </c>
      <c r="I95" s="5">
        <f t="shared" si="13"/>
        <v>0.15741801644396541</v>
      </c>
      <c r="J95" s="5">
        <f t="shared" si="14"/>
        <v>-234.48129985007421</v>
      </c>
      <c r="K95" s="5">
        <f t="shared" si="15"/>
        <v>0.14078424729641204</v>
      </c>
      <c r="L95" s="5">
        <f t="shared" si="16"/>
        <v>0.17405178559151877</v>
      </c>
      <c r="M95" s="5">
        <f t="shared" si="17"/>
        <v>56.098825159390103</v>
      </c>
      <c r="N95" s="5">
        <f>M95*Parametros!$E$5</f>
        <v>168.29647547817029</v>
      </c>
    </row>
    <row r="96" spans="1:14" ht="21" customHeight="1">
      <c r="A96" s="1" t="s">
        <v>315</v>
      </c>
      <c r="B96" s="1" t="s">
        <v>189</v>
      </c>
      <c r="C96" s="1" t="s">
        <v>190</v>
      </c>
      <c r="D96" s="5">
        <f>SQRT((INDEX(Postes!$B$7:$B$117,MATCH(C96,Postes!$A$7:$A$117,0))-INDEX(Postes!$B$7:$B$117,MATCH(B96,Postes!$A$7:$A$117,0)))^2+(INDEX(Postes!$C$7:$C$117,MATCH(C96,Postes!$A$7:$A$117,0))-INDEX(Postes!$C$7:$C$117,MATCH(B96,Postes!$A$7:$A$117,0)))^2)</f>
        <v>63.217131351994695</v>
      </c>
      <c r="E96" s="5">
        <f>INDEX(Postes!$D$7:$D$117,MATCH(C96,Postes!$A$7:$A$117,0))+INDEX(Postes!$G$7:$G$117,MATCH(C96,Postes!$A$7:$A$117,0))-INDEX(Postes!$D$7:$D$117,MATCH(B96,Postes!$A$7:$A$117,0))-INDEX(Postes!$G$7:$G$117,MATCH(B96,Postes!$A$7:$A$117,0))</f>
        <v>3.647411362687853</v>
      </c>
      <c r="F96" s="5">
        <f>Parametros!$E$8*Parametros!$E$9</f>
        <v>2205</v>
      </c>
      <c r="G96" s="5">
        <f>Parametros!$E$10/1000*Parametros!$E$11</f>
        <v>1.32389775</v>
      </c>
      <c r="H96" s="5">
        <f t="shared" si="12"/>
        <v>1665.5364811972829</v>
      </c>
      <c r="I96" s="5">
        <f t="shared" si="13"/>
        <v>5.7661144964860578E-2</v>
      </c>
      <c r="J96" s="5">
        <f t="shared" si="14"/>
        <v>-64.428174810582959</v>
      </c>
      <c r="K96" s="5">
        <f t="shared" si="15"/>
        <v>3.868313635752265E-2</v>
      </c>
      <c r="L96" s="5">
        <f t="shared" si="16"/>
        <v>7.6639153572198498E-2</v>
      </c>
      <c r="M96" s="5">
        <f t="shared" si="17"/>
        <v>63.326054016484342</v>
      </c>
      <c r="N96" s="5">
        <f>M96*Parametros!$E$5</f>
        <v>189.97816204945303</v>
      </c>
    </row>
    <row r="97" spans="1:14" ht="21" customHeight="1">
      <c r="A97" s="1" t="s">
        <v>316</v>
      </c>
      <c r="B97" s="1" t="s">
        <v>190</v>
      </c>
      <c r="C97" s="1" t="s">
        <v>191</v>
      </c>
      <c r="D97" s="5">
        <f>SQRT((INDEX(Postes!$B$7:$B$117,MATCH(C97,Postes!$A$7:$A$117,0))-INDEX(Postes!$B$7:$B$117,MATCH(B97,Postes!$A$7:$A$117,0)))^2+(INDEX(Postes!$C$7:$C$117,MATCH(C97,Postes!$A$7:$A$117,0))-INDEX(Postes!$C$7:$C$117,MATCH(B97,Postes!$A$7:$A$117,0)))^2)</f>
        <v>45.08917939789221</v>
      </c>
      <c r="E97" s="5">
        <f>INDEX(Postes!$D$7:$D$117,MATCH(C97,Postes!$A$7:$A$117,0))+INDEX(Postes!$G$7:$G$117,MATCH(C97,Postes!$A$7:$A$117,0))-INDEX(Postes!$D$7:$D$117,MATCH(B97,Postes!$A$7:$A$117,0))-INDEX(Postes!$G$7:$G$117,MATCH(B97,Postes!$A$7:$A$117,0))</f>
        <v>-4.2660643030325449</v>
      </c>
      <c r="F97" s="5">
        <f>Parametros!$E$8*Parametros!$E$9</f>
        <v>2205</v>
      </c>
      <c r="G97" s="5">
        <f>Parametros!$E$10/1000*Parametros!$E$11</f>
        <v>1.32389775</v>
      </c>
      <c r="H97" s="5">
        <f t="shared" si="12"/>
        <v>1665.5364811972829</v>
      </c>
      <c r="I97" s="5">
        <f t="shared" si="13"/>
        <v>-9.4470455015388338E-2</v>
      </c>
      <c r="J97" s="5">
        <f t="shared" si="14"/>
        <v>179.88857892238221</v>
      </c>
      <c r="K97" s="5">
        <f t="shared" si="15"/>
        <v>-0.10800638770341915</v>
      </c>
      <c r="L97" s="5">
        <f t="shared" si="16"/>
        <v>-8.0934522327357539E-2</v>
      </c>
      <c r="M97" s="5">
        <f t="shared" si="17"/>
        <v>45.291915080002568</v>
      </c>
      <c r="N97" s="5">
        <f>M97*Parametros!$E$5</f>
        <v>135.87574524000769</v>
      </c>
    </row>
    <row r="98" spans="1:14" ht="21" customHeight="1">
      <c r="A98" s="1" t="s">
        <v>317</v>
      </c>
      <c r="B98" s="1" t="s">
        <v>191</v>
      </c>
      <c r="C98" s="1" t="s">
        <v>192</v>
      </c>
      <c r="D98" s="5">
        <f>SQRT((INDEX(Postes!$B$7:$B$117,MATCH(C98,Postes!$A$7:$A$117,0))-INDEX(Postes!$B$7:$B$117,MATCH(B98,Postes!$A$7:$A$117,0)))^2+(INDEX(Postes!$C$7:$C$117,MATCH(C98,Postes!$A$7:$A$117,0))-INDEX(Postes!$C$7:$C$117,MATCH(B98,Postes!$A$7:$A$117,0)))^2)</f>
        <v>52.391482165823611</v>
      </c>
      <c r="E98" s="5">
        <f>INDEX(Postes!$D$7:$D$117,MATCH(C98,Postes!$A$7:$A$117,0))+INDEX(Postes!$G$7:$G$117,MATCH(C98,Postes!$A$7:$A$117,0))-INDEX(Postes!$D$7:$D$117,MATCH(B98,Postes!$A$7:$A$117,0))-INDEX(Postes!$G$7:$G$117,MATCH(B98,Postes!$A$7:$A$117,0))</f>
        <v>1.4241639868427232</v>
      </c>
      <c r="F98" s="5">
        <f>Parametros!$E$8*Parametros!$E$9</f>
        <v>2205</v>
      </c>
      <c r="G98" s="5">
        <f>Parametros!$E$10/1000*Parametros!$E$11</f>
        <v>1.32389775</v>
      </c>
      <c r="H98" s="5">
        <f t="shared" si="12"/>
        <v>1665.5364811972829</v>
      </c>
      <c r="I98" s="5">
        <f t="shared" si="13"/>
        <v>2.7178653893575707E-2</v>
      </c>
      <c r="J98" s="5">
        <f t="shared" si="14"/>
        <v>-19.071298486673111</v>
      </c>
      <c r="K98" s="5">
        <f t="shared" si="15"/>
        <v>1.1450543834959154E-2</v>
      </c>
      <c r="L98" s="5">
        <f t="shared" si="16"/>
        <v>4.2906763952192256E-2</v>
      </c>
      <c r="M98" s="5">
        <f t="shared" si="17"/>
        <v>52.412994474921156</v>
      </c>
      <c r="N98" s="5">
        <f>M98*Parametros!$E$5</f>
        <v>157.23898342476346</v>
      </c>
    </row>
    <row r="99" spans="1:14" ht="21" customHeight="1">
      <c r="A99" s="1" t="s">
        <v>318</v>
      </c>
      <c r="B99" s="1" t="s">
        <v>192</v>
      </c>
      <c r="C99" s="1" t="s">
        <v>193</v>
      </c>
      <c r="D99" s="5">
        <f>SQRT((INDEX(Postes!$B$7:$B$117,MATCH(C99,Postes!$A$7:$A$117,0))-INDEX(Postes!$B$7:$B$117,MATCH(B99,Postes!$A$7:$A$117,0)))^2+(INDEX(Postes!$C$7:$C$117,MATCH(C99,Postes!$A$7:$A$117,0))-INDEX(Postes!$C$7:$C$117,MATCH(B99,Postes!$A$7:$A$117,0)))^2)</f>
        <v>48.254927655986378</v>
      </c>
      <c r="E99" s="5">
        <f>INDEX(Postes!$D$7:$D$117,MATCH(C99,Postes!$A$7:$A$117,0))+INDEX(Postes!$G$7:$G$117,MATCH(C99,Postes!$A$7:$A$117,0))-INDEX(Postes!$D$7:$D$117,MATCH(B99,Postes!$A$7:$A$117,0))-INDEX(Postes!$G$7:$G$117,MATCH(B99,Postes!$A$7:$A$117,0))</f>
        <v>7.9125804008112031</v>
      </c>
      <c r="F99" s="5">
        <f>Parametros!$E$8*Parametros!$E$9</f>
        <v>2205</v>
      </c>
      <c r="G99" s="5">
        <f>Parametros!$E$10/1000*Parametros!$E$11</f>
        <v>1.32389775</v>
      </c>
      <c r="H99" s="5">
        <f t="shared" si="12"/>
        <v>1665.5364811972829</v>
      </c>
      <c r="I99" s="5">
        <f t="shared" si="13"/>
        <v>0.16324283382689381</v>
      </c>
      <c r="J99" s="5">
        <f t="shared" si="14"/>
        <v>-247.75943120472434</v>
      </c>
      <c r="K99" s="5">
        <f t="shared" si="15"/>
        <v>0.14875653220553936</v>
      </c>
      <c r="L99" s="5">
        <f t="shared" si="16"/>
        <v>0.17772913544824828</v>
      </c>
      <c r="M99" s="5">
        <f t="shared" si="17"/>
        <v>48.901021050233076</v>
      </c>
      <c r="N99" s="5">
        <f>M99*Parametros!$E$5</f>
        <v>146.70306315069922</v>
      </c>
    </row>
    <row r="100" spans="1:14" ht="21" customHeight="1">
      <c r="A100" s="1" t="s">
        <v>319</v>
      </c>
      <c r="B100" s="1" t="s">
        <v>193</v>
      </c>
      <c r="C100" s="1" t="s">
        <v>194</v>
      </c>
      <c r="D100" s="5">
        <f>SQRT((INDEX(Postes!$B$7:$B$117,MATCH(C100,Postes!$A$7:$A$117,0))-INDEX(Postes!$B$7:$B$117,MATCH(B100,Postes!$A$7:$A$117,0)))^2+(INDEX(Postes!$C$7:$C$117,MATCH(C100,Postes!$A$7:$A$117,0))-INDEX(Postes!$C$7:$C$117,MATCH(B100,Postes!$A$7:$A$117,0)))^2)</f>
        <v>49.360111463419344</v>
      </c>
      <c r="E100" s="5">
        <f>INDEX(Postes!$D$7:$D$117,MATCH(C100,Postes!$A$7:$A$117,0))+INDEX(Postes!$G$7:$G$117,MATCH(C100,Postes!$A$7:$A$117,0))-INDEX(Postes!$D$7:$D$117,MATCH(B100,Postes!$A$7:$A$117,0))-INDEX(Postes!$G$7:$G$117,MATCH(B100,Postes!$A$7:$A$117,0))</f>
        <v>7.0698471562017406</v>
      </c>
      <c r="F100" s="5">
        <f>Parametros!$E$8*Parametros!$E$9</f>
        <v>2205</v>
      </c>
      <c r="G100" s="5">
        <f>Parametros!$E$10/1000*Parametros!$E$11</f>
        <v>1.32389775</v>
      </c>
      <c r="H100" s="5">
        <f t="shared" si="12"/>
        <v>1665.5364811972829</v>
      </c>
      <c r="I100" s="5">
        <f t="shared" si="13"/>
        <v>0.14273952245419544</v>
      </c>
      <c r="J100" s="5">
        <f t="shared" si="14"/>
        <v>-213.05782622443155</v>
      </c>
      <c r="K100" s="5">
        <f t="shared" si="15"/>
        <v>0.12792144070676459</v>
      </c>
      <c r="L100" s="5">
        <f t="shared" si="16"/>
        <v>0.15755760420162629</v>
      </c>
      <c r="M100" s="5">
        <f t="shared" si="17"/>
        <v>49.865636202126062</v>
      </c>
      <c r="N100" s="5">
        <f>M100*Parametros!$E$5</f>
        <v>149.59690860637818</v>
      </c>
    </row>
    <row r="101" spans="1:14" ht="21" customHeight="1">
      <c r="A101" s="1" t="s">
        <v>320</v>
      </c>
      <c r="B101" s="1" t="s">
        <v>194</v>
      </c>
      <c r="C101" s="1" t="s">
        <v>195</v>
      </c>
      <c r="D101" s="5">
        <f>SQRT((INDEX(Postes!$B$7:$B$117,MATCH(C101,Postes!$A$7:$A$117,0))-INDEX(Postes!$B$7:$B$117,MATCH(B101,Postes!$A$7:$A$117,0)))^2+(INDEX(Postes!$C$7:$C$117,MATCH(C101,Postes!$A$7:$A$117,0))-INDEX(Postes!$C$7:$C$117,MATCH(B101,Postes!$A$7:$A$117,0)))^2)</f>
        <v>71.762611659101765</v>
      </c>
      <c r="E101" s="5">
        <f>INDEX(Postes!$D$7:$D$117,MATCH(C101,Postes!$A$7:$A$117,0))+INDEX(Postes!$G$7:$G$117,MATCH(C101,Postes!$A$7:$A$117,0))-INDEX(Postes!$D$7:$D$117,MATCH(B101,Postes!$A$7:$A$117,0))-INDEX(Postes!$G$7:$G$117,MATCH(B101,Postes!$A$7:$A$117,0))</f>
        <v>5.6222217626749629</v>
      </c>
      <c r="F101" s="5">
        <f>Parametros!$E$8*Parametros!$E$9</f>
        <v>2205</v>
      </c>
      <c r="G101" s="5">
        <f>Parametros!$E$10/1000*Parametros!$E$11</f>
        <v>1.32389775</v>
      </c>
      <c r="H101" s="5">
        <f t="shared" si="12"/>
        <v>1665.5364811972829</v>
      </c>
      <c r="I101" s="5">
        <f t="shared" si="13"/>
        <v>7.8258754559488372E-2</v>
      </c>
      <c r="J101" s="5">
        <f t="shared" si="14"/>
        <v>-94.461504862341201</v>
      </c>
      <c r="K101" s="5">
        <f t="shared" si="15"/>
        <v>5.6715362244384386E-2</v>
      </c>
      <c r="L101" s="5">
        <f t="shared" si="16"/>
        <v>9.9802146874592365E-2</v>
      </c>
      <c r="M101" s="5">
        <f t="shared" si="17"/>
        <v>71.988044665260603</v>
      </c>
      <c r="N101" s="5">
        <f>M101*Parametros!$E$5</f>
        <v>215.96413399578182</v>
      </c>
    </row>
    <row r="102" spans="1:14" ht="21" customHeight="1">
      <c r="A102" s="1" t="s">
        <v>321</v>
      </c>
      <c r="B102" s="1" t="s">
        <v>195</v>
      </c>
      <c r="C102" s="1" t="s">
        <v>196</v>
      </c>
      <c r="D102" s="5">
        <f>SQRT((INDEX(Postes!$B$7:$B$117,MATCH(C102,Postes!$A$7:$A$117,0))-INDEX(Postes!$B$7:$B$117,MATCH(B102,Postes!$A$7:$A$117,0)))^2+(INDEX(Postes!$C$7:$C$117,MATCH(C102,Postes!$A$7:$A$117,0))-INDEX(Postes!$C$7:$C$117,MATCH(B102,Postes!$A$7:$A$117,0)))^2)</f>
        <v>71.762611657379509</v>
      </c>
      <c r="E102" s="5">
        <f>INDEX(Postes!$D$7:$D$117,MATCH(C102,Postes!$A$7:$A$117,0))+INDEX(Postes!$G$7:$G$117,MATCH(C102,Postes!$A$7:$A$117,0))-INDEX(Postes!$D$7:$D$117,MATCH(B102,Postes!$A$7:$A$117,0))-INDEX(Postes!$G$7:$G$117,MATCH(B102,Postes!$A$7:$A$117,0))</f>
        <v>-2.0845813219097185</v>
      </c>
      <c r="F102" s="5">
        <f>Parametros!$E$8*Parametros!$E$9</f>
        <v>2205</v>
      </c>
      <c r="G102" s="5">
        <f>Parametros!$E$10/1000*Parametros!$E$11</f>
        <v>1.32389775</v>
      </c>
      <c r="H102" s="5">
        <f t="shared" si="12"/>
        <v>1665.5364811972829</v>
      </c>
      <c r="I102" s="5">
        <f t="shared" si="13"/>
        <v>-2.9041962805593326E-2</v>
      </c>
      <c r="J102" s="5">
        <f t="shared" si="14"/>
        <v>84.251754366980038</v>
      </c>
      <c r="K102" s="5">
        <f t="shared" si="15"/>
        <v>-5.0585355120180288E-2</v>
      </c>
      <c r="L102" s="5">
        <f t="shared" si="16"/>
        <v>-7.4985704910063688E-3</v>
      </c>
      <c r="M102" s="5">
        <f t="shared" si="17"/>
        <v>71.798430875745822</v>
      </c>
      <c r="N102" s="5">
        <f>M102*Parametros!$E$5</f>
        <v>215.39529262723747</v>
      </c>
    </row>
    <row r="103" spans="1:14" ht="21" customHeight="1">
      <c r="A103" s="1" t="s">
        <v>322</v>
      </c>
      <c r="B103" s="1" t="s">
        <v>196</v>
      </c>
      <c r="C103" s="1" t="s">
        <v>197</v>
      </c>
      <c r="D103" s="5">
        <f>SQRT((INDEX(Postes!$B$7:$B$117,MATCH(C103,Postes!$A$7:$A$117,0))-INDEX(Postes!$B$7:$B$117,MATCH(B103,Postes!$A$7:$A$117,0)))^2+(INDEX(Postes!$C$7:$C$117,MATCH(C103,Postes!$A$7:$A$117,0))-INDEX(Postes!$C$7:$C$117,MATCH(B103,Postes!$A$7:$A$117,0)))^2)</f>
        <v>71.762611659079596</v>
      </c>
      <c r="E103" s="5">
        <f>INDEX(Postes!$D$7:$D$117,MATCH(C103,Postes!$A$7:$A$117,0))+INDEX(Postes!$G$7:$G$117,MATCH(C103,Postes!$A$7:$A$117,0))-INDEX(Postes!$D$7:$D$117,MATCH(B103,Postes!$A$7:$A$117,0))-INDEX(Postes!$G$7:$G$117,MATCH(B103,Postes!$A$7:$A$117,0))</f>
        <v>-7.876349070385368</v>
      </c>
      <c r="F103" s="5">
        <f>Parametros!$E$8*Parametros!$E$9</f>
        <v>2205</v>
      </c>
      <c r="G103" s="5">
        <f>Parametros!$E$10/1000*Parametros!$E$11</f>
        <v>1.32389775</v>
      </c>
      <c r="H103" s="5">
        <f t="shared" ref="H103:H134" si="18">F103/G103</f>
        <v>1665.5364811972829</v>
      </c>
      <c r="I103" s="5">
        <f t="shared" ref="I103:I134" si="19">ASINH(E103/(2*H103*SINH(D103/(2*H103))))</f>
        <v>-0.10952799714032063</v>
      </c>
      <c r="J103" s="5">
        <f t="shared" ref="J103:J134" si="20">D103/2-H103*I103</f>
        <v>218.3041807792155</v>
      </c>
      <c r="K103" s="5">
        <f t="shared" ref="K103:K134" si="21">-J103/H103</f>
        <v>-0.13107138945541796</v>
      </c>
      <c r="L103" s="5">
        <f t="shared" ref="L103:L116" si="22">(D103-J103)/H103</f>
        <v>-8.79846048252233E-2</v>
      </c>
      <c r="M103" s="5">
        <f t="shared" ref="M103:M134" si="23">H103*(SINH(L103)-SINH(K103))</f>
        <v>72.199072513808915</v>
      </c>
      <c r="N103" s="5">
        <f>M103*Parametros!$E$5</f>
        <v>216.59721754142674</v>
      </c>
    </row>
    <row r="104" spans="1:14" ht="21" customHeight="1">
      <c r="A104" s="1" t="s">
        <v>323</v>
      </c>
      <c r="B104" s="1" t="s">
        <v>197</v>
      </c>
      <c r="C104" s="1" t="s">
        <v>198</v>
      </c>
      <c r="D104" s="5">
        <f>SQRT((INDEX(Postes!$B$7:$B$117,MATCH(C104,Postes!$A$7:$A$117,0))-INDEX(Postes!$B$7:$B$117,MATCH(B104,Postes!$A$7:$A$117,0)))^2+(INDEX(Postes!$C$7:$C$117,MATCH(C104,Postes!$A$7:$A$117,0))-INDEX(Postes!$C$7:$C$117,MATCH(B104,Postes!$A$7:$A$117,0)))^2)</f>
        <v>71.762611657379509</v>
      </c>
      <c r="E104" s="5">
        <f>INDEX(Postes!$D$7:$D$117,MATCH(C104,Postes!$A$7:$A$117,0))+INDEX(Postes!$G$7:$G$117,MATCH(C104,Postes!$A$7:$A$117,0))-INDEX(Postes!$D$7:$D$117,MATCH(B104,Postes!$A$7:$A$117,0))-INDEX(Postes!$G$7:$G$117,MATCH(B104,Postes!$A$7:$A$117,0))</f>
        <v>11.808546337087501</v>
      </c>
      <c r="F104" s="5">
        <f>Parametros!$E$8*Parametros!$E$9</f>
        <v>2205</v>
      </c>
      <c r="G104" s="5">
        <f>Parametros!$E$10/1000*Parametros!$E$11</f>
        <v>1.32389775</v>
      </c>
      <c r="H104" s="5">
        <f t="shared" si="18"/>
        <v>1665.5364811972829</v>
      </c>
      <c r="I104" s="5">
        <f t="shared" si="19"/>
        <v>0.16380388542728169</v>
      </c>
      <c r="J104" s="5">
        <f t="shared" si="20"/>
        <v>-236.94004111230785</v>
      </c>
      <c r="K104" s="5">
        <f t="shared" si="21"/>
        <v>0.1422604931126947</v>
      </c>
      <c r="L104" s="5">
        <f t="shared" si="22"/>
        <v>0.18534727774186863</v>
      </c>
      <c r="M104" s="5">
        <f t="shared" si="23"/>
        <v>72.733149000484957</v>
      </c>
      <c r="N104" s="5">
        <f>M104*Parametros!$E$5</f>
        <v>218.19944700145487</v>
      </c>
    </row>
    <row r="105" spans="1:14" ht="21" customHeight="1">
      <c r="A105" s="1" t="s">
        <v>324</v>
      </c>
      <c r="B105" s="1" t="s">
        <v>198</v>
      </c>
      <c r="C105" s="1" t="s">
        <v>199</v>
      </c>
      <c r="D105" s="5">
        <f>SQRT((INDEX(Postes!$B$7:$B$117,MATCH(C105,Postes!$A$7:$A$117,0))-INDEX(Postes!$B$7:$B$117,MATCH(B105,Postes!$A$7:$A$117,0)))^2+(INDEX(Postes!$C$7:$C$117,MATCH(C105,Postes!$A$7:$A$117,0))-INDEX(Postes!$C$7:$C$117,MATCH(B105,Postes!$A$7:$A$117,0)))^2)</f>
        <v>71.762611659101765</v>
      </c>
      <c r="E105" s="5">
        <f>INDEX(Postes!$D$7:$D$117,MATCH(C105,Postes!$A$7:$A$117,0))+INDEX(Postes!$G$7:$G$117,MATCH(C105,Postes!$A$7:$A$117,0))-INDEX(Postes!$D$7:$D$117,MATCH(B105,Postes!$A$7:$A$117,0))-INDEX(Postes!$G$7:$G$117,MATCH(B105,Postes!$A$7:$A$117,0))</f>
        <v>-1.6785918091276475</v>
      </c>
      <c r="F105" s="5">
        <f>Parametros!$E$8*Parametros!$E$9</f>
        <v>2205</v>
      </c>
      <c r="G105" s="5">
        <f>Parametros!$E$10/1000*Parametros!$E$11</f>
        <v>1.32389775</v>
      </c>
      <c r="H105" s="5">
        <f t="shared" si="18"/>
        <v>1665.5364811972829</v>
      </c>
      <c r="I105" s="5">
        <f t="shared" si="19"/>
        <v>-2.338695509225959E-2</v>
      </c>
      <c r="J105" s="5">
        <f t="shared" si="20"/>
        <v>74.833132719831795</v>
      </c>
      <c r="K105" s="5">
        <f t="shared" si="21"/>
        <v>-4.4930347407363576E-2</v>
      </c>
      <c r="L105" s="5">
        <f t="shared" si="22"/>
        <v>-1.8435627771556009E-3</v>
      </c>
      <c r="M105" s="5">
        <f t="shared" si="23"/>
        <v>71.787790519283504</v>
      </c>
      <c r="N105" s="5">
        <f>M105*Parametros!$E$5</f>
        <v>215.36337155785051</v>
      </c>
    </row>
    <row r="106" spans="1:14" ht="21" customHeight="1">
      <c r="A106" s="1" t="s">
        <v>325</v>
      </c>
      <c r="B106" s="1" t="s">
        <v>199</v>
      </c>
      <c r="C106" s="1" t="s">
        <v>200</v>
      </c>
      <c r="D106" s="5">
        <f>SQRT((INDEX(Postes!$B$7:$B$117,MATCH(C106,Postes!$A$7:$A$117,0))-INDEX(Postes!$B$7:$B$117,MATCH(B106,Postes!$A$7:$A$117,0)))^2+(INDEX(Postes!$C$7:$C$117,MATCH(C106,Postes!$A$7:$A$117,0))-INDEX(Postes!$C$7:$C$117,MATCH(B106,Postes!$A$7:$A$117,0)))^2)</f>
        <v>45.536313382471739</v>
      </c>
      <c r="E106" s="5">
        <f>INDEX(Postes!$D$7:$D$117,MATCH(C106,Postes!$A$7:$A$117,0))+INDEX(Postes!$G$7:$G$117,MATCH(C106,Postes!$A$7:$A$117,0))-INDEX(Postes!$D$7:$D$117,MATCH(B106,Postes!$A$7:$A$117,0))-INDEX(Postes!$G$7:$G$117,MATCH(B106,Postes!$A$7:$A$117,0))</f>
        <v>4.0532620798659078</v>
      </c>
      <c r="F106" s="5">
        <f>Parametros!$E$8*Parametros!$E$9</f>
        <v>2205</v>
      </c>
      <c r="G106" s="5">
        <f>Parametros!$E$10/1000*Parametros!$E$11</f>
        <v>1.32389775</v>
      </c>
      <c r="H106" s="5">
        <f t="shared" si="18"/>
        <v>1665.5364811972829</v>
      </c>
      <c r="I106" s="5">
        <f t="shared" si="19"/>
        <v>8.8891758029496851E-2</v>
      </c>
      <c r="J106" s="5">
        <f t="shared" si="20"/>
        <v>-125.28430918465264</v>
      </c>
      <c r="K106" s="5">
        <f t="shared" si="21"/>
        <v>7.5221594122388186E-2</v>
      </c>
      <c r="L106" s="5">
        <f t="shared" si="22"/>
        <v>0.10256192193660553</v>
      </c>
      <c r="M106" s="5">
        <f t="shared" si="23"/>
        <v>45.717763914076464</v>
      </c>
      <c r="N106" s="5">
        <f>M106*Parametros!$E$5</f>
        <v>137.15329174222938</v>
      </c>
    </row>
    <row r="107" spans="1:14" ht="21" customHeight="1">
      <c r="A107" s="1" t="s">
        <v>326</v>
      </c>
      <c r="B107" s="1" t="s">
        <v>200</v>
      </c>
      <c r="C107" s="1" t="s">
        <v>201</v>
      </c>
      <c r="D107" s="5">
        <f>SQRT((INDEX(Postes!$B$7:$B$117,MATCH(C107,Postes!$A$7:$A$117,0))-INDEX(Postes!$B$7:$B$117,MATCH(B107,Postes!$A$7:$A$117,0)))^2+(INDEX(Postes!$C$7:$C$117,MATCH(C107,Postes!$A$7:$A$117,0))-INDEX(Postes!$C$7:$C$117,MATCH(B107,Postes!$A$7:$A$117,0)))^2)</f>
        <v>45.536313382471739</v>
      </c>
      <c r="E107" s="5">
        <f>INDEX(Postes!$D$7:$D$117,MATCH(C107,Postes!$A$7:$A$117,0))+INDEX(Postes!$G$7:$G$117,MATCH(C107,Postes!$A$7:$A$117,0))-INDEX(Postes!$D$7:$D$117,MATCH(B107,Postes!$A$7:$A$117,0))-INDEX(Postes!$G$7:$G$117,MATCH(B107,Postes!$A$7:$A$117,0))</f>
        <v>-2.3445481751842632</v>
      </c>
      <c r="F107" s="5">
        <f>Parametros!$E$8*Parametros!$E$9</f>
        <v>2205</v>
      </c>
      <c r="G107" s="5">
        <f>Parametros!$E$10/1000*Parametros!$E$11</f>
        <v>1.32389775</v>
      </c>
      <c r="H107" s="5">
        <f t="shared" si="18"/>
        <v>1665.5364811972829</v>
      </c>
      <c r="I107" s="5">
        <f t="shared" si="19"/>
        <v>-5.1463116539462513E-2</v>
      </c>
      <c r="J107" s="5">
        <f t="shared" si="20"/>
        <v>108.48185472381796</v>
      </c>
      <c r="K107" s="5">
        <f t="shared" si="21"/>
        <v>-6.5133280446571185E-2</v>
      </c>
      <c r="L107" s="5">
        <f t="shared" si="22"/>
        <v>-3.7792952632353848E-2</v>
      </c>
      <c r="M107" s="5">
        <f t="shared" si="23"/>
        <v>45.598047216530119</v>
      </c>
      <c r="N107" s="5">
        <f>M107*Parametros!$E$5</f>
        <v>136.79414164959036</v>
      </c>
    </row>
    <row r="108" spans="1:14" ht="21" customHeight="1">
      <c r="A108" s="1" t="s">
        <v>327</v>
      </c>
      <c r="B108" s="1" t="s">
        <v>201</v>
      </c>
      <c r="C108" s="1" t="s">
        <v>202</v>
      </c>
      <c r="D108" s="5">
        <f>SQRT((INDEX(Postes!$B$7:$B$117,MATCH(C108,Postes!$A$7:$A$117,0))-INDEX(Postes!$B$7:$B$117,MATCH(B108,Postes!$A$7:$A$117,0)))^2+(INDEX(Postes!$C$7:$C$117,MATCH(C108,Postes!$A$7:$A$117,0))-INDEX(Postes!$C$7:$C$117,MATCH(B108,Postes!$A$7:$A$117,0)))^2)</f>
        <v>47.97911935509179</v>
      </c>
      <c r="E108" s="5">
        <f>INDEX(Postes!$D$7:$D$117,MATCH(C108,Postes!$A$7:$A$117,0))+INDEX(Postes!$G$7:$G$117,MATCH(C108,Postes!$A$7:$A$117,0))-INDEX(Postes!$D$7:$D$117,MATCH(B108,Postes!$A$7:$A$117,0))-INDEX(Postes!$G$7:$G$117,MATCH(B108,Postes!$A$7:$A$117,0))</f>
        <v>8.3717504220338927</v>
      </c>
      <c r="F108" s="5">
        <f>Parametros!$E$8*Parametros!$E$9</f>
        <v>2205</v>
      </c>
      <c r="G108" s="5">
        <f>Parametros!$E$10/1000*Parametros!$E$11</f>
        <v>1.32389775</v>
      </c>
      <c r="H108" s="5">
        <f t="shared" si="18"/>
        <v>1665.5364811972829</v>
      </c>
      <c r="I108" s="5">
        <f t="shared" si="19"/>
        <v>0.17360794087386167</v>
      </c>
      <c r="J108" s="5">
        <f t="shared" si="20"/>
        <v>-265.16079927341161</v>
      </c>
      <c r="K108" s="5">
        <f t="shared" si="21"/>
        <v>0.15920443788946542</v>
      </c>
      <c r="L108" s="5">
        <f t="shared" si="22"/>
        <v>0.18801144385825791</v>
      </c>
      <c r="M108" s="5">
        <f t="shared" si="23"/>
        <v>48.705659784065361</v>
      </c>
      <c r="N108" s="5">
        <f>M108*Parametros!$E$5</f>
        <v>146.1169793521961</v>
      </c>
    </row>
    <row r="109" spans="1:14" ht="21" customHeight="1">
      <c r="A109" s="1" t="s">
        <v>328</v>
      </c>
      <c r="B109" s="1" t="s">
        <v>202</v>
      </c>
      <c r="C109" s="1" t="s">
        <v>203</v>
      </c>
      <c r="D109" s="5">
        <f>SQRT((INDEX(Postes!$B$7:$B$117,MATCH(C109,Postes!$A$7:$A$117,0))-INDEX(Postes!$B$7:$B$117,MATCH(B109,Postes!$A$7:$A$117,0)))^2+(INDEX(Postes!$C$7:$C$117,MATCH(C109,Postes!$A$7:$A$117,0))-INDEX(Postes!$C$7:$C$117,MATCH(B109,Postes!$A$7:$A$117,0)))^2)</f>
        <v>47.979119354327771</v>
      </c>
      <c r="E109" s="5">
        <f>INDEX(Postes!$D$7:$D$117,MATCH(C109,Postes!$A$7:$A$117,0))+INDEX(Postes!$G$7:$G$117,MATCH(C109,Postes!$A$7:$A$117,0))-INDEX(Postes!$D$7:$D$117,MATCH(B109,Postes!$A$7:$A$117,0))-INDEX(Postes!$G$7:$G$117,MATCH(B109,Postes!$A$7:$A$117,0))</f>
        <v>0.9437602203051032</v>
      </c>
      <c r="F109" s="5">
        <f>Parametros!$E$8*Parametros!$E$9</f>
        <v>2205</v>
      </c>
      <c r="G109" s="5">
        <f>Parametros!$E$10/1000*Parametros!$E$11</f>
        <v>1.32389775</v>
      </c>
      <c r="H109" s="5">
        <f t="shared" si="18"/>
        <v>1665.5364811972829</v>
      </c>
      <c r="I109" s="5">
        <f t="shared" si="19"/>
        <v>1.9668279844629599E-2</v>
      </c>
      <c r="J109" s="5">
        <f t="shared" si="20"/>
        <v>-8.7686779264639405</v>
      </c>
      <c r="K109" s="5">
        <f t="shared" si="21"/>
        <v>5.2647768604627103E-3</v>
      </c>
      <c r="L109" s="5">
        <f t="shared" si="22"/>
        <v>3.4071782828796492E-2</v>
      </c>
      <c r="M109" s="5">
        <f t="shared" si="23"/>
        <v>47.990059107615302</v>
      </c>
      <c r="N109" s="5">
        <f>M109*Parametros!$E$5</f>
        <v>143.9701773228459</v>
      </c>
    </row>
    <row r="110" spans="1:14" ht="21" customHeight="1">
      <c r="A110" s="1" t="s">
        <v>329</v>
      </c>
      <c r="B110" s="1" t="s">
        <v>203</v>
      </c>
      <c r="C110" s="1" t="s">
        <v>204</v>
      </c>
      <c r="D110" s="5">
        <f>SQRT((INDEX(Postes!$B$7:$B$117,MATCH(C110,Postes!$A$7:$A$117,0))-INDEX(Postes!$B$7:$B$117,MATCH(B110,Postes!$A$7:$A$117,0)))^2+(INDEX(Postes!$C$7:$C$117,MATCH(C110,Postes!$A$7:$A$117,0))-INDEX(Postes!$C$7:$C$117,MATCH(B110,Postes!$A$7:$A$117,0)))^2)</f>
        <v>77.614931960992266</v>
      </c>
      <c r="E110" s="5">
        <f>INDEX(Postes!$D$7:$D$117,MATCH(C110,Postes!$A$7:$A$117,0))+INDEX(Postes!$G$7:$G$117,MATCH(C110,Postes!$A$7:$A$117,0))-INDEX(Postes!$D$7:$D$117,MATCH(B110,Postes!$A$7:$A$117,0))-INDEX(Postes!$G$7:$G$117,MATCH(B110,Postes!$A$7:$A$117,0))</f>
        <v>-7.7926952553408224</v>
      </c>
      <c r="F110" s="5">
        <f>Parametros!$E$8*Parametros!$E$9</f>
        <v>2205</v>
      </c>
      <c r="G110" s="5">
        <f>Parametros!$E$10/1000*Parametros!$E$11</f>
        <v>1.32389775</v>
      </c>
      <c r="H110" s="5">
        <f t="shared" si="18"/>
        <v>1665.5364811972829</v>
      </c>
      <c r="I110" s="5">
        <f t="shared" si="19"/>
        <v>-0.10022504811547533</v>
      </c>
      <c r="J110" s="5">
        <f t="shared" si="20"/>
        <v>205.7359399465733</v>
      </c>
      <c r="K110" s="5">
        <f t="shared" si="21"/>
        <v>-0.12352532788635079</v>
      </c>
      <c r="L110" s="5">
        <f t="shared" si="22"/>
        <v>-7.6924768344599881E-2</v>
      </c>
      <c r="M110" s="5">
        <f t="shared" si="23"/>
        <v>78.012140112437095</v>
      </c>
      <c r="N110" s="5">
        <f>M110*Parametros!$E$5</f>
        <v>234.03642033731128</v>
      </c>
    </row>
    <row r="111" spans="1:14" ht="21" customHeight="1">
      <c r="A111" s="1" t="s">
        <v>330</v>
      </c>
      <c r="B111" s="1" t="s">
        <v>204</v>
      </c>
      <c r="C111" s="1" t="s">
        <v>205</v>
      </c>
      <c r="D111" s="5">
        <f>SQRT((INDEX(Postes!$B$7:$B$117,MATCH(C111,Postes!$A$7:$A$117,0))-INDEX(Postes!$B$7:$B$117,MATCH(B111,Postes!$A$7:$A$117,0)))^2+(INDEX(Postes!$C$7:$C$117,MATCH(C111,Postes!$A$7:$A$117,0))-INDEX(Postes!$C$7:$C$117,MATCH(B111,Postes!$A$7:$A$117,0)))^2)</f>
        <v>77.614931962287059</v>
      </c>
      <c r="E111" s="5">
        <f>INDEX(Postes!$D$7:$D$117,MATCH(C111,Postes!$A$7:$A$117,0))+INDEX(Postes!$G$7:$G$117,MATCH(C111,Postes!$A$7:$A$117,0))-INDEX(Postes!$D$7:$D$117,MATCH(B111,Postes!$A$7:$A$117,0))-INDEX(Postes!$G$7:$G$117,MATCH(B111,Postes!$A$7:$A$117,0))</f>
        <v>-5.1437232481031057</v>
      </c>
      <c r="F111" s="5">
        <f>Parametros!$E$8*Parametros!$E$9</f>
        <v>2205</v>
      </c>
      <c r="G111" s="5">
        <f>Parametros!$E$10/1000*Parametros!$E$11</f>
        <v>1.32389775</v>
      </c>
      <c r="H111" s="5">
        <f t="shared" si="18"/>
        <v>1665.5364811972829</v>
      </c>
      <c r="I111" s="5">
        <f t="shared" si="19"/>
        <v>-6.6217942080293232E-2</v>
      </c>
      <c r="J111" s="5">
        <f t="shared" si="20"/>
        <v>149.0958642256806</v>
      </c>
      <c r="K111" s="5">
        <f t="shared" si="21"/>
        <v>-8.9518221851557375E-2</v>
      </c>
      <c r="L111" s="5">
        <f t="shared" si="22"/>
        <v>-4.2917662309029075E-2</v>
      </c>
      <c r="M111" s="5">
        <f t="shared" si="23"/>
        <v>77.79219623223166</v>
      </c>
      <c r="N111" s="5">
        <f>M111*Parametros!$E$5</f>
        <v>233.37658869669497</v>
      </c>
    </row>
    <row r="112" spans="1:14" ht="21" customHeight="1">
      <c r="A112" s="1" t="s">
        <v>331</v>
      </c>
      <c r="B112" s="1" t="s">
        <v>205</v>
      </c>
      <c r="C112" s="1" t="s">
        <v>206</v>
      </c>
      <c r="D112" s="5">
        <f>SQRT((INDEX(Postes!$B$7:$B$117,MATCH(C112,Postes!$A$7:$A$117,0))-INDEX(Postes!$B$7:$B$117,MATCH(B112,Postes!$A$7:$A$117,0)))^2+(INDEX(Postes!$C$7:$C$117,MATCH(C112,Postes!$A$7:$A$117,0))-INDEX(Postes!$C$7:$C$117,MATCH(B112,Postes!$A$7:$A$117,0)))^2)</f>
        <v>58.600186147071753</v>
      </c>
      <c r="E112" s="5">
        <f>INDEX(Postes!$D$7:$D$117,MATCH(C112,Postes!$A$7:$A$117,0))+INDEX(Postes!$G$7:$G$117,MATCH(C112,Postes!$A$7:$A$117,0))-INDEX(Postes!$D$7:$D$117,MATCH(B112,Postes!$A$7:$A$117,0))-INDEX(Postes!$G$7:$G$117,MATCH(B112,Postes!$A$7:$A$117,0))</f>
        <v>0.26301027916033526</v>
      </c>
      <c r="F112" s="5">
        <f>Parametros!$E$8*Parametros!$E$9</f>
        <v>2205</v>
      </c>
      <c r="G112" s="5">
        <f>Parametros!$E$10/1000*Parametros!$E$11</f>
        <v>1.32389775</v>
      </c>
      <c r="H112" s="5">
        <f t="shared" si="18"/>
        <v>1665.5364811972829</v>
      </c>
      <c r="I112" s="5">
        <f t="shared" si="19"/>
        <v>4.487969204363897E-3</v>
      </c>
      <c r="J112" s="5">
        <f t="shared" si="20"/>
        <v>21.82521663717786</v>
      </c>
      <c r="K112" s="5">
        <f t="shared" si="21"/>
        <v>-1.3104015963366137E-2</v>
      </c>
      <c r="L112" s="5">
        <f t="shared" si="22"/>
        <v>2.2079954372093934E-2</v>
      </c>
      <c r="M112" s="5">
        <f t="shared" si="23"/>
        <v>58.603798961372163</v>
      </c>
      <c r="N112" s="5">
        <f>M112*Parametros!$E$5</f>
        <v>175.8113968841165</v>
      </c>
    </row>
    <row r="113" spans="1:14" ht="21" customHeight="1">
      <c r="A113" s="1" t="s">
        <v>332</v>
      </c>
      <c r="B113" s="1" t="s">
        <v>206</v>
      </c>
      <c r="C113" s="1" t="s">
        <v>207</v>
      </c>
      <c r="D113" s="5">
        <f>SQRT((INDEX(Postes!$B$7:$B$117,MATCH(C113,Postes!$A$7:$A$117,0))-INDEX(Postes!$B$7:$B$117,MATCH(B113,Postes!$A$7:$A$117,0)))^2+(INDEX(Postes!$C$7:$C$117,MATCH(C113,Postes!$A$7:$A$117,0))-INDEX(Postes!$C$7:$C$117,MATCH(B113,Postes!$A$7:$A$117,0)))^2)</f>
        <v>58.600186147071753</v>
      </c>
      <c r="E113" s="5">
        <f>INDEX(Postes!$D$7:$D$117,MATCH(C113,Postes!$A$7:$A$117,0))+INDEX(Postes!$G$7:$G$117,MATCH(C113,Postes!$A$7:$A$117,0))-INDEX(Postes!$D$7:$D$117,MATCH(B113,Postes!$A$7:$A$117,0))-INDEX(Postes!$G$7:$G$117,MATCH(B113,Postes!$A$7:$A$117,0))</f>
        <v>4.7979048666351449</v>
      </c>
      <c r="F113" s="5">
        <f>Parametros!$E$8*Parametros!$E$9</f>
        <v>2205</v>
      </c>
      <c r="G113" s="5">
        <f>Parametros!$E$10/1000*Parametros!$E$11</f>
        <v>1.32389775</v>
      </c>
      <c r="H113" s="5">
        <f t="shared" si="18"/>
        <v>1665.5364811972829</v>
      </c>
      <c r="I113" s="5">
        <f t="shared" si="19"/>
        <v>8.1779839681656807E-2</v>
      </c>
      <c r="J113" s="5">
        <f t="shared" si="20"/>
        <v>-106.90721334272872</v>
      </c>
      <c r="K113" s="5">
        <f t="shared" si="21"/>
        <v>6.4187854513926765E-2</v>
      </c>
      <c r="L113" s="5">
        <f t="shared" si="22"/>
        <v>9.937182484938685E-2</v>
      </c>
      <c r="M113" s="5">
        <f t="shared" si="23"/>
        <v>58.799285449801751</v>
      </c>
      <c r="N113" s="5">
        <f>M113*Parametros!$E$5</f>
        <v>176.39785634940526</v>
      </c>
    </row>
    <row r="114" spans="1:14" ht="21" customHeight="1">
      <c r="A114" s="1" t="s">
        <v>333</v>
      </c>
      <c r="B114" s="1" t="s">
        <v>207</v>
      </c>
      <c r="C114" s="1" t="s">
        <v>208</v>
      </c>
      <c r="D114" s="5">
        <f>SQRT((INDEX(Postes!$B$7:$B$117,MATCH(C114,Postes!$A$7:$A$117,0))-INDEX(Postes!$B$7:$B$117,MATCH(B114,Postes!$A$7:$A$117,0)))^2+(INDEX(Postes!$C$7:$C$117,MATCH(C114,Postes!$A$7:$A$117,0))-INDEX(Postes!$C$7:$C$117,MATCH(B114,Postes!$A$7:$A$117,0)))^2)</f>
        <v>43.960363567848439</v>
      </c>
      <c r="E114" s="5">
        <f>INDEX(Postes!$D$7:$D$117,MATCH(C114,Postes!$A$7:$A$117,0))+INDEX(Postes!$G$7:$G$117,MATCH(C114,Postes!$A$7:$A$117,0))-INDEX(Postes!$D$7:$D$117,MATCH(B114,Postes!$A$7:$A$117,0))-INDEX(Postes!$G$7:$G$117,MATCH(B114,Postes!$A$7:$A$117,0))</f>
        <v>-4.0056366491208788</v>
      </c>
      <c r="F114" s="5">
        <f>Parametros!$E$8*Parametros!$E$9</f>
        <v>2205</v>
      </c>
      <c r="G114" s="5">
        <f>Parametros!$E$10/1000*Parametros!$E$11</f>
        <v>1.32389775</v>
      </c>
      <c r="H114" s="5">
        <f t="shared" si="18"/>
        <v>1665.5364811972829</v>
      </c>
      <c r="I114" s="5">
        <f t="shared" si="19"/>
        <v>-9.0991024504061893E-2</v>
      </c>
      <c r="J114" s="5">
        <f t="shared" si="20"/>
        <v>173.52905255695521</v>
      </c>
      <c r="K114" s="5">
        <f t="shared" si="21"/>
        <v>-0.10418808264842845</v>
      </c>
      <c r="L114" s="5">
        <f t="shared" si="22"/>
        <v>-7.7793966359695335E-2</v>
      </c>
      <c r="M114" s="5">
        <f t="shared" si="23"/>
        <v>44.143752479273417</v>
      </c>
      <c r="N114" s="5">
        <f>M114*Parametros!$E$5</f>
        <v>132.43125743782025</v>
      </c>
    </row>
    <row r="115" spans="1:14" ht="21" customHeight="1">
      <c r="A115" s="1" t="s">
        <v>334</v>
      </c>
      <c r="B115" s="1" t="s">
        <v>208</v>
      </c>
      <c r="C115" s="1" t="s">
        <v>209</v>
      </c>
      <c r="D115" s="5">
        <f>SQRT((INDEX(Postes!$B$7:$B$117,MATCH(C115,Postes!$A$7:$A$117,0))-INDEX(Postes!$B$7:$B$117,MATCH(B115,Postes!$A$7:$A$117,0)))^2+(INDEX(Postes!$C$7:$C$117,MATCH(C115,Postes!$A$7:$A$117,0))-INDEX(Postes!$C$7:$C$117,MATCH(B115,Postes!$A$7:$A$117,0)))^2)</f>
        <v>38.097065348248307</v>
      </c>
      <c r="E115" s="5">
        <f>INDEX(Postes!$D$7:$D$117,MATCH(C115,Postes!$A$7:$A$117,0))+INDEX(Postes!$G$7:$G$117,MATCH(C115,Postes!$A$7:$A$117,0))-INDEX(Postes!$D$7:$D$117,MATCH(B115,Postes!$A$7:$A$117,0))-INDEX(Postes!$G$7:$G$117,MATCH(B115,Postes!$A$7:$A$117,0))</f>
        <v>0.39947695460150534</v>
      </c>
      <c r="F115" s="5">
        <f>Parametros!$E$8*Parametros!$E$9</f>
        <v>2205</v>
      </c>
      <c r="G115" s="5">
        <f>Parametros!$E$10/1000*Parametros!$E$11</f>
        <v>1.32389775</v>
      </c>
      <c r="H115" s="5">
        <f t="shared" si="18"/>
        <v>1665.5364811972829</v>
      </c>
      <c r="I115" s="5">
        <f t="shared" si="19"/>
        <v>1.0485346382537827E-2</v>
      </c>
      <c r="J115" s="5">
        <f t="shared" si="20"/>
        <v>1.5848057560174418</v>
      </c>
      <c r="K115" s="5">
        <f t="shared" si="21"/>
        <v>-9.5152869595398638E-4</v>
      </c>
      <c r="L115" s="5">
        <f t="shared" si="22"/>
        <v>2.1922221461029637E-2</v>
      </c>
      <c r="M115" s="5">
        <f t="shared" si="23"/>
        <v>38.099990191044704</v>
      </c>
      <c r="N115" s="5">
        <f>M115*Parametros!$E$5</f>
        <v>114.29997057313412</v>
      </c>
    </row>
    <row r="116" spans="1:14" ht="21" customHeight="1">
      <c r="A116" s="1" t="s">
        <v>335</v>
      </c>
      <c r="B116" s="1" t="s">
        <v>209</v>
      </c>
      <c r="C116" s="1" t="s">
        <v>210</v>
      </c>
      <c r="D116" s="5">
        <f>SQRT((INDEX(Postes!$B$7:$B$117,MATCH(C116,Postes!$A$7:$A$117,0))-INDEX(Postes!$B$7:$B$117,MATCH(B116,Postes!$A$7:$A$117,0)))^2+(INDEX(Postes!$C$7:$C$117,MATCH(C116,Postes!$A$7:$A$117,0))-INDEX(Postes!$C$7:$C$117,MATCH(B116,Postes!$A$7:$A$117,0)))^2)</f>
        <v>19.701946637502019</v>
      </c>
      <c r="E116" s="5">
        <f>INDEX(Postes!$D$7:$D$117,MATCH(C116,Postes!$A$7:$A$117,0))+INDEX(Postes!$G$7:$G$117,MATCH(C116,Postes!$A$7:$A$117,0))-INDEX(Postes!$D$7:$D$117,MATCH(B116,Postes!$A$7:$A$117,0))-INDEX(Postes!$G$7:$G$117,MATCH(B116,Postes!$A$7:$A$117,0))</f>
        <v>0.96862761662750962</v>
      </c>
      <c r="F116" s="5">
        <f>Parametros!$E$8*Parametros!$E$9</f>
        <v>2205</v>
      </c>
      <c r="G116" s="5">
        <f>Parametros!$E$10/1000*Parametros!$E$11</f>
        <v>1.32389775</v>
      </c>
      <c r="H116" s="5">
        <f t="shared" si="18"/>
        <v>1665.5364811972829</v>
      </c>
      <c r="I116" s="5">
        <f t="shared" si="19"/>
        <v>4.9143985884062061E-2</v>
      </c>
      <c r="J116" s="5">
        <f t="shared" si="20"/>
        <v>-72.000128002598672</v>
      </c>
      <c r="K116" s="5">
        <f t="shared" si="21"/>
        <v>4.3229391139388833E-2</v>
      </c>
      <c r="L116" s="5">
        <f t="shared" si="22"/>
        <v>5.505858062873531E-2</v>
      </c>
      <c r="M116" s="5">
        <f t="shared" si="23"/>
        <v>19.725857829916137</v>
      </c>
      <c r="N116" s="5">
        <f>M116*Parametros!$E$5</f>
        <v>59.177573489748411</v>
      </c>
    </row>
    <row r="117" spans="1:14" ht="2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2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2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2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2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2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2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2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2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2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2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2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2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2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2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2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2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2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2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2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2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2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2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2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</sheetData>
  <pageMargins left="0.39370078740157477" right="0.39370078740157477" top="0.55118110236220463" bottom="0.55118110236220463" header="0.3" footer="0.3"/>
  <pageSetup paperSize="8" scale="96" fitToHeight="0" orientation="landscape" r:id="rId1"/>
  <headerFooter>
    <oddFooter>&amp;CInstalaciones Eléctricas II | Aquiles Taylor Ramos Yapo | 227368&amp;RHoja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9BD5"/>
    <pageSetUpPr fitToPage="1"/>
  </sheetPr>
  <dimension ref="A1:F25"/>
  <sheetViews>
    <sheetView showGridLines="0" zoomScale="85" zoomScaleNormal="85" workbookViewId="0"/>
  </sheetViews>
  <sheetFormatPr baseColWidth="10" defaultColWidth="9" defaultRowHeight="14.25"/>
  <cols>
    <col min="1" max="1" width="10" customWidth="1"/>
    <col min="2" max="2" width="47" customWidth="1"/>
    <col min="3" max="3" width="15" customWidth="1"/>
    <col min="4" max="4" width="3" customWidth="1"/>
    <col min="5" max="5" width="17" customWidth="1"/>
    <col min="6" max="6" width="58" customWidth="1"/>
  </cols>
  <sheetData>
    <row r="1" spans="1:6" ht="21" customHeight="1">
      <c r="A1" s="1"/>
      <c r="B1" s="1"/>
      <c r="C1" s="1"/>
      <c r="D1" s="1"/>
      <c r="E1" s="1"/>
      <c r="F1" s="1"/>
    </row>
    <row r="2" spans="1:6" ht="21" customHeight="1">
      <c r="A2" s="2" t="s">
        <v>336</v>
      </c>
      <c r="B2" s="2"/>
      <c r="C2" s="2"/>
      <c r="D2" s="2"/>
      <c r="E2" s="2"/>
      <c r="F2" s="2" t="s">
        <v>337</v>
      </c>
    </row>
    <row r="3" spans="1:6" ht="21" customHeight="1">
      <c r="A3" s="1"/>
      <c r="B3" s="1"/>
      <c r="C3" s="1"/>
      <c r="D3" s="1"/>
      <c r="E3" s="1"/>
      <c r="F3" s="1"/>
    </row>
    <row r="4" spans="1:6" ht="21" customHeight="1">
      <c r="A4" s="3"/>
      <c r="B4" s="3"/>
      <c r="C4" s="3"/>
      <c r="D4" s="3"/>
      <c r="E4" s="3"/>
      <c r="F4" s="3"/>
    </row>
    <row r="5" spans="1:6" ht="21" customHeight="1">
      <c r="A5" s="1" t="s">
        <v>338</v>
      </c>
      <c r="B5" s="1" t="s">
        <v>339</v>
      </c>
      <c r="C5" s="1" t="s">
        <v>12</v>
      </c>
      <c r="D5" s="1"/>
      <c r="E5" s="14">
        <v>3</v>
      </c>
      <c r="F5" s="1" t="s">
        <v>340</v>
      </c>
    </row>
    <row r="6" spans="1:6" ht="21" customHeight="1">
      <c r="A6" s="1" t="s">
        <v>341</v>
      </c>
      <c r="B6" s="1" t="s">
        <v>342</v>
      </c>
      <c r="C6" s="1" t="s">
        <v>9</v>
      </c>
      <c r="D6" s="1"/>
      <c r="E6" s="14">
        <v>2</v>
      </c>
      <c r="F6" s="1" t="s">
        <v>343</v>
      </c>
    </row>
    <row r="7" spans="1:6" ht="21" customHeight="1">
      <c r="A7" s="1" t="s">
        <v>344</v>
      </c>
      <c r="B7" s="1" t="s">
        <v>345</v>
      </c>
      <c r="C7" s="1" t="s">
        <v>346</v>
      </c>
      <c r="D7" s="1"/>
      <c r="E7" s="8">
        <v>0.03</v>
      </c>
      <c r="F7" s="1" t="s">
        <v>347</v>
      </c>
    </row>
    <row r="8" spans="1:6" ht="21" customHeight="1">
      <c r="A8" s="1" t="s">
        <v>348</v>
      </c>
      <c r="B8" s="1" t="s">
        <v>349</v>
      </c>
      <c r="C8" s="1" t="s">
        <v>350</v>
      </c>
      <c r="D8" s="1"/>
      <c r="E8" s="14">
        <v>14700</v>
      </c>
      <c r="F8" s="1" t="s">
        <v>351</v>
      </c>
    </row>
    <row r="9" spans="1:6" ht="21" customHeight="1">
      <c r="A9" s="1" t="s">
        <v>352</v>
      </c>
      <c r="B9" s="1" t="s">
        <v>353</v>
      </c>
      <c r="C9" s="1" t="s">
        <v>346</v>
      </c>
      <c r="D9" s="1"/>
      <c r="E9" s="8">
        <v>0.15</v>
      </c>
      <c r="F9" s="1" t="s">
        <v>354</v>
      </c>
    </row>
    <row r="10" spans="1:6" ht="21" customHeight="1">
      <c r="A10" s="1" t="s">
        <v>9</v>
      </c>
      <c r="B10" s="1" t="s">
        <v>355</v>
      </c>
      <c r="C10" s="1" t="s">
        <v>356</v>
      </c>
      <c r="D10" s="1"/>
      <c r="E10" s="14">
        <v>135</v>
      </c>
      <c r="F10" s="1" t="s">
        <v>357</v>
      </c>
    </row>
    <row r="11" spans="1:6" ht="21" customHeight="1">
      <c r="A11" s="1" t="s">
        <v>358</v>
      </c>
      <c r="B11" s="1" t="s">
        <v>359</v>
      </c>
      <c r="C11" s="1" t="s">
        <v>360</v>
      </c>
      <c r="D11" s="1"/>
      <c r="E11" s="14">
        <v>9.8066499999999994</v>
      </c>
      <c r="F11" s="1" t="s">
        <v>361</v>
      </c>
    </row>
    <row r="12" spans="1:6" ht="21" customHeight="1">
      <c r="A12" s="1" t="s">
        <v>362</v>
      </c>
      <c r="B12" s="1" t="s">
        <v>363</v>
      </c>
      <c r="C12" s="1" t="s">
        <v>364</v>
      </c>
      <c r="D12" s="1"/>
      <c r="E12" s="14">
        <v>600</v>
      </c>
      <c r="F12" s="1" t="s">
        <v>365</v>
      </c>
    </row>
    <row r="13" spans="1:6" ht="21" customHeight="1">
      <c r="A13" s="1" t="s">
        <v>366</v>
      </c>
      <c r="B13" s="1" t="s">
        <v>367</v>
      </c>
      <c r="C13" s="1" t="s">
        <v>368</v>
      </c>
      <c r="D13" s="1"/>
      <c r="E13" s="14">
        <v>2</v>
      </c>
      <c r="F13" s="1" t="s">
        <v>369</v>
      </c>
    </row>
    <row r="14" spans="1:6" ht="21" customHeight="1">
      <c r="A14" s="1" t="s">
        <v>370</v>
      </c>
      <c r="B14" s="1" t="s">
        <v>371</v>
      </c>
      <c r="C14" s="1" t="s">
        <v>368</v>
      </c>
      <c r="D14" s="1"/>
      <c r="E14" s="14">
        <v>0.65</v>
      </c>
      <c r="F14" s="1" t="s">
        <v>369</v>
      </c>
    </row>
    <row r="15" spans="1:6" ht="21" customHeight="1">
      <c r="A15" s="1" t="s">
        <v>372</v>
      </c>
      <c r="B15" s="1" t="s">
        <v>373</v>
      </c>
      <c r="C15" s="1" t="s">
        <v>9</v>
      </c>
      <c r="D15" s="1"/>
      <c r="E15" s="14">
        <v>0.15</v>
      </c>
      <c r="F15" s="1" t="s">
        <v>374</v>
      </c>
    </row>
    <row r="16" spans="1:6" ht="21" customHeight="1">
      <c r="A16" s="1" t="s">
        <v>375</v>
      </c>
      <c r="B16" s="1" t="s">
        <v>376</v>
      </c>
      <c r="C16" s="1" t="s">
        <v>377</v>
      </c>
      <c r="D16" s="1"/>
      <c r="E16" s="14">
        <v>60</v>
      </c>
      <c r="F16" s="1" t="s">
        <v>378</v>
      </c>
    </row>
    <row r="17" spans="1:6" ht="21" customHeight="1">
      <c r="A17" s="1" t="s">
        <v>379</v>
      </c>
      <c r="B17" s="1" t="s">
        <v>380</v>
      </c>
      <c r="C17" s="1" t="s">
        <v>368</v>
      </c>
      <c r="D17" s="1"/>
      <c r="E17" s="14">
        <v>0.9</v>
      </c>
      <c r="F17" s="1" t="s">
        <v>369</v>
      </c>
    </row>
    <row r="18" spans="1:6" ht="21" customHeight="1">
      <c r="A18" s="1" t="s">
        <v>381</v>
      </c>
      <c r="B18" s="1" t="s">
        <v>382</v>
      </c>
      <c r="C18" s="1" t="s">
        <v>383</v>
      </c>
      <c r="D18" s="1"/>
      <c r="E18" s="14">
        <v>45</v>
      </c>
      <c r="F18" s="1" t="s">
        <v>384</v>
      </c>
    </row>
    <row r="19" spans="1:6" ht="21" customHeight="1">
      <c r="A19" s="1"/>
      <c r="B19" s="1"/>
      <c r="C19" s="1"/>
      <c r="D19" s="1"/>
      <c r="E19" s="1"/>
      <c r="F19" s="1"/>
    </row>
    <row r="20" spans="1:6" ht="21" customHeight="1">
      <c r="A20" s="1"/>
      <c r="B20" s="1"/>
      <c r="C20" s="1"/>
      <c r="D20" s="1"/>
      <c r="E20" s="1"/>
      <c r="F20" s="1"/>
    </row>
    <row r="21" spans="1:6" ht="21" customHeight="1">
      <c r="A21" s="1"/>
      <c r="B21" s="1"/>
      <c r="C21" s="1"/>
      <c r="D21" s="1"/>
      <c r="E21" s="1"/>
      <c r="F21" s="1"/>
    </row>
    <row r="22" spans="1:6" ht="21" customHeight="1">
      <c r="A22" s="1"/>
      <c r="B22" s="1"/>
      <c r="C22" s="1"/>
      <c r="D22" s="1"/>
      <c r="E22" s="1"/>
      <c r="F22" s="1"/>
    </row>
    <row r="23" spans="1:6" ht="21" customHeight="1">
      <c r="A23" s="1"/>
      <c r="B23" s="1"/>
      <c r="C23" s="1"/>
      <c r="D23" s="1"/>
      <c r="E23" s="1"/>
      <c r="F23" s="1"/>
    </row>
    <row r="24" spans="1:6" ht="21" customHeight="1">
      <c r="A24" s="1"/>
      <c r="B24" s="1"/>
      <c r="C24" s="1"/>
      <c r="D24" s="1"/>
      <c r="E24" s="1"/>
      <c r="F24" s="1"/>
    </row>
    <row r="25" spans="1:6" ht="21" customHeight="1">
      <c r="A25" s="1"/>
      <c r="B25" s="1"/>
      <c r="C25" s="1"/>
      <c r="D25" s="1"/>
      <c r="E25" s="1"/>
      <c r="F25" s="1"/>
    </row>
  </sheetData>
  <pageMargins left="0.39370078740157477" right="0.39370078740157477" top="0.55118110236220463" bottom="0.55118110236220463" header="0.3" footer="0.3"/>
  <pageSetup paperSize="8" fitToHeight="0" orientation="landscape" r:id="rId1"/>
  <headerFooter>
    <oddFooter>&amp;CInstalaciones Eléctricas II | Aquiles Taylor Ramos Yapo | 227368&amp;RHoja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9</vt:i4>
      </vt:variant>
    </vt:vector>
  </HeadingPairs>
  <TitlesOfParts>
    <vt:vector size="14" baseType="lpstr">
      <vt:lpstr>Presupuesto</vt:lpstr>
      <vt:lpstr>Resumen</vt:lpstr>
      <vt:lpstr>Postes</vt:lpstr>
      <vt:lpstr>Vanos</vt:lpstr>
      <vt:lpstr>Parametros</vt:lpstr>
      <vt:lpstr>Parametros!Área_de_impresión</vt:lpstr>
      <vt:lpstr>Postes!Área_de_impresión</vt:lpstr>
      <vt:lpstr>Presupuesto!Área_de_impresión</vt:lpstr>
      <vt:lpstr>Resumen!Área_de_impresión</vt:lpstr>
      <vt:lpstr>Vanos!Área_de_impresión</vt:lpstr>
      <vt:lpstr>Parametros!Títulos_a_imprimir</vt:lpstr>
      <vt:lpstr>Postes!Títulos_a_imprimir</vt:lpstr>
      <vt:lpstr>Resumen!Títulos_a_imprimir</vt:lpstr>
      <vt:lpstr>Vanos!Títulos_a_imprimir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Aquiles Taylor Ramos yapo</cp:lastModifiedBy>
  <cp:lastPrinted>2026-10-19T05:19:43Z</cp:lastPrinted>
  <dcterms:modified xsi:type="dcterms:W3CDTF">2026-10-19T05:19:44Z</dcterms:modified>
</cp:coreProperties>
</file>