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Aquiles\instalacion-electricas\build\aquiles-linea-primaria-inst-ii\presentacion-final\Proyecto_Linea_Primaria\01_Calculos\"/>
    </mc:Choice>
  </mc:AlternateContent>
  <xr:revisionPtr revIDLastSave="0" documentId="13_ncr:1_{DBF3EBF1-B62E-449B-8040-AAF2609C428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Resumen" sheetId="1" r:id="rId1"/>
    <sheet name="Demanda" sheetId="2" r:id="rId2"/>
    <sheet name="Electrico" sheetId="3" r:id="rId3"/>
    <sheet name="Flujo" sheetId="4" r:id="rId4"/>
    <sheet name="Cortocircuito" sheetId="5" r:id="rId5"/>
    <sheet name="Mecanica" sheetId="6" r:id="rId6"/>
    <sheet name="Estados" sheetId="7" r:id="rId7"/>
    <sheet name="Postes" sheetId="8" r:id="rId8"/>
    <sheet name="Vanos" sheetId="9" r:id="rId9"/>
    <sheet name="Parametros" sheetId="10" r:id="rId10"/>
  </sheets>
  <definedNames>
    <definedName name="_xlnm.Print_Area" localSheetId="4">Cortocircuito!$A$1:$H$28</definedName>
    <definedName name="_xlnm.Print_Area" localSheetId="1">Demanda!$A$1:$G$30</definedName>
    <definedName name="_xlnm.Print_Area" localSheetId="2">Electrico!$A$1:$D$37</definedName>
    <definedName name="_xlnm.Print_Area" localSheetId="6">Estados!$A$1:$Q$672</definedName>
    <definedName name="_xlnm.Print_Area" localSheetId="3">Flujo!$A$1:$Q$70</definedName>
    <definedName name="_xlnm.Print_Area" localSheetId="5">Mecanica!$A$1:$L$124</definedName>
    <definedName name="_xlnm.Print_Area" localSheetId="9">Parametros!$A$1:$F$55</definedName>
    <definedName name="_xlnm.Print_Area" localSheetId="7">Postes!$A$1:$M$140</definedName>
    <definedName name="_xlnm.Print_Area" localSheetId="0">Resumen!$A$1:$E$33</definedName>
    <definedName name="_xlnm.Print_Area" localSheetId="8">Vanos!$A$1:$N$140</definedName>
    <definedName name="_xlnm.Print_Titles" localSheetId="4">Cortocircuito!$1:$6</definedName>
    <definedName name="_xlnm.Print_Titles" localSheetId="1">Demanda!$1:$6</definedName>
    <definedName name="_xlnm.Print_Titles" localSheetId="2">Electrico!$1:$6</definedName>
    <definedName name="_xlnm.Print_Titles" localSheetId="6">Estados!$1:$6</definedName>
    <definedName name="_xlnm.Print_Titles" localSheetId="3">Flujo!$1:$6</definedName>
    <definedName name="_xlnm.Print_Titles" localSheetId="5">Mecanica!$1:$6</definedName>
    <definedName name="_xlnm.Print_Titles" localSheetId="9">Parametros!$1:$6</definedName>
    <definedName name="_xlnm.Print_Titles" localSheetId="7">Postes!$1:$6</definedName>
    <definedName name="_xlnm.Print_Titles" localSheetId="8">Vanos!$1:$6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6" i="9" l="1"/>
  <c r="F116" i="9"/>
  <c r="E116" i="9"/>
  <c r="D116" i="9"/>
  <c r="G115" i="9"/>
  <c r="F115" i="9"/>
  <c r="H115" i="9" s="1"/>
  <c r="E115" i="9"/>
  <c r="D115" i="9"/>
  <c r="G114" i="9"/>
  <c r="F114" i="9"/>
  <c r="E114" i="9"/>
  <c r="D114" i="9"/>
  <c r="G113" i="9"/>
  <c r="F113" i="9"/>
  <c r="H113" i="9" s="1"/>
  <c r="E113" i="9"/>
  <c r="D113" i="9"/>
  <c r="G112" i="9"/>
  <c r="F112" i="9"/>
  <c r="H112" i="9" s="1"/>
  <c r="E112" i="9"/>
  <c r="D112" i="9"/>
  <c r="G111" i="9"/>
  <c r="F111" i="9"/>
  <c r="H111" i="9" s="1"/>
  <c r="E111" i="9"/>
  <c r="D111" i="9"/>
  <c r="G110" i="9"/>
  <c r="F110" i="9"/>
  <c r="E110" i="9"/>
  <c r="D110" i="9"/>
  <c r="G109" i="9"/>
  <c r="F109" i="9"/>
  <c r="E109" i="9"/>
  <c r="D109" i="9"/>
  <c r="G108" i="9"/>
  <c r="F108" i="9"/>
  <c r="E108" i="9"/>
  <c r="D108" i="9"/>
  <c r="G107" i="9"/>
  <c r="F107" i="9"/>
  <c r="H107" i="9" s="1"/>
  <c r="E107" i="9"/>
  <c r="D107" i="9"/>
  <c r="G106" i="9"/>
  <c r="H106" i="9" s="1"/>
  <c r="F106" i="9"/>
  <c r="E106" i="9"/>
  <c r="I106" i="9" s="1"/>
  <c r="D106" i="9"/>
  <c r="H105" i="9"/>
  <c r="G105" i="9"/>
  <c r="F105" i="9"/>
  <c r="E105" i="9"/>
  <c r="D105" i="9"/>
  <c r="G104" i="9"/>
  <c r="F104" i="9"/>
  <c r="H104" i="9" s="1"/>
  <c r="E104" i="9"/>
  <c r="D104" i="9"/>
  <c r="G103" i="9"/>
  <c r="F103" i="9"/>
  <c r="H103" i="9" s="1"/>
  <c r="E103" i="9"/>
  <c r="D103" i="9"/>
  <c r="G102" i="9"/>
  <c r="F102" i="9"/>
  <c r="H102" i="9" s="1"/>
  <c r="E102" i="9"/>
  <c r="I102" i="9" s="1"/>
  <c r="D102" i="9"/>
  <c r="G101" i="9"/>
  <c r="F101" i="9"/>
  <c r="H101" i="9" s="1"/>
  <c r="E101" i="9"/>
  <c r="D101" i="9"/>
  <c r="G100" i="9"/>
  <c r="F100" i="9"/>
  <c r="E100" i="9"/>
  <c r="D100" i="9"/>
  <c r="H99" i="9"/>
  <c r="G99" i="9"/>
  <c r="F99" i="9"/>
  <c r="E99" i="9"/>
  <c r="D99" i="9"/>
  <c r="G98" i="9"/>
  <c r="H98" i="9" s="1"/>
  <c r="F98" i="9"/>
  <c r="E98" i="9"/>
  <c r="D98" i="9"/>
  <c r="H97" i="9"/>
  <c r="G97" i="9"/>
  <c r="F97" i="9"/>
  <c r="E97" i="9"/>
  <c r="D97" i="9"/>
  <c r="G96" i="9"/>
  <c r="F96" i="9"/>
  <c r="H96" i="9" s="1"/>
  <c r="E96" i="9"/>
  <c r="D96" i="9"/>
  <c r="G95" i="9"/>
  <c r="F95" i="9"/>
  <c r="H95" i="9" s="1"/>
  <c r="E95" i="9"/>
  <c r="I95" i="9" s="1"/>
  <c r="D95" i="9"/>
  <c r="G94" i="9"/>
  <c r="F94" i="9"/>
  <c r="E94" i="9"/>
  <c r="D94" i="9"/>
  <c r="G93" i="9"/>
  <c r="F93" i="9"/>
  <c r="H93" i="9" s="1"/>
  <c r="E93" i="9"/>
  <c r="D93" i="9"/>
  <c r="G92" i="9"/>
  <c r="F92" i="9"/>
  <c r="E92" i="9"/>
  <c r="D92" i="9"/>
  <c r="H91" i="9"/>
  <c r="G91" i="9"/>
  <c r="F91" i="9"/>
  <c r="E91" i="9"/>
  <c r="D91" i="9"/>
  <c r="G90" i="9"/>
  <c r="H90" i="9" s="1"/>
  <c r="F90" i="9"/>
  <c r="E90" i="9"/>
  <c r="D90" i="9"/>
  <c r="G89" i="9"/>
  <c r="F89" i="9"/>
  <c r="H89" i="9" s="1"/>
  <c r="E89" i="9"/>
  <c r="D89" i="9"/>
  <c r="G88" i="9"/>
  <c r="H88" i="9" s="1"/>
  <c r="F88" i="9"/>
  <c r="E88" i="9"/>
  <c r="D88" i="9"/>
  <c r="G87" i="9"/>
  <c r="F87" i="9"/>
  <c r="H87" i="9" s="1"/>
  <c r="E87" i="9"/>
  <c r="D87" i="9"/>
  <c r="G86" i="9"/>
  <c r="F86" i="9"/>
  <c r="E86" i="9"/>
  <c r="D86" i="9"/>
  <c r="G85" i="9"/>
  <c r="F85" i="9"/>
  <c r="E85" i="9"/>
  <c r="D85" i="9"/>
  <c r="G84" i="9"/>
  <c r="F84" i="9"/>
  <c r="E84" i="9"/>
  <c r="D84" i="9"/>
  <c r="G83" i="9"/>
  <c r="F83" i="9"/>
  <c r="H83" i="9" s="1"/>
  <c r="E83" i="9"/>
  <c r="D83" i="9"/>
  <c r="G82" i="9"/>
  <c r="H82" i="9" s="1"/>
  <c r="F82" i="9"/>
  <c r="E82" i="9"/>
  <c r="D82" i="9"/>
  <c r="G81" i="9"/>
  <c r="H81" i="9" s="1"/>
  <c r="F81" i="9"/>
  <c r="E81" i="9"/>
  <c r="D81" i="9"/>
  <c r="G80" i="9"/>
  <c r="F80" i="9"/>
  <c r="H80" i="9" s="1"/>
  <c r="E80" i="9"/>
  <c r="D80" i="9"/>
  <c r="G79" i="9"/>
  <c r="F79" i="9"/>
  <c r="H79" i="9" s="1"/>
  <c r="E79" i="9"/>
  <c r="D79" i="9"/>
  <c r="G78" i="9"/>
  <c r="F78" i="9"/>
  <c r="H78" i="9" s="1"/>
  <c r="E78" i="9"/>
  <c r="D78" i="9"/>
  <c r="G77" i="9"/>
  <c r="F77" i="9"/>
  <c r="H77" i="9" s="1"/>
  <c r="E77" i="9"/>
  <c r="D77" i="9"/>
  <c r="G76" i="9"/>
  <c r="F76" i="9"/>
  <c r="E76" i="9"/>
  <c r="D76" i="9"/>
  <c r="G75" i="9"/>
  <c r="F75" i="9"/>
  <c r="H75" i="9" s="1"/>
  <c r="E75" i="9"/>
  <c r="D75" i="9"/>
  <c r="G74" i="9"/>
  <c r="F74" i="9"/>
  <c r="E74" i="9"/>
  <c r="D74" i="9"/>
  <c r="G73" i="9"/>
  <c r="F73" i="9"/>
  <c r="H73" i="9" s="1"/>
  <c r="E73" i="9"/>
  <c r="D73" i="9"/>
  <c r="H72" i="9"/>
  <c r="G72" i="9"/>
  <c r="F72" i="9"/>
  <c r="E72" i="9"/>
  <c r="D72" i="9"/>
  <c r="G71" i="9"/>
  <c r="F71" i="9"/>
  <c r="E71" i="9"/>
  <c r="D71" i="9"/>
  <c r="G70" i="9"/>
  <c r="F70" i="9"/>
  <c r="E70" i="9"/>
  <c r="D70" i="9"/>
  <c r="G69" i="9"/>
  <c r="F69" i="9"/>
  <c r="E69" i="9"/>
  <c r="D69" i="9"/>
  <c r="G68" i="9"/>
  <c r="F68" i="9"/>
  <c r="E68" i="9"/>
  <c r="D68" i="9"/>
  <c r="G67" i="9"/>
  <c r="F67" i="9"/>
  <c r="H67" i="9" s="1"/>
  <c r="E67" i="9"/>
  <c r="D67" i="9"/>
  <c r="G66" i="9"/>
  <c r="F66" i="9"/>
  <c r="E66" i="9"/>
  <c r="D66" i="9"/>
  <c r="G65" i="9"/>
  <c r="H65" i="9" s="1"/>
  <c r="F65" i="9"/>
  <c r="E65" i="9"/>
  <c r="D65" i="9"/>
  <c r="H64" i="9"/>
  <c r="G64" i="9"/>
  <c r="F64" i="9"/>
  <c r="E64" i="9"/>
  <c r="I64" i="9" s="1"/>
  <c r="D64" i="9"/>
  <c r="G63" i="9"/>
  <c r="F63" i="9"/>
  <c r="H63" i="9" s="1"/>
  <c r="E63" i="9"/>
  <c r="D63" i="9"/>
  <c r="G62" i="9"/>
  <c r="F62" i="9"/>
  <c r="H62" i="9" s="1"/>
  <c r="E62" i="9"/>
  <c r="D62" i="9"/>
  <c r="G61" i="9"/>
  <c r="F61" i="9"/>
  <c r="H61" i="9" s="1"/>
  <c r="E61" i="9"/>
  <c r="D61" i="9"/>
  <c r="G60" i="9"/>
  <c r="F60" i="9"/>
  <c r="E60" i="9"/>
  <c r="D60" i="9"/>
  <c r="G59" i="9"/>
  <c r="F59" i="9"/>
  <c r="H59" i="9" s="1"/>
  <c r="E59" i="9"/>
  <c r="D59" i="9"/>
  <c r="G58" i="9"/>
  <c r="F58" i="9"/>
  <c r="E58" i="9"/>
  <c r="D58" i="9"/>
  <c r="G57" i="9"/>
  <c r="F57" i="9"/>
  <c r="H57" i="9" s="1"/>
  <c r="E57" i="9"/>
  <c r="D57" i="9"/>
  <c r="H56" i="9"/>
  <c r="G56" i="9"/>
  <c r="F56" i="9"/>
  <c r="E56" i="9"/>
  <c r="D56" i="9"/>
  <c r="G55" i="9"/>
  <c r="F55" i="9"/>
  <c r="E55" i="9"/>
  <c r="D55" i="9"/>
  <c r="G54" i="9"/>
  <c r="F54" i="9"/>
  <c r="E54" i="9"/>
  <c r="D54" i="9"/>
  <c r="G53" i="9"/>
  <c r="F53" i="9"/>
  <c r="E53" i="9"/>
  <c r="D53" i="9"/>
  <c r="G52" i="9"/>
  <c r="F52" i="9"/>
  <c r="E52" i="9"/>
  <c r="D52" i="9"/>
  <c r="H51" i="9"/>
  <c r="G51" i="9"/>
  <c r="F51" i="9"/>
  <c r="E51" i="9"/>
  <c r="I51" i="9" s="1"/>
  <c r="J51" i="9" s="1"/>
  <c r="K51" i="9" s="1"/>
  <c r="D51" i="9"/>
  <c r="G50" i="9"/>
  <c r="F50" i="9"/>
  <c r="E50" i="9"/>
  <c r="D50" i="9"/>
  <c r="G49" i="9"/>
  <c r="F49" i="9"/>
  <c r="H49" i="9" s="1"/>
  <c r="E49" i="9"/>
  <c r="D49" i="9"/>
  <c r="H48" i="9"/>
  <c r="G48" i="9"/>
  <c r="F48" i="9"/>
  <c r="E48" i="9"/>
  <c r="D48" i="9"/>
  <c r="G47" i="9"/>
  <c r="F47" i="9"/>
  <c r="E47" i="9"/>
  <c r="D47" i="9"/>
  <c r="G46" i="9"/>
  <c r="F46" i="9"/>
  <c r="E46" i="9"/>
  <c r="D46" i="9"/>
  <c r="G45" i="9"/>
  <c r="F45" i="9"/>
  <c r="E45" i="9"/>
  <c r="D45" i="9"/>
  <c r="G44" i="9"/>
  <c r="F44" i="9"/>
  <c r="E44" i="9"/>
  <c r="D44" i="9"/>
  <c r="G43" i="9"/>
  <c r="F43" i="9"/>
  <c r="E43" i="9"/>
  <c r="D43" i="9"/>
  <c r="G42" i="9"/>
  <c r="F42" i="9"/>
  <c r="E42" i="9"/>
  <c r="D42" i="9"/>
  <c r="G41" i="9"/>
  <c r="F41" i="9"/>
  <c r="E41" i="9"/>
  <c r="D41" i="9"/>
  <c r="G40" i="9"/>
  <c r="F40" i="9"/>
  <c r="E40" i="9"/>
  <c r="D40" i="9"/>
  <c r="G39" i="9"/>
  <c r="F39" i="9"/>
  <c r="E39" i="9"/>
  <c r="D39" i="9"/>
  <c r="G38" i="9"/>
  <c r="F38" i="9"/>
  <c r="E38" i="9"/>
  <c r="D38" i="9"/>
  <c r="G37" i="9"/>
  <c r="F37" i="9"/>
  <c r="E37" i="9"/>
  <c r="D37" i="9"/>
  <c r="G36" i="9"/>
  <c r="F36" i="9"/>
  <c r="E36" i="9"/>
  <c r="D36" i="9"/>
  <c r="H35" i="9"/>
  <c r="G35" i="9"/>
  <c r="F35" i="9"/>
  <c r="E35" i="9"/>
  <c r="D35" i="9"/>
  <c r="G34" i="9"/>
  <c r="F34" i="9"/>
  <c r="H34" i="9" s="1"/>
  <c r="E34" i="9"/>
  <c r="D34" i="9"/>
  <c r="G33" i="9"/>
  <c r="F33" i="9"/>
  <c r="H33" i="9" s="1"/>
  <c r="E33" i="9"/>
  <c r="D33" i="9"/>
  <c r="G32" i="9"/>
  <c r="F32" i="9"/>
  <c r="E32" i="9"/>
  <c r="D32" i="9"/>
  <c r="H31" i="9"/>
  <c r="G31" i="9"/>
  <c r="F31" i="9"/>
  <c r="E31" i="9"/>
  <c r="I31" i="9" s="1"/>
  <c r="D31" i="9"/>
  <c r="G30" i="9"/>
  <c r="F30" i="9"/>
  <c r="E30" i="9"/>
  <c r="D30" i="9"/>
  <c r="G29" i="9"/>
  <c r="F29" i="9"/>
  <c r="E29" i="9"/>
  <c r="D29" i="9"/>
  <c r="H28" i="9"/>
  <c r="G28" i="9"/>
  <c r="F28" i="9"/>
  <c r="E28" i="9"/>
  <c r="I28" i="9" s="1"/>
  <c r="J28" i="9" s="1"/>
  <c r="K28" i="9" s="1"/>
  <c r="D28" i="9"/>
  <c r="G27" i="9"/>
  <c r="F27" i="9"/>
  <c r="E27" i="9"/>
  <c r="D27" i="9"/>
  <c r="G26" i="9"/>
  <c r="F26" i="9"/>
  <c r="E26" i="9"/>
  <c r="D26" i="9"/>
  <c r="H25" i="9"/>
  <c r="G25" i="9"/>
  <c r="F25" i="9"/>
  <c r="E25" i="9"/>
  <c r="D25" i="9"/>
  <c r="G24" i="9"/>
  <c r="F24" i="9"/>
  <c r="H24" i="9" s="1"/>
  <c r="E24" i="9"/>
  <c r="D24" i="9"/>
  <c r="G23" i="9"/>
  <c r="F23" i="9"/>
  <c r="E23" i="9"/>
  <c r="D23" i="9"/>
  <c r="G22" i="9"/>
  <c r="H22" i="9" s="1"/>
  <c r="F22" i="9"/>
  <c r="E22" i="9"/>
  <c r="D22" i="9"/>
  <c r="G21" i="9"/>
  <c r="F21" i="9"/>
  <c r="E21" i="9"/>
  <c r="D21" i="9"/>
  <c r="G20" i="9"/>
  <c r="F20" i="9"/>
  <c r="E20" i="9"/>
  <c r="D20" i="9"/>
  <c r="G19" i="9"/>
  <c r="H19" i="9" s="1"/>
  <c r="F19" i="9"/>
  <c r="E19" i="9"/>
  <c r="D19" i="9"/>
  <c r="G18" i="9"/>
  <c r="H18" i="9" s="1"/>
  <c r="F18" i="9"/>
  <c r="E18" i="9"/>
  <c r="D18" i="9"/>
  <c r="G17" i="9"/>
  <c r="F17" i="9"/>
  <c r="E17" i="9"/>
  <c r="D17" i="9"/>
  <c r="H16" i="9"/>
  <c r="G16" i="9"/>
  <c r="F16" i="9"/>
  <c r="E16" i="9"/>
  <c r="D16" i="9"/>
  <c r="G15" i="9"/>
  <c r="F15" i="9"/>
  <c r="H15" i="9" s="1"/>
  <c r="E15" i="9"/>
  <c r="D15" i="9"/>
  <c r="G14" i="9"/>
  <c r="F14" i="9"/>
  <c r="H14" i="9" s="1"/>
  <c r="E14" i="9"/>
  <c r="D14" i="9"/>
  <c r="G13" i="9"/>
  <c r="F13" i="9"/>
  <c r="E13" i="9"/>
  <c r="D13" i="9"/>
  <c r="G12" i="9"/>
  <c r="F12" i="9"/>
  <c r="H12" i="9" s="1"/>
  <c r="E12" i="9"/>
  <c r="I12" i="9" s="1"/>
  <c r="D12" i="9"/>
  <c r="G11" i="9"/>
  <c r="F11" i="9"/>
  <c r="E11" i="9"/>
  <c r="D11" i="9"/>
  <c r="G10" i="9"/>
  <c r="F10" i="9"/>
  <c r="E10" i="9"/>
  <c r="D10" i="9"/>
  <c r="G9" i="9"/>
  <c r="F9" i="9"/>
  <c r="H9" i="9" s="1"/>
  <c r="E9" i="9"/>
  <c r="D9" i="9"/>
  <c r="G8" i="9"/>
  <c r="F8" i="9"/>
  <c r="E8" i="9"/>
  <c r="D8" i="9"/>
  <c r="G7" i="9"/>
  <c r="H7" i="9" s="1"/>
  <c r="F7" i="9"/>
  <c r="E7" i="9"/>
  <c r="D7" i="9"/>
  <c r="L117" i="8"/>
  <c r="K117" i="8"/>
  <c r="J117" i="8"/>
  <c r="M117" i="8" s="1"/>
  <c r="L116" i="8"/>
  <c r="K116" i="8"/>
  <c r="J116" i="8"/>
  <c r="M116" i="8" s="1"/>
  <c r="L115" i="8"/>
  <c r="K115" i="8"/>
  <c r="J115" i="8"/>
  <c r="M115" i="8" s="1"/>
  <c r="L114" i="8"/>
  <c r="K114" i="8"/>
  <c r="J114" i="8"/>
  <c r="M114" i="8" s="1"/>
  <c r="L113" i="8"/>
  <c r="K113" i="8"/>
  <c r="J113" i="8"/>
  <c r="M113" i="8" s="1"/>
  <c r="L112" i="8"/>
  <c r="K112" i="8"/>
  <c r="J112" i="8"/>
  <c r="M112" i="8" s="1"/>
  <c r="L111" i="8"/>
  <c r="K111" i="8"/>
  <c r="J111" i="8"/>
  <c r="M111" i="8" s="1"/>
  <c r="L110" i="8"/>
  <c r="K110" i="8"/>
  <c r="J110" i="8"/>
  <c r="M110" i="8" s="1"/>
  <c r="L109" i="8"/>
  <c r="K109" i="8"/>
  <c r="J109" i="8"/>
  <c r="M109" i="8" s="1"/>
  <c r="L108" i="8"/>
  <c r="K108" i="8"/>
  <c r="J108" i="8"/>
  <c r="M108" i="8" s="1"/>
  <c r="L107" i="8"/>
  <c r="K107" i="8"/>
  <c r="J107" i="8"/>
  <c r="M107" i="8" s="1"/>
  <c r="L106" i="8"/>
  <c r="K106" i="8"/>
  <c r="J106" i="8"/>
  <c r="M106" i="8" s="1"/>
  <c r="L105" i="8"/>
  <c r="K105" i="8"/>
  <c r="J105" i="8"/>
  <c r="M105" i="8" s="1"/>
  <c r="L104" i="8"/>
  <c r="K104" i="8"/>
  <c r="J104" i="8"/>
  <c r="M104" i="8" s="1"/>
  <c r="M103" i="8"/>
  <c r="L103" i="8"/>
  <c r="K103" i="8"/>
  <c r="J103" i="8"/>
  <c r="L102" i="8"/>
  <c r="K102" i="8"/>
  <c r="J102" i="8"/>
  <c r="M102" i="8" s="1"/>
  <c r="M101" i="8"/>
  <c r="L101" i="8"/>
  <c r="K101" i="8"/>
  <c r="J101" i="8"/>
  <c r="L100" i="8"/>
  <c r="K100" i="8"/>
  <c r="J100" i="8"/>
  <c r="M100" i="8" s="1"/>
  <c r="M99" i="8"/>
  <c r="L99" i="8"/>
  <c r="K99" i="8"/>
  <c r="J99" i="8"/>
  <c r="L98" i="8"/>
  <c r="K98" i="8"/>
  <c r="J98" i="8"/>
  <c r="M98" i="8" s="1"/>
  <c r="L97" i="8"/>
  <c r="K97" i="8"/>
  <c r="J97" i="8"/>
  <c r="M97" i="8" s="1"/>
  <c r="L96" i="8"/>
  <c r="K96" i="8"/>
  <c r="J96" i="8"/>
  <c r="M96" i="8" s="1"/>
  <c r="L95" i="8"/>
  <c r="K95" i="8"/>
  <c r="J95" i="8"/>
  <c r="M95" i="8" s="1"/>
  <c r="L94" i="8"/>
  <c r="K94" i="8"/>
  <c r="J94" i="8"/>
  <c r="M94" i="8" s="1"/>
  <c r="L93" i="8"/>
  <c r="K93" i="8"/>
  <c r="J93" i="8"/>
  <c r="M93" i="8" s="1"/>
  <c r="L92" i="8"/>
  <c r="K92" i="8"/>
  <c r="J92" i="8"/>
  <c r="M92" i="8" s="1"/>
  <c r="L91" i="8"/>
  <c r="K91" i="8"/>
  <c r="J91" i="8"/>
  <c r="M91" i="8" s="1"/>
  <c r="L90" i="8"/>
  <c r="K90" i="8"/>
  <c r="J90" i="8"/>
  <c r="M90" i="8" s="1"/>
  <c r="L89" i="8"/>
  <c r="K89" i="8"/>
  <c r="J89" i="8"/>
  <c r="M89" i="8" s="1"/>
  <c r="L88" i="8"/>
  <c r="K88" i="8"/>
  <c r="J88" i="8"/>
  <c r="M88" i="8" s="1"/>
  <c r="M87" i="8"/>
  <c r="L87" i="8"/>
  <c r="K87" i="8"/>
  <c r="J87" i="8"/>
  <c r="L86" i="8"/>
  <c r="K86" i="8"/>
  <c r="J86" i="8"/>
  <c r="M86" i="8" s="1"/>
  <c r="L85" i="8"/>
  <c r="K85" i="8"/>
  <c r="J85" i="8"/>
  <c r="M85" i="8" s="1"/>
  <c r="L84" i="8"/>
  <c r="K84" i="8"/>
  <c r="J84" i="8"/>
  <c r="M84" i="8" s="1"/>
  <c r="L83" i="8"/>
  <c r="K83" i="8"/>
  <c r="J83" i="8"/>
  <c r="M83" i="8" s="1"/>
  <c r="L82" i="8"/>
  <c r="K82" i="8"/>
  <c r="J82" i="8"/>
  <c r="M82" i="8" s="1"/>
  <c r="L81" i="8"/>
  <c r="K81" i="8"/>
  <c r="J81" i="8"/>
  <c r="M81" i="8" s="1"/>
  <c r="L80" i="8"/>
  <c r="K80" i="8"/>
  <c r="J80" i="8"/>
  <c r="M80" i="8" s="1"/>
  <c r="L79" i="8"/>
  <c r="K79" i="8"/>
  <c r="J79" i="8"/>
  <c r="M79" i="8" s="1"/>
  <c r="L78" i="8"/>
  <c r="K78" i="8"/>
  <c r="J78" i="8"/>
  <c r="M78" i="8" s="1"/>
  <c r="L77" i="8"/>
  <c r="K77" i="8"/>
  <c r="J77" i="8"/>
  <c r="M77" i="8" s="1"/>
  <c r="L76" i="8"/>
  <c r="K76" i="8"/>
  <c r="J76" i="8"/>
  <c r="M76" i="8" s="1"/>
  <c r="M75" i="8"/>
  <c r="L75" i="8"/>
  <c r="K75" i="8"/>
  <c r="J75" i="8"/>
  <c r="L74" i="8"/>
  <c r="K74" i="8"/>
  <c r="J74" i="8"/>
  <c r="M74" i="8" s="1"/>
  <c r="L73" i="8"/>
  <c r="K73" i="8"/>
  <c r="J73" i="8"/>
  <c r="M73" i="8" s="1"/>
  <c r="L72" i="8"/>
  <c r="K72" i="8"/>
  <c r="J72" i="8"/>
  <c r="M72" i="8" s="1"/>
  <c r="L71" i="8"/>
  <c r="K71" i="8"/>
  <c r="J71" i="8"/>
  <c r="M71" i="8" s="1"/>
  <c r="L70" i="8"/>
  <c r="K70" i="8"/>
  <c r="J70" i="8"/>
  <c r="M70" i="8" s="1"/>
  <c r="M69" i="8"/>
  <c r="L69" i="8"/>
  <c r="K69" i="8"/>
  <c r="J69" i="8"/>
  <c r="L68" i="8"/>
  <c r="K68" i="8"/>
  <c r="J68" i="8"/>
  <c r="M68" i="8" s="1"/>
  <c r="L67" i="8"/>
  <c r="K67" i="8"/>
  <c r="J67" i="8"/>
  <c r="M67" i="8" s="1"/>
  <c r="L66" i="8"/>
  <c r="K66" i="8"/>
  <c r="J66" i="8"/>
  <c r="M66" i="8" s="1"/>
  <c r="L65" i="8"/>
  <c r="K65" i="8"/>
  <c r="J65" i="8"/>
  <c r="M65" i="8" s="1"/>
  <c r="L64" i="8"/>
  <c r="K64" i="8"/>
  <c r="J64" i="8"/>
  <c r="M64" i="8" s="1"/>
  <c r="L63" i="8"/>
  <c r="K63" i="8"/>
  <c r="J63" i="8"/>
  <c r="M63" i="8" s="1"/>
  <c r="L62" i="8"/>
  <c r="K62" i="8"/>
  <c r="J62" i="8"/>
  <c r="M62" i="8" s="1"/>
  <c r="L61" i="8"/>
  <c r="K61" i="8"/>
  <c r="J61" i="8"/>
  <c r="M61" i="8" s="1"/>
  <c r="L60" i="8"/>
  <c r="K60" i="8"/>
  <c r="J60" i="8"/>
  <c r="M60" i="8" s="1"/>
  <c r="L59" i="8"/>
  <c r="K59" i="8"/>
  <c r="J59" i="8"/>
  <c r="M59" i="8" s="1"/>
  <c r="M58" i="8"/>
  <c r="L58" i="8"/>
  <c r="K58" i="8"/>
  <c r="J58" i="8"/>
  <c r="L57" i="8"/>
  <c r="K57" i="8"/>
  <c r="J57" i="8"/>
  <c r="M57" i="8" s="1"/>
  <c r="L56" i="8"/>
  <c r="K56" i="8"/>
  <c r="J56" i="8"/>
  <c r="M56" i="8" s="1"/>
  <c r="L55" i="8"/>
  <c r="K55" i="8"/>
  <c r="J55" i="8"/>
  <c r="M55" i="8" s="1"/>
  <c r="M54" i="8"/>
  <c r="L54" i="8"/>
  <c r="K54" i="8"/>
  <c r="J54" i="8"/>
  <c r="L53" i="8"/>
  <c r="K53" i="8"/>
  <c r="J53" i="8"/>
  <c r="M53" i="8" s="1"/>
  <c r="M52" i="8"/>
  <c r="L52" i="8"/>
  <c r="K52" i="8"/>
  <c r="J52" i="8"/>
  <c r="L51" i="8"/>
  <c r="K51" i="8"/>
  <c r="J51" i="8"/>
  <c r="M51" i="8" s="1"/>
  <c r="L50" i="8"/>
  <c r="K50" i="8"/>
  <c r="J50" i="8"/>
  <c r="M50" i="8" s="1"/>
  <c r="L49" i="8"/>
  <c r="K49" i="8"/>
  <c r="J49" i="8"/>
  <c r="M49" i="8" s="1"/>
  <c r="L48" i="8"/>
  <c r="K48" i="8"/>
  <c r="J48" i="8"/>
  <c r="M48" i="8" s="1"/>
  <c r="L47" i="8"/>
  <c r="K47" i="8"/>
  <c r="J47" i="8"/>
  <c r="M47" i="8" s="1"/>
  <c r="L46" i="8"/>
  <c r="K46" i="8"/>
  <c r="J46" i="8"/>
  <c r="M46" i="8" s="1"/>
  <c r="L45" i="8"/>
  <c r="K45" i="8"/>
  <c r="J45" i="8"/>
  <c r="M45" i="8" s="1"/>
  <c r="L44" i="8"/>
  <c r="K44" i="8"/>
  <c r="J44" i="8"/>
  <c r="M44" i="8" s="1"/>
  <c r="L43" i="8"/>
  <c r="K43" i="8"/>
  <c r="J43" i="8"/>
  <c r="M43" i="8" s="1"/>
  <c r="M42" i="8"/>
  <c r="L42" i="8"/>
  <c r="K42" i="8"/>
  <c r="J42" i="8"/>
  <c r="L41" i="8"/>
  <c r="K41" i="8"/>
  <c r="J41" i="8"/>
  <c r="M41" i="8" s="1"/>
  <c r="L40" i="8"/>
  <c r="K40" i="8"/>
  <c r="J40" i="8"/>
  <c r="M40" i="8" s="1"/>
  <c r="L39" i="8"/>
  <c r="K39" i="8"/>
  <c r="J39" i="8"/>
  <c r="M39" i="8" s="1"/>
  <c r="M38" i="8"/>
  <c r="L38" i="8"/>
  <c r="K38" i="8"/>
  <c r="J38" i="8"/>
  <c r="L37" i="8"/>
  <c r="K37" i="8"/>
  <c r="J37" i="8"/>
  <c r="M37" i="8" s="1"/>
  <c r="M36" i="8"/>
  <c r="L36" i="8"/>
  <c r="K36" i="8"/>
  <c r="J36" i="8"/>
  <c r="L35" i="8"/>
  <c r="K35" i="8"/>
  <c r="J35" i="8"/>
  <c r="M35" i="8" s="1"/>
  <c r="L34" i="8"/>
  <c r="K34" i="8"/>
  <c r="J34" i="8"/>
  <c r="M34" i="8" s="1"/>
  <c r="L33" i="8"/>
  <c r="K33" i="8"/>
  <c r="J33" i="8"/>
  <c r="M33" i="8" s="1"/>
  <c r="L32" i="8"/>
  <c r="K32" i="8"/>
  <c r="J32" i="8"/>
  <c r="M32" i="8" s="1"/>
  <c r="L31" i="8"/>
  <c r="K31" i="8"/>
  <c r="J31" i="8"/>
  <c r="M31" i="8" s="1"/>
  <c r="L30" i="8"/>
  <c r="K30" i="8"/>
  <c r="J30" i="8"/>
  <c r="M30" i="8" s="1"/>
  <c r="L29" i="8"/>
  <c r="K29" i="8"/>
  <c r="J29" i="8"/>
  <c r="M29" i="8" s="1"/>
  <c r="L28" i="8"/>
  <c r="K28" i="8"/>
  <c r="J28" i="8"/>
  <c r="M28" i="8" s="1"/>
  <c r="L27" i="8"/>
  <c r="K27" i="8"/>
  <c r="J27" i="8"/>
  <c r="M27" i="8" s="1"/>
  <c r="L26" i="8"/>
  <c r="K26" i="8"/>
  <c r="J26" i="8"/>
  <c r="M26" i="8" s="1"/>
  <c r="L25" i="8"/>
  <c r="K25" i="8"/>
  <c r="J25" i="8"/>
  <c r="M25" i="8" s="1"/>
  <c r="L24" i="8"/>
  <c r="K24" i="8"/>
  <c r="J24" i="8"/>
  <c r="M24" i="8" s="1"/>
  <c r="L23" i="8"/>
  <c r="K23" i="8"/>
  <c r="J23" i="8"/>
  <c r="M23" i="8" s="1"/>
  <c r="M22" i="8"/>
  <c r="L22" i="8"/>
  <c r="K22" i="8"/>
  <c r="J22" i="8"/>
  <c r="L21" i="8"/>
  <c r="K21" i="8"/>
  <c r="J21" i="8"/>
  <c r="M21" i="8" s="1"/>
  <c r="M20" i="8"/>
  <c r="L20" i="8"/>
  <c r="K20" i="8"/>
  <c r="J20" i="8"/>
  <c r="L19" i="8"/>
  <c r="K19" i="8"/>
  <c r="J19" i="8"/>
  <c r="M19" i="8" s="1"/>
  <c r="L18" i="8"/>
  <c r="K18" i="8"/>
  <c r="J18" i="8"/>
  <c r="M18" i="8" s="1"/>
  <c r="L17" i="8"/>
  <c r="K17" i="8"/>
  <c r="J17" i="8"/>
  <c r="M17" i="8" s="1"/>
  <c r="L16" i="8"/>
  <c r="K16" i="8"/>
  <c r="J16" i="8"/>
  <c r="M16" i="8" s="1"/>
  <c r="L15" i="8"/>
  <c r="K15" i="8"/>
  <c r="J15" i="8"/>
  <c r="M15" i="8" s="1"/>
  <c r="L14" i="8"/>
  <c r="K14" i="8"/>
  <c r="J14" i="8"/>
  <c r="M14" i="8" s="1"/>
  <c r="L13" i="8"/>
  <c r="K13" i="8"/>
  <c r="J13" i="8"/>
  <c r="M13" i="8" s="1"/>
  <c r="L12" i="8"/>
  <c r="K12" i="8"/>
  <c r="J12" i="8"/>
  <c r="M12" i="8" s="1"/>
  <c r="L11" i="8"/>
  <c r="K11" i="8"/>
  <c r="J11" i="8"/>
  <c r="M11" i="8" s="1"/>
  <c r="L10" i="8"/>
  <c r="K10" i="8"/>
  <c r="J10" i="8"/>
  <c r="M10" i="8" s="1"/>
  <c r="L9" i="8"/>
  <c r="K9" i="8"/>
  <c r="J9" i="8"/>
  <c r="M9" i="8" s="1"/>
  <c r="L8" i="8"/>
  <c r="K8" i="8"/>
  <c r="J8" i="8"/>
  <c r="M8" i="8" s="1"/>
  <c r="L7" i="8"/>
  <c r="K7" i="8"/>
  <c r="J7" i="8"/>
  <c r="M7" i="8" s="1"/>
  <c r="H666" i="7"/>
  <c r="H665" i="7"/>
  <c r="H664" i="7"/>
  <c r="I664" i="7" s="1"/>
  <c r="J664" i="7" s="1"/>
  <c r="H663" i="7"/>
  <c r="H662" i="7"/>
  <c r="K661" i="7"/>
  <c r="I661" i="7"/>
  <c r="J661" i="7" s="1"/>
  <c r="H661" i="7"/>
  <c r="H660" i="7"/>
  <c r="H659" i="7"/>
  <c r="H658" i="7"/>
  <c r="I658" i="7" s="1"/>
  <c r="J658" i="7" s="1"/>
  <c r="H657" i="7"/>
  <c r="H656" i="7"/>
  <c r="I655" i="7"/>
  <c r="J655" i="7" s="1"/>
  <c r="H655" i="7"/>
  <c r="K655" i="7" s="1"/>
  <c r="H654" i="7"/>
  <c r="K654" i="7" s="1"/>
  <c r="K653" i="7"/>
  <c r="H653" i="7"/>
  <c r="I653" i="7" s="1"/>
  <c r="J653" i="7" s="1"/>
  <c r="K652" i="7"/>
  <c r="J652" i="7"/>
  <c r="H652" i="7"/>
  <c r="I652" i="7" s="1"/>
  <c r="H651" i="7"/>
  <c r="H650" i="7"/>
  <c r="I649" i="7"/>
  <c r="J649" i="7" s="1"/>
  <c r="H649" i="7"/>
  <c r="K649" i="7" s="1"/>
  <c r="H648" i="7"/>
  <c r="H647" i="7"/>
  <c r="H646" i="7"/>
  <c r="I645" i="7"/>
  <c r="J645" i="7" s="1"/>
  <c r="H645" i="7"/>
  <c r="K645" i="7" s="1"/>
  <c r="H644" i="7"/>
  <c r="H643" i="7"/>
  <c r="K642" i="7"/>
  <c r="H642" i="7"/>
  <c r="I642" i="7" s="1"/>
  <c r="J642" i="7" s="1"/>
  <c r="L642" i="7" s="1"/>
  <c r="M642" i="7" s="1"/>
  <c r="P642" i="7" s="1"/>
  <c r="H641" i="7"/>
  <c r="H640" i="7"/>
  <c r="I639" i="7"/>
  <c r="J639" i="7" s="1"/>
  <c r="H639" i="7"/>
  <c r="K639" i="7" s="1"/>
  <c r="H638" i="7"/>
  <c r="H637" i="7"/>
  <c r="H636" i="7"/>
  <c r="H635" i="7"/>
  <c r="K635" i="7" s="1"/>
  <c r="H634" i="7"/>
  <c r="K634" i="7" s="1"/>
  <c r="J633" i="7"/>
  <c r="I633" i="7"/>
  <c r="H633" i="7"/>
  <c r="K633" i="7" s="1"/>
  <c r="K632" i="7"/>
  <c r="I632" i="7"/>
  <c r="J632" i="7" s="1"/>
  <c r="L632" i="7" s="1"/>
  <c r="M632" i="7" s="1"/>
  <c r="P632" i="7" s="1"/>
  <c r="H632" i="7"/>
  <c r="K631" i="7"/>
  <c r="L631" i="7" s="1"/>
  <c r="M631" i="7" s="1"/>
  <c r="P631" i="7" s="1"/>
  <c r="J631" i="7"/>
  <c r="H631" i="7"/>
  <c r="I631" i="7" s="1"/>
  <c r="H630" i="7"/>
  <c r="H629" i="7"/>
  <c r="H628" i="7"/>
  <c r="J627" i="7"/>
  <c r="H627" i="7"/>
  <c r="I627" i="7" s="1"/>
  <c r="H626" i="7"/>
  <c r="K626" i="7" s="1"/>
  <c r="H625" i="7"/>
  <c r="H624" i="7"/>
  <c r="H623" i="7"/>
  <c r="H622" i="7"/>
  <c r="K622" i="7" s="1"/>
  <c r="J621" i="7"/>
  <c r="I621" i="7"/>
  <c r="H621" i="7"/>
  <c r="K621" i="7" s="1"/>
  <c r="J620" i="7"/>
  <c r="I620" i="7"/>
  <c r="H620" i="7"/>
  <c r="K620" i="7" s="1"/>
  <c r="K619" i="7"/>
  <c r="J619" i="7"/>
  <c r="L619" i="7" s="1"/>
  <c r="M619" i="7" s="1"/>
  <c r="P619" i="7" s="1"/>
  <c r="H619" i="7"/>
  <c r="I619" i="7" s="1"/>
  <c r="H618" i="7"/>
  <c r="H617" i="7"/>
  <c r="H616" i="7"/>
  <c r="K615" i="7"/>
  <c r="J615" i="7"/>
  <c r="H615" i="7"/>
  <c r="I615" i="7" s="1"/>
  <c r="H614" i="7"/>
  <c r="H613" i="7"/>
  <c r="I612" i="7"/>
  <c r="J612" i="7" s="1"/>
  <c r="H612" i="7"/>
  <c r="K612" i="7" s="1"/>
  <c r="K611" i="7"/>
  <c r="H611" i="7"/>
  <c r="I611" i="7" s="1"/>
  <c r="J611" i="7" s="1"/>
  <c r="H610" i="7"/>
  <c r="K609" i="7"/>
  <c r="H609" i="7"/>
  <c r="I609" i="7" s="1"/>
  <c r="J609" i="7" s="1"/>
  <c r="H608" i="7"/>
  <c r="H607" i="7"/>
  <c r="I606" i="7"/>
  <c r="J606" i="7" s="1"/>
  <c r="H606" i="7"/>
  <c r="K606" i="7" s="1"/>
  <c r="N605" i="7"/>
  <c r="Q605" i="7" s="1"/>
  <c r="J605" i="7"/>
  <c r="L605" i="7" s="1"/>
  <c r="M605" i="7" s="1"/>
  <c r="P605" i="7" s="1"/>
  <c r="I605" i="7"/>
  <c r="H605" i="7"/>
  <c r="K605" i="7" s="1"/>
  <c r="I604" i="7"/>
  <c r="J604" i="7" s="1"/>
  <c r="H604" i="7"/>
  <c r="K604" i="7" s="1"/>
  <c r="K603" i="7"/>
  <c r="H603" i="7"/>
  <c r="I603" i="7" s="1"/>
  <c r="J603" i="7" s="1"/>
  <c r="H602" i="7"/>
  <c r="H601" i="7"/>
  <c r="H600" i="7"/>
  <c r="K599" i="7"/>
  <c r="H599" i="7"/>
  <c r="I599" i="7" s="1"/>
  <c r="J599" i="7" s="1"/>
  <c r="H598" i="7"/>
  <c r="J597" i="7"/>
  <c r="I597" i="7"/>
  <c r="H597" i="7"/>
  <c r="K597" i="7" s="1"/>
  <c r="I596" i="7"/>
  <c r="J596" i="7" s="1"/>
  <c r="H596" i="7"/>
  <c r="K596" i="7" s="1"/>
  <c r="H595" i="7"/>
  <c r="H594" i="7"/>
  <c r="J593" i="7"/>
  <c r="I593" i="7"/>
  <c r="H593" i="7"/>
  <c r="K593" i="7" s="1"/>
  <c r="H592" i="7"/>
  <c r="K592" i="7" s="1"/>
  <c r="H591" i="7"/>
  <c r="K590" i="7"/>
  <c r="H590" i="7"/>
  <c r="I590" i="7" s="1"/>
  <c r="J590" i="7" s="1"/>
  <c r="H589" i="7"/>
  <c r="I588" i="7"/>
  <c r="J588" i="7" s="1"/>
  <c r="H588" i="7"/>
  <c r="K588" i="7" s="1"/>
  <c r="H587" i="7"/>
  <c r="H586" i="7"/>
  <c r="I586" i="7" s="1"/>
  <c r="J586" i="7" s="1"/>
  <c r="I585" i="7"/>
  <c r="J585" i="7" s="1"/>
  <c r="L585" i="7" s="1"/>
  <c r="M585" i="7" s="1"/>
  <c r="P585" i="7" s="1"/>
  <c r="H585" i="7"/>
  <c r="K585" i="7" s="1"/>
  <c r="H584" i="7"/>
  <c r="K583" i="7"/>
  <c r="J583" i="7"/>
  <c r="H583" i="7"/>
  <c r="I583" i="7" s="1"/>
  <c r="J582" i="7"/>
  <c r="H582" i="7"/>
  <c r="I582" i="7" s="1"/>
  <c r="H581" i="7"/>
  <c r="K581" i="7" s="1"/>
  <c r="I580" i="7"/>
  <c r="J580" i="7" s="1"/>
  <c r="H580" i="7"/>
  <c r="K580" i="7" s="1"/>
  <c r="H579" i="7"/>
  <c r="K579" i="7" s="1"/>
  <c r="K578" i="7"/>
  <c r="L578" i="7" s="1"/>
  <c r="M578" i="7" s="1"/>
  <c r="P578" i="7" s="1"/>
  <c r="H578" i="7"/>
  <c r="I578" i="7" s="1"/>
  <c r="J578" i="7" s="1"/>
  <c r="H577" i="7"/>
  <c r="H576" i="7"/>
  <c r="K575" i="7"/>
  <c r="I575" i="7"/>
  <c r="J575" i="7" s="1"/>
  <c r="H575" i="7"/>
  <c r="H574" i="7"/>
  <c r="I574" i="7" s="1"/>
  <c r="J574" i="7" s="1"/>
  <c r="H573" i="7"/>
  <c r="H572" i="7"/>
  <c r="K572" i="7" s="1"/>
  <c r="K571" i="7"/>
  <c r="J571" i="7"/>
  <c r="I571" i="7"/>
  <c r="H571" i="7"/>
  <c r="H570" i="7"/>
  <c r="H569" i="7"/>
  <c r="K569" i="7" s="1"/>
  <c r="H568" i="7"/>
  <c r="K567" i="7"/>
  <c r="I567" i="7"/>
  <c r="J567" i="7" s="1"/>
  <c r="H567" i="7"/>
  <c r="H566" i="7"/>
  <c r="I566" i="7" s="1"/>
  <c r="J566" i="7" s="1"/>
  <c r="J565" i="7"/>
  <c r="L565" i="7" s="1"/>
  <c r="M565" i="7" s="1"/>
  <c r="P565" i="7" s="1"/>
  <c r="I565" i="7"/>
  <c r="H565" i="7"/>
  <c r="K565" i="7" s="1"/>
  <c r="N564" i="7"/>
  <c r="Q564" i="7" s="1"/>
  <c r="I564" i="7"/>
  <c r="J564" i="7" s="1"/>
  <c r="L564" i="7" s="1"/>
  <c r="M564" i="7" s="1"/>
  <c r="P564" i="7" s="1"/>
  <c r="H564" i="7"/>
  <c r="K564" i="7" s="1"/>
  <c r="I563" i="7"/>
  <c r="J563" i="7" s="1"/>
  <c r="H563" i="7"/>
  <c r="K563" i="7" s="1"/>
  <c r="H562" i="7"/>
  <c r="I561" i="7"/>
  <c r="J561" i="7" s="1"/>
  <c r="L561" i="7" s="1"/>
  <c r="H561" i="7"/>
  <c r="K561" i="7" s="1"/>
  <c r="H560" i="7"/>
  <c r="K559" i="7"/>
  <c r="H559" i="7"/>
  <c r="I559" i="7" s="1"/>
  <c r="J559" i="7" s="1"/>
  <c r="K558" i="7"/>
  <c r="J558" i="7"/>
  <c r="H558" i="7"/>
  <c r="I558" i="7" s="1"/>
  <c r="H557" i="7"/>
  <c r="H556" i="7"/>
  <c r="K556" i="7" s="1"/>
  <c r="H555" i="7"/>
  <c r="H554" i="7"/>
  <c r="H553" i="7"/>
  <c r="H552" i="7"/>
  <c r="K552" i="7" s="1"/>
  <c r="H551" i="7"/>
  <c r="M550" i="7"/>
  <c r="P550" i="7" s="1"/>
  <c r="K550" i="7"/>
  <c r="J550" i="7"/>
  <c r="L550" i="7" s="1"/>
  <c r="H550" i="7"/>
  <c r="I550" i="7" s="1"/>
  <c r="H549" i="7"/>
  <c r="H548" i="7"/>
  <c r="I548" i="7" s="1"/>
  <c r="J548" i="7" s="1"/>
  <c r="H547" i="7"/>
  <c r="H546" i="7"/>
  <c r="H545" i="7"/>
  <c r="H544" i="7"/>
  <c r="K543" i="7"/>
  <c r="H543" i="7"/>
  <c r="I543" i="7" s="1"/>
  <c r="J543" i="7" s="1"/>
  <c r="H542" i="7"/>
  <c r="H541" i="7"/>
  <c r="K541" i="7" s="1"/>
  <c r="K540" i="7"/>
  <c r="I540" i="7"/>
  <c r="J540" i="7" s="1"/>
  <c r="H540" i="7"/>
  <c r="K539" i="7"/>
  <c r="J539" i="7"/>
  <c r="I539" i="7"/>
  <c r="H539" i="7"/>
  <c r="K538" i="7"/>
  <c r="L538" i="7" s="1"/>
  <c r="M538" i="7" s="1"/>
  <c r="P538" i="7" s="1"/>
  <c r="H538" i="7"/>
  <c r="I538" i="7" s="1"/>
  <c r="J538" i="7" s="1"/>
  <c r="H537" i="7"/>
  <c r="L536" i="7"/>
  <c r="M536" i="7" s="1"/>
  <c r="P536" i="7" s="1"/>
  <c r="I536" i="7"/>
  <c r="J536" i="7" s="1"/>
  <c r="H536" i="7"/>
  <c r="K536" i="7" s="1"/>
  <c r="H535" i="7"/>
  <c r="K535" i="7" s="1"/>
  <c r="H534" i="7"/>
  <c r="H533" i="7"/>
  <c r="I532" i="7"/>
  <c r="J532" i="7" s="1"/>
  <c r="H532" i="7"/>
  <c r="K532" i="7" s="1"/>
  <c r="H531" i="7"/>
  <c r="K531" i="7" s="1"/>
  <c r="H530" i="7"/>
  <c r="I530" i="7" s="1"/>
  <c r="J530" i="7" s="1"/>
  <c r="H529" i="7"/>
  <c r="H528" i="7"/>
  <c r="H527" i="7"/>
  <c r="H526" i="7"/>
  <c r="H525" i="7"/>
  <c r="K525" i="7" s="1"/>
  <c r="H524" i="7"/>
  <c r="H523" i="7"/>
  <c r="K522" i="7"/>
  <c r="H522" i="7"/>
  <c r="I522" i="7" s="1"/>
  <c r="J522" i="7" s="1"/>
  <c r="H521" i="7"/>
  <c r="H520" i="7"/>
  <c r="K519" i="7"/>
  <c r="J519" i="7"/>
  <c r="L519" i="7" s="1"/>
  <c r="M519" i="7" s="1"/>
  <c r="P519" i="7" s="1"/>
  <c r="I519" i="7"/>
  <c r="H519" i="7"/>
  <c r="H518" i="7"/>
  <c r="J517" i="7"/>
  <c r="L517" i="7" s="1"/>
  <c r="M517" i="7" s="1"/>
  <c r="P517" i="7" s="1"/>
  <c r="I517" i="7"/>
  <c r="H517" i="7"/>
  <c r="K517" i="7" s="1"/>
  <c r="L516" i="7"/>
  <c r="M516" i="7" s="1"/>
  <c r="P516" i="7" s="1"/>
  <c r="K516" i="7"/>
  <c r="J516" i="7"/>
  <c r="H516" i="7"/>
  <c r="I516" i="7" s="1"/>
  <c r="K515" i="7"/>
  <c r="I515" i="7"/>
  <c r="J515" i="7" s="1"/>
  <c r="H515" i="7"/>
  <c r="H514" i="7"/>
  <c r="I513" i="7"/>
  <c r="J513" i="7" s="1"/>
  <c r="H513" i="7"/>
  <c r="K513" i="7" s="1"/>
  <c r="H512" i="7"/>
  <c r="I511" i="7"/>
  <c r="J511" i="7" s="1"/>
  <c r="H511" i="7"/>
  <c r="K511" i="7" s="1"/>
  <c r="H510" i="7"/>
  <c r="H509" i="7"/>
  <c r="K508" i="7"/>
  <c r="J508" i="7"/>
  <c r="H508" i="7"/>
  <c r="I508" i="7" s="1"/>
  <c r="H507" i="7"/>
  <c r="H506" i="7"/>
  <c r="I505" i="7"/>
  <c r="J505" i="7" s="1"/>
  <c r="H505" i="7"/>
  <c r="K505" i="7" s="1"/>
  <c r="H504" i="7"/>
  <c r="K503" i="7"/>
  <c r="H503" i="7"/>
  <c r="I503" i="7" s="1"/>
  <c r="J503" i="7" s="1"/>
  <c r="H502" i="7"/>
  <c r="I502" i="7" s="1"/>
  <c r="J502" i="7" s="1"/>
  <c r="H501" i="7"/>
  <c r="K500" i="7"/>
  <c r="I500" i="7"/>
  <c r="J500" i="7" s="1"/>
  <c r="L500" i="7" s="1"/>
  <c r="M500" i="7" s="1"/>
  <c r="P500" i="7" s="1"/>
  <c r="H500" i="7"/>
  <c r="I499" i="7"/>
  <c r="J499" i="7" s="1"/>
  <c r="H499" i="7"/>
  <c r="K499" i="7" s="1"/>
  <c r="H498" i="7"/>
  <c r="H497" i="7"/>
  <c r="H496" i="7"/>
  <c r="H495" i="7"/>
  <c r="K494" i="7"/>
  <c r="H494" i="7"/>
  <c r="I494" i="7" s="1"/>
  <c r="J494" i="7" s="1"/>
  <c r="H493" i="7"/>
  <c r="K493" i="7" s="1"/>
  <c r="K492" i="7"/>
  <c r="I492" i="7"/>
  <c r="J492" i="7" s="1"/>
  <c r="L492" i="7" s="1"/>
  <c r="M492" i="7" s="1"/>
  <c r="P492" i="7" s="1"/>
  <c r="H492" i="7"/>
  <c r="H491" i="7"/>
  <c r="H490" i="7"/>
  <c r="H489" i="7"/>
  <c r="K488" i="7"/>
  <c r="J488" i="7"/>
  <c r="H488" i="7"/>
  <c r="I488" i="7" s="1"/>
  <c r="K487" i="7"/>
  <c r="J487" i="7"/>
  <c r="H487" i="7"/>
  <c r="I487" i="7" s="1"/>
  <c r="H486" i="7"/>
  <c r="I485" i="7"/>
  <c r="J485" i="7" s="1"/>
  <c r="L485" i="7" s="1"/>
  <c r="M485" i="7" s="1"/>
  <c r="P485" i="7" s="1"/>
  <c r="H485" i="7"/>
  <c r="K485" i="7" s="1"/>
  <c r="I484" i="7"/>
  <c r="J484" i="7" s="1"/>
  <c r="H484" i="7"/>
  <c r="K484" i="7" s="1"/>
  <c r="K483" i="7"/>
  <c r="J483" i="7"/>
  <c r="H483" i="7"/>
  <c r="I483" i="7" s="1"/>
  <c r="K482" i="7"/>
  <c r="J482" i="7"/>
  <c r="H482" i="7"/>
  <c r="I482" i="7" s="1"/>
  <c r="H481" i="7"/>
  <c r="K481" i="7" s="1"/>
  <c r="H480" i="7"/>
  <c r="H479" i="7"/>
  <c r="H478" i="7"/>
  <c r="I477" i="7"/>
  <c r="J477" i="7" s="1"/>
  <c r="H477" i="7"/>
  <c r="K477" i="7" s="1"/>
  <c r="J476" i="7"/>
  <c r="H476" i="7"/>
  <c r="I476" i="7" s="1"/>
  <c r="H475" i="7"/>
  <c r="H474" i="7"/>
  <c r="H473" i="7"/>
  <c r="H472" i="7"/>
  <c r="H471" i="7"/>
  <c r="H470" i="7"/>
  <c r="H469" i="7"/>
  <c r="I468" i="7"/>
  <c r="J468" i="7" s="1"/>
  <c r="H468" i="7"/>
  <c r="K468" i="7" s="1"/>
  <c r="K467" i="7"/>
  <c r="I467" i="7"/>
  <c r="J467" i="7" s="1"/>
  <c r="H467" i="7"/>
  <c r="K466" i="7"/>
  <c r="H466" i="7"/>
  <c r="I466" i="7" s="1"/>
  <c r="J466" i="7" s="1"/>
  <c r="H465" i="7"/>
  <c r="H464" i="7"/>
  <c r="I463" i="7"/>
  <c r="J463" i="7" s="1"/>
  <c r="H463" i="7"/>
  <c r="K463" i="7" s="1"/>
  <c r="H462" i="7"/>
  <c r="I461" i="7"/>
  <c r="J461" i="7" s="1"/>
  <c r="H461" i="7"/>
  <c r="K461" i="7" s="1"/>
  <c r="H460" i="7"/>
  <c r="H459" i="7"/>
  <c r="I459" i="7" s="1"/>
  <c r="J459" i="7" s="1"/>
  <c r="H458" i="7"/>
  <c r="H457" i="7"/>
  <c r="K456" i="7"/>
  <c r="J456" i="7"/>
  <c r="L456" i="7" s="1"/>
  <c r="M456" i="7" s="1"/>
  <c r="P456" i="7" s="1"/>
  <c r="I456" i="7"/>
  <c r="H456" i="7"/>
  <c r="H455" i="7"/>
  <c r="I455" i="7" s="1"/>
  <c r="J455" i="7" s="1"/>
  <c r="K454" i="7"/>
  <c r="H454" i="7"/>
  <c r="I454" i="7" s="1"/>
  <c r="J454" i="7" s="1"/>
  <c r="H453" i="7"/>
  <c r="H452" i="7"/>
  <c r="H451" i="7"/>
  <c r="I451" i="7" s="1"/>
  <c r="J451" i="7" s="1"/>
  <c r="K450" i="7"/>
  <c r="H450" i="7"/>
  <c r="I450" i="7" s="1"/>
  <c r="J450" i="7" s="1"/>
  <c r="H449" i="7"/>
  <c r="K449" i="7" s="1"/>
  <c r="L448" i="7"/>
  <c r="M448" i="7" s="1"/>
  <c r="P448" i="7" s="1"/>
  <c r="I448" i="7"/>
  <c r="J448" i="7" s="1"/>
  <c r="H448" i="7"/>
  <c r="K448" i="7" s="1"/>
  <c r="H447" i="7"/>
  <c r="I447" i="7" s="1"/>
  <c r="J447" i="7" s="1"/>
  <c r="H446" i="7"/>
  <c r="K445" i="7"/>
  <c r="H445" i="7"/>
  <c r="I445" i="7" s="1"/>
  <c r="J445" i="7" s="1"/>
  <c r="I444" i="7"/>
  <c r="J444" i="7" s="1"/>
  <c r="H444" i="7"/>
  <c r="K444" i="7" s="1"/>
  <c r="H443" i="7"/>
  <c r="I442" i="7"/>
  <c r="J442" i="7" s="1"/>
  <c r="H442" i="7"/>
  <c r="K442" i="7" s="1"/>
  <c r="H441" i="7"/>
  <c r="H440" i="7"/>
  <c r="H439" i="7"/>
  <c r="I439" i="7" s="1"/>
  <c r="J439" i="7" s="1"/>
  <c r="H438" i="7"/>
  <c r="H437" i="7"/>
  <c r="H436" i="7"/>
  <c r="H435" i="7"/>
  <c r="I435" i="7" s="1"/>
  <c r="J435" i="7" s="1"/>
  <c r="H434" i="7"/>
  <c r="K434" i="7" s="1"/>
  <c r="N433" i="7"/>
  <c r="Q433" i="7" s="1"/>
  <c r="L433" i="7"/>
  <c r="M433" i="7" s="1"/>
  <c r="P433" i="7" s="1"/>
  <c r="K433" i="7"/>
  <c r="J433" i="7"/>
  <c r="H433" i="7"/>
  <c r="I433" i="7" s="1"/>
  <c r="H432" i="7"/>
  <c r="H431" i="7"/>
  <c r="H430" i="7"/>
  <c r="K429" i="7"/>
  <c r="J429" i="7"/>
  <c r="H429" i="7"/>
  <c r="I429" i="7" s="1"/>
  <c r="I428" i="7"/>
  <c r="J428" i="7" s="1"/>
  <c r="H428" i="7"/>
  <c r="K428" i="7" s="1"/>
  <c r="H427" i="7"/>
  <c r="I427" i="7" s="1"/>
  <c r="J427" i="7" s="1"/>
  <c r="I426" i="7"/>
  <c r="J426" i="7" s="1"/>
  <c r="H426" i="7"/>
  <c r="K426" i="7" s="1"/>
  <c r="H425" i="7"/>
  <c r="H424" i="7"/>
  <c r="K423" i="7"/>
  <c r="J423" i="7"/>
  <c r="H423" i="7"/>
  <c r="I423" i="7" s="1"/>
  <c r="I422" i="7"/>
  <c r="J422" i="7" s="1"/>
  <c r="H422" i="7"/>
  <c r="K422" i="7" s="1"/>
  <c r="H421" i="7"/>
  <c r="I421" i="7" s="1"/>
  <c r="J421" i="7" s="1"/>
  <c r="I420" i="7"/>
  <c r="J420" i="7" s="1"/>
  <c r="H420" i="7"/>
  <c r="K420" i="7" s="1"/>
  <c r="H419" i="7"/>
  <c r="I419" i="7" s="1"/>
  <c r="J419" i="7" s="1"/>
  <c r="H418" i="7"/>
  <c r="K418" i="7" s="1"/>
  <c r="H417" i="7"/>
  <c r="H416" i="7"/>
  <c r="K415" i="7"/>
  <c r="H415" i="7"/>
  <c r="I415" i="7" s="1"/>
  <c r="J415" i="7" s="1"/>
  <c r="L414" i="7"/>
  <c r="M414" i="7" s="1"/>
  <c r="P414" i="7" s="1"/>
  <c r="I414" i="7"/>
  <c r="J414" i="7" s="1"/>
  <c r="H414" i="7"/>
  <c r="K414" i="7" s="1"/>
  <c r="H413" i="7"/>
  <c r="H412" i="7"/>
  <c r="H411" i="7"/>
  <c r="I410" i="7"/>
  <c r="J410" i="7" s="1"/>
  <c r="H410" i="7"/>
  <c r="K410" i="7" s="1"/>
  <c r="H409" i="7"/>
  <c r="H408" i="7"/>
  <c r="H407" i="7"/>
  <c r="H406" i="7"/>
  <c r="H405" i="7"/>
  <c r="I405" i="7" s="1"/>
  <c r="J405" i="7" s="1"/>
  <c r="H404" i="7"/>
  <c r="H403" i="7"/>
  <c r="H402" i="7"/>
  <c r="H401" i="7"/>
  <c r="H400" i="7"/>
  <c r="H399" i="7"/>
  <c r="I398" i="7"/>
  <c r="J398" i="7" s="1"/>
  <c r="L398" i="7" s="1"/>
  <c r="M398" i="7" s="1"/>
  <c r="P398" i="7" s="1"/>
  <c r="H398" i="7"/>
  <c r="K398" i="7" s="1"/>
  <c r="K397" i="7"/>
  <c r="H397" i="7"/>
  <c r="I397" i="7" s="1"/>
  <c r="J397" i="7" s="1"/>
  <c r="H396" i="7"/>
  <c r="K395" i="7"/>
  <c r="I395" i="7"/>
  <c r="J395" i="7" s="1"/>
  <c r="H395" i="7"/>
  <c r="H394" i="7"/>
  <c r="H393" i="7"/>
  <c r="I392" i="7"/>
  <c r="J392" i="7" s="1"/>
  <c r="H392" i="7"/>
  <c r="K392" i="7" s="1"/>
  <c r="H391" i="7"/>
  <c r="H390" i="7"/>
  <c r="I390" i="7" s="1"/>
  <c r="J390" i="7" s="1"/>
  <c r="H389" i="7"/>
  <c r="K388" i="7"/>
  <c r="I388" i="7"/>
  <c r="J388" i="7" s="1"/>
  <c r="H388" i="7"/>
  <c r="H387" i="7"/>
  <c r="J386" i="7"/>
  <c r="I386" i="7"/>
  <c r="H386" i="7"/>
  <c r="K386" i="7" s="1"/>
  <c r="I385" i="7"/>
  <c r="J385" i="7" s="1"/>
  <c r="L385" i="7" s="1"/>
  <c r="M385" i="7" s="1"/>
  <c r="P385" i="7" s="1"/>
  <c r="H385" i="7"/>
  <c r="K385" i="7" s="1"/>
  <c r="K384" i="7"/>
  <c r="J384" i="7"/>
  <c r="I384" i="7"/>
  <c r="H384" i="7"/>
  <c r="H383" i="7"/>
  <c r="I382" i="7"/>
  <c r="J382" i="7" s="1"/>
  <c r="H382" i="7"/>
  <c r="K382" i="7" s="1"/>
  <c r="H381" i="7"/>
  <c r="K380" i="7"/>
  <c r="H380" i="7"/>
  <c r="I380" i="7" s="1"/>
  <c r="J380" i="7" s="1"/>
  <c r="H379" i="7"/>
  <c r="J378" i="7"/>
  <c r="I378" i="7"/>
  <c r="H378" i="7"/>
  <c r="K378" i="7" s="1"/>
  <c r="I377" i="7"/>
  <c r="J377" i="7" s="1"/>
  <c r="H377" i="7"/>
  <c r="K377" i="7" s="1"/>
  <c r="H376" i="7"/>
  <c r="H375" i="7"/>
  <c r="I374" i="7"/>
  <c r="J374" i="7" s="1"/>
  <c r="L374" i="7" s="1"/>
  <c r="M374" i="7" s="1"/>
  <c r="P374" i="7" s="1"/>
  <c r="H374" i="7"/>
  <c r="K374" i="7" s="1"/>
  <c r="H373" i="7"/>
  <c r="K373" i="7" s="1"/>
  <c r="K372" i="7"/>
  <c r="I372" i="7"/>
  <c r="J372" i="7" s="1"/>
  <c r="H372" i="7"/>
  <c r="H371" i="7"/>
  <c r="H370" i="7"/>
  <c r="I369" i="7"/>
  <c r="J369" i="7" s="1"/>
  <c r="L369" i="7" s="1"/>
  <c r="M369" i="7" s="1"/>
  <c r="P369" i="7" s="1"/>
  <c r="H369" i="7"/>
  <c r="K369" i="7" s="1"/>
  <c r="I368" i="7"/>
  <c r="J368" i="7" s="1"/>
  <c r="H368" i="7"/>
  <c r="K368" i="7" s="1"/>
  <c r="H367" i="7"/>
  <c r="I367" i="7" s="1"/>
  <c r="J367" i="7" s="1"/>
  <c r="H366" i="7"/>
  <c r="I365" i="7"/>
  <c r="J365" i="7" s="1"/>
  <c r="H365" i="7"/>
  <c r="K365" i="7" s="1"/>
  <c r="K364" i="7"/>
  <c r="I364" i="7"/>
  <c r="J364" i="7" s="1"/>
  <c r="H364" i="7"/>
  <c r="L363" i="7"/>
  <c r="M363" i="7" s="1"/>
  <c r="P363" i="7" s="1"/>
  <c r="K363" i="7"/>
  <c r="H363" i="7"/>
  <c r="I363" i="7" s="1"/>
  <c r="J363" i="7" s="1"/>
  <c r="I362" i="7"/>
  <c r="J362" i="7" s="1"/>
  <c r="H362" i="7"/>
  <c r="K362" i="7" s="1"/>
  <c r="H361" i="7"/>
  <c r="K361" i="7" s="1"/>
  <c r="H360" i="7"/>
  <c r="H359" i="7"/>
  <c r="I358" i="7"/>
  <c r="J358" i="7" s="1"/>
  <c r="H358" i="7"/>
  <c r="K358" i="7" s="1"/>
  <c r="H357" i="7"/>
  <c r="H356" i="7"/>
  <c r="H355" i="7"/>
  <c r="I355" i="7" s="1"/>
  <c r="J355" i="7" s="1"/>
  <c r="H354" i="7"/>
  <c r="H353" i="7"/>
  <c r="K352" i="7"/>
  <c r="I352" i="7"/>
  <c r="J352" i="7" s="1"/>
  <c r="H352" i="7"/>
  <c r="H351" i="7"/>
  <c r="H350" i="7"/>
  <c r="K350" i="7" s="1"/>
  <c r="I349" i="7"/>
  <c r="J349" i="7" s="1"/>
  <c r="H349" i="7"/>
  <c r="K349" i="7" s="1"/>
  <c r="K348" i="7"/>
  <c r="I348" i="7"/>
  <c r="J348" i="7" s="1"/>
  <c r="H348" i="7"/>
  <c r="H347" i="7"/>
  <c r="H346" i="7"/>
  <c r="H345" i="7"/>
  <c r="K344" i="7"/>
  <c r="J344" i="7"/>
  <c r="I344" i="7"/>
  <c r="H344" i="7"/>
  <c r="K343" i="7"/>
  <c r="H343" i="7"/>
  <c r="I343" i="7" s="1"/>
  <c r="J343" i="7" s="1"/>
  <c r="H342" i="7"/>
  <c r="K341" i="7"/>
  <c r="H341" i="7"/>
  <c r="I341" i="7" s="1"/>
  <c r="J341" i="7" s="1"/>
  <c r="K340" i="7"/>
  <c r="H340" i="7"/>
  <c r="I340" i="7" s="1"/>
  <c r="J340" i="7" s="1"/>
  <c r="H339" i="7"/>
  <c r="I338" i="7"/>
  <c r="J338" i="7" s="1"/>
  <c r="H338" i="7"/>
  <c r="K338" i="7" s="1"/>
  <c r="H337" i="7"/>
  <c r="H336" i="7"/>
  <c r="K336" i="7" s="1"/>
  <c r="H335" i="7"/>
  <c r="I335" i="7" s="1"/>
  <c r="J335" i="7" s="1"/>
  <c r="I334" i="7"/>
  <c r="J334" i="7" s="1"/>
  <c r="L334" i="7" s="1"/>
  <c r="M334" i="7" s="1"/>
  <c r="P334" i="7" s="1"/>
  <c r="H334" i="7"/>
  <c r="K334" i="7" s="1"/>
  <c r="H333" i="7"/>
  <c r="K332" i="7"/>
  <c r="I332" i="7"/>
  <c r="J332" i="7" s="1"/>
  <c r="H332" i="7"/>
  <c r="K331" i="7"/>
  <c r="L331" i="7" s="1"/>
  <c r="M331" i="7" s="1"/>
  <c r="P331" i="7" s="1"/>
  <c r="H331" i="7"/>
  <c r="I331" i="7" s="1"/>
  <c r="J331" i="7" s="1"/>
  <c r="H330" i="7"/>
  <c r="H329" i="7"/>
  <c r="K329" i="7" s="1"/>
  <c r="K328" i="7"/>
  <c r="I328" i="7"/>
  <c r="J328" i="7" s="1"/>
  <c r="H328" i="7"/>
  <c r="K327" i="7"/>
  <c r="H327" i="7"/>
  <c r="I327" i="7" s="1"/>
  <c r="J327" i="7" s="1"/>
  <c r="H326" i="7"/>
  <c r="H325" i="7"/>
  <c r="K324" i="7"/>
  <c r="J324" i="7"/>
  <c r="L324" i="7" s="1"/>
  <c r="M324" i="7" s="1"/>
  <c r="P324" i="7" s="1"/>
  <c r="H324" i="7"/>
  <c r="I324" i="7" s="1"/>
  <c r="H323" i="7"/>
  <c r="I323" i="7" s="1"/>
  <c r="J323" i="7" s="1"/>
  <c r="I322" i="7"/>
  <c r="J322" i="7" s="1"/>
  <c r="H322" i="7"/>
  <c r="K322" i="7" s="1"/>
  <c r="K321" i="7"/>
  <c r="I321" i="7"/>
  <c r="J321" i="7" s="1"/>
  <c r="L321" i="7" s="1"/>
  <c r="M321" i="7" s="1"/>
  <c r="P321" i="7" s="1"/>
  <c r="H321" i="7"/>
  <c r="K320" i="7"/>
  <c r="I320" i="7"/>
  <c r="J320" i="7" s="1"/>
  <c r="H320" i="7"/>
  <c r="H319" i="7"/>
  <c r="H318" i="7"/>
  <c r="I317" i="7"/>
  <c r="J317" i="7" s="1"/>
  <c r="H317" i="7"/>
  <c r="K317" i="7" s="1"/>
  <c r="H316" i="7"/>
  <c r="K315" i="7"/>
  <c r="L315" i="7" s="1"/>
  <c r="M315" i="7" s="1"/>
  <c r="P315" i="7" s="1"/>
  <c r="H315" i="7"/>
  <c r="I315" i="7" s="1"/>
  <c r="J315" i="7" s="1"/>
  <c r="J314" i="7"/>
  <c r="I314" i="7"/>
  <c r="H314" i="7"/>
  <c r="K314" i="7" s="1"/>
  <c r="I313" i="7"/>
  <c r="J313" i="7" s="1"/>
  <c r="H313" i="7"/>
  <c r="K313" i="7" s="1"/>
  <c r="K312" i="7"/>
  <c r="J312" i="7"/>
  <c r="H312" i="7"/>
  <c r="I312" i="7" s="1"/>
  <c r="K311" i="7"/>
  <c r="H311" i="7"/>
  <c r="I311" i="7" s="1"/>
  <c r="J311" i="7" s="1"/>
  <c r="H310" i="7"/>
  <c r="H309" i="7"/>
  <c r="I309" i="7" s="1"/>
  <c r="J309" i="7" s="1"/>
  <c r="J308" i="7"/>
  <c r="I308" i="7"/>
  <c r="H308" i="7"/>
  <c r="K308" i="7" s="1"/>
  <c r="K307" i="7"/>
  <c r="H307" i="7"/>
  <c r="I307" i="7" s="1"/>
  <c r="J307" i="7" s="1"/>
  <c r="J306" i="7"/>
  <c r="I306" i="7"/>
  <c r="H306" i="7"/>
  <c r="K306" i="7" s="1"/>
  <c r="K305" i="7"/>
  <c r="I305" i="7"/>
  <c r="J305" i="7" s="1"/>
  <c r="H305" i="7"/>
  <c r="H304" i="7"/>
  <c r="H303" i="7"/>
  <c r="I303" i="7" s="1"/>
  <c r="J303" i="7" s="1"/>
  <c r="I302" i="7"/>
  <c r="J302" i="7" s="1"/>
  <c r="L302" i="7" s="1"/>
  <c r="M302" i="7" s="1"/>
  <c r="P302" i="7" s="1"/>
  <c r="H302" i="7"/>
  <c r="K302" i="7" s="1"/>
  <c r="K301" i="7"/>
  <c r="I301" i="7"/>
  <c r="J301" i="7" s="1"/>
  <c r="H301" i="7"/>
  <c r="K300" i="7"/>
  <c r="H300" i="7"/>
  <c r="I300" i="7" s="1"/>
  <c r="J300" i="7" s="1"/>
  <c r="H299" i="7"/>
  <c r="H298" i="7"/>
  <c r="H297" i="7"/>
  <c r="K297" i="7" s="1"/>
  <c r="I296" i="7"/>
  <c r="J296" i="7" s="1"/>
  <c r="H296" i="7"/>
  <c r="K296" i="7" s="1"/>
  <c r="K295" i="7"/>
  <c r="L295" i="7" s="1"/>
  <c r="M295" i="7" s="1"/>
  <c r="P295" i="7" s="1"/>
  <c r="H295" i="7"/>
  <c r="I295" i="7" s="1"/>
  <c r="J295" i="7" s="1"/>
  <c r="I294" i="7"/>
  <c r="J294" i="7" s="1"/>
  <c r="H294" i="7"/>
  <c r="K294" i="7" s="1"/>
  <c r="H293" i="7"/>
  <c r="K292" i="7"/>
  <c r="H292" i="7"/>
  <c r="I292" i="7" s="1"/>
  <c r="J292" i="7" s="1"/>
  <c r="H291" i="7"/>
  <c r="I291" i="7" s="1"/>
  <c r="J291" i="7" s="1"/>
  <c r="I290" i="7"/>
  <c r="J290" i="7" s="1"/>
  <c r="L290" i="7" s="1"/>
  <c r="M290" i="7" s="1"/>
  <c r="P290" i="7" s="1"/>
  <c r="H290" i="7"/>
  <c r="K290" i="7" s="1"/>
  <c r="H289" i="7"/>
  <c r="K289" i="7" s="1"/>
  <c r="H288" i="7"/>
  <c r="K288" i="7" s="1"/>
  <c r="H287" i="7"/>
  <c r="H286" i="7"/>
  <c r="H285" i="7"/>
  <c r="H284" i="7"/>
  <c r="H283" i="7"/>
  <c r="I282" i="7"/>
  <c r="J282" i="7" s="1"/>
  <c r="H282" i="7"/>
  <c r="K282" i="7" s="1"/>
  <c r="I281" i="7"/>
  <c r="J281" i="7" s="1"/>
  <c r="L281" i="7" s="1"/>
  <c r="M281" i="7" s="1"/>
  <c r="P281" i="7" s="1"/>
  <c r="H281" i="7"/>
  <c r="K281" i="7" s="1"/>
  <c r="I280" i="7"/>
  <c r="J280" i="7" s="1"/>
  <c r="H280" i="7"/>
  <c r="K280" i="7" s="1"/>
  <c r="H279" i="7"/>
  <c r="H278" i="7"/>
  <c r="K278" i="7" s="1"/>
  <c r="H277" i="7"/>
  <c r="K277" i="7" s="1"/>
  <c r="I276" i="7"/>
  <c r="J276" i="7" s="1"/>
  <c r="H276" i="7"/>
  <c r="K276" i="7" s="1"/>
  <c r="H275" i="7"/>
  <c r="J274" i="7"/>
  <c r="I274" i="7"/>
  <c r="H274" i="7"/>
  <c r="K274" i="7" s="1"/>
  <c r="H273" i="7"/>
  <c r="I272" i="7"/>
  <c r="J272" i="7" s="1"/>
  <c r="H272" i="7"/>
  <c r="K272" i="7" s="1"/>
  <c r="H271" i="7"/>
  <c r="H270" i="7"/>
  <c r="H269" i="7"/>
  <c r="I268" i="7"/>
  <c r="J268" i="7" s="1"/>
  <c r="H268" i="7"/>
  <c r="K268" i="7" s="1"/>
  <c r="H267" i="7"/>
  <c r="I266" i="7"/>
  <c r="J266" i="7" s="1"/>
  <c r="H266" i="7"/>
  <c r="K266" i="7" s="1"/>
  <c r="H265" i="7"/>
  <c r="H264" i="7"/>
  <c r="K263" i="7"/>
  <c r="H263" i="7"/>
  <c r="I263" i="7" s="1"/>
  <c r="J263" i="7" s="1"/>
  <c r="J262" i="7"/>
  <c r="I262" i="7"/>
  <c r="H262" i="7"/>
  <c r="K262" i="7" s="1"/>
  <c r="K261" i="7"/>
  <c r="H261" i="7"/>
  <c r="I261" i="7" s="1"/>
  <c r="J261" i="7" s="1"/>
  <c r="I260" i="7"/>
  <c r="J260" i="7" s="1"/>
  <c r="H260" i="7"/>
  <c r="K260" i="7" s="1"/>
  <c r="H259" i="7"/>
  <c r="I258" i="7"/>
  <c r="J258" i="7" s="1"/>
  <c r="H258" i="7"/>
  <c r="K258" i="7" s="1"/>
  <c r="L257" i="7"/>
  <c r="M257" i="7" s="1"/>
  <c r="P257" i="7" s="1"/>
  <c r="K257" i="7"/>
  <c r="H257" i="7"/>
  <c r="I257" i="7" s="1"/>
  <c r="J257" i="7" s="1"/>
  <c r="H256" i="7"/>
  <c r="K255" i="7"/>
  <c r="H255" i="7"/>
  <c r="I255" i="7" s="1"/>
  <c r="J255" i="7" s="1"/>
  <c r="I254" i="7"/>
  <c r="J254" i="7" s="1"/>
  <c r="H254" i="7"/>
  <c r="K254" i="7" s="1"/>
  <c r="H253" i="7"/>
  <c r="I252" i="7"/>
  <c r="J252" i="7" s="1"/>
  <c r="H252" i="7"/>
  <c r="K252" i="7" s="1"/>
  <c r="H251" i="7"/>
  <c r="I251" i="7" s="1"/>
  <c r="J251" i="7" s="1"/>
  <c r="I250" i="7"/>
  <c r="J250" i="7" s="1"/>
  <c r="H250" i="7"/>
  <c r="K250" i="7" s="1"/>
  <c r="H249" i="7"/>
  <c r="H248" i="7"/>
  <c r="H247" i="7"/>
  <c r="I247" i="7" s="1"/>
  <c r="J247" i="7" s="1"/>
  <c r="H246" i="7"/>
  <c r="K245" i="7"/>
  <c r="H245" i="7"/>
  <c r="I245" i="7" s="1"/>
  <c r="J245" i="7" s="1"/>
  <c r="I244" i="7"/>
  <c r="J244" i="7" s="1"/>
  <c r="H244" i="7"/>
  <c r="K244" i="7" s="1"/>
  <c r="H243" i="7"/>
  <c r="I243" i="7" s="1"/>
  <c r="J243" i="7" s="1"/>
  <c r="H242" i="7"/>
  <c r="H241" i="7"/>
  <c r="I240" i="7"/>
  <c r="J240" i="7" s="1"/>
  <c r="L240" i="7" s="1"/>
  <c r="M240" i="7" s="1"/>
  <c r="P240" i="7" s="1"/>
  <c r="H240" i="7"/>
  <c r="K240" i="7" s="1"/>
  <c r="H239" i="7"/>
  <c r="H238" i="7"/>
  <c r="L237" i="7"/>
  <c r="M237" i="7" s="1"/>
  <c r="P237" i="7" s="1"/>
  <c r="K237" i="7"/>
  <c r="H237" i="7"/>
  <c r="I237" i="7" s="1"/>
  <c r="J237" i="7" s="1"/>
  <c r="H236" i="7"/>
  <c r="H235" i="7"/>
  <c r="I235" i="7" s="1"/>
  <c r="J235" i="7" s="1"/>
  <c r="H234" i="7"/>
  <c r="K234" i="7" s="1"/>
  <c r="K233" i="7"/>
  <c r="H233" i="7"/>
  <c r="I233" i="7" s="1"/>
  <c r="J233" i="7" s="1"/>
  <c r="H232" i="7"/>
  <c r="H231" i="7"/>
  <c r="I230" i="7"/>
  <c r="J230" i="7" s="1"/>
  <c r="H230" i="7"/>
  <c r="K230" i="7" s="1"/>
  <c r="H229" i="7"/>
  <c r="H228" i="7"/>
  <c r="H227" i="7"/>
  <c r="I226" i="7"/>
  <c r="J226" i="7" s="1"/>
  <c r="H226" i="7"/>
  <c r="K226" i="7" s="1"/>
  <c r="K225" i="7"/>
  <c r="H225" i="7"/>
  <c r="I225" i="7" s="1"/>
  <c r="J225" i="7" s="1"/>
  <c r="I224" i="7"/>
  <c r="J224" i="7" s="1"/>
  <c r="L224" i="7" s="1"/>
  <c r="M224" i="7" s="1"/>
  <c r="P224" i="7" s="1"/>
  <c r="H224" i="7"/>
  <c r="K224" i="7" s="1"/>
  <c r="H223" i="7"/>
  <c r="I223" i="7" s="1"/>
  <c r="J223" i="7" s="1"/>
  <c r="I222" i="7"/>
  <c r="J222" i="7" s="1"/>
  <c r="H222" i="7"/>
  <c r="K222" i="7" s="1"/>
  <c r="H221" i="7"/>
  <c r="L220" i="7"/>
  <c r="M220" i="7" s="1"/>
  <c r="P220" i="7" s="1"/>
  <c r="I220" i="7"/>
  <c r="J220" i="7" s="1"/>
  <c r="H220" i="7"/>
  <c r="K220" i="7" s="1"/>
  <c r="K219" i="7"/>
  <c r="H219" i="7"/>
  <c r="I219" i="7" s="1"/>
  <c r="J219" i="7" s="1"/>
  <c r="I218" i="7"/>
  <c r="J218" i="7" s="1"/>
  <c r="H218" i="7"/>
  <c r="K218" i="7" s="1"/>
  <c r="H217" i="7"/>
  <c r="I217" i="7" s="1"/>
  <c r="J217" i="7" s="1"/>
  <c r="L216" i="7"/>
  <c r="M216" i="7" s="1"/>
  <c r="P216" i="7" s="1"/>
  <c r="I216" i="7"/>
  <c r="J216" i="7" s="1"/>
  <c r="H216" i="7"/>
  <c r="K216" i="7" s="1"/>
  <c r="H215" i="7"/>
  <c r="H214" i="7"/>
  <c r="K214" i="7" s="1"/>
  <c r="K213" i="7"/>
  <c r="H213" i="7"/>
  <c r="I213" i="7" s="1"/>
  <c r="J213" i="7" s="1"/>
  <c r="I212" i="7"/>
  <c r="J212" i="7" s="1"/>
  <c r="H212" i="7"/>
  <c r="K212" i="7" s="1"/>
  <c r="H211" i="7"/>
  <c r="I211" i="7" s="1"/>
  <c r="J211" i="7" s="1"/>
  <c r="H210" i="7"/>
  <c r="H209" i="7"/>
  <c r="I208" i="7"/>
  <c r="J208" i="7" s="1"/>
  <c r="H208" i="7"/>
  <c r="K208" i="7" s="1"/>
  <c r="K207" i="7"/>
  <c r="H207" i="7"/>
  <c r="I207" i="7" s="1"/>
  <c r="J207" i="7" s="1"/>
  <c r="H206" i="7"/>
  <c r="K206" i="7" s="1"/>
  <c r="K205" i="7"/>
  <c r="H205" i="7"/>
  <c r="I205" i="7" s="1"/>
  <c r="J205" i="7" s="1"/>
  <c r="I204" i="7"/>
  <c r="J204" i="7" s="1"/>
  <c r="L204" i="7" s="1"/>
  <c r="M204" i="7" s="1"/>
  <c r="P204" i="7" s="1"/>
  <c r="H204" i="7"/>
  <c r="K204" i="7" s="1"/>
  <c r="H203" i="7"/>
  <c r="I203" i="7" s="1"/>
  <c r="J203" i="7" s="1"/>
  <c r="H202" i="7"/>
  <c r="K202" i="7" s="1"/>
  <c r="H201" i="7"/>
  <c r="H200" i="7"/>
  <c r="H199" i="7"/>
  <c r="I199" i="7" s="1"/>
  <c r="J199" i="7" s="1"/>
  <c r="I198" i="7"/>
  <c r="J198" i="7" s="1"/>
  <c r="H198" i="7"/>
  <c r="K198" i="7" s="1"/>
  <c r="K197" i="7"/>
  <c r="H197" i="7"/>
  <c r="I197" i="7" s="1"/>
  <c r="J197" i="7" s="1"/>
  <c r="I196" i="7"/>
  <c r="J196" i="7" s="1"/>
  <c r="L196" i="7" s="1"/>
  <c r="M196" i="7" s="1"/>
  <c r="P196" i="7" s="1"/>
  <c r="H196" i="7"/>
  <c r="K196" i="7" s="1"/>
  <c r="H195" i="7"/>
  <c r="I195" i="7" s="1"/>
  <c r="J195" i="7" s="1"/>
  <c r="H194" i="7"/>
  <c r="K193" i="7"/>
  <c r="J193" i="7"/>
  <c r="H193" i="7"/>
  <c r="I193" i="7" s="1"/>
  <c r="H192" i="7"/>
  <c r="K192" i="7" s="1"/>
  <c r="K191" i="7"/>
  <c r="J191" i="7"/>
  <c r="L191" i="7" s="1"/>
  <c r="M191" i="7" s="1"/>
  <c r="P191" i="7" s="1"/>
  <c r="H191" i="7"/>
  <c r="I191" i="7" s="1"/>
  <c r="H190" i="7"/>
  <c r="K190" i="7" s="1"/>
  <c r="J189" i="7"/>
  <c r="H189" i="7"/>
  <c r="I189" i="7" s="1"/>
  <c r="I188" i="7"/>
  <c r="J188" i="7" s="1"/>
  <c r="H188" i="7"/>
  <c r="K188" i="7" s="1"/>
  <c r="H187" i="7"/>
  <c r="H186" i="7"/>
  <c r="H185" i="7"/>
  <c r="H184" i="7"/>
  <c r="K184" i="7" s="1"/>
  <c r="H183" i="7"/>
  <c r="I183" i="7" s="1"/>
  <c r="J183" i="7" s="1"/>
  <c r="I182" i="7"/>
  <c r="J182" i="7" s="1"/>
  <c r="H182" i="7"/>
  <c r="K182" i="7" s="1"/>
  <c r="H181" i="7"/>
  <c r="H180" i="7"/>
  <c r="H179" i="7"/>
  <c r="I179" i="7" s="1"/>
  <c r="J179" i="7" s="1"/>
  <c r="H178" i="7"/>
  <c r="K178" i="7" s="1"/>
  <c r="H177" i="7"/>
  <c r="I177" i="7" s="1"/>
  <c r="J177" i="7" s="1"/>
  <c r="H176" i="7"/>
  <c r="K175" i="7"/>
  <c r="H175" i="7"/>
  <c r="I175" i="7" s="1"/>
  <c r="J175" i="7" s="1"/>
  <c r="H174" i="7"/>
  <c r="K174" i="7" s="1"/>
  <c r="J173" i="7"/>
  <c r="H173" i="7"/>
  <c r="I173" i="7" s="1"/>
  <c r="I172" i="7"/>
  <c r="J172" i="7" s="1"/>
  <c r="H172" i="7"/>
  <c r="K172" i="7" s="1"/>
  <c r="H171" i="7"/>
  <c r="H170" i="7"/>
  <c r="J169" i="7"/>
  <c r="H169" i="7"/>
  <c r="I169" i="7" s="1"/>
  <c r="H168" i="7"/>
  <c r="K168" i="7" s="1"/>
  <c r="J167" i="7"/>
  <c r="H167" i="7"/>
  <c r="I167" i="7" s="1"/>
  <c r="I166" i="7"/>
  <c r="J166" i="7" s="1"/>
  <c r="H166" i="7"/>
  <c r="K166" i="7" s="1"/>
  <c r="H165" i="7"/>
  <c r="H164" i="7"/>
  <c r="H163" i="7"/>
  <c r="I163" i="7" s="1"/>
  <c r="J163" i="7" s="1"/>
  <c r="H162" i="7"/>
  <c r="K162" i="7" s="1"/>
  <c r="H161" i="7"/>
  <c r="I161" i="7" s="1"/>
  <c r="J161" i="7" s="1"/>
  <c r="I160" i="7"/>
  <c r="J160" i="7" s="1"/>
  <c r="L160" i="7" s="1"/>
  <c r="M160" i="7" s="1"/>
  <c r="P160" i="7" s="1"/>
  <c r="H160" i="7"/>
  <c r="K160" i="7" s="1"/>
  <c r="H159" i="7"/>
  <c r="I159" i="7" s="1"/>
  <c r="J159" i="7" s="1"/>
  <c r="H158" i="7"/>
  <c r="H157" i="7"/>
  <c r="I157" i="7" s="1"/>
  <c r="J157" i="7" s="1"/>
  <c r="H156" i="7"/>
  <c r="H155" i="7"/>
  <c r="H154" i="7"/>
  <c r="K153" i="7"/>
  <c r="J153" i="7"/>
  <c r="H153" i="7"/>
  <c r="I153" i="7" s="1"/>
  <c r="N152" i="7"/>
  <c r="Q152" i="7" s="1"/>
  <c r="I152" i="7"/>
  <c r="J152" i="7" s="1"/>
  <c r="L152" i="7" s="1"/>
  <c r="M152" i="7" s="1"/>
  <c r="P152" i="7" s="1"/>
  <c r="H152" i="7"/>
  <c r="K152" i="7" s="1"/>
  <c r="J151" i="7"/>
  <c r="H151" i="7"/>
  <c r="I151" i="7" s="1"/>
  <c r="H150" i="7"/>
  <c r="H149" i="7"/>
  <c r="H148" i="7"/>
  <c r="K147" i="7"/>
  <c r="H147" i="7"/>
  <c r="I147" i="7" s="1"/>
  <c r="J147" i="7" s="1"/>
  <c r="H146" i="7"/>
  <c r="K146" i="7" s="1"/>
  <c r="L145" i="7"/>
  <c r="M145" i="7" s="1"/>
  <c r="P145" i="7" s="1"/>
  <c r="K145" i="7"/>
  <c r="J145" i="7"/>
  <c r="H145" i="7"/>
  <c r="I145" i="7" s="1"/>
  <c r="H144" i="7"/>
  <c r="K144" i="7" s="1"/>
  <c r="K143" i="7"/>
  <c r="H143" i="7"/>
  <c r="I143" i="7" s="1"/>
  <c r="J143" i="7" s="1"/>
  <c r="H142" i="7"/>
  <c r="H141" i="7"/>
  <c r="H140" i="7"/>
  <c r="H139" i="7"/>
  <c r="I139" i="7" s="1"/>
  <c r="J139" i="7" s="1"/>
  <c r="H138" i="7"/>
  <c r="K137" i="7"/>
  <c r="J137" i="7"/>
  <c r="H137" i="7"/>
  <c r="I137" i="7" s="1"/>
  <c r="I136" i="7"/>
  <c r="J136" i="7" s="1"/>
  <c r="H136" i="7"/>
  <c r="K136" i="7" s="1"/>
  <c r="H135" i="7"/>
  <c r="I134" i="7"/>
  <c r="J134" i="7" s="1"/>
  <c r="L134" i="7" s="1"/>
  <c r="M134" i="7" s="1"/>
  <c r="P134" i="7" s="1"/>
  <c r="H134" i="7"/>
  <c r="K134" i="7" s="1"/>
  <c r="H133" i="7"/>
  <c r="H132" i="7"/>
  <c r="H131" i="7"/>
  <c r="I131" i="7" s="1"/>
  <c r="J131" i="7" s="1"/>
  <c r="H130" i="7"/>
  <c r="K130" i="7" s="1"/>
  <c r="H129" i="7"/>
  <c r="I128" i="7"/>
  <c r="J128" i="7" s="1"/>
  <c r="H128" i="7"/>
  <c r="K128" i="7" s="1"/>
  <c r="H127" i="7"/>
  <c r="I127" i="7" s="1"/>
  <c r="J127" i="7" s="1"/>
  <c r="H126" i="7"/>
  <c r="H125" i="7"/>
  <c r="H124" i="7"/>
  <c r="K124" i="7" s="1"/>
  <c r="H123" i="7"/>
  <c r="I123" i="7" s="1"/>
  <c r="J123" i="7" s="1"/>
  <c r="H122" i="7"/>
  <c r="K121" i="7"/>
  <c r="J121" i="7"/>
  <c r="H121" i="7"/>
  <c r="I121" i="7" s="1"/>
  <c r="I120" i="7"/>
  <c r="J120" i="7" s="1"/>
  <c r="H120" i="7"/>
  <c r="K120" i="7" s="1"/>
  <c r="H119" i="7"/>
  <c r="M118" i="7"/>
  <c r="P118" i="7" s="1"/>
  <c r="I118" i="7"/>
  <c r="J118" i="7" s="1"/>
  <c r="L118" i="7" s="1"/>
  <c r="H118" i="7"/>
  <c r="K118" i="7" s="1"/>
  <c r="H117" i="7"/>
  <c r="H116" i="7"/>
  <c r="K115" i="7"/>
  <c r="H115" i="7"/>
  <c r="I115" i="7" s="1"/>
  <c r="J115" i="7" s="1"/>
  <c r="H114" i="7"/>
  <c r="K114" i="7" s="1"/>
  <c r="K113" i="7"/>
  <c r="J113" i="7"/>
  <c r="H113" i="7"/>
  <c r="I113" i="7" s="1"/>
  <c r="H112" i="7"/>
  <c r="K111" i="7"/>
  <c r="H111" i="7"/>
  <c r="I111" i="7" s="1"/>
  <c r="J111" i="7" s="1"/>
  <c r="H110" i="7"/>
  <c r="K110" i="7" s="1"/>
  <c r="H109" i="7"/>
  <c r="H108" i="7"/>
  <c r="K107" i="7"/>
  <c r="H107" i="7"/>
  <c r="I107" i="7" s="1"/>
  <c r="J107" i="7" s="1"/>
  <c r="H106" i="7"/>
  <c r="H105" i="7"/>
  <c r="I105" i="7" s="1"/>
  <c r="J105" i="7" s="1"/>
  <c r="H104" i="7"/>
  <c r="J103" i="7"/>
  <c r="H103" i="7"/>
  <c r="I103" i="7" s="1"/>
  <c r="H102" i="7"/>
  <c r="K102" i="7" s="1"/>
  <c r="H101" i="7"/>
  <c r="H100" i="7"/>
  <c r="H99" i="7"/>
  <c r="I99" i="7" s="1"/>
  <c r="J99" i="7" s="1"/>
  <c r="H98" i="7"/>
  <c r="J97" i="7"/>
  <c r="H97" i="7"/>
  <c r="I97" i="7" s="1"/>
  <c r="L96" i="7"/>
  <c r="M96" i="7" s="1"/>
  <c r="P96" i="7" s="1"/>
  <c r="I96" i="7"/>
  <c r="J96" i="7" s="1"/>
  <c r="H96" i="7"/>
  <c r="K96" i="7" s="1"/>
  <c r="J95" i="7"/>
  <c r="H95" i="7"/>
  <c r="I95" i="7" s="1"/>
  <c r="H94" i="7"/>
  <c r="K94" i="7" s="1"/>
  <c r="H93" i="7"/>
  <c r="H92" i="7"/>
  <c r="H91" i="7"/>
  <c r="I91" i="7" s="1"/>
  <c r="J91" i="7" s="1"/>
  <c r="H90" i="7"/>
  <c r="H89" i="7"/>
  <c r="I89" i="7" s="1"/>
  <c r="J89" i="7" s="1"/>
  <c r="I88" i="7"/>
  <c r="J88" i="7" s="1"/>
  <c r="H88" i="7"/>
  <c r="K88" i="7" s="1"/>
  <c r="H87" i="7"/>
  <c r="I87" i="7" s="1"/>
  <c r="J87" i="7" s="1"/>
  <c r="J86" i="7"/>
  <c r="L86" i="7" s="1"/>
  <c r="M86" i="7" s="1"/>
  <c r="P86" i="7" s="1"/>
  <c r="I86" i="7"/>
  <c r="H86" i="7"/>
  <c r="K86" i="7" s="1"/>
  <c r="H85" i="7"/>
  <c r="I84" i="7"/>
  <c r="J84" i="7" s="1"/>
  <c r="H84" i="7"/>
  <c r="K84" i="7" s="1"/>
  <c r="K83" i="7"/>
  <c r="H83" i="7"/>
  <c r="I83" i="7" s="1"/>
  <c r="J83" i="7" s="1"/>
  <c r="H82" i="7"/>
  <c r="K81" i="7"/>
  <c r="J81" i="7"/>
  <c r="H81" i="7"/>
  <c r="I81" i="7" s="1"/>
  <c r="H80" i="7"/>
  <c r="K80" i="7" s="1"/>
  <c r="I79" i="7"/>
  <c r="J79" i="7" s="1"/>
  <c r="H79" i="7"/>
  <c r="K79" i="7" s="1"/>
  <c r="H78" i="7"/>
  <c r="I78" i="7" s="1"/>
  <c r="J78" i="7" s="1"/>
  <c r="H77" i="7"/>
  <c r="K76" i="7"/>
  <c r="H76" i="7"/>
  <c r="I76" i="7" s="1"/>
  <c r="J76" i="7" s="1"/>
  <c r="I75" i="7"/>
  <c r="J75" i="7" s="1"/>
  <c r="H75" i="7"/>
  <c r="K75" i="7" s="1"/>
  <c r="H74" i="7"/>
  <c r="I74" i="7" s="1"/>
  <c r="J74" i="7" s="1"/>
  <c r="I73" i="7"/>
  <c r="J73" i="7" s="1"/>
  <c r="H73" i="7"/>
  <c r="K73" i="7" s="1"/>
  <c r="K72" i="7"/>
  <c r="I72" i="7"/>
  <c r="J72" i="7" s="1"/>
  <c r="H72" i="7"/>
  <c r="I71" i="7"/>
  <c r="J71" i="7" s="1"/>
  <c r="H71" i="7"/>
  <c r="K71" i="7" s="1"/>
  <c r="K70" i="7"/>
  <c r="I70" i="7"/>
  <c r="J70" i="7" s="1"/>
  <c r="H70" i="7"/>
  <c r="H69" i="7"/>
  <c r="K69" i="7" s="1"/>
  <c r="H68" i="7"/>
  <c r="H67" i="7"/>
  <c r="I66" i="7"/>
  <c r="J66" i="7" s="1"/>
  <c r="H66" i="7"/>
  <c r="K66" i="7" s="1"/>
  <c r="H65" i="7"/>
  <c r="I64" i="7"/>
  <c r="J64" i="7" s="1"/>
  <c r="H64" i="7"/>
  <c r="K64" i="7" s="1"/>
  <c r="H63" i="7"/>
  <c r="I63" i="7" s="1"/>
  <c r="J63" i="7" s="1"/>
  <c r="H62" i="7"/>
  <c r="K62" i="7" s="1"/>
  <c r="I61" i="7"/>
  <c r="J61" i="7" s="1"/>
  <c r="H61" i="7"/>
  <c r="K61" i="7" s="1"/>
  <c r="K60" i="7"/>
  <c r="J60" i="7"/>
  <c r="I60" i="7"/>
  <c r="H60" i="7"/>
  <c r="I59" i="7"/>
  <c r="J59" i="7" s="1"/>
  <c r="H59" i="7"/>
  <c r="K59" i="7" s="1"/>
  <c r="K58" i="7"/>
  <c r="H58" i="7"/>
  <c r="I58" i="7" s="1"/>
  <c r="J58" i="7" s="1"/>
  <c r="H57" i="7"/>
  <c r="K57" i="7" s="1"/>
  <c r="H56" i="7"/>
  <c r="I56" i="7" s="1"/>
  <c r="J56" i="7" s="1"/>
  <c r="I55" i="7"/>
  <c r="J55" i="7" s="1"/>
  <c r="L55" i="7" s="1"/>
  <c r="M55" i="7" s="1"/>
  <c r="P55" i="7" s="1"/>
  <c r="H55" i="7"/>
  <c r="K55" i="7" s="1"/>
  <c r="K54" i="7"/>
  <c r="I54" i="7"/>
  <c r="J54" i="7" s="1"/>
  <c r="H54" i="7"/>
  <c r="H53" i="7"/>
  <c r="J52" i="7"/>
  <c r="I52" i="7"/>
  <c r="H52" i="7"/>
  <c r="K52" i="7" s="1"/>
  <c r="H51" i="7"/>
  <c r="K51" i="7" s="1"/>
  <c r="H50" i="7"/>
  <c r="H49" i="7"/>
  <c r="K48" i="7"/>
  <c r="J48" i="7"/>
  <c r="I48" i="7"/>
  <c r="H48" i="7"/>
  <c r="I47" i="7"/>
  <c r="J47" i="7" s="1"/>
  <c r="H47" i="7"/>
  <c r="K47" i="7" s="1"/>
  <c r="I46" i="7"/>
  <c r="J46" i="7" s="1"/>
  <c r="H46" i="7"/>
  <c r="K46" i="7" s="1"/>
  <c r="H45" i="7"/>
  <c r="H44" i="7"/>
  <c r="L43" i="7"/>
  <c r="M43" i="7" s="1"/>
  <c r="P43" i="7" s="1"/>
  <c r="I43" i="7"/>
  <c r="J43" i="7" s="1"/>
  <c r="H43" i="7"/>
  <c r="K43" i="7" s="1"/>
  <c r="K42" i="7"/>
  <c r="I42" i="7"/>
  <c r="J42" i="7" s="1"/>
  <c r="H42" i="7"/>
  <c r="H41" i="7"/>
  <c r="K40" i="7"/>
  <c r="J40" i="7"/>
  <c r="I40" i="7"/>
  <c r="H40" i="7"/>
  <c r="H39" i="7"/>
  <c r="J38" i="7"/>
  <c r="I38" i="7"/>
  <c r="H38" i="7"/>
  <c r="K38" i="7" s="1"/>
  <c r="H37" i="7"/>
  <c r="K36" i="7"/>
  <c r="I36" i="7"/>
  <c r="J36" i="7" s="1"/>
  <c r="H36" i="7"/>
  <c r="I35" i="7"/>
  <c r="J35" i="7" s="1"/>
  <c r="H35" i="7"/>
  <c r="K35" i="7" s="1"/>
  <c r="H34" i="7"/>
  <c r="I34" i="7" s="1"/>
  <c r="J34" i="7" s="1"/>
  <c r="H33" i="7"/>
  <c r="J32" i="7"/>
  <c r="I32" i="7"/>
  <c r="H32" i="7"/>
  <c r="K32" i="7" s="1"/>
  <c r="H31" i="7"/>
  <c r="J30" i="7"/>
  <c r="L30" i="7" s="1"/>
  <c r="M30" i="7" s="1"/>
  <c r="P30" i="7" s="1"/>
  <c r="I30" i="7"/>
  <c r="H30" i="7"/>
  <c r="K30" i="7" s="1"/>
  <c r="H29" i="7"/>
  <c r="K28" i="7"/>
  <c r="H28" i="7"/>
  <c r="I28" i="7" s="1"/>
  <c r="J28" i="7" s="1"/>
  <c r="L27" i="7"/>
  <c r="M27" i="7" s="1"/>
  <c r="P27" i="7" s="1"/>
  <c r="I27" i="7"/>
  <c r="J27" i="7" s="1"/>
  <c r="H27" i="7"/>
  <c r="K27" i="7" s="1"/>
  <c r="K26" i="7"/>
  <c r="J26" i="7"/>
  <c r="I26" i="7"/>
  <c r="H26" i="7"/>
  <c r="H25" i="7"/>
  <c r="K24" i="7"/>
  <c r="H24" i="7"/>
  <c r="I24" i="7" s="1"/>
  <c r="J24" i="7" s="1"/>
  <c r="L23" i="7"/>
  <c r="M23" i="7" s="1"/>
  <c r="P23" i="7" s="1"/>
  <c r="I23" i="7"/>
  <c r="J23" i="7" s="1"/>
  <c r="H23" i="7"/>
  <c r="K23" i="7" s="1"/>
  <c r="K22" i="7"/>
  <c r="J22" i="7"/>
  <c r="I22" i="7"/>
  <c r="H22" i="7"/>
  <c r="H21" i="7"/>
  <c r="I20" i="7"/>
  <c r="J20" i="7" s="1"/>
  <c r="H20" i="7"/>
  <c r="K20" i="7" s="1"/>
  <c r="L19" i="7"/>
  <c r="M19" i="7" s="1"/>
  <c r="P19" i="7" s="1"/>
  <c r="I19" i="7"/>
  <c r="J19" i="7" s="1"/>
  <c r="H19" i="7"/>
  <c r="K19" i="7" s="1"/>
  <c r="I18" i="7"/>
  <c r="J18" i="7" s="1"/>
  <c r="H18" i="7"/>
  <c r="K18" i="7" s="1"/>
  <c r="H17" i="7"/>
  <c r="K16" i="7"/>
  <c r="J16" i="7"/>
  <c r="I16" i="7"/>
  <c r="H16" i="7"/>
  <c r="I15" i="7"/>
  <c r="J15" i="7" s="1"/>
  <c r="L15" i="7" s="1"/>
  <c r="M15" i="7" s="1"/>
  <c r="P15" i="7" s="1"/>
  <c r="H15" i="7"/>
  <c r="K15" i="7" s="1"/>
  <c r="J14" i="7"/>
  <c r="I14" i="7"/>
  <c r="H14" i="7"/>
  <c r="K14" i="7" s="1"/>
  <c r="H13" i="7"/>
  <c r="I12" i="7"/>
  <c r="J12" i="7" s="1"/>
  <c r="H12" i="7"/>
  <c r="K12" i="7" s="1"/>
  <c r="H11" i="7"/>
  <c r="K11" i="7" s="1"/>
  <c r="I10" i="7"/>
  <c r="J10" i="7" s="1"/>
  <c r="H10" i="7"/>
  <c r="K10" i="7" s="1"/>
  <c r="H9" i="7"/>
  <c r="I8" i="7"/>
  <c r="J8" i="7" s="1"/>
  <c r="H8" i="7"/>
  <c r="K8" i="7" s="1"/>
  <c r="I7" i="7"/>
  <c r="J7" i="7" s="1"/>
  <c r="L7" i="7" s="1"/>
  <c r="M7" i="7" s="1"/>
  <c r="P7" i="7" s="1"/>
  <c r="H7" i="7"/>
  <c r="K7" i="7" s="1"/>
  <c r="H117" i="6"/>
  <c r="C117" i="6"/>
  <c r="B117" i="6"/>
  <c r="H116" i="6"/>
  <c r="C116" i="6"/>
  <c r="B116" i="6"/>
  <c r="H115" i="6"/>
  <c r="C115" i="6"/>
  <c r="B115" i="6"/>
  <c r="H114" i="6"/>
  <c r="C114" i="6"/>
  <c r="B114" i="6"/>
  <c r="H113" i="6"/>
  <c r="C113" i="6"/>
  <c r="B113" i="6"/>
  <c r="H112" i="6"/>
  <c r="C112" i="6"/>
  <c r="B112" i="6"/>
  <c r="H111" i="6"/>
  <c r="C111" i="6"/>
  <c r="B111" i="6"/>
  <c r="H110" i="6"/>
  <c r="C110" i="6"/>
  <c r="B110" i="6"/>
  <c r="H109" i="6"/>
  <c r="C109" i="6"/>
  <c r="B109" i="6"/>
  <c r="H108" i="6"/>
  <c r="C108" i="6"/>
  <c r="B108" i="6"/>
  <c r="H107" i="6"/>
  <c r="C107" i="6"/>
  <c r="B107" i="6"/>
  <c r="H106" i="6"/>
  <c r="C106" i="6"/>
  <c r="B106" i="6"/>
  <c r="H105" i="6"/>
  <c r="C105" i="6"/>
  <c r="B105" i="6"/>
  <c r="H104" i="6"/>
  <c r="C104" i="6"/>
  <c r="B104" i="6"/>
  <c r="H103" i="6"/>
  <c r="C103" i="6"/>
  <c r="B103" i="6"/>
  <c r="H102" i="6"/>
  <c r="C102" i="6"/>
  <c r="B102" i="6"/>
  <c r="H101" i="6"/>
  <c r="C101" i="6"/>
  <c r="B101" i="6"/>
  <c r="H100" i="6"/>
  <c r="C100" i="6"/>
  <c r="B100" i="6"/>
  <c r="H99" i="6"/>
  <c r="C99" i="6"/>
  <c r="B99" i="6"/>
  <c r="H98" i="6"/>
  <c r="C98" i="6"/>
  <c r="B98" i="6"/>
  <c r="H97" i="6"/>
  <c r="C97" i="6"/>
  <c r="B97" i="6"/>
  <c r="H96" i="6"/>
  <c r="C96" i="6"/>
  <c r="B96" i="6"/>
  <c r="H95" i="6"/>
  <c r="C95" i="6"/>
  <c r="B95" i="6"/>
  <c r="H94" i="6"/>
  <c r="C94" i="6"/>
  <c r="B94" i="6"/>
  <c r="H93" i="6"/>
  <c r="C93" i="6"/>
  <c r="B93" i="6"/>
  <c r="H92" i="6"/>
  <c r="C92" i="6"/>
  <c r="B92" i="6"/>
  <c r="H91" i="6"/>
  <c r="C91" i="6"/>
  <c r="B91" i="6"/>
  <c r="H90" i="6"/>
  <c r="C90" i="6"/>
  <c r="B90" i="6"/>
  <c r="H89" i="6"/>
  <c r="C89" i="6"/>
  <c r="B89" i="6"/>
  <c r="H88" i="6"/>
  <c r="C88" i="6"/>
  <c r="B88" i="6"/>
  <c r="H87" i="6"/>
  <c r="C87" i="6"/>
  <c r="B87" i="6"/>
  <c r="H86" i="6"/>
  <c r="C86" i="6"/>
  <c r="B86" i="6"/>
  <c r="H85" i="6"/>
  <c r="C85" i="6"/>
  <c r="B85" i="6"/>
  <c r="H84" i="6"/>
  <c r="C84" i="6"/>
  <c r="B84" i="6"/>
  <c r="H83" i="6"/>
  <c r="C83" i="6"/>
  <c r="B83" i="6"/>
  <c r="H82" i="6"/>
  <c r="C82" i="6"/>
  <c r="B82" i="6"/>
  <c r="H81" i="6"/>
  <c r="C81" i="6"/>
  <c r="B81" i="6"/>
  <c r="H80" i="6"/>
  <c r="C80" i="6"/>
  <c r="B80" i="6"/>
  <c r="H79" i="6"/>
  <c r="C79" i="6"/>
  <c r="B79" i="6"/>
  <c r="H78" i="6"/>
  <c r="C78" i="6"/>
  <c r="B78" i="6"/>
  <c r="H77" i="6"/>
  <c r="C77" i="6"/>
  <c r="B77" i="6"/>
  <c r="H76" i="6"/>
  <c r="C76" i="6"/>
  <c r="B76" i="6"/>
  <c r="H75" i="6"/>
  <c r="J75" i="6" s="1"/>
  <c r="K75" i="6" s="1"/>
  <c r="C75" i="6"/>
  <c r="B75" i="6"/>
  <c r="H74" i="6"/>
  <c r="J74" i="6" s="1"/>
  <c r="K74" i="6" s="1"/>
  <c r="C74" i="6"/>
  <c r="B74" i="6"/>
  <c r="H73" i="6"/>
  <c r="J73" i="6" s="1"/>
  <c r="K73" i="6" s="1"/>
  <c r="C73" i="6"/>
  <c r="B73" i="6"/>
  <c r="H72" i="6"/>
  <c r="J72" i="6" s="1"/>
  <c r="K72" i="6" s="1"/>
  <c r="C72" i="6"/>
  <c r="B72" i="6"/>
  <c r="H71" i="6"/>
  <c r="C71" i="6"/>
  <c r="B71" i="6"/>
  <c r="H70" i="6"/>
  <c r="J70" i="6" s="1"/>
  <c r="K70" i="6" s="1"/>
  <c r="C70" i="6"/>
  <c r="B70" i="6"/>
  <c r="E70" i="6" s="1"/>
  <c r="F70" i="6" s="1"/>
  <c r="L69" i="6"/>
  <c r="H69" i="6"/>
  <c r="J69" i="6" s="1"/>
  <c r="K69" i="6" s="1"/>
  <c r="C69" i="6"/>
  <c r="B69" i="6"/>
  <c r="E69" i="6" s="1"/>
  <c r="F69" i="6" s="1"/>
  <c r="L68" i="6"/>
  <c r="H68" i="6"/>
  <c r="J68" i="6" s="1"/>
  <c r="K68" i="6" s="1"/>
  <c r="C68" i="6"/>
  <c r="B68" i="6"/>
  <c r="H67" i="6"/>
  <c r="J67" i="6" s="1"/>
  <c r="K67" i="6" s="1"/>
  <c r="C67" i="6"/>
  <c r="B67" i="6"/>
  <c r="L66" i="6"/>
  <c r="H66" i="6"/>
  <c r="J66" i="6" s="1"/>
  <c r="K66" i="6" s="1"/>
  <c r="C66" i="6"/>
  <c r="B66" i="6"/>
  <c r="H65" i="6"/>
  <c r="J65" i="6" s="1"/>
  <c r="K65" i="6" s="1"/>
  <c r="C65" i="6"/>
  <c r="B65" i="6"/>
  <c r="L64" i="6"/>
  <c r="H64" i="6"/>
  <c r="J64" i="6" s="1"/>
  <c r="K64" i="6" s="1"/>
  <c r="C64" i="6"/>
  <c r="B64" i="6"/>
  <c r="H63" i="6"/>
  <c r="C63" i="6"/>
  <c r="B63" i="6"/>
  <c r="H62" i="6"/>
  <c r="J62" i="6" s="1"/>
  <c r="K62" i="6" s="1"/>
  <c r="C62" i="6"/>
  <c r="B62" i="6"/>
  <c r="L61" i="6"/>
  <c r="H61" i="6"/>
  <c r="J61" i="6" s="1"/>
  <c r="K61" i="6" s="1"/>
  <c r="C61" i="6"/>
  <c r="B61" i="6"/>
  <c r="E61" i="6" s="1"/>
  <c r="F61" i="6" s="1"/>
  <c r="L60" i="6"/>
  <c r="H60" i="6"/>
  <c r="J60" i="6" s="1"/>
  <c r="K60" i="6" s="1"/>
  <c r="C60" i="6"/>
  <c r="B60" i="6"/>
  <c r="H59" i="6"/>
  <c r="J59" i="6" s="1"/>
  <c r="K59" i="6" s="1"/>
  <c r="C59" i="6"/>
  <c r="B59" i="6"/>
  <c r="L58" i="6"/>
  <c r="H58" i="6"/>
  <c r="J58" i="6" s="1"/>
  <c r="K58" i="6" s="1"/>
  <c r="C58" i="6"/>
  <c r="B58" i="6"/>
  <c r="E58" i="6" s="1"/>
  <c r="F58" i="6" s="1"/>
  <c r="L57" i="6"/>
  <c r="H57" i="6"/>
  <c r="J57" i="6" s="1"/>
  <c r="K57" i="6" s="1"/>
  <c r="C57" i="6"/>
  <c r="B57" i="6"/>
  <c r="L56" i="6"/>
  <c r="H56" i="6"/>
  <c r="J56" i="6" s="1"/>
  <c r="K56" i="6" s="1"/>
  <c r="C56" i="6"/>
  <c r="B56" i="6"/>
  <c r="H55" i="6"/>
  <c r="C55" i="6"/>
  <c r="B55" i="6"/>
  <c r="H54" i="6"/>
  <c r="J54" i="6" s="1"/>
  <c r="K54" i="6" s="1"/>
  <c r="C54" i="6"/>
  <c r="B54" i="6"/>
  <c r="H53" i="6"/>
  <c r="J53" i="6" s="1"/>
  <c r="K53" i="6" s="1"/>
  <c r="C53" i="6"/>
  <c r="B53" i="6"/>
  <c r="H52" i="6"/>
  <c r="J52" i="6" s="1"/>
  <c r="K52" i="6" s="1"/>
  <c r="C52" i="6"/>
  <c r="B52" i="6"/>
  <c r="H51" i="6"/>
  <c r="J51" i="6" s="1"/>
  <c r="K51" i="6" s="1"/>
  <c r="C51" i="6"/>
  <c r="B51" i="6"/>
  <c r="L50" i="6"/>
  <c r="H50" i="6"/>
  <c r="J50" i="6" s="1"/>
  <c r="K50" i="6" s="1"/>
  <c r="C50" i="6"/>
  <c r="B50" i="6"/>
  <c r="E50" i="6" s="1"/>
  <c r="F50" i="6" s="1"/>
  <c r="L49" i="6"/>
  <c r="H49" i="6"/>
  <c r="J49" i="6" s="1"/>
  <c r="K49" i="6" s="1"/>
  <c r="C49" i="6"/>
  <c r="B49" i="6"/>
  <c r="L48" i="6"/>
  <c r="H48" i="6"/>
  <c r="J48" i="6" s="1"/>
  <c r="K48" i="6" s="1"/>
  <c r="C48" i="6"/>
  <c r="B48" i="6"/>
  <c r="H47" i="6"/>
  <c r="C47" i="6"/>
  <c r="B47" i="6"/>
  <c r="H46" i="6"/>
  <c r="J46" i="6" s="1"/>
  <c r="K46" i="6" s="1"/>
  <c r="C46" i="6"/>
  <c r="B46" i="6"/>
  <c r="H45" i="6"/>
  <c r="J45" i="6" s="1"/>
  <c r="K45" i="6" s="1"/>
  <c r="C45" i="6"/>
  <c r="B45" i="6"/>
  <c r="L44" i="6"/>
  <c r="H44" i="6"/>
  <c r="J44" i="6" s="1"/>
  <c r="K44" i="6" s="1"/>
  <c r="C44" i="6"/>
  <c r="B44" i="6"/>
  <c r="H43" i="6"/>
  <c r="J43" i="6" s="1"/>
  <c r="K43" i="6" s="1"/>
  <c r="C43" i="6"/>
  <c r="B43" i="6"/>
  <c r="H42" i="6"/>
  <c r="J42" i="6" s="1"/>
  <c r="K42" i="6" s="1"/>
  <c r="C42" i="6"/>
  <c r="B42" i="6"/>
  <c r="H41" i="6"/>
  <c r="J41" i="6" s="1"/>
  <c r="K41" i="6" s="1"/>
  <c r="C41" i="6"/>
  <c r="B41" i="6"/>
  <c r="H40" i="6"/>
  <c r="J40" i="6" s="1"/>
  <c r="K40" i="6" s="1"/>
  <c r="C40" i="6"/>
  <c r="B40" i="6"/>
  <c r="H39" i="6"/>
  <c r="C39" i="6"/>
  <c r="B39" i="6"/>
  <c r="H38" i="6"/>
  <c r="J38" i="6" s="1"/>
  <c r="K38" i="6" s="1"/>
  <c r="C38" i="6"/>
  <c r="B38" i="6"/>
  <c r="E38" i="6" s="1"/>
  <c r="F38" i="6" s="1"/>
  <c r="L37" i="6"/>
  <c r="H37" i="6"/>
  <c r="J37" i="6" s="1"/>
  <c r="K37" i="6" s="1"/>
  <c r="C37" i="6"/>
  <c r="B37" i="6"/>
  <c r="H36" i="6"/>
  <c r="C36" i="6"/>
  <c r="B36" i="6"/>
  <c r="L35" i="6"/>
  <c r="H35" i="6"/>
  <c r="J35" i="6" s="1"/>
  <c r="K35" i="6" s="1"/>
  <c r="E35" i="6"/>
  <c r="F35" i="6" s="1"/>
  <c r="C35" i="6"/>
  <c r="B35" i="6"/>
  <c r="H34" i="6"/>
  <c r="J34" i="6" s="1"/>
  <c r="K34" i="6" s="1"/>
  <c r="C34" i="6"/>
  <c r="B34" i="6"/>
  <c r="L33" i="6"/>
  <c r="H33" i="6"/>
  <c r="J33" i="6" s="1"/>
  <c r="K33" i="6" s="1"/>
  <c r="C33" i="6"/>
  <c r="E33" i="6" s="1"/>
  <c r="F33" i="6" s="1"/>
  <c r="B33" i="6"/>
  <c r="H32" i="6"/>
  <c r="C32" i="6"/>
  <c r="B32" i="6"/>
  <c r="H31" i="6"/>
  <c r="J31" i="6" s="1"/>
  <c r="K31" i="6" s="1"/>
  <c r="E31" i="6"/>
  <c r="F31" i="6" s="1"/>
  <c r="C31" i="6"/>
  <c r="B31" i="6"/>
  <c r="H30" i="6"/>
  <c r="J30" i="6" s="1"/>
  <c r="K30" i="6" s="1"/>
  <c r="C30" i="6"/>
  <c r="B30" i="6"/>
  <c r="H29" i="6"/>
  <c r="J29" i="6" s="1"/>
  <c r="K29" i="6" s="1"/>
  <c r="C29" i="6"/>
  <c r="E29" i="6" s="1"/>
  <c r="F29" i="6" s="1"/>
  <c r="B29" i="6"/>
  <c r="H28" i="6"/>
  <c r="C28" i="6"/>
  <c r="B28" i="6"/>
  <c r="E28" i="6" s="1"/>
  <c r="F28" i="6" s="1"/>
  <c r="L27" i="6"/>
  <c r="H27" i="6"/>
  <c r="J27" i="6" s="1"/>
  <c r="K27" i="6" s="1"/>
  <c r="E27" i="6"/>
  <c r="F27" i="6" s="1"/>
  <c r="C27" i="6"/>
  <c r="B27" i="6"/>
  <c r="H26" i="6"/>
  <c r="J26" i="6" s="1"/>
  <c r="K26" i="6" s="1"/>
  <c r="C26" i="6"/>
  <c r="B26" i="6"/>
  <c r="E26" i="6" s="1"/>
  <c r="F26" i="6" s="1"/>
  <c r="L25" i="6"/>
  <c r="H25" i="6"/>
  <c r="J25" i="6" s="1"/>
  <c r="K25" i="6" s="1"/>
  <c r="C25" i="6"/>
  <c r="E25" i="6" s="1"/>
  <c r="F25" i="6" s="1"/>
  <c r="B25" i="6"/>
  <c r="J24" i="6"/>
  <c r="K24" i="6" s="1"/>
  <c r="H24" i="6"/>
  <c r="L24" i="6" s="1"/>
  <c r="C24" i="6"/>
  <c r="B24" i="6"/>
  <c r="E24" i="6" s="1"/>
  <c r="F24" i="6" s="1"/>
  <c r="H23" i="6"/>
  <c r="C23" i="6"/>
  <c r="B23" i="6"/>
  <c r="E23" i="6" s="1"/>
  <c r="F23" i="6" s="1"/>
  <c r="L22" i="6"/>
  <c r="J22" i="6"/>
  <c r="K22" i="6" s="1"/>
  <c r="H22" i="6"/>
  <c r="E22" i="6"/>
  <c r="F22" i="6" s="1"/>
  <c r="C22" i="6"/>
  <c r="B22" i="6"/>
  <c r="L21" i="6"/>
  <c r="J21" i="6"/>
  <c r="K21" i="6" s="1"/>
  <c r="H21" i="6"/>
  <c r="C21" i="6"/>
  <c r="B21" i="6"/>
  <c r="E21" i="6" s="1"/>
  <c r="F21" i="6" s="1"/>
  <c r="H20" i="6"/>
  <c r="C20" i="6"/>
  <c r="B20" i="6"/>
  <c r="E20" i="6" s="1"/>
  <c r="F20" i="6" s="1"/>
  <c r="H19" i="6"/>
  <c r="C19" i="6"/>
  <c r="B19" i="6"/>
  <c r="J18" i="6"/>
  <c r="K18" i="6" s="1"/>
  <c r="H18" i="6"/>
  <c r="L18" i="6" s="1"/>
  <c r="C18" i="6"/>
  <c r="B18" i="6"/>
  <c r="E18" i="6" s="1"/>
  <c r="F18" i="6" s="1"/>
  <c r="H17" i="6"/>
  <c r="J17" i="6" s="1"/>
  <c r="K17" i="6" s="1"/>
  <c r="L17" i="6" s="1"/>
  <c r="C17" i="6"/>
  <c r="E17" i="6" s="1"/>
  <c r="F17" i="6" s="1"/>
  <c r="B17" i="6"/>
  <c r="H16" i="6"/>
  <c r="C16" i="6"/>
  <c r="B16" i="6"/>
  <c r="H15" i="6"/>
  <c r="C15" i="6"/>
  <c r="B15" i="6"/>
  <c r="E15" i="6" s="1"/>
  <c r="F15" i="6" s="1"/>
  <c r="H14" i="6"/>
  <c r="F14" i="6"/>
  <c r="E14" i="6"/>
  <c r="C14" i="6"/>
  <c r="B14" i="6"/>
  <c r="J13" i="6"/>
  <c r="K13" i="6" s="1"/>
  <c r="L13" i="6" s="1"/>
  <c r="H13" i="6"/>
  <c r="C13" i="6"/>
  <c r="B13" i="6"/>
  <c r="E13" i="6" s="1"/>
  <c r="F13" i="6" s="1"/>
  <c r="H12" i="6"/>
  <c r="L12" i="6" s="1"/>
  <c r="C12" i="6"/>
  <c r="B12" i="6"/>
  <c r="H11" i="6"/>
  <c r="C11" i="6"/>
  <c r="B11" i="6"/>
  <c r="L10" i="6"/>
  <c r="J10" i="6"/>
  <c r="K10" i="6" s="1"/>
  <c r="H10" i="6"/>
  <c r="C10" i="6"/>
  <c r="B10" i="6"/>
  <c r="E10" i="6" s="1"/>
  <c r="F10" i="6" s="1"/>
  <c r="H9" i="6"/>
  <c r="C9" i="6"/>
  <c r="E9" i="6" s="1"/>
  <c r="F9" i="6" s="1"/>
  <c r="B9" i="6"/>
  <c r="H8" i="6"/>
  <c r="L8" i="6" s="1"/>
  <c r="C8" i="6"/>
  <c r="B8" i="6"/>
  <c r="H7" i="6"/>
  <c r="C7" i="6"/>
  <c r="B7" i="6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Q7" i="4"/>
  <c r="G7" i="4"/>
  <c r="E7" i="4"/>
  <c r="C7" i="4"/>
  <c r="B18" i="3"/>
  <c r="D7" i="4" s="1"/>
  <c r="B15" i="3"/>
  <c r="B13" i="3"/>
  <c r="B9" i="3"/>
  <c r="B8" i="3"/>
  <c r="G23" i="2"/>
  <c r="G13" i="2"/>
  <c r="F9" i="2"/>
  <c r="D9" i="2"/>
  <c r="C9" i="2"/>
  <c r="F8" i="2"/>
  <c r="D8" i="2"/>
  <c r="G8" i="2" s="1"/>
  <c r="C8" i="2"/>
  <c r="F7" i="2"/>
  <c r="D7" i="2"/>
  <c r="C7" i="2"/>
  <c r="D26" i="1"/>
  <c r="D25" i="1"/>
  <c r="L14" i="6" l="1"/>
  <c r="L136" i="7"/>
  <c r="M136" i="7" s="1"/>
  <c r="P136" i="7" s="1"/>
  <c r="L12" i="7"/>
  <c r="M12" i="7" s="1"/>
  <c r="P12" i="7" s="1"/>
  <c r="L20" i="7"/>
  <c r="M20" i="7" s="1"/>
  <c r="P20" i="7" s="1"/>
  <c r="G27" i="2"/>
  <c r="D7" i="1" s="1"/>
  <c r="K108" i="7"/>
  <c r="I108" i="7"/>
  <c r="J108" i="7" s="1"/>
  <c r="I239" i="7"/>
  <c r="J239" i="7" s="1"/>
  <c r="K239" i="7"/>
  <c r="K264" i="7"/>
  <c r="I264" i="7"/>
  <c r="J264" i="7" s="1"/>
  <c r="K270" i="7"/>
  <c r="I270" i="7"/>
  <c r="J270" i="7" s="1"/>
  <c r="K330" i="7"/>
  <c r="I330" i="7"/>
  <c r="J330" i="7" s="1"/>
  <c r="K440" i="7"/>
  <c r="I440" i="7"/>
  <c r="J440" i="7" s="1"/>
  <c r="K489" i="7"/>
  <c r="I489" i="7"/>
  <c r="J489" i="7" s="1"/>
  <c r="K521" i="7"/>
  <c r="I521" i="7"/>
  <c r="J521" i="7" s="1"/>
  <c r="I287" i="7"/>
  <c r="J287" i="7" s="1"/>
  <c r="K287" i="7"/>
  <c r="J9" i="6"/>
  <c r="K9" i="6" s="1"/>
  <c r="L9" i="6" s="1"/>
  <c r="E11" i="6"/>
  <c r="F11" i="6" s="1"/>
  <c r="J14" i="6"/>
  <c r="K14" i="6" s="1"/>
  <c r="J16" i="6"/>
  <c r="K16" i="6" s="1"/>
  <c r="L16" i="6" s="1"/>
  <c r="L29" i="6"/>
  <c r="L31" i="6"/>
  <c r="E34" i="6"/>
  <c r="F34" i="6" s="1"/>
  <c r="E36" i="6"/>
  <c r="F36" i="6" s="1"/>
  <c r="L40" i="6"/>
  <c r="L42" i="6"/>
  <c r="E45" i="6"/>
  <c r="F45" i="6" s="1"/>
  <c r="L53" i="6"/>
  <c r="L73" i="6"/>
  <c r="E100" i="6"/>
  <c r="F100" i="6" s="1"/>
  <c r="E108" i="6"/>
  <c r="F108" i="6" s="1"/>
  <c r="E116" i="6"/>
  <c r="F116" i="6" s="1"/>
  <c r="K63" i="7"/>
  <c r="L63" i="7" s="1"/>
  <c r="M63" i="7" s="1"/>
  <c r="P63" i="7" s="1"/>
  <c r="K74" i="7"/>
  <c r="K78" i="7"/>
  <c r="K97" i="7"/>
  <c r="K103" i="7"/>
  <c r="K127" i="7"/>
  <c r="K131" i="7"/>
  <c r="L131" i="7" s="1"/>
  <c r="I144" i="7"/>
  <c r="J144" i="7" s="1"/>
  <c r="L144" i="7" s="1"/>
  <c r="M144" i="7" s="1"/>
  <c r="P144" i="7" s="1"/>
  <c r="K156" i="7"/>
  <c r="L156" i="7" s="1"/>
  <c r="M156" i="7" s="1"/>
  <c r="P156" i="7" s="1"/>
  <c r="I156" i="7"/>
  <c r="J156" i="7" s="1"/>
  <c r="K161" i="7"/>
  <c r="L161" i="7" s="1"/>
  <c r="K169" i="7"/>
  <c r="K179" i="7"/>
  <c r="L179" i="7" s="1"/>
  <c r="I184" i="7"/>
  <c r="J184" i="7" s="1"/>
  <c r="K217" i="7"/>
  <c r="I221" i="7"/>
  <c r="J221" i="7" s="1"/>
  <c r="K221" i="7"/>
  <c r="I253" i="7"/>
  <c r="J253" i="7" s="1"/>
  <c r="K253" i="7"/>
  <c r="I265" i="7"/>
  <c r="J265" i="7" s="1"/>
  <c r="K265" i="7"/>
  <c r="L292" i="7"/>
  <c r="M292" i="7" s="1"/>
  <c r="P292" i="7" s="1"/>
  <c r="K326" i="7"/>
  <c r="I326" i="7"/>
  <c r="J326" i="7" s="1"/>
  <c r="K353" i="7"/>
  <c r="I353" i="7"/>
  <c r="J353" i="7" s="1"/>
  <c r="I359" i="7"/>
  <c r="J359" i="7" s="1"/>
  <c r="K359" i="7"/>
  <c r="I399" i="7"/>
  <c r="J399" i="7" s="1"/>
  <c r="L399" i="7" s="1"/>
  <c r="M399" i="7" s="1"/>
  <c r="P399" i="7" s="1"/>
  <c r="K399" i="7"/>
  <c r="K404" i="7"/>
  <c r="I404" i="7"/>
  <c r="J404" i="7" s="1"/>
  <c r="L404" i="7" s="1"/>
  <c r="M404" i="7" s="1"/>
  <c r="P404" i="7" s="1"/>
  <c r="K416" i="7"/>
  <c r="I416" i="7"/>
  <c r="J416" i="7" s="1"/>
  <c r="K430" i="7"/>
  <c r="I430" i="7"/>
  <c r="J430" i="7" s="1"/>
  <c r="L430" i="7" s="1"/>
  <c r="M430" i="7" s="1"/>
  <c r="P430" i="7" s="1"/>
  <c r="I441" i="7"/>
  <c r="J441" i="7" s="1"/>
  <c r="K441" i="7"/>
  <c r="K446" i="7"/>
  <c r="I446" i="7"/>
  <c r="J446" i="7" s="1"/>
  <c r="L446" i="7" s="1"/>
  <c r="M446" i="7" s="1"/>
  <c r="P446" i="7" s="1"/>
  <c r="K472" i="7"/>
  <c r="I472" i="7"/>
  <c r="J472" i="7" s="1"/>
  <c r="I486" i="7"/>
  <c r="J486" i="7" s="1"/>
  <c r="K486" i="7"/>
  <c r="K529" i="7"/>
  <c r="I529" i="7"/>
  <c r="J529" i="7" s="1"/>
  <c r="I570" i="7"/>
  <c r="J570" i="7" s="1"/>
  <c r="K570" i="7"/>
  <c r="K589" i="7"/>
  <c r="I589" i="7"/>
  <c r="J589" i="7" s="1"/>
  <c r="I640" i="7"/>
  <c r="J640" i="7" s="1"/>
  <c r="K640" i="7"/>
  <c r="K39" i="7"/>
  <c r="I39" i="7"/>
  <c r="J39" i="7" s="1"/>
  <c r="E8" i="6"/>
  <c r="F8" i="6" s="1"/>
  <c r="E30" i="6"/>
  <c r="F30" i="6" s="1"/>
  <c r="E32" i="6"/>
  <c r="F32" i="6" s="1"/>
  <c r="E54" i="6"/>
  <c r="F54" i="6" s="1"/>
  <c r="E74" i="6"/>
  <c r="F74" i="6" s="1"/>
  <c r="E103" i="6"/>
  <c r="F103" i="6" s="1"/>
  <c r="E111" i="6"/>
  <c r="F111" i="6" s="1"/>
  <c r="K50" i="7"/>
  <c r="I50" i="7"/>
  <c r="J50" i="7" s="1"/>
  <c r="L50" i="7" s="1"/>
  <c r="M50" i="7" s="1"/>
  <c r="P50" i="7" s="1"/>
  <c r="K56" i="7"/>
  <c r="K68" i="7"/>
  <c r="I68" i="7"/>
  <c r="J68" i="7" s="1"/>
  <c r="K89" i="7"/>
  <c r="L89" i="7" s="1"/>
  <c r="K104" i="7"/>
  <c r="I104" i="7"/>
  <c r="J104" i="7" s="1"/>
  <c r="I185" i="7"/>
  <c r="J185" i="7" s="1"/>
  <c r="K185" i="7"/>
  <c r="I231" i="7"/>
  <c r="J231" i="7" s="1"/>
  <c r="K231" i="7"/>
  <c r="K236" i="7"/>
  <c r="I236" i="7"/>
  <c r="J236" i="7" s="1"/>
  <c r="L276" i="7"/>
  <c r="M276" i="7" s="1"/>
  <c r="P276" i="7" s="1"/>
  <c r="K310" i="7"/>
  <c r="I310" i="7"/>
  <c r="J310" i="7" s="1"/>
  <c r="K318" i="7"/>
  <c r="I318" i="7"/>
  <c r="J318" i="7" s="1"/>
  <c r="L318" i="7" s="1"/>
  <c r="M318" i="7" s="1"/>
  <c r="P318" i="7" s="1"/>
  <c r="K354" i="7"/>
  <c r="I354" i="7"/>
  <c r="J354" i="7" s="1"/>
  <c r="K360" i="7"/>
  <c r="I360" i="7"/>
  <c r="J360" i="7" s="1"/>
  <c r="I431" i="7"/>
  <c r="J431" i="7" s="1"/>
  <c r="K431" i="7"/>
  <c r="I562" i="7"/>
  <c r="J562" i="7" s="1"/>
  <c r="K562" i="7"/>
  <c r="I595" i="7"/>
  <c r="J595" i="7" s="1"/>
  <c r="K595" i="7"/>
  <c r="K617" i="7"/>
  <c r="I617" i="7"/>
  <c r="J617" i="7" s="1"/>
  <c r="K232" i="7"/>
  <c r="I232" i="7"/>
  <c r="J232" i="7" s="1"/>
  <c r="L322" i="7"/>
  <c r="M322" i="7" s="1"/>
  <c r="P322" i="7" s="1"/>
  <c r="N322" i="7"/>
  <c r="Q322" i="7" s="1"/>
  <c r="K346" i="7"/>
  <c r="I346" i="7"/>
  <c r="J346" i="7" s="1"/>
  <c r="B16" i="3"/>
  <c r="L45" i="6"/>
  <c r="L65" i="6"/>
  <c r="I11" i="7"/>
  <c r="J11" i="7" s="1"/>
  <c r="L11" i="7" s="1"/>
  <c r="M11" i="7" s="1"/>
  <c r="P11" i="7" s="1"/>
  <c r="K31" i="7"/>
  <c r="I31" i="7"/>
  <c r="J31" i="7" s="1"/>
  <c r="L31" i="7" s="1"/>
  <c r="M31" i="7" s="1"/>
  <c r="P31" i="7" s="1"/>
  <c r="K44" i="7"/>
  <c r="I44" i="7"/>
  <c r="J44" i="7" s="1"/>
  <c r="L83" i="7"/>
  <c r="M83" i="7" s="1"/>
  <c r="P83" i="7" s="1"/>
  <c r="K105" i="7"/>
  <c r="I110" i="7"/>
  <c r="J110" i="7" s="1"/>
  <c r="I129" i="7"/>
  <c r="J129" i="7" s="1"/>
  <c r="L129" i="7" s="1"/>
  <c r="M129" i="7" s="1"/>
  <c r="P129" i="7" s="1"/>
  <c r="K129" i="7"/>
  <c r="I209" i="7"/>
  <c r="J209" i="7" s="1"/>
  <c r="K209" i="7"/>
  <c r="I215" i="7"/>
  <c r="J215" i="7" s="1"/>
  <c r="K215" i="7"/>
  <c r="I227" i="7"/>
  <c r="J227" i="7" s="1"/>
  <c r="K227" i="7"/>
  <c r="K246" i="7"/>
  <c r="I246" i="7"/>
  <c r="J246" i="7" s="1"/>
  <c r="I267" i="7"/>
  <c r="J267" i="7" s="1"/>
  <c r="K267" i="7"/>
  <c r="I273" i="7"/>
  <c r="J273" i="7" s="1"/>
  <c r="L273" i="7" s="1"/>
  <c r="M273" i="7" s="1"/>
  <c r="P273" i="7" s="1"/>
  <c r="K273" i="7"/>
  <c r="L282" i="7"/>
  <c r="M282" i="7" s="1"/>
  <c r="P282" i="7" s="1"/>
  <c r="I299" i="7"/>
  <c r="J299" i="7" s="1"/>
  <c r="K299" i="7"/>
  <c r="I347" i="7"/>
  <c r="J347" i="7" s="1"/>
  <c r="K347" i="7"/>
  <c r="K391" i="7"/>
  <c r="I391" i="7"/>
  <c r="J391" i="7" s="1"/>
  <c r="K396" i="7"/>
  <c r="I396" i="7"/>
  <c r="J396" i="7" s="1"/>
  <c r="I407" i="7"/>
  <c r="J407" i="7" s="1"/>
  <c r="K407" i="7"/>
  <c r="K436" i="7"/>
  <c r="I436" i="7"/>
  <c r="J436" i="7" s="1"/>
  <c r="I443" i="7"/>
  <c r="J443" i="7" s="1"/>
  <c r="K443" i="7"/>
  <c r="I512" i="7"/>
  <c r="J512" i="7" s="1"/>
  <c r="K512" i="7"/>
  <c r="I524" i="7"/>
  <c r="J524" i="7" s="1"/>
  <c r="K524" i="7"/>
  <c r="L563" i="7"/>
  <c r="M563" i="7" s="1"/>
  <c r="P563" i="7" s="1"/>
  <c r="N563" i="7"/>
  <c r="Q563" i="7" s="1"/>
  <c r="K576" i="7"/>
  <c r="I576" i="7"/>
  <c r="J576" i="7" s="1"/>
  <c r="K176" i="7"/>
  <c r="I176" i="7"/>
  <c r="J176" i="7" s="1"/>
  <c r="N204" i="7"/>
  <c r="Q204" i="7" s="1"/>
  <c r="K298" i="7"/>
  <c r="I298" i="7"/>
  <c r="J298" i="7" s="1"/>
  <c r="I413" i="7"/>
  <c r="J413" i="7" s="1"/>
  <c r="K413" i="7"/>
  <c r="K452" i="7"/>
  <c r="I452" i="7"/>
  <c r="J452" i="7" s="1"/>
  <c r="I506" i="7"/>
  <c r="J506" i="7" s="1"/>
  <c r="K506" i="7"/>
  <c r="I523" i="7"/>
  <c r="J523" i="7" s="1"/>
  <c r="K523" i="7"/>
  <c r="K553" i="7"/>
  <c r="I553" i="7"/>
  <c r="J553" i="7" s="1"/>
  <c r="N585" i="7"/>
  <c r="Q585" i="7" s="1"/>
  <c r="B14" i="3"/>
  <c r="B17" i="3" s="1"/>
  <c r="J8" i="6"/>
  <c r="K8" i="6" s="1"/>
  <c r="E19" i="6"/>
  <c r="F19" i="6" s="1"/>
  <c r="E37" i="6"/>
  <c r="F37" i="6" s="1"/>
  <c r="L41" i="6"/>
  <c r="E46" i="6"/>
  <c r="F46" i="6" s="1"/>
  <c r="L52" i="6"/>
  <c r="E66" i="6"/>
  <c r="F66" i="6" s="1"/>
  <c r="L72" i="6"/>
  <c r="L74" i="6"/>
  <c r="K34" i="7"/>
  <c r="L34" i="7" s="1"/>
  <c r="I51" i="7"/>
  <c r="J51" i="7" s="1"/>
  <c r="K65" i="7"/>
  <c r="I65" i="7"/>
  <c r="J65" i="7" s="1"/>
  <c r="I69" i="7"/>
  <c r="J69" i="7" s="1"/>
  <c r="I80" i="7"/>
  <c r="J80" i="7" s="1"/>
  <c r="N96" i="7"/>
  <c r="Q96" i="7" s="1"/>
  <c r="I124" i="7"/>
  <c r="J124" i="7" s="1"/>
  <c r="N124" i="7" s="1"/>
  <c r="K150" i="7"/>
  <c r="I150" i="7"/>
  <c r="J150" i="7" s="1"/>
  <c r="K159" i="7"/>
  <c r="K163" i="7"/>
  <c r="I168" i="7"/>
  <c r="J168" i="7" s="1"/>
  <c r="K177" i="7"/>
  <c r="L177" i="7" s="1"/>
  <c r="M177" i="7" s="1"/>
  <c r="P177" i="7" s="1"/>
  <c r="N191" i="7"/>
  <c r="Q191" i="7" s="1"/>
  <c r="K199" i="7"/>
  <c r="K210" i="7"/>
  <c r="I210" i="7"/>
  <c r="J210" i="7" s="1"/>
  <c r="K223" i="7"/>
  <c r="K228" i="7"/>
  <c r="I228" i="7"/>
  <c r="J228" i="7" s="1"/>
  <c r="K242" i="7"/>
  <c r="I242" i="7"/>
  <c r="J242" i="7" s="1"/>
  <c r="I283" i="7"/>
  <c r="J283" i="7" s="1"/>
  <c r="L283" i="7" s="1"/>
  <c r="M283" i="7" s="1"/>
  <c r="P283" i="7" s="1"/>
  <c r="K283" i="7"/>
  <c r="I304" i="7"/>
  <c r="J304" i="7" s="1"/>
  <c r="K304" i="7"/>
  <c r="I356" i="7"/>
  <c r="J356" i="7" s="1"/>
  <c r="L356" i="7" s="1"/>
  <c r="M356" i="7" s="1"/>
  <c r="P356" i="7" s="1"/>
  <c r="K356" i="7"/>
  <c r="K370" i="7"/>
  <c r="I370" i="7"/>
  <c r="J370" i="7" s="1"/>
  <c r="L378" i="7"/>
  <c r="M378" i="7" s="1"/>
  <c r="P378" i="7" s="1"/>
  <c r="L468" i="7"/>
  <c r="M468" i="7" s="1"/>
  <c r="P468" i="7" s="1"/>
  <c r="K475" i="7"/>
  <c r="I475" i="7"/>
  <c r="J475" i="7" s="1"/>
  <c r="N609" i="7"/>
  <c r="Q609" i="7" s="1"/>
  <c r="L609" i="7"/>
  <c r="M609" i="7" s="1"/>
  <c r="P609" i="7" s="1"/>
  <c r="K628" i="7"/>
  <c r="I628" i="7"/>
  <c r="J628" i="7" s="1"/>
  <c r="K337" i="7"/>
  <c r="I337" i="7"/>
  <c r="J337" i="7" s="1"/>
  <c r="K406" i="7"/>
  <c r="I406" i="7"/>
  <c r="J406" i="7" s="1"/>
  <c r="K432" i="7"/>
  <c r="I432" i="7"/>
  <c r="J432" i="7" s="1"/>
  <c r="G9" i="2"/>
  <c r="E16" i="6"/>
  <c r="F16" i="6" s="1"/>
  <c r="E42" i="6"/>
  <c r="F42" i="6" s="1"/>
  <c r="E53" i="6"/>
  <c r="F53" i="6" s="1"/>
  <c r="E99" i="6"/>
  <c r="F99" i="6" s="1"/>
  <c r="E107" i="6"/>
  <c r="F107" i="6" s="1"/>
  <c r="E115" i="6"/>
  <c r="F115" i="6" s="1"/>
  <c r="K92" i="7"/>
  <c r="I92" i="7"/>
  <c r="J92" i="7" s="1"/>
  <c r="K200" i="7"/>
  <c r="I200" i="7"/>
  <c r="J200" i="7" s="1"/>
  <c r="K238" i="7"/>
  <c r="I238" i="7"/>
  <c r="J238" i="7" s="1"/>
  <c r="L268" i="7"/>
  <c r="M268" i="7" s="1"/>
  <c r="P268" i="7" s="1"/>
  <c r="I284" i="7"/>
  <c r="J284" i="7" s="1"/>
  <c r="L284" i="7" s="1"/>
  <c r="M284" i="7" s="1"/>
  <c r="P284" i="7" s="1"/>
  <c r="K284" i="7"/>
  <c r="K333" i="7"/>
  <c r="I333" i="7"/>
  <c r="J333" i="7" s="1"/>
  <c r="I339" i="7"/>
  <c r="J339" i="7" s="1"/>
  <c r="K339" i="7"/>
  <c r="K366" i="7"/>
  <c r="I366" i="7"/>
  <c r="J366" i="7" s="1"/>
  <c r="L392" i="7"/>
  <c r="M392" i="7" s="1"/>
  <c r="P392" i="7" s="1"/>
  <c r="I526" i="7"/>
  <c r="J526" i="7" s="1"/>
  <c r="K526" i="7"/>
  <c r="K638" i="7"/>
  <c r="I638" i="7"/>
  <c r="J638" i="7" s="1"/>
  <c r="L649" i="7"/>
  <c r="M649" i="7" s="1"/>
  <c r="P649" i="7" s="1"/>
  <c r="K342" i="7"/>
  <c r="I342" i="7"/>
  <c r="J342" i="7" s="1"/>
  <c r="L342" i="7" s="1"/>
  <c r="M342" i="7" s="1"/>
  <c r="P342" i="7" s="1"/>
  <c r="K496" i="7"/>
  <c r="I496" i="7"/>
  <c r="J496" i="7" s="1"/>
  <c r="E7" i="6"/>
  <c r="F7" i="6" s="1"/>
  <c r="E62" i="6"/>
  <c r="F62" i="6" s="1"/>
  <c r="K77" i="7"/>
  <c r="I77" i="7"/>
  <c r="J77" i="7" s="1"/>
  <c r="K112" i="7"/>
  <c r="I112" i="7"/>
  <c r="J112" i="7" s="1"/>
  <c r="L112" i="7" s="1"/>
  <c r="M112" i="7" s="1"/>
  <c r="P112" i="7" s="1"/>
  <c r="I201" i="7"/>
  <c r="J201" i="7" s="1"/>
  <c r="K201" i="7"/>
  <c r="N220" i="7"/>
  <c r="Q220" i="7" s="1"/>
  <c r="I234" i="7"/>
  <c r="J234" i="7" s="1"/>
  <c r="K243" i="7"/>
  <c r="K247" i="7"/>
  <c r="I269" i="7"/>
  <c r="J269" i="7" s="1"/>
  <c r="K269" i="7"/>
  <c r="I316" i="7"/>
  <c r="J316" i="7" s="1"/>
  <c r="K316" i="7"/>
  <c r="I376" i="7"/>
  <c r="J376" i="7" s="1"/>
  <c r="K376" i="7"/>
  <c r="I460" i="7"/>
  <c r="J460" i="7" s="1"/>
  <c r="K460" i="7"/>
  <c r="I470" i="7"/>
  <c r="J470" i="7" s="1"/>
  <c r="K470" i="7"/>
  <c r="L499" i="7"/>
  <c r="M499" i="7" s="1"/>
  <c r="P499" i="7" s="1"/>
  <c r="N499" i="7"/>
  <c r="Q499" i="7" s="1"/>
  <c r="K504" i="7"/>
  <c r="I504" i="7"/>
  <c r="J504" i="7" s="1"/>
  <c r="K573" i="7"/>
  <c r="I573" i="7"/>
  <c r="J573" i="7" s="1"/>
  <c r="L225" i="7"/>
  <c r="M225" i="7" s="1"/>
  <c r="P225" i="7" s="1"/>
  <c r="I229" i="7"/>
  <c r="J229" i="7" s="1"/>
  <c r="K229" i="7"/>
  <c r="I241" i="7"/>
  <c r="J241" i="7" s="1"/>
  <c r="K241" i="7"/>
  <c r="I285" i="7"/>
  <c r="J285" i="7" s="1"/>
  <c r="K285" i="7"/>
  <c r="L301" i="7"/>
  <c r="M301" i="7" s="1"/>
  <c r="P301" i="7" s="1"/>
  <c r="L327" i="7"/>
  <c r="M327" i="7" s="1"/>
  <c r="P327" i="7" s="1"/>
  <c r="K345" i="7"/>
  <c r="I345" i="7"/>
  <c r="J345" i="7" s="1"/>
  <c r="L348" i="7"/>
  <c r="M348" i="7" s="1"/>
  <c r="P348" i="7" s="1"/>
  <c r="K412" i="7"/>
  <c r="I412" i="7"/>
  <c r="J412" i="7" s="1"/>
  <c r="I471" i="7"/>
  <c r="J471" i="7" s="1"/>
  <c r="K471" i="7"/>
  <c r="L494" i="7"/>
  <c r="M494" i="7" s="1"/>
  <c r="P494" i="7" s="1"/>
  <c r="K528" i="7"/>
  <c r="I528" i="7"/>
  <c r="J528" i="7" s="1"/>
  <c r="K545" i="7"/>
  <c r="I545" i="7"/>
  <c r="J545" i="7" s="1"/>
  <c r="K549" i="7"/>
  <c r="I549" i="7"/>
  <c r="J549" i="7" s="1"/>
  <c r="K557" i="7"/>
  <c r="I557" i="7"/>
  <c r="J557" i="7" s="1"/>
  <c r="O564" i="7"/>
  <c r="K577" i="7"/>
  <c r="I577" i="7"/>
  <c r="J577" i="7" s="1"/>
  <c r="L606" i="7"/>
  <c r="M606" i="7" s="1"/>
  <c r="P606" i="7" s="1"/>
  <c r="K646" i="7"/>
  <c r="I646" i="7"/>
  <c r="J646" i="7" s="1"/>
  <c r="K630" i="7"/>
  <c r="I630" i="7"/>
  <c r="J630" i="7" s="1"/>
  <c r="K286" i="7"/>
  <c r="I286" i="7"/>
  <c r="J286" i="7" s="1"/>
  <c r="K400" i="7"/>
  <c r="I400" i="7"/>
  <c r="J400" i="7" s="1"/>
  <c r="L482" i="7"/>
  <c r="I534" i="7"/>
  <c r="J534" i="7" s="1"/>
  <c r="K534" i="7"/>
  <c r="K574" i="7"/>
  <c r="I581" i="7"/>
  <c r="J581" i="7" s="1"/>
  <c r="I626" i="7"/>
  <c r="J626" i="7" s="1"/>
  <c r="I648" i="7"/>
  <c r="J648" i="7" s="1"/>
  <c r="K648" i="7"/>
  <c r="K666" i="7"/>
  <c r="I666" i="7"/>
  <c r="J666" i="7" s="1"/>
  <c r="I259" i="7"/>
  <c r="J259" i="7" s="1"/>
  <c r="K259" i="7"/>
  <c r="K381" i="7"/>
  <c r="I381" i="7"/>
  <c r="J381" i="7" s="1"/>
  <c r="K473" i="7"/>
  <c r="I473" i="7"/>
  <c r="J473" i="7" s="1"/>
  <c r="K479" i="7"/>
  <c r="I479" i="7"/>
  <c r="J479" i="7" s="1"/>
  <c r="I602" i="7"/>
  <c r="J602" i="7" s="1"/>
  <c r="L602" i="7" s="1"/>
  <c r="M602" i="7" s="1"/>
  <c r="P602" i="7" s="1"/>
  <c r="K602" i="7"/>
  <c r="K616" i="7"/>
  <c r="I616" i="7"/>
  <c r="J616" i="7" s="1"/>
  <c r="K643" i="7"/>
  <c r="I643" i="7"/>
  <c r="J643" i="7" s="1"/>
  <c r="L197" i="7"/>
  <c r="M197" i="7" s="1"/>
  <c r="P197" i="7" s="1"/>
  <c r="K248" i="7"/>
  <c r="I248" i="7"/>
  <c r="J248" i="7" s="1"/>
  <c r="K256" i="7"/>
  <c r="I256" i="7"/>
  <c r="J256" i="7" s="1"/>
  <c r="L256" i="7" s="1"/>
  <c r="M256" i="7" s="1"/>
  <c r="P256" i="7" s="1"/>
  <c r="K309" i="7"/>
  <c r="O322" i="7"/>
  <c r="I336" i="7"/>
  <c r="J336" i="7" s="1"/>
  <c r="I350" i="7"/>
  <c r="J350" i="7" s="1"/>
  <c r="L350" i="7" s="1"/>
  <c r="M350" i="7" s="1"/>
  <c r="P350" i="7" s="1"/>
  <c r="I417" i="7"/>
  <c r="J417" i="7" s="1"/>
  <c r="K417" i="7"/>
  <c r="K451" i="7"/>
  <c r="K501" i="7"/>
  <c r="I501" i="7"/>
  <c r="J501" i="7" s="1"/>
  <c r="K530" i="7"/>
  <c r="I535" i="7"/>
  <c r="J535" i="7" s="1"/>
  <c r="K548" i="7"/>
  <c r="L548" i="7" s="1"/>
  <c r="M548" i="7" s="1"/>
  <c r="P548" i="7" s="1"/>
  <c r="I569" i="7"/>
  <c r="J569" i="7" s="1"/>
  <c r="L569" i="7" s="1"/>
  <c r="L590" i="7"/>
  <c r="M590" i="7" s="1"/>
  <c r="P590" i="7" s="1"/>
  <c r="I598" i="7"/>
  <c r="J598" i="7" s="1"/>
  <c r="K598" i="7"/>
  <c r="I622" i="7"/>
  <c r="J622" i="7" s="1"/>
  <c r="I644" i="7"/>
  <c r="J644" i="7" s="1"/>
  <c r="K644" i="7"/>
  <c r="I662" i="7"/>
  <c r="J662" i="7" s="1"/>
  <c r="L662" i="7" s="1"/>
  <c r="M662" i="7" s="1"/>
  <c r="P662" i="7" s="1"/>
  <c r="K662" i="7"/>
  <c r="I249" i="7"/>
  <c r="J249" i="7" s="1"/>
  <c r="K249" i="7"/>
  <c r="I279" i="7"/>
  <c r="J279" i="7" s="1"/>
  <c r="L279" i="7" s="1"/>
  <c r="M279" i="7" s="1"/>
  <c r="P279" i="7" s="1"/>
  <c r="K279" i="7"/>
  <c r="L415" i="7"/>
  <c r="M415" i="7" s="1"/>
  <c r="P415" i="7" s="1"/>
  <c r="I437" i="7"/>
  <c r="J437" i="7" s="1"/>
  <c r="K437" i="7"/>
  <c r="N448" i="7"/>
  <c r="Q448" i="7" s="1"/>
  <c r="I462" i="7"/>
  <c r="J462" i="7" s="1"/>
  <c r="K462" i="7"/>
  <c r="N522" i="7"/>
  <c r="Q522" i="7" s="1"/>
  <c r="L522" i="7"/>
  <c r="M522" i="7" s="1"/>
  <c r="P522" i="7" s="1"/>
  <c r="I591" i="7"/>
  <c r="J591" i="7" s="1"/>
  <c r="K591" i="7"/>
  <c r="K613" i="7"/>
  <c r="I613" i="7"/>
  <c r="J613" i="7" s="1"/>
  <c r="K624" i="7"/>
  <c r="I624" i="7"/>
  <c r="J624" i="7" s="1"/>
  <c r="I641" i="7"/>
  <c r="J641" i="7" s="1"/>
  <c r="L641" i="7" s="1"/>
  <c r="M641" i="7" s="1"/>
  <c r="P641" i="7" s="1"/>
  <c r="K641" i="7"/>
  <c r="K663" i="7"/>
  <c r="I663" i="7"/>
  <c r="J663" i="7" s="1"/>
  <c r="H10" i="9"/>
  <c r="L454" i="7"/>
  <c r="M454" i="7" s="1"/>
  <c r="P454" i="7" s="1"/>
  <c r="I551" i="7"/>
  <c r="J551" i="7" s="1"/>
  <c r="K551" i="7"/>
  <c r="K584" i="7"/>
  <c r="I584" i="7"/>
  <c r="J584" i="7" s="1"/>
  <c r="I594" i="7"/>
  <c r="J594" i="7" s="1"/>
  <c r="L594" i="7" s="1"/>
  <c r="M594" i="7" s="1"/>
  <c r="P594" i="7" s="1"/>
  <c r="K594" i="7"/>
  <c r="K601" i="7"/>
  <c r="I601" i="7"/>
  <c r="J601" i="7" s="1"/>
  <c r="K610" i="7"/>
  <c r="I610" i="7"/>
  <c r="J610" i="7" s="1"/>
  <c r="L610" i="7" s="1"/>
  <c r="M610" i="7" s="1"/>
  <c r="P610" i="7" s="1"/>
  <c r="I637" i="7"/>
  <c r="J637" i="7" s="1"/>
  <c r="K637" i="7"/>
  <c r="K659" i="7"/>
  <c r="I659" i="7"/>
  <c r="J659" i="7" s="1"/>
  <c r="H17" i="9"/>
  <c r="I17" i="9" s="1"/>
  <c r="J17" i="9" s="1"/>
  <c r="H26" i="9"/>
  <c r="H37" i="9"/>
  <c r="H39" i="9"/>
  <c r="H41" i="9"/>
  <c r="H43" i="9"/>
  <c r="J107" i="9"/>
  <c r="K107" i="9" s="1"/>
  <c r="I401" i="7"/>
  <c r="J401" i="7" s="1"/>
  <c r="K401" i="7"/>
  <c r="L611" i="7"/>
  <c r="M611" i="7" s="1"/>
  <c r="P611" i="7" s="1"/>
  <c r="L615" i="7"/>
  <c r="I7" i="9"/>
  <c r="J7" i="9" s="1"/>
  <c r="I18" i="9"/>
  <c r="J18" i="9" s="1"/>
  <c r="H32" i="9"/>
  <c r="H23" i="9"/>
  <c r="H40" i="9"/>
  <c r="I40" i="9" s="1"/>
  <c r="J40" i="9" s="1"/>
  <c r="J91" i="9"/>
  <c r="K91" i="9" s="1"/>
  <c r="H11" i="9"/>
  <c r="I11" i="9" s="1"/>
  <c r="J11" i="9" s="1"/>
  <c r="K11" i="9" s="1"/>
  <c r="I33" i="9"/>
  <c r="J33" i="9" s="1"/>
  <c r="K33" i="9" s="1"/>
  <c r="I89" i="9"/>
  <c r="H92" i="9"/>
  <c r="H94" i="9"/>
  <c r="I94" i="9" s="1"/>
  <c r="J94" i="9" s="1"/>
  <c r="K94" i="9" s="1"/>
  <c r="I96" i="9"/>
  <c r="I115" i="9"/>
  <c r="J115" i="9" s="1"/>
  <c r="K115" i="9" s="1"/>
  <c r="I56" i="9"/>
  <c r="H66" i="9"/>
  <c r="I72" i="9"/>
  <c r="I91" i="9"/>
  <c r="L559" i="7"/>
  <c r="M559" i="7" s="1"/>
  <c r="P559" i="7" s="1"/>
  <c r="H13" i="9"/>
  <c r="H20" i="9"/>
  <c r="I24" i="9"/>
  <c r="J24" i="9" s="1"/>
  <c r="H27" i="9"/>
  <c r="I27" i="9" s="1"/>
  <c r="J27" i="9" s="1"/>
  <c r="K27" i="9" s="1"/>
  <c r="H45" i="9"/>
  <c r="I47" i="9"/>
  <c r="H50" i="9"/>
  <c r="I50" i="9" s="1"/>
  <c r="J50" i="9" s="1"/>
  <c r="K50" i="9" s="1"/>
  <c r="H54" i="9"/>
  <c r="I54" i="9" s="1"/>
  <c r="H68" i="9"/>
  <c r="H70" i="9"/>
  <c r="I81" i="9"/>
  <c r="H84" i="9"/>
  <c r="H86" i="9"/>
  <c r="I86" i="9" s="1"/>
  <c r="I88" i="9"/>
  <c r="J88" i="9" s="1"/>
  <c r="I98" i="9"/>
  <c r="H110" i="9"/>
  <c r="I110" i="9" s="1"/>
  <c r="J110" i="9" s="1"/>
  <c r="K110" i="9" s="1"/>
  <c r="I112" i="9"/>
  <c r="J112" i="9" s="1"/>
  <c r="H47" i="9"/>
  <c r="I67" i="9"/>
  <c r="J67" i="9" s="1"/>
  <c r="I83" i="9"/>
  <c r="J83" i="9" s="1"/>
  <c r="I107" i="9"/>
  <c r="I80" i="9"/>
  <c r="J80" i="9" s="1"/>
  <c r="I100" i="9"/>
  <c r="H42" i="9"/>
  <c r="H58" i="9"/>
  <c r="H74" i="9"/>
  <c r="I90" i="9"/>
  <c r="I104" i="9"/>
  <c r="H46" i="9"/>
  <c r="I46" i="9" s="1"/>
  <c r="I48" i="9"/>
  <c r="J48" i="9" s="1"/>
  <c r="H53" i="9"/>
  <c r="H55" i="9"/>
  <c r="I57" i="9"/>
  <c r="H69" i="9"/>
  <c r="H71" i="9"/>
  <c r="I73" i="9"/>
  <c r="H85" i="9"/>
  <c r="I99" i="9"/>
  <c r="J99" i="9" s="1"/>
  <c r="H100" i="9"/>
  <c r="H109" i="9"/>
  <c r="I111" i="9"/>
  <c r="H114" i="9"/>
  <c r="I114" i="9" s="1"/>
  <c r="J114" i="9" s="1"/>
  <c r="K114" i="9" s="1"/>
  <c r="I43" i="9"/>
  <c r="I59" i="9"/>
  <c r="J59" i="9" s="1"/>
  <c r="K59" i="9" s="1"/>
  <c r="J64" i="9"/>
  <c r="K64" i="9" s="1"/>
  <c r="I75" i="9"/>
  <c r="J75" i="9" s="1"/>
  <c r="K75" i="9" s="1"/>
  <c r="I92" i="9"/>
  <c r="L266" i="7"/>
  <c r="M266" i="7" s="1"/>
  <c r="P266" i="7" s="1"/>
  <c r="J36" i="6"/>
  <c r="K36" i="6" s="1"/>
  <c r="L36" i="6"/>
  <c r="J47" i="6"/>
  <c r="K47" i="6" s="1"/>
  <c r="L47" i="6" s="1"/>
  <c r="L8" i="7"/>
  <c r="M8" i="7" s="1"/>
  <c r="P8" i="7" s="1"/>
  <c r="N8" i="7"/>
  <c r="L24" i="7"/>
  <c r="M24" i="7" s="1"/>
  <c r="P24" i="7" s="1"/>
  <c r="E12" i="6"/>
  <c r="F12" i="6" s="1"/>
  <c r="J32" i="6"/>
  <c r="K32" i="6" s="1"/>
  <c r="L32" i="6" s="1"/>
  <c r="K13" i="7"/>
  <c r="I13" i="7"/>
  <c r="J13" i="7" s="1"/>
  <c r="K37" i="7"/>
  <c r="I37" i="7"/>
  <c r="J37" i="7" s="1"/>
  <c r="J15" i="6"/>
  <c r="K15" i="6" s="1"/>
  <c r="L15" i="6" s="1"/>
  <c r="J28" i="6"/>
  <c r="K28" i="6" s="1"/>
  <c r="L28" i="6"/>
  <c r="J39" i="6"/>
  <c r="K39" i="6" s="1"/>
  <c r="L39" i="6"/>
  <c r="J71" i="6"/>
  <c r="K71" i="6" s="1"/>
  <c r="L71" i="6" s="1"/>
  <c r="J101" i="6"/>
  <c r="K101" i="6" s="1"/>
  <c r="L101" i="6" s="1"/>
  <c r="L109" i="6"/>
  <c r="J109" i="6"/>
  <c r="K109" i="6" s="1"/>
  <c r="J117" i="6"/>
  <c r="K117" i="6" s="1"/>
  <c r="L117" i="6" s="1"/>
  <c r="B7" i="4"/>
  <c r="F7" i="4"/>
  <c r="N7" i="4" s="1"/>
  <c r="L48" i="7"/>
  <c r="M48" i="7" s="1"/>
  <c r="P48" i="7" s="1"/>
  <c r="L166" i="7"/>
  <c r="M166" i="7" s="1"/>
  <c r="P166" i="7" s="1"/>
  <c r="J23" i="6"/>
  <c r="K23" i="6" s="1"/>
  <c r="L23" i="6" s="1"/>
  <c r="G7" i="2"/>
  <c r="G11" i="2" s="1"/>
  <c r="G21" i="2" s="1"/>
  <c r="J63" i="6"/>
  <c r="K63" i="6" s="1"/>
  <c r="L63" i="6"/>
  <c r="L16" i="7"/>
  <c r="M16" i="7" s="1"/>
  <c r="P16" i="7" s="1"/>
  <c r="L35" i="7"/>
  <c r="M35" i="7" s="1"/>
  <c r="P35" i="7" s="1"/>
  <c r="K116" i="7"/>
  <c r="I116" i="7"/>
  <c r="J116" i="7" s="1"/>
  <c r="K21" i="7"/>
  <c r="I21" i="7"/>
  <c r="J21" i="7" s="1"/>
  <c r="L7" i="6"/>
  <c r="J7" i="6"/>
  <c r="K7" i="6" s="1"/>
  <c r="J55" i="6"/>
  <c r="K55" i="6" s="1"/>
  <c r="L55" i="6" s="1"/>
  <c r="L39" i="7"/>
  <c r="M39" i="7" s="1"/>
  <c r="P39" i="7" s="1"/>
  <c r="K140" i="7"/>
  <c r="I140" i="7"/>
  <c r="J140" i="7" s="1"/>
  <c r="E43" i="6"/>
  <c r="F43" i="6" s="1"/>
  <c r="E51" i="6"/>
  <c r="F51" i="6" s="1"/>
  <c r="E59" i="6"/>
  <c r="F59" i="6" s="1"/>
  <c r="E67" i="6"/>
  <c r="F67" i="6" s="1"/>
  <c r="E75" i="6"/>
  <c r="F75" i="6" s="1"/>
  <c r="J76" i="6"/>
  <c r="K76" i="6" s="1"/>
  <c r="L76" i="6" s="1"/>
  <c r="L78" i="6"/>
  <c r="J78" i="6"/>
  <c r="K78" i="6" s="1"/>
  <c r="L80" i="6"/>
  <c r="J80" i="6"/>
  <c r="K80" i="6" s="1"/>
  <c r="J82" i="6"/>
  <c r="K82" i="6" s="1"/>
  <c r="L82" i="6" s="1"/>
  <c r="J84" i="6"/>
  <c r="K84" i="6" s="1"/>
  <c r="L84" i="6" s="1"/>
  <c r="L86" i="6"/>
  <c r="J86" i="6"/>
  <c r="K86" i="6" s="1"/>
  <c r="J88" i="6"/>
  <c r="K88" i="6" s="1"/>
  <c r="L88" i="6" s="1"/>
  <c r="L90" i="6"/>
  <c r="J90" i="6"/>
  <c r="K90" i="6" s="1"/>
  <c r="J92" i="6"/>
  <c r="K92" i="6" s="1"/>
  <c r="L92" i="6" s="1"/>
  <c r="L94" i="6"/>
  <c r="J94" i="6"/>
  <c r="K94" i="6" s="1"/>
  <c r="J96" i="6"/>
  <c r="K96" i="6" s="1"/>
  <c r="L96" i="6" s="1"/>
  <c r="E102" i="6"/>
  <c r="F102" i="6" s="1"/>
  <c r="J104" i="6"/>
  <c r="K104" i="6" s="1"/>
  <c r="L104" i="6" s="1"/>
  <c r="E110" i="6"/>
  <c r="F110" i="6" s="1"/>
  <c r="J112" i="6"/>
  <c r="K112" i="6" s="1"/>
  <c r="L112" i="6" s="1"/>
  <c r="K41" i="7"/>
  <c r="I41" i="7"/>
  <c r="J41" i="7" s="1"/>
  <c r="L52" i="7"/>
  <c r="M52" i="7" s="1"/>
  <c r="P52" i="7" s="1"/>
  <c r="L54" i="7"/>
  <c r="L58" i="7"/>
  <c r="L65" i="7"/>
  <c r="M65" i="7" s="1"/>
  <c r="P65" i="7" s="1"/>
  <c r="L120" i="7"/>
  <c r="M120" i="7" s="1"/>
  <c r="P120" i="7" s="1"/>
  <c r="L261" i="7"/>
  <c r="M261" i="7" s="1"/>
  <c r="P261" i="7" s="1"/>
  <c r="L370" i="7"/>
  <c r="M370" i="7" s="1"/>
  <c r="P370" i="7" s="1"/>
  <c r="E40" i="6"/>
  <c r="F40" i="6" s="1"/>
  <c r="E48" i="6"/>
  <c r="F48" i="6" s="1"/>
  <c r="E56" i="6"/>
  <c r="F56" i="6" s="1"/>
  <c r="E64" i="6"/>
  <c r="F64" i="6" s="1"/>
  <c r="E72" i="6"/>
  <c r="F72" i="6" s="1"/>
  <c r="E77" i="6"/>
  <c r="F77" i="6" s="1"/>
  <c r="E79" i="6"/>
  <c r="F79" i="6" s="1"/>
  <c r="E81" i="6"/>
  <c r="F81" i="6" s="1"/>
  <c r="E83" i="6"/>
  <c r="F83" i="6" s="1"/>
  <c r="E85" i="6"/>
  <c r="F85" i="6" s="1"/>
  <c r="E87" i="6"/>
  <c r="F87" i="6" s="1"/>
  <c r="E89" i="6"/>
  <c r="F89" i="6" s="1"/>
  <c r="E91" i="6"/>
  <c r="F91" i="6" s="1"/>
  <c r="E93" i="6"/>
  <c r="F93" i="6" s="1"/>
  <c r="E95" i="6"/>
  <c r="F95" i="6" s="1"/>
  <c r="E97" i="6"/>
  <c r="F97" i="6" s="1"/>
  <c r="J99" i="6"/>
  <c r="K99" i="6" s="1"/>
  <c r="L99" i="6" s="1"/>
  <c r="E105" i="6"/>
  <c r="F105" i="6" s="1"/>
  <c r="L107" i="6"/>
  <c r="J107" i="6"/>
  <c r="K107" i="6" s="1"/>
  <c r="E113" i="6"/>
  <c r="F113" i="6" s="1"/>
  <c r="L115" i="6"/>
  <c r="J115" i="6"/>
  <c r="K115" i="6" s="1"/>
  <c r="N7" i="7"/>
  <c r="Q7" i="7" s="1"/>
  <c r="L10" i="7"/>
  <c r="M10" i="7" s="1"/>
  <c r="P10" i="7" s="1"/>
  <c r="N15" i="7"/>
  <c r="Q15" i="7" s="1"/>
  <c r="L18" i="7"/>
  <c r="M18" i="7" s="1"/>
  <c r="P18" i="7" s="1"/>
  <c r="N23" i="7"/>
  <c r="Q23" i="7" s="1"/>
  <c r="L26" i="7"/>
  <c r="N43" i="7"/>
  <c r="Q43" i="7" s="1"/>
  <c r="K45" i="7"/>
  <c r="I45" i="7"/>
  <c r="J45" i="7" s="1"/>
  <c r="L80" i="7"/>
  <c r="M80" i="7" s="1"/>
  <c r="P80" i="7" s="1"/>
  <c r="L110" i="7"/>
  <c r="M110" i="7" s="1"/>
  <c r="P110" i="7" s="1"/>
  <c r="L113" i="7"/>
  <c r="M113" i="7" s="1"/>
  <c r="P113" i="7" s="1"/>
  <c r="L124" i="7"/>
  <c r="M124" i="7" s="1"/>
  <c r="P124" i="7" s="1"/>
  <c r="N128" i="7"/>
  <c r="Q128" i="7" s="1"/>
  <c r="L128" i="7"/>
  <c r="M128" i="7" s="1"/>
  <c r="P128" i="7" s="1"/>
  <c r="K142" i="7"/>
  <c r="I142" i="7"/>
  <c r="J142" i="7" s="1"/>
  <c r="L102" i="6"/>
  <c r="J102" i="6"/>
  <c r="K102" i="6" s="1"/>
  <c r="J110" i="6"/>
  <c r="K110" i="6" s="1"/>
  <c r="L110" i="6" s="1"/>
  <c r="O18" i="7"/>
  <c r="L28" i="7"/>
  <c r="M28" i="7" s="1"/>
  <c r="P28" i="7" s="1"/>
  <c r="K49" i="7"/>
  <c r="I49" i="7"/>
  <c r="J49" i="7" s="1"/>
  <c r="L66" i="7"/>
  <c r="M66" i="7" s="1"/>
  <c r="P66" i="7" s="1"/>
  <c r="L78" i="7"/>
  <c r="M78" i="7" s="1"/>
  <c r="P78" i="7" s="1"/>
  <c r="L111" i="7"/>
  <c r="M111" i="7" s="1"/>
  <c r="P111" i="7" s="1"/>
  <c r="L143" i="7"/>
  <c r="M143" i="7" s="1"/>
  <c r="P143" i="7" s="1"/>
  <c r="K170" i="7"/>
  <c r="I170" i="7"/>
  <c r="J170" i="7" s="1"/>
  <c r="L175" i="7"/>
  <c r="M175" i="7" s="1"/>
  <c r="P175" i="7" s="1"/>
  <c r="L245" i="7"/>
  <c r="M245" i="7" s="1"/>
  <c r="P245" i="7" s="1"/>
  <c r="J12" i="6"/>
  <c r="K12" i="6" s="1"/>
  <c r="J20" i="6"/>
  <c r="K20" i="6" s="1"/>
  <c r="L20" i="6" s="1"/>
  <c r="L38" i="6"/>
  <c r="L46" i="6"/>
  <c r="L54" i="6"/>
  <c r="L62" i="6"/>
  <c r="L70" i="6"/>
  <c r="J97" i="6"/>
  <c r="K97" i="6" s="1"/>
  <c r="L97" i="6" s="1"/>
  <c r="L105" i="6"/>
  <c r="J105" i="6"/>
  <c r="K105" i="6" s="1"/>
  <c r="J113" i="6"/>
  <c r="K113" i="6" s="1"/>
  <c r="L113" i="6" s="1"/>
  <c r="K9" i="7"/>
  <c r="I9" i="7"/>
  <c r="J9" i="7" s="1"/>
  <c r="N10" i="7"/>
  <c r="Q10" i="7" s="1"/>
  <c r="K17" i="7"/>
  <c r="I17" i="7"/>
  <c r="J17" i="7" s="1"/>
  <c r="N18" i="7"/>
  <c r="Q18" i="7" s="1"/>
  <c r="K25" i="7"/>
  <c r="I25" i="7"/>
  <c r="J25" i="7" s="1"/>
  <c r="L32" i="7"/>
  <c r="M32" i="7" s="1"/>
  <c r="P32" i="7" s="1"/>
  <c r="L47" i="7"/>
  <c r="M47" i="7" s="1"/>
  <c r="P47" i="7" s="1"/>
  <c r="K53" i="7"/>
  <c r="I53" i="7"/>
  <c r="J53" i="7" s="1"/>
  <c r="L59" i="7"/>
  <c r="M59" i="7" s="1"/>
  <c r="P59" i="7" s="1"/>
  <c r="L61" i="7"/>
  <c r="M61" i="7" s="1"/>
  <c r="P61" i="7" s="1"/>
  <c r="K67" i="7"/>
  <c r="I67" i="7"/>
  <c r="J67" i="7" s="1"/>
  <c r="L76" i="7"/>
  <c r="M76" i="7" s="1"/>
  <c r="P76" i="7" s="1"/>
  <c r="K100" i="7"/>
  <c r="I100" i="7"/>
  <c r="J100" i="7" s="1"/>
  <c r="K126" i="7"/>
  <c r="I126" i="7"/>
  <c r="J126" i="7" s="1"/>
  <c r="J11" i="6"/>
  <c r="K11" i="6" s="1"/>
  <c r="L11" i="6" s="1"/>
  <c r="J19" i="6"/>
  <c r="K19" i="6" s="1"/>
  <c r="L19" i="6" s="1"/>
  <c r="L26" i="6"/>
  <c r="L30" i="6"/>
  <c r="L34" i="6"/>
  <c r="E39" i="6"/>
  <c r="F39" i="6" s="1"/>
  <c r="L43" i="6"/>
  <c r="E47" i="6"/>
  <c r="F47" i="6" s="1"/>
  <c r="L51" i="6"/>
  <c r="E55" i="6"/>
  <c r="F55" i="6" s="1"/>
  <c r="L59" i="6"/>
  <c r="E63" i="6"/>
  <c r="F63" i="6" s="1"/>
  <c r="L67" i="6"/>
  <c r="E71" i="6"/>
  <c r="F71" i="6" s="1"/>
  <c r="L75" i="6"/>
  <c r="J77" i="6"/>
  <c r="K77" i="6" s="1"/>
  <c r="L77" i="6" s="1"/>
  <c r="J79" i="6"/>
  <c r="K79" i="6" s="1"/>
  <c r="L79" i="6" s="1"/>
  <c r="J81" i="6"/>
  <c r="K81" i="6" s="1"/>
  <c r="L81" i="6" s="1"/>
  <c r="L83" i="6"/>
  <c r="J83" i="6"/>
  <c r="K83" i="6" s="1"/>
  <c r="J85" i="6"/>
  <c r="K85" i="6" s="1"/>
  <c r="L85" i="6" s="1"/>
  <c r="L87" i="6"/>
  <c r="J87" i="6"/>
  <c r="K87" i="6" s="1"/>
  <c r="J89" i="6"/>
  <c r="K89" i="6" s="1"/>
  <c r="L89" i="6" s="1"/>
  <c r="J91" i="6"/>
  <c r="K91" i="6" s="1"/>
  <c r="L91" i="6" s="1"/>
  <c r="L93" i="6"/>
  <c r="J93" i="6"/>
  <c r="K93" i="6" s="1"/>
  <c r="L95" i="6"/>
  <c r="J95" i="6"/>
  <c r="K95" i="6" s="1"/>
  <c r="E98" i="6"/>
  <c r="F98" i="6" s="1"/>
  <c r="L100" i="6"/>
  <c r="J100" i="6"/>
  <c r="K100" i="6" s="1"/>
  <c r="E106" i="6"/>
  <c r="F106" i="6" s="1"/>
  <c r="L108" i="6"/>
  <c r="J108" i="6"/>
  <c r="K108" i="6" s="1"/>
  <c r="E114" i="6"/>
  <c r="F114" i="6" s="1"/>
  <c r="L116" i="6"/>
  <c r="J116" i="6"/>
  <c r="K116" i="6" s="1"/>
  <c r="N30" i="7"/>
  <c r="Q30" i="7" s="1"/>
  <c r="L36" i="7"/>
  <c r="M36" i="7" s="1"/>
  <c r="P36" i="7" s="1"/>
  <c r="L38" i="7"/>
  <c r="L51" i="7"/>
  <c r="M51" i="7" s="1"/>
  <c r="P51" i="7" s="1"/>
  <c r="N55" i="7"/>
  <c r="Q55" i="7" s="1"/>
  <c r="L64" i="7"/>
  <c r="L74" i="7"/>
  <c r="M74" i="7" s="1"/>
  <c r="P74" i="7" s="1"/>
  <c r="N104" i="7"/>
  <c r="Q104" i="7" s="1"/>
  <c r="L104" i="7"/>
  <c r="M104" i="7" s="1"/>
  <c r="P104" i="7" s="1"/>
  <c r="L229" i="7"/>
  <c r="M229" i="7" s="1"/>
  <c r="P229" i="7" s="1"/>
  <c r="E44" i="6"/>
  <c r="F44" i="6" s="1"/>
  <c r="E52" i="6"/>
  <c r="F52" i="6" s="1"/>
  <c r="E60" i="6"/>
  <c r="F60" i="6" s="1"/>
  <c r="E68" i="6"/>
  <c r="F68" i="6" s="1"/>
  <c r="E76" i="6"/>
  <c r="F76" i="6" s="1"/>
  <c r="E78" i="6"/>
  <c r="F78" i="6" s="1"/>
  <c r="E80" i="6"/>
  <c r="F80" i="6" s="1"/>
  <c r="E82" i="6"/>
  <c r="F82" i="6" s="1"/>
  <c r="E84" i="6"/>
  <c r="F84" i="6" s="1"/>
  <c r="E86" i="6"/>
  <c r="F86" i="6" s="1"/>
  <c r="E88" i="6"/>
  <c r="F88" i="6" s="1"/>
  <c r="E90" i="6"/>
  <c r="F90" i="6" s="1"/>
  <c r="E92" i="6"/>
  <c r="F92" i="6" s="1"/>
  <c r="E94" i="6"/>
  <c r="F94" i="6" s="1"/>
  <c r="E96" i="6"/>
  <c r="F96" i="6" s="1"/>
  <c r="E101" i="6"/>
  <c r="F101" i="6" s="1"/>
  <c r="L103" i="6"/>
  <c r="J103" i="6"/>
  <c r="K103" i="6" s="1"/>
  <c r="E109" i="6"/>
  <c r="F109" i="6" s="1"/>
  <c r="L111" i="6"/>
  <c r="J111" i="6"/>
  <c r="K111" i="6" s="1"/>
  <c r="E117" i="6"/>
  <c r="F117" i="6" s="1"/>
  <c r="N11" i="7"/>
  <c r="Q11" i="7" s="1"/>
  <c r="L14" i="7"/>
  <c r="N19" i="7"/>
  <c r="Q19" i="7" s="1"/>
  <c r="L22" i="7"/>
  <c r="N27" i="7"/>
  <c r="Q27" i="7" s="1"/>
  <c r="K29" i="7"/>
  <c r="I29" i="7"/>
  <c r="J29" i="7" s="1"/>
  <c r="L40" i="7"/>
  <c r="M40" i="7" s="1"/>
  <c r="P40" i="7" s="1"/>
  <c r="L42" i="7"/>
  <c r="L72" i="7"/>
  <c r="M72" i="7" s="1"/>
  <c r="P72" i="7" s="1"/>
  <c r="N222" i="7"/>
  <c r="Q222" i="7" s="1"/>
  <c r="L222" i="7"/>
  <c r="M222" i="7" s="1"/>
  <c r="P222" i="7" s="1"/>
  <c r="E41" i="6"/>
  <c r="F41" i="6" s="1"/>
  <c r="E49" i="6"/>
  <c r="F49" i="6" s="1"/>
  <c r="E57" i="6"/>
  <c r="F57" i="6" s="1"/>
  <c r="E65" i="6"/>
  <c r="F65" i="6" s="1"/>
  <c r="E73" i="6"/>
  <c r="F73" i="6" s="1"/>
  <c r="J98" i="6"/>
  <c r="K98" i="6" s="1"/>
  <c r="L98" i="6" s="1"/>
  <c r="E104" i="6"/>
  <c r="F104" i="6" s="1"/>
  <c r="J106" i="6"/>
  <c r="K106" i="6" s="1"/>
  <c r="L106" i="6" s="1"/>
  <c r="E112" i="6"/>
  <c r="F112" i="6" s="1"/>
  <c r="L114" i="6"/>
  <c r="J114" i="6"/>
  <c r="K114" i="6" s="1"/>
  <c r="N31" i="7"/>
  <c r="Q31" i="7" s="1"/>
  <c r="K33" i="7"/>
  <c r="I33" i="7"/>
  <c r="J33" i="7" s="1"/>
  <c r="L44" i="7"/>
  <c r="M44" i="7" s="1"/>
  <c r="P44" i="7" s="1"/>
  <c r="L46" i="7"/>
  <c r="L70" i="7"/>
  <c r="M70" i="7" s="1"/>
  <c r="P70" i="7" s="1"/>
  <c r="I85" i="7"/>
  <c r="J85" i="7" s="1"/>
  <c r="K85" i="7"/>
  <c r="N97" i="7"/>
  <c r="L97" i="7"/>
  <c r="M97" i="7" s="1"/>
  <c r="P97" i="7" s="1"/>
  <c r="L105" i="7"/>
  <c r="M105" i="7" s="1"/>
  <c r="P105" i="7" s="1"/>
  <c r="L217" i="7"/>
  <c r="M217" i="7" s="1"/>
  <c r="P217" i="7" s="1"/>
  <c r="N86" i="7"/>
  <c r="Q86" i="7" s="1"/>
  <c r="N129" i="7"/>
  <c r="Q129" i="7" s="1"/>
  <c r="K132" i="7"/>
  <c r="I132" i="7"/>
  <c r="J132" i="7" s="1"/>
  <c r="L147" i="7"/>
  <c r="M147" i="7" s="1"/>
  <c r="P147" i="7" s="1"/>
  <c r="I155" i="7"/>
  <c r="J155" i="7" s="1"/>
  <c r="K155" i="7"/>
  <c r="K164" i="7"/>
  <c r="I164" i="7"/>
  <c r="J164" i="7" s="1"/>
  <c r="L300" i="7"/>
  <c r="M300" i="7" s="1"/>
  <c r="P300" i="7" s="1"/>
  <c r="L368" i="7"/>
  <c r="M368" i="7" s="1"/>
  <c r="P368" i="7" s="1"/>
  <c r="L103" i="7"/>
  <c r="M103" i="7" s="1"/>
  <c r="P103" i="7" s="1"/>
  <c r="L121" i="7"/>
  <c r="M121" i="7" s="1"/>
  <c r="P121" i="7" s="1"/>
  <c r="N144" i="7"/>
  <c r="Q144" i="7" s="1"/>
  <c r="N160" i="7"/>
  <c r="Q160" i="7" s="1"/>
  <c r="K180" i="7"/>
  <c r="I180" i="7"/>
  <c r="J180" i="7" s="1"/>
  <c r="L210" i="7"/>
  <c r="M210" i="7" s="1"/>
  <c r="P210" i="7" s="1"/>
  <c r="L236" i="7"/>
  <c r="M236" i="7" s="1"/>
  <c r="P236" i="7" s="1"/>
  <c r="L252" i="7"/>
  <c r="M252" i="7" s="1"/>
  <c r="P252" i="7" s="1"/>
  <c r="L463" i="7"/>
  <c r="M463" i="7" s="1"/>
  <c r="P463" i="7" s="1"/>
  <c r="I109" i="7"/>
  <c r="J109" i="7" s="1"/>
  <c r="K109" i="7"/>
  <c r="N137" i="7"/>
  <c r="Q137" i="7" s="1"/>
  <c r="L137" i="7"/>
  <c r="M137" i="7" s="1"/>
  <c r="P137" i="7" s="1"/>
  <c r="K148" i="7"/>
  <c r="I148" i="7"/>
  <c r="J148" i="7" s="1"/>
  <c r="K158" i="7"/>
  <c r="I158" i="7"/>
  <c r="J158" i="7" s="1"/>
  <c r="I171" i="7"/>
  <c r="J171" i="7" s="1"/>
  <c r="K171" i="7"/>
  <c r="K186" i="7"/>
  <c r="I186" i="7"/>
  <c r="J186" i="7" s="1"/>
  <c r="L226" i="7"/>
  <c r="M226" i="7" s="1"/>
  <c r="P226" i="7" s="1"/>
  <c r="N242" i="7"/>
  <c r="Q242" i="7" s="1"/>
  <c r="L242" i="7"/>
  <c r="M242" i="7" s="1"/>
  <c r="P242" i="7" s="1"/>
  <c r="L258" i="7"/>
  <c r="M258" i="7" s="1"/>
  <c r="P258" i="7" s="1"/>
  <c r="I57" i="7"/>
  <c r="J57" i="7" s="1"/>
  <c r="I62" i="7"/>
  <c r="J62" i="7" s="1"/>
  <c r="L81" i="7"/>
  <c r="M81" i="7" s="1"/>
  <c r="P81" i="7" s="1"/>
  <c r="L84" i="7"/>
  <c r="M84" i="7" s="1"/>
  <c r="P84" i="7" s="1"/>
  <c r="L88" i="7"/>
  <c r="M88" i="7" s="1"/>
  <c r="P88" i="7" s="1"/>
  <c r="K95" i="7"/>
  <c r="K99" i="7"/>
  <c r="I102" i="7"/>
  <c r="J102" i="7" s="1"/>
  <c r="K106" i="7"/>
  <c r="I106" i="7"/>
  <c r="J106" i="7" s="1"/>
  <c r="L107" i="7"/>
  <c r="M107" i="7" s="1"/>
  <c r="P107" i="7" s="1"/>
  <c r="N118" i="7"/>
  <c r="Q118" i="7" s="1"/>
  <c r="K123" i="7"/>
  <c r="L123" i="7" s="1"/>
  <c r="M123" i="7" s="1"/>
  <c r="P123" i="7" s="1"/>
  <c r="I125" i="7"/>
  <c r="J125" i="7" s="1"/>
  <c r="K125" i="7"/>
  <c r="I165" i="7"/>
  <c r="J165" i="7" s="1"/>
  <c r="K165" i="7"/>
  <c r="L167" i="7"/>
  <c r="M167" i="7" s="1"/>
  <c r="P167" i="7" s="1"/>
  <c r="I181" i="7"/>
  <c r="J181" i="7" s="1"/>
  <c r="K181" i="7"/>
  <c r="I187" i="7"/>
  <c r="J187" i="7" s="1"/>
  <c r="K187" i="7"/>
  <c r="K194" i="7"/>
  <c r="I194" i="7"/>
  <c r="J194" i="7" s="1"/>
  <c r="N197" i="7"/>
  <c r="Q197" i="7" s="1"/>
  <c r="N200" i="7"/>
  <c r="Q200" i="7" s="1"/>
  <c r="L200" i="7"/>
  <c r="M200" i="7" s="1"/>
  <c r="P200" i="7" s="1"/>
  <c r="L326" i="7"/>
  <c r="M326" i="7" s="1"/>
  <c r="P326" i="7" s="1"/>
  <c r="N326" i="7"/>
  <c r="Q326" i="7" s="1"/>
  <c r="L56" i="7"/>
  <c r="M56" i="7" s="1"/>
  <c r="P56" i="7" s="1"/>
  <c r="L60" i="7"/>
  <c r="M60" i="7" s="1"/>
  <c r="P60" i="7" s="1"/>
  <c r="L68" i="7"/>
  <c r="M68" i="7" s="1"/>
  <c r="P68" i="7" s="1"/>
  <c r="L69" i="7"/>
  <c r="M69" i="7" s="1"/>
  <c r="P69" i="7" s="1"/>
  <c r="L71" i="7"/>
  <c r="M71" i="7" s="1"/>
  <c r="P71" i="7" s="1"/>
  <c r="L73" i="7"/>
  <c r="M73" i="7" s="1"/>
  <c r="P73" i="7" s="1"/>
  <c r="L75" i="7"/>
  <c r="M75" i="7" s="1"/>
  <c r="P75" i="7" s="1"/>
  <c r="L77" i="7"/>
  <c r="M77" i="7" s="1"/>
  <c r="P77" i="7" s="1"/>
  <c r="L79" i="7"/>
  <c r="M79" i="7" s="1"/>
  <c r="P79" i="7" s="1"/>
  <c r="K87" i="7"/>
  <c r="L87" i="7" s="1"/>
  <c r="K91" i="7"/>
  <c r="I94" i="7"/>
  <c r="J94" i="7" s="1"/>
  <c r="K98" i="7"/>
  <c r="I98" i="7"/>
  <c r="J98" i="7" s="1"/>
  <c r="L99" i="7"/>
  <c r="M99" i="7" s="1"/>
  <c r="P99" i="7" s="1"/>
  <c r="L115" i="7"/>
  <c r="M115" i="7" s="1"/>
  <c r="P115" i="7" s="1"/>
  <c r="I117" i="7"/>
  <c r="J117" i="7" s="1"/>
  <c r="K117" i="7"/>
  <c r="N134" i="7"/>
  <c r="Q134" i="7" s="1"/>
  <c r="K139" i="7"/>
  <c r="I141" i="7"/>
  <c r="J141" i="7" s="1"/>
  <c r="K141" i="7"/>
  <c r="L176" i="7"/>
  <c r="M176" i="7" s="1"/>
  <c r="P176" i="7" s="1"/>
  <c r="O191" i="7"/>
  <c r="N201" i="7"/>
  <c r="Q201" i="7" s="1"/>
  <c r="L201" i="7"/>
  <c r="M201" i="7" s="1"/>
  <c r="P201" i="7" s="1"/>
  <c r="L212" i="7"/>
  <c r="K357" i="7"/>
  <c r="I357" i="7"/>
  <c r="J357" i="7" s="1"/>
  <c r="K90" i="7"/>
  <c r="I90" i="7"/>
  <c r="J90" i="7" s="1"/>
  <c r="I101" i="7"/>
  <c r="J101" i="7" s="1"/>
  <c r="K101" i="7"/>
  <c r="I119" i="7"/>
  <c r="J119" i="7" s="1"/>
  <c r="K119" i="7"/>
  <c r="K122" i="7"/>
  <c r="I122" i="7"/>
  <c r="J122" i="7" s="1"/>
  <c r="L127" i="7"/>
  <c r="I133" i="7"/>
  <c r="J133" i="7" s="1"/>
  <c r="K133" i="7"/>
  <c r="N145" i="7"/>
  <c r="Q145" i="7" s="1"/>
  <c r="K154" i="7"/>
  <c r="I154" i="7"/>
  <c r="J154" i="7" s="1"/>
  <c r="L159" i="7"/>
  <c r="M159" i="7" s="1"/>
  <c r="P159" i="7" s="1"/>
  <c r="L163" i="7"/>
  <c r="L184" i="7"/>
  <c r="M184" i="7" s="1"/>
  <c r="P184" i="7" s="1"/>
  <c r="N188" i="7"/>
  <c r="Q188" i="7" s="1"/>
  <c r="L188" i="7"/>
  <c r="M188" i="7" s="1"/>
  <c r="P188" i="7" s="1"/>
  <c r="N198" i="7"/>
  <c r="Q198" i="7" s="1"/>
  <c r="L198" i="7"/>
  <c r="M198" i="7" s="1"/>
  <c r="P198" i="7" s="1"/>
  <c r="L205" i="7"/>
  <c r="M205" i="7" s="1"/>
  <c r="P205" i="7" s="1"/>
  <c r="N216" i="7"/>
  <c r="Q216" i="7" s="1"/>
  <c r="N313" i="7"/>
  <c r="Q313" i="7" s="1"/>
  <c r="L313" i="7"/>
  <c r="M313" i="7" s="1"/>
  <c r="P313" i="7" s="1"/>
  <c r="K82" i="7"/>
  <c r="I82" i="7"/>
  <c r="J82" i="7" s="1"/>
  <c r="I93" i="7"/>
  <c r="J93" i="7" s="1"/>
  <c r="K93" i="7"/>
  <c r="N105" i="7"/>
  <c r="Q105" i="7" s="1"/>
  <c r="I135" i="7"/>
  <c r="J135" i="7" s="1"/>
  <c r="K135" i="7"/>
  <c r="K138" i="7"/>
  <c r="I138" i="7"/>
  <c r="J138" i="7" s="1"/>
  <c r="I149" i="7"/>
  <c r="J149" i="7" s="1"/>
  <c r="K149" i="7"/>
  <c r="L172" i="7"/>
  <c r="M172" i="7" s="1"/>
  <c r="P172" i="7" s="1"/>
  <c r="L182" i="7"/>
  <c r="M182" i="7" s="1"/>
  <c r="P182" i="7" s="1"/>
  <c r="L209" i="7"/>
  <c r="M209" i="7" s="1"/>
  <c r="P209" i="7" s="1"/>
  <c r="L213" i="7"/>
  <c r="M213" i="7" s="1"/>
  <c r="P213" i="7" s="1"/>
  <c r="N234" i="7"/>
  <c r="Q234" i="7" s="1"/>
  <c r="L234" i="7"/>
  <c r="M234" i="7" s="1"/>
  <c r="P234" i="7" s="1"/>
  <c r="L250" i="7"/>
  <c r="M250" i="7" s="1"/>
  <c r="P250" i="7" s="1"/>
  <c r="O104" i="7"/>
  <c r="O152" i="7"/>
  <c r="K157" i="7"/>
  <c r="K173" i="7"/>
  <c r="L173" i="7" s="1"/>
  <c r="K189" i="7"/>
  <c r="L189" i="7" s="1"/>
  <c r="M189" i="7" s="1"/>
  <c r="P189" i="7" s="1"/>
  <c r="K195" i="7"/>
  <c r="N196" i="7"/>
  <c r="Q196" i="7" s="1"/>
  <c r="O204" i="7"/>
  <c r="L215" i="7"/>
  <c r="L231" i="7"/>
  <c r="M231" i="7" s="1"/>
  <c r="P231" i="7" s="1"/>
  <c r="O240" i="7"/>
  <c r="L247" i="7"/>
  <c r="M247" i="7" s="1"/>
  <c r="P247" i="7" s="1"/>
  <c r="O256" i="7"/>
  <c r="L263" i="7"/>
  <c r="M263" i="7" s="1"/>
  <c r="P263" i="7" s="1"/>
  <c r="K271" i="7"/>
  <c r="I271" i="7"/>
  <c r="J271" i="7" s="1"/>
  <c r="L412" i="7"/>
  <c r="M412" i="7" s="1"/>
  <c r="P412" i="7" s="1"/>
  <c r="L199" i="7"/>
  <c r="M199" i="7" s="1"/>
  <c r="P199" i="7" s="1"/>
  <c r="L238" i="7"/>
  <c r="M238" i="7" s="1"/>
  <c r="P238" i="7" s="1"/>
  <c r="L254" i="7"/>
  <c r="M254" i="7" s="1"/>
  <c r="P254" i="7" s="1"/>
  <c r="L267" i="7"/>
  <c r="M267" i="7" s="1"/>
  <c r="P267" i="7" s="1"/>
  <c r="L298" i="7"/>
  <c r="M298" i="7" s="1"/>
  <c r="P298" i="7" s="1"/>
  <c r="I319" i="7"/>
  <c r="J319" i="7" s="1"/>
  <c r="K319" i="7"/>
  <c r="L332" i="7"/>
  <c r="M332" i="7" s="1"/>
  <c r="P332" i="7" s="1"/>
  <c r="L345" i="7"/>
  <c r="M345" i="7" s="1"/>
  <c r="P345" i="7" s="1"/>
  <c r="L358" i="7"/>
  <c r="M358" i="7" s="1"/>
  <c r="P358" i="7" s="1"/>
  <c r="L218" i="7"/>
  <c r="M218" i="7" s="1"/>
  <c r="P218" i="7" s="1"/>
  <c r="N221" i="7"/>
  <c r="N274" i="7"/>
  <c r="Q274" i="7" s="1"/>
  <c r="L274" i="7"/>
  <c r="M274" i="7" s="1"/>
  <c r="P274" i="7" s="1"/>
  <c r="L309" i="7"/>
  <c r="M309" i="7" s="1"/>
  <c r="P309" i="7" s="1"/>
  <c r="L314" i="7"/>
  <c r="M314" i="7" s="1"/>
  <c r="P314" i="7" s="1"/>
  <c r="L377" i="7"/>
  <c r="M377" i="7" s="1"/>
  <c r="P377" i="7" s="1"/>
  <c r="K151" i="7"/>
  <c r="L151" i="7" s="1"/>
  <c r="L153" i="7"/>
  <c r="M153" i="7" s="1"/>
  <c r="P153" i="7" s="1"/>
  <c r="K167" i="7"/>
  <c r="L169" i="7"/>
  <c r="M169" i="7" s="1"/>
  <c r="P169" i="7" s="1"/>
  <c r="K183" i="7"/>
  <c r="L185" i="7"/>
  <c r="M185" i="7" s="1"/>
  <c r="P185" i="7" s="1"/>
  <c r="I192" i="7"/>
  <c r="J192" i="7" s="1"/>
  <c r="N199" i="7"/>
  <c r="Q199" i="7" s="1"/>
  <c r="L208" i="7"/>
  <c r="M208" i="7" s="1"/>
  <c r="P208" i="7" s="1"/>
  <c r="K211" i="7"/>
  <c r="L211" i="7" s="1"/>
  <c r="I214" i="7"/>
  <c r="J214" i="7" s="1"/>
  <c r="O220" i="7"/>
  <c r="N224" i="7"/>
  <c r="Q224" i="7" s="1"/>
  <c r="L228" i="7"/>
  <c r="L233" i="7"/>
  <c r="M233" i="7" s="1"/>
  <c r="P233" i="7" s="1"/>
  <c r="K235" i="7"/>
  <c r="L235" i="7" s="1"/>
  <c r="N237" i="7"/>
  <c r="N240" i="7"/>
  <c r="Q240" i="7" s="1"/>
  <c r="L244" i="7"/>
  <c r="L249" i="7"/>
  <c r="M249" i="7" s="1"/>
  <c r="P249" i="7" s="1"/>
  <c r="K251" i="7"/>
  <c r="L251" i="7" s="1"/>
  <c r="N256" i="7"/>
  <c r="Q256" i="7" s="1"/>
  <c r="L260" i="7"/>
  <c r="L265" i="7"/>
  <c r="M265" i="7" s="1"/>
  <c r="P265" i="7" s="1"/>
  <c r="L272" i="7"/>
  <c r="M272" i="7" s="1"/>
  <c r="P272" i="7" s="1"/>
  <c r="K275" i="7"/>
  <c r="I275" i="7"/>
  <c r="J275" i="7" s="1"/>
  <c r="N287" i="7"/>
  <c r="Q287" i="7" s="1"/>
  <c r="L287" i="7"/>
  <c r="M287" i="7" s="1"/>
  <c r="P287" i="7" s="1"/>
  <c r="K293" i="7"/>
  <c r="I293" i="7"/>
  <c r="J293" i="7" s="1"/>
  <c r="L304" i="7"/>
  <c r="M304" i="7" s="1"/>
  <c r="P304" i="7" s="1"/>
  <c r="L330" i="7"/>
  <c r="M330" i="7" s="1"/>
  <c r="P330" i="7" s="1"/>
  <c r="I351" i="7"/>
  <c r="J351" i="7" s="1"/>
  <c r="K351" i="7"/>
  <c r="L364" i="7"/>
  <c r="M364" i="7" s="1"/>
  <c r="P364" i="7" s="1"/>
  <c r="O96" i="7"/>
  <c r="I114" i="7"/>
  <c r="J114" i="7" s="1"/>
  <c r="O128" i="7"/>
  <c r="I130" i="7"/>
  <c r="J130" i="7" s="1"/>
  <c r="O144" i="7"/>
  <c r="I146" i="7"/>
  <c r="J146" i="7" s="1"/>
  <c r="O160" i="7"/>
  <c r="I162" i="7"/>
  <c r="J162" i="7" s="1"/>
  <c r="I178" i="7"/>
  <c r="J178" i="7" s="1"/>
  <c r="L193" i="7"/>
  <c r="M193" i="7" s="1"/>
  <c r="P193" i="7" s="1"/>
  <c r="I202" i="7"/>
  <c r="J202" i="7" s="1"/>
  <c r="K203" i="7"/>
  <c r="L203" i="7" s="1"/>
  <c r="M203" i="7" s="1"/>
  <c r="P203" i="7" s="1"/>
  <c r="L207" i="7"/>
  <c r="L221" i="7"/>
  <c r="M221" i="7" s="1"/>
  <c r="P221" i="7" s="1"/>
  <c r="L223" i="7"/>
  <c r="M223" i="7" s="1"/>
  <c r="P223" i="7" s="1"/>
  <c r="L239" i="7"/>
  <c r="M239" i="7" s="1"/>
  <c r="P239" i="7" s="1"/>
  <c r="N255" i="7"/>
  <c r="L255" i="7"/>
  <c r="M255" i="7" s="1"/>
  <c r="P255" i="7" s="1"/>
  <c r="N272" i="7"/>
  <c r="Q272" i="7" s="1"/>
  <c r="N290" i="7"/>
  <c r="Q290" i="7" s="1"/>
  <c r="L307" i="7"/>
  <c r="M307" i="7" s="1"/>
  <c r="P307" i="7" s="1"/>
  <c r="L320" i="7"/>
  <c r="M320" i="7" s="1"/>
  <c r="P320" i="7" s="1"/>
  <c r="L333" i="7"/>
  <c r="M333" i="7" s="1"/>
  <c r="P333" i="7" s="1"/>
  <c r="L341" i="7"/>
  <c r="M341" i="7" s="1"/>
  <c r="P341" i="7" s="1"/>
  <c r="L346" i="7"/>
  <c r="M346" i="7" s="1"/>
  <c r="P346" i="7" s="1"/>
  <c r="N348" i="7"/>
  <c r="Q348" i="7" s="1"/>
  <c r="K389" i="7"/>
  <c r="I389" i="7"/>
  <c r="J389" i="7" s="1"/>
  <c r="N225" i="7"/>
  <c r="Q225" i="7" s="1"/>
  <c r="N230" i="7"/>
  <c r="Q230" i="7" s="1"/>
  <c r="L230" i="7"/>
  <c r="M230" i="7" s="1"/>
  <c r="P230" i="7" s="1"/>
  <c r="N246" i="7"/>
  <c r="Q246" i="7" s="1"/>
  <c r="L246" i="7"/>
  <c r="M246" i="7" s="1"/>
  <c r="P246" i="7" s="1"/>
  <c r="N257" i="7"/>
  <c r="Q257" i="7" s="1"/>
  <c r="L262" i="7"/>
  <c r="M262" i="7" s="1"/>
  <c r="P262" i="7" s="1"/>
  <c r="N273" i="7"/>
  <c r="N279" i="7"/>
  <c r="N281" i="7"/>
  <c r="Q281" i="7" s="1"/>
  <c r="L294" i="7"/>
  <c r="M294" i="7" s="1"/>
  <c r="P294" i="7" s="1"/>
  <c r="K325" i="7"/>
  <c r="I325" i="7"/>
  <c r="J325" i="7" s="1"/>
  <c r="L336" i="7"/>
  <c r="M336" i="7" s="1"/>
  <c r="P336" i="7" s="1"/>
  <c r="N336" i="7"/>
  <c r="Q336" i="7" s="1"/>
  <c r="L362" i="7"/>
  <c r="M362" i="7" s="1"/>
  <c r="P362" i="7" s="1"/>
  <c r="N396" i="7"/>
  <c r="L396" i="7"/>
  <c r="M396" i="7" s="1"/>
  <c r="P396" i="7" s="1"/>
  <c r="L442" i="7"/>
  <c r="M442" i="7" s="1"/>
  <c r="P442" i="7" s="1"/>
  <c r="I174" i="7"/>
  <c r="J174" i="7" s="1"/>
  <c r="I190" i="7"/>
  <c r="J190" i="7" s="1"/>
  <c r="I206" i="7"/>
  <c r="J206" i="7" s="1"/>
  <c r="L219" i="7"/>
  <c r="M219" i="7" s="1"/>
  <c r="P219" i="7" s="1"/>
  <c r="L227" i="7"/>
  <c r="M227" i="7" s="1"/>
  <c r="P227" i="7" s="1"/>
  <c r="N243" i="7"/>
  <c r="Q243" i="7" s="1"/>
  <c r="L243" i="7"/>
  <c r="M243" i="7" s="1"/>
  <c r="P243" i="7" s="1"/>
  <c r="L259" i="7"/>
  <c r="M259" i="7" s="1"/>
  <c r="P259" i="7" s="1"/>
  <c r="L270" i="7"/>
  <c r="M270" i="7" s="1"/>
  <c r="P270" i="7" s="1"/>
  <c r="L310" i="7"/>
  <c r="M310" i="7" s="1"/>
  <c r="P310" i="7" s="1"/>
  <c r="N310" i="7"/>
  <c r="L339" i="7"/>
  <c r="M339" i="7" s="1"/>
  <c r="P339" i="7" s="1"/>
  <c r="L352" i="7"/>
  <c r="M352" i="7" s="1"/>
  <c r="P352" i="7" s="1"/>
  <c r="N352" i="7"/>
  <c r="Q352" i="7" s="1"/>
  <c r="L365" i="7"/>
  <c r="M365" i="7" s="1"/>
  <c r="P365" i="7" s="1"/>
  <c r="I411" i="7"/>
  <c r="J411" i="7" s="1"/>
  <c r="K411" i="7"/>
  <c r="N302" i="7"/>
  <c r="N331" i="7"/>
  <c r="Q331" i="7" s="1"/>
  <c r="N334" i="7"/>
  <c r="O352" i="7"/>
  <c r="N363" i="7"/>
  <c r="Q363" i="7" s="1"/>
  <c r="O369" i="7"/>
  <c r="L372" i="7"/>
  <c r="K379" i="7"/>
  <c r="I379" i="7"/>
  <c r="J379" i="7" s="1"/>
  <c r="L382" i="7"/>
  <c r="I393" i="7"/>
  <c r="J393" i="7" s="1"/>
  <c r="K393" i="7"/>
  <c r="N398" i="7"/>
  <c r="Q398" i="7" s="1"/>
  <c r="N430" i="7"/>
  <c r="Q430" i="7" s="1"/>
  <c r="K457" i="7"/>
  <c r="I457" i="7"/>
  <c r="J457" i="7" s="1"/>
  <c r="K464" i="7"/>
  <c r="I464" i="7"/>
  <c r="J464" i="7" s="1"/>
  <c r="L467" i="7"/>
  <c r="M467" i="7" s="1"/>
  <c r="P467" i="7" s="1"/>
  <c r="L484" i="7"/>
  <c r="M484" i="7" s="1"/>
  <c r="P484" i="7" s="1"/>
  <c r="L306" i="7"/>
  <c r="M306" i="7" s="1"/>
  <c r="P306" i="7" s="1"/>
  <c r="L312" i="7"/>
  <c r="M312" i="7" s="1"/>
  <c r="P312" i="7" s="1"/>
  <c r="L338" i="7"/>
  <c r="M338" i="7" s="1"/>
  <c r="P338" i="7" s="1"/>
  <c r="L344" i="7"/>
  <c r="M344" i="7" s="1"/>
  <c r="P344" i="7" s="1"/>
  <c r="N369" i="7"/>
  <c r="Q369" i="7" s="1"/>
  <c r="L384" i="7"/>
  <c r="M384" i="7" s="1"/>
  <c r="P384" i="7" s="1"/>
  <c r="L391" i="7"/>
  <c r="M391" i="7" s="1"/>
  <c r="P391" i="7" s="1"/>
  <c r="N414" i="7"/>
  <c r="Q414" i="7" s="1"/>
  <c r="L461" i="7"/>
  <c r="M461" i="7" s="1"/>
  <c r="P461" i="7" s="1"/>
  <c r="N317" i="7"/>
  <c r="Q317" i="7" s="1"/>
  <c r="K371" i="7"/>
  <c r="I371" i="7"/>
  <c r="J371" i="7" s="1"/>
  <c r="K408" i="7"/>
  <c r="I408" i="7"/>
  <c r="J408" i="7" s="1"/>
  <c r="K424" i="7"/>
  <c r="I424" i="7"/>
  <c r="J424" i="7" s="1"/>
  <c r="L428" i="7"/>
  <c r="M428" i="7" s="1"/>
  <c r="P428" i="7" s="1"/>
  <c r="K438" i="7"/>
  <c r="I438" i="7"/>
  <c r="J438" i="7" s="1"/>
  <c r="N484" i="7"/>
  <c r="Q484" i="7" s="1"/>
  <c r="O492" i="7"/>
  <c r="L511" i="7"/>
  <c r="M511" i="7" s="1"/>
  <c r="P511" i="7" s="1"/>
  <c r="I277" i="7"/>
  <c r="J277" i="7" s="1"/>
  <c r="I288" i="7"/>
  <c r="J288" i="7" s="1"/>
  <c r="I289" i="7"/>
  <c r="J289" i="7" s="1"/>
  <c r="K291" i="7"/>
  <c r="I297" i="7"/>
  <c r="J297" i="7" s="1"/>
  <c r="L305" i="7"/>
  <c r="M305" i="7" s="1"/>
  <c r="P305" i="7" s="1"/>
  <c r="N306" i="7"/>
  <c r="Q306" i="7" s="1"/>
  <c r="L311" i="7"/>
  <c r="M311" i="7" s="1"/>
  <c r="P311" i="7" s="1"/>
  <c r="K323" i="7"/>
  <c r="I329" i="7"/>
  <c r="J329" i="7" s="1"/>
  <c r="L337" i="7"/>
  <c r="M337" i="7" s="1"/>
  <c r="P337" i="7" s="1"/>
  <c r="L343" i="7"/>
  <c r="M343" i="7" s="1"/>
  <c r="P343" i="7" s="1"/>
  <c r="K355" i="7"/>
  <c r="L355" i="7" s="1"/>
  <c r="I361" i="7"/>
  <c r="J361" i="7" s="1"/>
  <c r="N374" i="7"/>
  <c r="Q374" i="7" s="1"/>
  <c r="L381" i="7"/>
  <c r="M381" i="7" s="1"/>
  <c r="P381" i="7" s="1"/>
  <c r="K383" i="7"/>
  <c r="I383" i="7"/>
  <c r="J383" i="7" s="1"/>
  <c r="N384" i="7"/>
  <c r="Q384" i="7" s="1"/>
  <c r="L386" i="7"/>
  <c r="M386" i="7" s="1"/>
  <c r="P386" i="7" s="1"/>
  <c r="K394" i="7"/>
  <c r="I394" i="7"/>
  <c r="J394" i="7" s="1"/>
  <c r="L395" i="7"/>
  <c r="M395" i="7" s="1"/>
  <c r="P395" i="7" s="1"/>
  <c r="N397" i="7"/>
  <c r="L397" i="7"/>
  <c r="M397" i="7" s="1"/>
  <c r="P397" i="7" s="1"/>
  <c r="K402" i="7"/>
  <c r="I402" i="7"/>
  <c r="J402" i="7" s="1"/>
  <c r="N404" i="7"/>
  <c r="Q404" i="7" s="1"/>
  <c r="I425" i="7"/>
  <c r="J425" i="7" s="1"/>
  <c r="K425" i="7"/>
  <c r="K520" i="7"/>
  <c r="I520" i="7"/>
  <c r="J520" i="7" s="1"/>
  <c r="N561" i="7"/>
  <c r="M561" i="7"/>
  <c r="P561" i="7" s="1"/>
  <c r="I278" i="7"/>
  <c r="J278" i="7" s="1"/>
  <c r="L291" i="7"/>
  <c r="M291" i="7" s="1"/>
  <c r="P291" i="7" s="1"/>
  <c r="K303" i="7"/>
  <c r="N312" i="7"/>
  <c r="Q312" i="7" s="1"/>
  <c r="N315" i="7"/>
  <c r="Q315" i="7" s="1"/>
  <c r="L317" i="7"/>
  <c r="M317" i="7" s="1"/>
  <c r="P317" i="7" s="1"/>
  <c r="N318" i="7"/>
  <c r="L323" i="7"/>
  <c r="M323" i="7" s="1"/>
  <c r="P323" i="7" s="1"/>
  <c r="K335" i="7"/>
  <c r="O336" i="7"/>
  <c r="L349" i="7"/>
  <c r="M349" i="7" s="1"/>
  <c r="P349" i="7" s="1"/>
  <c r="N350" i="7"/>
  <c r="K367" i="7"/>
  <c r="I373" i="7"/>
  <c r="J373" i="7" s="1"/>
  <c r="L388" i="7"/>
  <c r="K390" i="7"/>
  <c r="L390" i="7" s="1"/>
  <c r="M390" i="7" s="1"/>
  <c r="P390" i="7" s="1"/>
  <c r="N399" i="7"/>
  <c r="Q399" i="7" s="1"/>
  <c r="I409" i="7"/>
  <c r="J409" i="7" s="1"/>
  <c r="K409" i="7"/>
  <c r="N415" i="7"/>
  <c r="Q415" i="7" s="1"/>
  <c r="N429" i="7"/>
  <c r="Q429" i="7" s="1"/>
  <c r="L471" i="7"/>
  <c r="M471" i="7" s="1"/>
  <c r="P471" i="7" s="1"/>
  <c r="L473" i="7"/>
  <c r="M473" i="7" s="1"/>
  <c r="P473" i="7" s="1"/>
  <c r="N283" i="7"/>
  <c r="Q283" i="7" s="1"/>
  <c r="N292" i="7"/>
  <c r="Q292" i="7" s="1"/>
  <c r="N295" i="7"/>
  <c r="Q295" i="7" s="1"/>
  <c r="L296" i="7"/>
  <c r="M296" i="7" s="1"/>
  <c r="P296" i="7" s="1"/>
  <c r="N321" i="7"/>
  <c r="Q321" i="7" s="1"/>
  <c r="N324" i="7"/>
  <c r="Q324" i="7" s="1"/>
  <c r="N327" i="7"/>
  <c r="Q327" i="7" s="1"/>
  <c r="L328" i="7"/>
  <c r="M328" i="7" s="1"/>
  <c r="P328" i="7" s="1"/>
  <c r="O348" i="7"/>
  <c r="N356" i="7"/>
  <c r="Q356" i="7" s="1"/>
  <c r="L360" i="7"/>
  <c r="M360" i="7" s="1"/>
  <c r="P360" i="7" s="1"/>
  <c r="K375" i="7"/>
  <c r="I375" i="7"/>
  <c r="J375" i="7" s="1"/>
  <c r="N385" i="7"/>
  <c r="Q385" i="7" s="1"/>
  <c r="O399" i="7"/>
  <c r="L413" i="7"/>
  <c r="M413" i="7" s="1"/>
  <c r="P413" i="7" s="1"/>
  <c r="L426" i="7"/>
  <c r="M426" i="7" s="1"/>
  <c r="P426" i="7" s="1"/>
  <c r="O433" i="7"/>
  <c r="L436" i="7"/>
  <c r="M436" i="7" s="1"/>
  <c r="P436" i="7" s="1"/>
  <c r="L444" i="7"/>
  <c r="M444" i="7" s="1"/>
  <c r="P444" i="7" s="1"/>
  <c r="L452" i="7"/>
  <c r="M452" i="7" s="1"/>
  <c r="P452" i="7" s="1"/>
  <c r="L280" i="7"/>
  <c r="M280" i="7" s="1"/>
  <c r="P280" i="7" s="1"/>
  <c r="N301" i="7"/>
  <c r="Q301" i="7" s="1"/>
  <c r="N307" i="7"/>
  <c r="Q307" i="7" s="1"/>
  <c r="L308" i="7"/>
  <c r="M308" i="7" s="1"/>
  <c r="P308" i="7" s="1"/>
  <c r="N333" i="7"/>
  <c r="Q333" i="7" s="1"/>
  <c r="N339" i="7"/>
  <c r="Q339" i="7" s="1"/>
  <c r="L340" i="7"/>
  <c r="M340" i="7" s="1"/>
  <c r="P340" i="7" s="1"/>
  <c r="L380" i="7"/>
  <c r="M380" i="7" s="1"/>
  <c r="P380" i="7" s="1"/>
  <c r="K387" i="7"/>
  <c r="I387" i="7"/>
  <c r="J387" i="7" s="1"/>
  <c r="I403" i="7"/>
  <c r="J403" i="7" s="1"/>
  <c r="K403" i="7"/>
  <c r="L410" i="7"/>
  <c r="M410" i="7" s="1"/>
  <c r="P410" i="7" s="1"/>
  <c r="L420" i="7"/>
  <c r="M420" i="7" s="1"/>
  <c r="P420" i="7" s="1"/>
  <c r="L447" i="7"/>
  <c r="M447" i="7" s="1"/>
  <c r="P447" i="7" s="1"/>
  <c r="K453" i="7"/>
  <c r="I453" i="7"/>
  <c r="J453" i="7" s="1"/>
  <c r="K427" i="7"/>
  <c r="L429" i="7"/>
  <c r="M429" i="7" s="1"/>
  <c r="P429" i="7" s="1"/>
  <c r="K439" i="7"/>
  <c r="L445" i="7"/>
  <c r="M445" i="7" s="1"/>
  <c r="P445" i="7" s="1"/>
  <c r="O448" i="7"/>
  <c r="L450" i="7"/>
  <c r="M450" i="7" s="1"/>
  <c r="P450" i="7" s="1"/>
  <c r="K476" i="7"/>
  <c r="L476" i="7" s="1"/>
  <c r="I478" i="7"/>
  <c r="J478" i="7" s="1"/>
  <c r="K478" i="7"/>
  <c r="N492" i="7"/>
  <c r="Q492" i="7" s="1"/>
  <c r="I514" i="7"/>
  <c r="J514" i="7" s="1"/>
  <c r="K514" i="7"/>
  <c r="N516" i="7"/>
  <c r="Q516" i="7" s="1"/>
  <c r="I527" i="7"/>
  <c r="J527" i="7" s="1"/>
  <c r="K527" i="7"/>
  <c r="N536" i="7"/>
  <c r="I542" i="7"/>
  <c r="J542" i="7" s="1"/>
  <c r="K542" i="7"/>
  <c r="L633" i="7"/>
  <c r="M633" i="7" s="1"/>
  <c r="P633" i="7" s="1"/>
  <c r="L638" i="7"/>
  <c r="M638" i="7" s="1"/>
  <c r="P638" i="7" s="1"/>
  <c r="L443" i="7"/>
  <c r="M443" i="7" s="1"/>
  <c r="P443" i="7" s="1"/>
  <c r="K480" i="7"/>
  <c r="I480" i="7"/>
  <c r="J480" i="7" s="1"/>
  <c r="K491" i="7"/>
  <c r="I491" i="7"/>
  <c r="J491" i="7" s="1"/>
  <c r="I498" i="7"/>
  <c r="J498" i="7" s="1"/>
  <c r="K498" i="7"/>
  <c r="K507" i="7"/>
  <c r="I507" i="7"/>
  <c r="J507" i="7" s="1"/>
  <c r="K509" i="7"/>
  <c r="I509" i="7"/>
  <c r="J509" i="7" s="1"/>
  <c r="I518" i="7"/>
  <c r="J518" i="7" s="1"/>
  <c r="K518" i="7"/>
  <c r="N521" i="7"/>
  <c r="Q521" i="7" s="1"/>
  <c r="L521" i="7"/>
  <c r="M521" i="7" s="1"/>
  <c r="P521" i="7" s="1"/>
  <c r="L543" i="7"/>
  <c r="M543" i="7" s="1"/>
  <c r="P543" i="7" s="1"/>
  <c r="N475" i="7"/>
  <c r="Q475" i="7" s="1"/>
  <c r="L505" i="7"/>
  <c r="M505" i="7" s="1"/>
  <c r="P505" i="7" s="1"/>
  <c r="L528" i="7"/>
  <c r="M528" i="7" s="1"/>
  <c r="P528" i="7" s="1"/>
  <c r="K555" i="7"/>
  <c r="I555" i="7"/>
  <c r="J555" i="7" s="1"/>
  <c r="K405" i="7"/>
  <c r="L406" i="7"/>
  <c r="M406" i="7" s="1"/>
  <c r="P406" i="7" s="1"/>
  <c r="L407" i="7"/>
  <c r="M407" i="7" s="1"/>
  <c r="P407" i="7" s="1"/>
  <c r="I418" i="7"/>
  <c r="J418" i="7" s="1"/>
  <c r="K421" i="7"/>
  <c r="L421" i="7" s="1"/>
  <c r="L422" i="7"/>
  <c r="M422" i="7" s="1"/>
  <c r="P422" i="7" s="1"/>
  <c r="L423" i="7"/>
  <c r="M423" i="7" s="1"/>
  <c r="P423" i="7" s="1"/>
  <c r="I434" i="7"/>
  <c r="J434" i="7" s="1"/>
  <c r="K459" i="7"/>
  <c r="L460" i="7"/>
  <c r="M460" i="7" s="1"/>
  <c r="P460" i="7" s="1"/>
  <c r="L483" i="7"/>
  <c r="L486" i="7"/>
  <c r="M486" i="7" s="1"/>
  <c r="P486" i="7" s="1"/>
  <c r="N500" i="7"/>
  <c r="O522" i="7"/>
  <c r="K419" i="7"/>
  <c r="L419" i="7" s="1"/>
  <c r="M419" i="7" s="1"/>
  <c r="P419" i="7" s="1"/>
  <c r="K435" i="7"/>
  <c r="L435" i="7" s="1"/>
  <c r="L437" i="7"/>
  <c r="M437" i="7" s="1"/>
  <c r="P437" i="7" s="1"/>
  <c r="K447" i="7"/>
  <c r="K455" i="7"/>
  <c r="N456" i="7"/>
  <c r="L466" i="7"/>
  <c r="I474" i="7"/>
  <c r="J474" i="7" s="1"/>
  <c r="K474" i="7"/>
  <c r="L475" i="7"/>
  <c r="M475" i="7" s="1"/>
  <c r="P475" i="7" s="1"/>
  <c r="L488" i="7"/>
  <c r="M488" i="7" s="1"/>
  <c r="P488" i="7" s="1"/>
  <c r="L496" i="7"/>
  <c r="M496" i="7" s="1"/>
  <c r="P496" i="7" s="1"/>
  <c r="O499" i="7"/>
  <c r="L504" i="7"/>
  <c r="M504" i="7" s="1"/>
  <c r="P504" i="7" s="1"/>
  <c r="I510" i="7"/>
  <c r="J510" i="7" s="1"/>
  <c r="K510" i="7"/>
  <c r="L512" i="7"/>
  <c r="M512" i="7" s="1"/>
  <c r="P512" i="7" s="1"/>
  <c r="L515" i="7"/>
  <c r="L603" i="7"/>
  <c r="M603" i="7" s="1"/>
  <c r="P603" i="7" s="1"/>
  <c r="N446" i="7"/>
  <c r="Q446" i="7" s="1"/>
  <c r="L451" i="7"/>
  <c r="M451" i="7" s="1"/>
  <c r="P451" i="7" s="1"/>
  <c r="N454" i="7"/>
  <c r="Q454" i="7" s="1"/>
  <c r="I458" i="7"/>
  <c r="J458" i="7" s="1"/>
  <c r="K458" i="7"/>
  <c r="L462" i="7"/>
  <c r="M462" i="7" s="1"/>
  <c r="P462" i="7" s="1"/>
  <c r="K465" i="7"/>
  <c r="I465" i="7"/>
  <c r="J465" i="7" s="1"/>
  <c r="L477" i="7"/>
  <c r="M477" i="7" s="1"/>
  <c r="P477" i="7" s="1"/>
  <c r="N485" i="7"/>
  <c r="Q485" i="7" s="1"/>
  <c r="I490" i="7"/>
  <c r="J490" i="7" s="1"/>
  <c r="K490" i="7"/>
  <c r="N494" i="7"/>
  <c r="Q494" i="7" s="1"/>
  <c r="L535" i="7"/>
  <c r="M535" i="7" s="1"/>
  <c r="P535" i="7" s="1"/>
  <c r="L540" i="7"/>
  <c r="M540" i="7" s="1"/>
  <c r="P540" i="7" s="1"/>
  <c r="N540" i="7"/>
  <c r="Q540" i="7" s="1"/>
  <c r="K469" i="7"/>
  <c r="I469" i="7"/>
  <c r="J469" i="7" s="1"/>
  <c r="L487" i="7"/>
  <c r="M487" i="7" s="1"/>
  <c r="P487" i="7" s="1"/>
  <c r="K495" i="7"/>
  <c r="I495" i="7"/>
  <c r="J495" i="7" s="1"/>
  <c r="K497" i="7"/>
  <c r="I497" i="7"/>
  <c r="J497" i="7" s="1"/>
  <c r="L501" i="7"/>
  <c r="M501" i="7" s="1"/>
  <c r="P501" i="7" s="1"/>
  <c r="N508" i="7"/>
  <c r="Q508" i="7" s="1"/>
  <c r="L513" i="7"/>
  <c r="M513" i="7" s="1"/>
  <c r="P513" i="7" s="1"/>
  <c r="N529" i="7"/>
  <c r="L529" i="7"/>
  <c r="M529" i="7" s="1"/>
  <c r="P529" i="7" s="1"/>
  <c r="L557" i="7"/>
  <c r="M557" i="7" s="1"/>
  <c r="P557" i="7" s="1"/>
  <c r="L586" i="7"/>
  <c r="M586" i="7" s="1"/>
  <c r="P586" i="7" s="1"/>
  <c r="K533" i="7"/>
  <c r="I533" i="7"/>
  <c r="J533" i="7" s="1"/>
  <c r="L534" i="7"/>
  <c r="K544" i="7"/>
  <c r="I544" i="7"/>
  <c r="J544" i="7" s="1"/>
  <c r="N559" i="7"/>
  <c r="Q559" i="7" s="1"/>
  <c r="L570" i="7"/>
  <c r="M570" i="7" s="1"/>
  <c r="P570" i="7" s="1"/>
  <c r="K587" i="7"/>
  <c r="I587" i="7"/>
  <c r="J587" i="7" s="1"/>
  <c r="L601" i="7"/>
  <c r="M601" i="7" s="1"/>
  <c r="P601" i="7" s="1"/>
  <c r="L616" i="7"/>
  <c r="M616" i="7" s="1"/>
  <c r="P616" i="7" s="1"/>
  <c r="L506" i="7"/>
  <c r="M506" i="7" s="1"/>
  <c r="P506" i="7" s="1"/>
  <c r="N562" i="7"/>
  <c r="Q562" i="7" s="1"/>
  <c r="L562" i="7"/>
  <c r="M562" i="7" s="1"/>
  <c r="P562" i="7" s="1"/>
  <c r="K568" i="7"/>
  <c r="I568" i="7"/>
  <c r="J568" i="7" s="1"/>
  <c r="N580" i="7"/>
  <c r="O585" i="7"/>
  <c r="L643" i="7"/>
  <c r="M643" i="7" s="1"/>
  <c r="P643" i="7" s="1"/>
  <c r="N538" i="7"/>
  <c r="I546" i="7"/>
  <c r="J546" i="7" s="1"/>
  <c r="K546" i="7"/>
  <c r="K560" i="7"/>
  <c r="I560" i="7"/>
  <c r="J560" i="7" s="1"/>
  <c r="N574" i="7"/>
  <c r="Q574" i="7" s="1"/>
  <c r="L574" i="7"/>
  <c r="M574" i="7" s="1"/>
  <c r="P574" i="7" s="1"/>
  <c r="L588" i="7"/>
  <c r="M588" i="7" s="1"/>
  <c r="P588" i="7" s="1"/>
  <c r="L591" i="7"/>
  <c r="M591" i="7" s="1"/>
  <c r="P591" i="7" s="1"/>
  <c r="L604" i="7"/>
  <c r="M604" i="7" s="1"/>
  <c r="P604" i="7" s="1"/>
  <c r="I636" i="7"/>
  <c r="J636" i="7" s="1"/>
  <c r="K636" i="7"/>
  <c r="L639" i="7"/>
  <c r="M639" i="7" s="1"/>
  <c r="P639" i="7" s="1"/>
  <c r="L655" i="7"/>
  <c r="M655" i="7" s="1"/>
  <c r="P655" i="7" s="1"/>
  <c r="K502" i="7"/>
  <c r="L503" i="7"/>
  <c r="M503" i="7" s="1"/>
  <c r="P503" i="7" s="1"/>
  <c r="L508" i="7"/>
  <c r="M508" i="7" s="1"/>
  <c r="P508" i="7" s="1"/>
  <c r="I525" i="7"/>
  <c r="J525" i="7" s="1"/>
  <c r="L526" i="7"/>
  <c r="M526" i="7" s="1"/>
  <c r="P526" i="7" s="1"/>
  <c r="I531" i="7"/>
  <c r="J531" i="7" s="1"/>
  <c r="K537" i="7"/>
  <c r="I537" i="7"/>
  <c r="J537" i="7" s="1"/>
  <c r="L539" i="7"/>
  <c r="M539" i="7" s="1"/>
  <c r="P539" i="7" s="1"/>
  <c r="I541" i="7"/>
  <c r="J541" i="7" s="1"/>
  <c r="L549" i="7"/>
  <c r="M549" i="7" s="1"/>
  <c r="P549" i="7" s="1"/>
  <c r="I556" i="7"/>
  <c r="J556" i="7" s="1"/>
  <c r="O563" i="7"/>
  <c r="L599" i="7"/>
  <c r="M599" i="7" s="1"/>
  <c r="P599" i="7" s="1"/>
  <c r="O605" i="7"/>
  <c r="I625" i="7"/>
  <c r="J625" i="7" s="1"/>
  <c r="K625" i="7"/>
  <c r="I660" i="7"/>
  <c r="J660" i="7" s="1"/>
  <c r="K660" i="7"/>
  <c r="I449" i="7"/>
  <c r="J449" i="7" s="1"/>
  <c r="I481" i="7"/>
  <c r="J481" i="7" s="1"/>
  <c r="I493" i="7"/>
  <c r="J493" i="7" s="1"/>
  <c r="N506" i="7"/>
  <c r="Q506" i="7" s="1"/>
  <c r="L532" i="7"/>
  <c r="M532" i="7" s="1"/>
  <c r="P532" i="7" s="1"/>
  <c r="L551" i="7"/>
  <c r="I554" i="7"/>
  <c r="J554" i="7" s="1"/>
  <c r="K554" i="7"/>
  <c r="L558" i="7"/>
  <c r="M558" i="7" s="1"/>
  <c r="P558" i="7" s="1"/>
  <c r="N517" i="7"/>
  <c r="N519" i="7"/>
  <c r="Q519" i="7" s="1"/>
  <c r="L530" i="7"/>
  <c r="M530" i="7" s="1"/>
  <c r="P530" i="7" s="1"/>
  <c r="L575" i="7"/>
  <c r="M575" i="7" s="1"/>
  <c r="P575" i="7" s="1"/>
  <c r="N575" i="7"/>
  <c r="Q575" i="7" s="1"/>
  <c r="L589" i="7"/>
  <c r="M589" i="7" s="1"/>
  <c r="P589" i="7" s="1"/>
  <c r="K600" i="7"/>
  <c r="I600" i="7"/>
  <c r="J600" i="7" s="1"/>
  <c r="K547" i="7"/>
  <c r="I547" i="7"/>
  <c r="J547" i="7" s="1"/>
  <c r="N565" i="7"/>
  <c r="L567" i="7"/>
  <c r="M567" i="7" s="1"/>
  <c r="P567" i="7" s="1"/>
  <c r="N569" i="7"/>
  <c r="Q569" i="7" s="1"/>
  <c r="M569" i="7"/>
  <c r="P569" i="7" s="1"/>
  <c r="K618" i="7"/>
  <c r="I618" i="7"/>
  <c r="J618" i="7" s="1"/>
  <c r="K582" i="7"/>
  <c r="L597" i="7"/>
  <c r="O609" i="7"/>
  <c r="I623" i="7"/>
  <c r="J623" i="7" s="1"/>
  <c r="K623" i="7"/>
  <c r="L653" i="7"/>
  <c r="L593" i="7"/>
  <c r="M593" i="7" s="1"/>
  <c r="P593" i="7" s="1"/>
  <c r="K608" i="7"/>
  <c r="I608" i="7"/>
  <c r="J608" i="7" s="1"/>
  <c r="N613" i="7"/>
  <c r="Q613" i="7" s="1"/>
  <c r="N615" i="7"/>
  <c r="Q615" i="7" s="1"/>
  <c r="M615" i="7"/>
  <c r="P615" i="7" s="1"/>
  <c r="L621" i="7"/>
  <c r="M621" i="7" s="1"/>
  <c r="P621" i="7" s="1"/>
  <c r="K629" i="7"/>
  <c r="I629" i="7"/>
  <c r="J629" i="7" s="1"/>
  <c r="L646" i="7"/>
  <c r="M646" i="7" s="1"/>
  <c r="P646" i="7" s="1"/>
  <c r="L661" i="7"/>
  <c r="M661" i="7" s="1"/>
  <c r="P661" i="7" s="1"/>
  <c r="N666" i="7"/>
  <c r="Q666" i="7" s="1"/>
  <c r="L666" i="7"/>
  <c r="M666" i="7" s="1"/>
  <c r="P666" i="7" s="1"/>
  <c r="K7" i="9"/>
  <c r="L7" i="9"/>
  <c r="M7" i="9" s="1"/>
  <c r="I579" i="7"/>
  <c r="J579" i="7" s="1"/>
  <c r="L580" i="7"/>
  <c r="M580" i="7" s="1"/>
  <c r="P580" i="7" s="1"/>
  <c r="L581" i="7"/>
  <c r="M581" i="7" s="1"/>
  <c r="P581" i="7" s="1"/>
  <c r="I592" i="7"/>
  <c r="J592" i="7" s="1"/>
  <c r="L596" i="7"/>
  <c r="M596" i="7" s="1"/>
  <c r="P596" i="7" s="1"/>
  <c r="L613" i="7"/>
  <c r="M613" i="7" s="1"/>
  <c r="P613" i="7" s="1"/>
  <c r="I634" i="7"/>
  <c r="J634" i="7" s="1"/>
  <c r="I552" i="7"/>
  <c r="J552" i="7" s="1"/>
  <c r="I572" i="7"/>
  <c r="J572" i="7" s="1"/>
  <c r="K586" i="7"/>
  <c r="N593" i="7"/>
  <c r="Q593" i="7" s="1"/>
  <c r="N602" i="7"/>
  <c r="Q602" i="7" s="1"/>
  <c r="N611" i="7"/>
  <c r="Q611" i="7" s="1"/>
  <c r="L637" i="7"/>
  <c r="K650" i="7"/>
  <c r="I650" i="7"/>
  <c r="J650" i="7" s="1"/>
  <c r="I654" i="7"/>
  <c r="J654" i="7" s="1"/>
  <c r="N550" i="7"/>
  <c r="Q550" i="7" s="1"/>
  <c r="K566" i="7"/>
  <c r="N578" i="7"/>
  <c r="Q578" i="7" s="1"/>
  <c r="L595" i="7"/>
  <c r="K614" i="7"/>
  <c r="I614" i="7"/>
  <c r="J614" i="7" s="1"/>
  <c r="N619" i="7"/>
  <c r="Q619" i="7" s="1"/>
  <c r="N624" i="7"/>
  <c r="Q624" i="7" s="1"/>
  <c r="N631" i="7"/>
  <c r="N632" i="7"/>
  <c r="Q632" i="7" s="1"/>
  <c r="K657" i="7"/>
  <c r="I657" i="7"/>
  <c r="J657" i="7" s="1"/>
  <c r="N662" i="7"/>
  <c r="Q662" i="7" s="1"/>
  <c r="O559" i="7"/>
  <c r="L571" i="7"/>
  <c r="O578" i="7"/>
  <c r="N590" i="7"/>
  <c r="Q590" i="7" s="1"/>
  <c r="N594" i="7"/>
  <c r="Q594" i="7" s="1"/>
  <c r="N610" i="7"/>
  <c r="L620" i="7"/>
  <c r="M620" i="7" s="1"/>
  <c r="P620" i="7" s="1"/>
  <c r="L624" i="7"/>
  <c r="M624" i="7" s="1"/>
  <c r="P624" i="7" s="1"/>
  <c r="L626" i="7"/>
  <c r="M626" i="7" s="1"/>
  <c r="P626" i="7" s="1"/>
  <c r="I635" i="7"/>
  <c r="J635" i="7" s="1"/>
  <c r="L583" i="7"/>
  <c r="M583" i="7" s="1"/>
  <c r="P583" i="7" s="1"/>
  <c r="O594" i="7"/>
  <c r="I607" i="7"/>
  <c r="J607" i="7" s="1"/>
  <c r="K607" i="7"/>
  <c r="L612" i="7"/>
  <c r="M612" i="7" s="1"/>
  <c r="P612" i="7" s="1"/>
  <c r="N645" i="7"/>
  <c r="Q645" i="7" s="1"/>
  <c r="L645" i="7"/>
  <c r="M645" i="7" s="1"/>
  <c r="P645" i="7" s="1"/>
  <c r="K665" i="7"/>
  <c r="I665" i="7"/>
  <c r="J665" i="7" s="1"/>
  <c r="I22" i="9"/>
  <c r="J22" i="9" s="1"/>
  <c r="L644" i="7"/>
  <c r="K651" i="7"/>
  <c r="I651" i="7"/>
  <c r="J651" i="7" s="1"/>
  <c r="I10" i="9"/>
  <c r="J12" i="9"/>
  <c r="K12" i="9" s="1"/>
  <c r="I16" i="9"/>
  <c r="J16" i="9" s="1"/>
  <c r="K16" i="9" s="1"/>
  <c r="I19" i="9"/>
  <c r="J19" i="9" s="1"/>
  <c r="K627" i="7"/>
  <c r="L627" i="7" s="1"/>
  <c r="L652" i="7"/>
  <c r="M652" i="7" s="1"/>
  <c r="P652" i="7" s="1"/>
  <c r="K658" i="7"/>
  <c r="L658" i="7" s="1"/>
  <c r="N641" i="7"/>
  <c r="Q641" i="7" s="1"/>
  <c r="N642" i="7"/>
  <c r="K647" i="7"/>
  <c r="I647" i="7"/>
  <c r="J647" i="7" s="1"/>
  <c r="L648" i="7"/>
  <c r="I656" i="7"/>
  <c r="J656" i="7" s="1"/>
  <c r="K656" i="7"/>
  <c r="K664" i="7"/>
  <c r="O641" i="7"/>
  <c r="H8" i="9"/>
  <c r="J10" i="9"/>
  <c r="J25" i="9"/>
  <c r="K25" i="9" s="1"/>
  <c r="I25" i="9"/>
  <c r="L24" i="9"/>
  <c r="K24" i="9"/>
  <c r="I13" i="9"/>
  <c r="J13" i="9" s="1"/>
  <c r="K13" i="9" s="1"/>
  <c r="H30" i="9"/>
  <c r="I15" i="9"/>
  <c r="J15" i="9" s="1"/>
  <c r="L28" i="9"/>
  <c r="M28" i="9" s="1"/>
  <c r="N28" i="9" s="1"/>
  <c r="I78" i="9"/>
  <c r="J78" i="9" s="1"/>
  <c r="I9" i="9"/>
  <c r="J9" i="9" s="1"/>
  <c r="J23" i="9"/>
  <c r="K23" i="9" s="1"/>
  <c r="I20" i="9"/>
  <c r="J20" i="9" s="1"/>
  <c r="I23" i="9"/>
  <c r="I26" i="9"/>
  <c r="J26" i="9" s="1"/>
  <c r="K26" i="9" s="1"/>
  <c r="J98" i="9"/>
  <c r="K98" i="9" s="1"/>
  <c r="L33" i="9"/>
  <c r="M33" i="9" s="1"/>
  <c r="N33" i="9" s="1"/>
  <c r="I42" i="9"/>
  <c r="J42" i="9"/>
  <c r="K42" i="9" s="1"/>
  <c r="I14" i="9"/>
  <c r="J14" i="9" s="1"/>
  <c r="K14" i="9" s="1"/>
  <c r="I53" i="9"/>
  <c r="J53" i="9" s="1"/>
  <c r="I32" i="9"/>
  <c r="J32" i="9" s="1"/>
  <c r="M51" i="9"/>
  <c r="N51" i="9" s="1"/>
  <c r="I62" i="9"/>
  <c r="J62" i="9" s="1"/>
  <c r="I76" i="9"/>
  <c r="I39" i="9"/>
  <c r="J39" i="9" s="1"/>
  <c r="I41" i="9"/>
  <c r="J41" i="9" s="1"/>
  <c r="I45" i="9"/>
  <c r="J57" i="9"/>
  <c r="K57" i="9" s="1"/>
  <c r="L75" i="9"/>
  <c r="M75" i="9" s="1"/>
  <c r="N75" i="9" s="1"/>
  <c r="H76" i="9"/>
  <c r="I84" i="9"/>
  <c r="J90" i="9"/>
  <c r="K90" i="9" s="1"/>
  <c r="I103" i="9"/>
  <c r="J103" i="9" s="1"/>
  <c r="K103" i="9" s="1"/>
  <c r="I109" i="9"/>
  <c r="H38" i="9"/>
  <c r="I55" i="9"/>
  <c r="J55" i="9" s="1"/>
  <c r="J56" i="9"/>
  <c r="K56" i="9" s="1"/>
  <c r="I58" i="9"/>
  <c r="I61" i="9"/>
  <c r="J61" i="9" s="1"/>
  <c r="K61" i="9" s="1"/>
  <c r="I70" i="9"/>
  <c r="J70" i="9" s="1"/>
  <c r="J73" i="9"/>
  <c r="K73" i="9" s="1"/>
  <c r="L91" i="9"/>
  <c r="M91" i="9" s="1"/>
  <c r="N91" i="9" s="1"/>
  <c r="I97" i="9"/>
  <c r="J97" i="9" s="1"/>
  <c r="L102" i="9"/>
  <c r="M102" i="9" s="1"/>
  <c r="N102" i="9" s="1"/>
  <c r="J106" i="9"/>
  <c r="K106" i="9" s="1"/>
  <c r="I34" i="9"/>
  <c r="J34" i="9" s="1"/>
  <c r="K34" i="9" s="1"/>
  <c r="I35" i="9"/>
  <c r="J35" i="9" s="1"/>
  <c r="K35" i="9" s="1"/>
  <c r="H36" i="9"/>
  <c r="I36" i="9" s="1"/>
  <c r="I63" i="9"/>
  <c r="J63" i="9" s="1"/>
  <c r="K63" i="9" s="1"/>
  <c r="I66" i="9"/>
  <c r="I69" i="9"/>
  <c r="J69" i="9" s="1"/>
  <c r="J81" i="9"/>
  <c r="K81" i="9" s="1"/>
  <c r="J96" i="9"/>
  <c r="K96" i="9" s="1"/>
  <c r="I105" i="9"/>
  <c r="J105" i="9" s="1"/>
  <c r="I108" i="9"/>
  <c r="J108" i="9" s="1"/>
  <c r="H21" i="9"/>
  <c r="I37" i="9"/>
  <c r="J37" i="9" s="1"/>
  <c r="H44" i="9"/>
  <c r="I44" i="9" s="1"/>
  <c r="J44" i="9" s="1"/>
  <c r="I49" i="9"/>
  <c r="J49" i="9" s="1"/>
  <c r="J58" i="9"/>
  <c r="K58" i="9" s="1"/>
  <c r="I71" i="9"/>
  <c r="J72" i="9"/>
  <c r="K72" i="9" s="1"/>
  <c r="I74" i="9"/>
  <c r="J74" i="9" s="1"/>
  <c r="I77" i="9"/>
  <c r="J77" i="9" s="1"/>
  <c r="J89" i="9"/>
  <c r="K89" i="9" s="1"/>
  <c r="J104" i="9"/>
  <c r="K104" i="9" s="1"/>
  <c r="L107" i="9"/>
  <c r="M107" i="9" s="1"/>
  <c r="N107" i="9" s="1"/>
  <c r="H108" i="9"/>
  <c r="I113" i="9"/>
  <c r="J113" i="9" s="1"/>
  <c r="K113" i="9" s="1"/>
  <c r="H29" i="9"/>
  <c r="J31" i="9"/>
  <c r="K31" i="9" s="1"/>
  <c r="L51" i="9"/>
  <c r="H52" i="9"/>
  <c r="I60" i="9"/>
  <c r="J60" i="9" s="1"/>
  <c r="J66" i="9"/>
  <c r="K66" i="9" s="1"/>
  <c r="I79" i="9"/>
  <c r="I82" i="9"/>
  <c r="J82" i="9" s="1"/>
  <c r="I85" i="9"/>
  <c r="J85" i="9" s="1"/>
  <c r="L90" i="9"/>
  <c r="M90" i="9" s="1"/>
  <c r="N90" i="9" s="1"/>
  <c r="L115" i="9"/>
  <c r="M115" i="9" s="1"/>
  <c r="N115" i="9" s="1"/>
  <c r="H116" i="9"/>
  <c r="J45" i="9"/>
  <c r="K45" i="9" s="1"/>
  <c r="L59" i="9"/>
  <c r="M59" i="9" s="1"/>
  <c r="N59" i="9" s="1"/>
  <c r="H60" i="9"/>
  <c r="I65" i="9"/>
  <c r="J65" i="9" s="1"/>
  <c r="I68" i="9"/>
  <c r="J68" i="9" s="1"/>
  <c r="I87" i="9"/>
  <c r="I93" i="9"/>
  <c r="J93" i="9" s="1"/>
  <c r="L98" i="9"/>
  <c r="M98" i="9" s="1"/>
  <c r="N98" i="9" s="1"/>
  <c r="I101" i="9"/>
  <c r="J101" i="9" s="1"/>
  <c r="J109" i="9"/>
  <c r="K109" i="9" s="1"/>
  <c r="J46" i="9"/>
  <c r="K46" i="9" s="1"/>
  <c r="J54" i="9"/>
  <c r="K54" i="9" s="1"/>
  <c r="J86" i="9"/>
  <c r="K86" i="9" s="1"/>
  <c r="L96" i="9"/>
  <c r="M96" i="9" s="1"/>
  <c r="N96" i="9" s="1"/>
  <c r="J102" i="9"/>
  <c r="K102" i="9" s="1"/>
  <c r="J76" i="9"/>
  <c r="K76" i="9" s="1"/>
  <c r="J84" i="9"/>
  <c r="K84" i="9" s="1"/>
  <c r="J92" i="9"/>
  <c r="K92" i="9" s="1"/>
  <c r="J100" i="9"/>
  <c r="K100" i="9" s="1"/>
  <c r="J47" i="9"/>
  <c r="K47" i="9" s="1"/>
  <c r="J71" i="9"/>
  <c r="K71" i="9" s="1"/>
  <c r="J79" i="9"/>
  <c r="K79" i="9" s="1"/>
  <c r="J87" i="9"/>
  <c r="K87" i="9" s="1"/>
  <c r="J95" i="9"/>
  <c r="K95" i="9" s="1"/>
  <c r="J111" i="9"/>
  <c r="K111" i="9" s="1"/>
  <c r="K18" i="9" l="1"/>
  <c r="L18" i="9"/>
  <c r="M18" i="9" s="1"/>
  <c r="N18" i="9" s="1"/>
  <c r="M131" i="7"/>
  <c r="P131" i="7" s="1"/>
  <c r="N131" i="7"/>
  <c r="K78" i="9"/>
  <c r="L78" i="9"/>
  <c r="M78" i="9" s="1"/>
  <c r="N78" i="9" s="1"/>
  <c r="K48" i="9"/>
  <c r="L48" i="9"/>
  <c r="K80" i="9"/>
  <c r="L80" i="9"/>
  <c r="M80" i="9" s="1"/>
  <c r="N80" i="9" s="1"/>
  <c r="K88" i="9"/>
  <c r="L88" i="9"/>
  <c r="M34" i="7"/>
  <c r="P34" i="7" s="1"/>
  <c r="N34" i="7"/>
  <c r="M179" i="7"/>
  <c r="P179" i="7" s="1"/>
  <c r="N179" i="7"/>
  <c r="Q179" i="7" s="1"/>
  <c r="K62" i="9"/>
  <c r="L62" i="9"/>
  <c r="M62" i="9" s="1"/>
  <c r="N62" i="9" s="1"/>
  <c r="M251" i="7"/>
  <c r="P251" i="7" s="1"/>
  <c r="N251" i="7"/>
  <c r="Q251" i="7" s="1"/>
  <c r="Q124" i="7"/>
  <c r="O124" i="7"/>
  <c r="M89" i="7"/>
  <c r="P89" i="7" s="1"/>
  <c r="N89" i="7"/>
  <c r="Q89" i="7" s="1"/>
  <c r="M161" i="7"/>
  <c r="P161" i="7" s="1"/>
  <c r="N161" i="7"/>
  <c r="K112" i="9"/>
  <c r="L112" i="9"/>
  <c r="K99" i="9"/>
  <c r="L99" i="9"/>
  <c r="M99" i="9" s="1"/>
  <c r="N99" i="9" s="1"/>
  <c r="K83" i="9"/>
  <c r="L83" i="9"/>
  <c r="K67" i="9"/>
  <c r="L67" i="9"/>
  <c r="M67" i="9" s="1"/>
  <c r="N67" i="9" s="1"/>
  <c r="K40" i="9"/>
  <c r="L40" i="9"/>
  <c r="L89" i="9"/>
  <c r="M89" i="9" s="1"/>
  <c r="N89" i="9" s="1"/>
  <c r="L45" i="9"/>
  <c r="M45" i="9" s="1"/>
  <c r="N45" i="9" s="1"/>
  <c r="O519" i="7"/>
  <c r="N557" i="7"/>
  <c r="Q557" i="7" s="1"/>
  <c r="L71" i="9"/>
  <c r="M71" i="9" s="1"/>
  <c r="N71" i="9" s="1"/>
  <c r="L106" i="9"/>
  <c r="M106" i="9" s="1"/>
  <c r="N106" i="9" s="1"/>
  <c r="L100" i="9"/>
  <c r="M100" i="9" s="1"/>
  <c r="N100" i="9" s="1"/>
  <c r="O619" i="7"/>
  <c r="O574" i="7"/>
  <c r="N558" i="7"/>
  <c r="N601" i="7"/>
  <c r="N501" i="7"/>
  <c r="N443" i="7"/>
  <c r="Q443" i="7" s="1"/>
  <c r="N486" i="7"/>
  <c r="N444" i="7"/>
  <c r="Q444" i="7" s="1"/>
  <c r="N511" i="7"/>
  <c r="N461" i="7"/>
  <c r="O331" i="7"/>
  <c r="O188" i="7"/>
  <c r="N328" i="7"/>
  <c r="N239" i="7"/>
  <c r="Q239" i="7" s="1"/>
  <c r="N304" i="7"/>
  <c r="O242" i="7"/>
  <c r="N263" i="7"/>
  <c r="N209" i="7"/>
  <c r="Q209" i="7" s="1"/>
  <c r="O201" i="7"/>
  <c r="O86" i="7"/>
  <c r="N75" i="7"/>
  <c r="Q75" i="7" s="1"/>
  <c r="N36" i="7"/>
  <c r="Q36" i="7" s="1"/>
  <c r="N143" i="7"/>
  <c r="Q143" i="7" s="1"/>
  <c r="N649" i="7"/>
  <c r="N468" i="7"/>
  <c r="L150" i="7"/>
  <c r="M150" i="7" s="1"/>
  <c r="P150" i="7" s="1"/>
  <c r="L523" i="7"/>
  <c r="M523" i="7" s="1"/>
  <c r="P523" i="7" s="1"/>
  <c r="N523" i="7"/>
  <c r="N177" i="7"/>
  <c r="L359" i="7"/>
  <c r="N83" i="7"/>
  <c r="N305" i="7"/>
  <c r="Q305" i="7" s="1"/>
  <c r="N69" i="7"/>
  <c r="L401" i="7"/>
  <c r="M401" i="7" s="1"/>
  <c r="P401" i="7" s="1"/>
  <c r="L417" i="7"/>
  <c r="M417" i="7" s="1"/>
  <c r="P417" i="7" s="1"/>
  <c r="L248" i="7"/>
  <c r="M248" i="7" s="1"/>
  <c r="P248" i="7" s="1"/>
  <c r="L630" i="7"/>
  <c r="M630" i="7" s="1"/>
  <c r="P630" i="7" s="1"/>
  <c r="L316" i="7"/>
  <c r="M316" i="7" s="1"/>
  <c r="P316" i="7" s="1"/>
  <c r="N392" i="7"/>
  <c r="N92" i="7"/>
  <c r="Q92" i="7" s="1"/>
  <c r="L92" i="7"/>
  <c r="M92" i="7" s="1"/>
  <c r="P92" i="7" s="1"/>
  <c r="L628" i="7"/>
  <c r="N378" i="7"/>
  <c r="L524" i="7"/>
  <c r="L299" i="7"/>
  <c r="L472" i="7"/>
  <c r="L416" i="7"/>
  <c r="M416" i="7" s="1"/>
  <c r="P416" i="7" s="1"/>
  <c r="L353" i="7"/>
  <c r="L253" i="7"/>
  <c r="L489" i="7"/>
  <c r="M489" i="7" s="1"/>
  <c r="P489" i="7" s="1"/>
  <c r="N489" i="7"/>
  <c r="Q489" i="7" s="1"/>
  <c r="L264" i="7"/>
  <c r="M264" i="7" s="1"/>
  <c r="P264" i="7" s="1"/>
  <c r="N20" i="7"/>
  <c r="L479" i="7"/>
  <c r="M479" i="7" s="1"/>
  <c r="P479" i="7" s="1"/>
  <c r="L432" i="7"/>
  <c r="M432" i="7" s="1"/>
  <c r="P432" i="7" s="1"/>
  <c r="L232" i="7"/>
  <c r="M232" i="7" s="1"/>
  <c r="P232" i="7" s="1"/>
  <c r="N262" i="7"/>
  <c r="Q262" i="7" s="1"/>
  <c r="N341" i="7"/>
  <c r="Q341" i="7" s="1"/>
  <c r="I52" i="9"/>
  <c r="J52" i="9" s="1"/>
  <c r="O662" i="7"/>
  <c r="N588" i="7"/>
  <c r="Q588" i="7" s="1"/>
  <c r="N603" i="7"/>
  <c r="Q603" i="7" s="1"/>
  <c r="N460" i="7"/>
  <c r="Q460" i="7" s="1"/>
  <c r="N386" i="7"/>
  <c r="Q386" i="7" s="1"/>
  <c r="N344" i="7"/>
  <c r="Q344" i="7" s="1"/>
  <c r="N496" i="7"/>
  <c r="Q496" i="7" s="1"/>
  <c r="N338" i="7"/>
  <c r="Q338" i="7" s="1"/>
  <c r="N467" i="7"/>
  <c r="O283" i="7"/>
  <c r="N227" i="7"/>
  <c r="Q227" i="7" s="1"/>
  <c r="N294" i="7"/>
  <c r="O216" i="7"/>
  <c r="N223" i="7"/>
  <c r="Q223" i="7" s="1"/>
  <c r="N377" i="7"/>
  <c r="Q377" i="7" s="1"/>
  <c r="O198" i="7"/>
  <c r="N247" i="7"/>
  <c r="N250" i="7"/>
  <c r="Q250" i="7" s="1"/>
  <c r="N182" i="7"/>
  <c r="N463" i="7"/>
  <c r="Q463" i="7" s="1"/>
  <c r="O134" i="7"/>
  <c r="O19" i="7"/>
  <c r="D24" i="1"/>
  <c r="L659" i="7"/>
  <c r="L663" i="7"/>
  <c r="L470" i="7"/>
  <c r="L269" i="7"/>
  <c r="L366" i="7"/>
  <c r="N268" i="7"/>
  <c r="N282" i="7"/>
  <c r="L431" i="7"/>
  <c r="N548" i="7"/>
  <c r="L440" i="7"/>
  <c r="M440" i="7" s="1"/>
  <c r="P440" i="7" s="1"/>
  <c r="N136" i="7"/>
  <c r="L87" i="9"/>
  <c r="M87" i="9" s="1"/>
  <c r="N87" i="9" s="1"/>
  <c r="L54" i="9"/>
  <c r="M54" i="9" s="1"/>
  <c r="N54" i="9" s="1"/>
  <c r="L111" i="9"/>
  <c r="M111" i="9" s="1"/>
  <c r="N111" i="9" s="1"/>
  <c r="O632" i="7"/>
  <c r="N621" i="7"/>
  <c r="Q621" i="7" s="1"/>
  <c r="N526" i="7"/>
  <c r="N504" i="7"/>
  <c r="Q504" i="7" s="1"/>
  <c r="L25" i="9"/>
  <c r="M25" i="9" s="1"/>
  <c r="N25" i="9" s="1"/>
  <c r="O430" i="7"/>
  <c r="O385" i="7"/>
  <c r="O281" i="7"/>
  <c r="N445" i="7"/>
  <c r="Q445" i="7" s="1"/>
  <c r="O11" i="7"/>
  <c r="N65" i="7"/>
  <c r="Q65" i="7" s="1"/>
  <c r="N35" i="7"/>
  <c r="N50" i="7"/>
  <c r="L64" i="9"/>
  <c r="M64" i="9" s="1"/>
  <c r="N64" i="9" s="1"/>
  <c r="M482" i="7"/>
  <c r="P482" i="7" s="1"/>
  <c r="N482" i="7"/>
  <c r="N573" i="7"/>
  <c r="L576" i="7"/>
  <c r="L617" i="7"/>
  <c r="M617" i="7" s="1"/>
  <c r="P617" i="7" s="1"/>
  <c r="N617" i="7"/>
  <c r="Q617" i="7" s="1"/>
  <c r="N276" i="7"/>
  <c r="N32" i="7"/>
  <c r="N16" i="7"/>
  <c r="J43" i="9"/>
  <c r="N584" i="7"/>
  <c r="Q584" i="7" s="1"/>
  <c r="L584" i="7"/>
  <c r="M584" i="7" s="1"/>
  <c r="P584" i="7" s="1"/>
  <c r="L622" i="7"/>
  <c r="M622" i="7" s="1"/>
  <c r="P622" i="7" s="1"/>
  <c r="N622" i="7"/>
  <c r="N400" i="7"/>
  <c r="L400" i="7"/>
  <c r="M400" i="7" s="1"/>
  <c r="P400" i="7" s="1"/>
  <c r="N606" i="7"/>
  <c r="L285" i="7"/>
  <c r="M285" i="7" s="1"/>
  <c r="P285" i="7" s="1"/>
  <c r="N285" i="7"/>
  <c r="L573" i="7"/>
  <c r="M573" i="7" s="1"/>
  <c r="P573" i="7" s="1"/>
  <c r="L168" i="7"/>
  <c r="M168" i="7" s="1"/>
  <c r="P168" i="7" s="1"/>
  <c r="N168" i="7"/>
  <c r="L553" i="7"/>
  <c r="L108" i="7"/>
  <c r="O404" i="7"/>
  <c r="N570" i="7"/>
  <c r="Q570" i="7" s="1"/>
  <c r="N503" i="7"/>
  <c r="Q503" i="7" s="1"/>
  <c r="N487" i="7"/>
  <c r="Q487" i="7" s="1"/>
  <c r="N488" i="7"/>
  <c r="Q488" i="7" s="1"/>
  <c r="O414" i="7"/>
  <c r="N428" i="7"/>
  <c r="N270" i="7"/>
  <c r="Q270" i="7" s="1"/>
  <c r="O200" i="7"/>
  <c r="N309" i="7"/>
  <c r="O309" i="7" s="1"/>
  <c r="N184" i="7"/>
  <c r="Q184" i="7" s="1"/>
  <c r="N40" i="7"/>
  <c r="N229" i="7"/>
  <c r="O229" i="7" s="1"/>
  <c r="O584" i="7"/>
  <c r="L545" i="7"/>
  <c r="M545" i="7" s="1"/>
  <c r="P545" i="7" s="1"/>
  <c r="L354" i="7"/>
  <c r="M354" i="7" s="1"/>
  <c r="P354" i="7" s="1"/>
  <c r="N354" i="7"/>
  <c r="Q354" i="7" s="1"/>
  <c r="N640" i="7"/>
  <c r="L640" i="7"/>
  <c r="M640" i="7" s="1"/>
  <c r="P640" i="7" s="1"/>
  <c r="L441" i="7"/>
  <c r="M441" i="7" s="1"/>
  <c r="P441" i="7" s="1"/>
  <c r="L16" i="9"/>
  <c r="M16" i="9" s="1"/>
  <c r="N16" i="9" s="1"/>
  <c r="O516" i="7"/>
  <c r="O234" i="7"/>
  <c r="O317" i="7"/>
  <c r="N218" i="7"/>
  <c r="N412" i="7"/>
  <c r="N205" i="7"/>
  <c r="N217" i="7"/>
  <c r="O217" i="7" s="1"/>
  <c r="O31" i="7"/>
  <c r="O225" i="7"/>
  <c r="N61" i="7"/>
  <c r="Q61" i="7" s="1"/>
  <c r="N47" i="7"/>
  <c r="Q47" i="7" s="1"/>
  <c r="N80" i="7"/>
  <c r="L598" i="7"/>
  <c r="L286" i="7"/>
  <c r="M286" i="7" s="1"/>
  <c r="P286" i="7" s="1"/>
  <c r="N577" i="7"/>
  <c r="L577" i="7"/>
  <c r="M577" i="7" s="1"/>
  <c r="P577" i="7" s="1"/>
  <c r="L241" i="7"/>
  <c r="L376" i="7"/>
  <c r="M376" i="7" s="1"/>
  <c r="P376" i="7" s="1"/>
  <c r="L347" i="7"/>
  <c r="N12" i="7"/>
  <c r="K82" i="9"/>
  <c r="L82" i="9"/>
  <c r="M421" i="7"/>
  <c r="P421" i="7" s="1"/>
  <c r="N421" i="7"/>
  <c r="Q421" i="7" s="1"/>
  <c r="K93" i="9"/>
  <c r="L93" i="9"/>
  <c r="K74" i="9"/>
  <c r="L74" i="9"/>
  <c r="K39" i="9"/>
  <c r="L39" i="9"/>
  <c r="K15" i="9"/>
  <c r="L15" i="9"/>
  <c r="M15" i="9" s="1"/>
  <c r="N15" i="9" s="1"/>
  <c r="M627" i="7"/>
  <c r="P627" i="7" s="1"/>
  <c r="N627" i="7"/>
  <c r="Q627" i="7" s="1"/>
  <c r="K41" i="9"/>
  <c r="L41" i="9"/>
  <c r="M87" i="7"/>
  <c r="P87" i="7" s="1"/>
  <c r="N87" i="7"/>
  <c r="Q87" i="7" s="1"/>
  <c r="K97" i="9"/>
  <c r="L97" i="9"/>
  <c r="M97" i="9" s="1"/>
  <c r="N97" i="9" s="1"/>
  <c r="K19" i="9"/>
  <c r="L19" i="9"/>
  <c r="M211" i="7"/>
  <c r="P211" i="7" s="1"/>
  <c r="N211" i="7"/>
  <c r="Q211" i="7" s="1"/>
  <c r="K37" i="9"/>
  <c r="L37" i="9"/>
  <c r="K53" i="9"/>
  <c r="L53" i="9"/>
  <c r="M53" i="9" s="1"/>
  <c r="N53" i="9" s="1"/>
  <c r="K55" i="9"/>
  <c r="L55" i="9"/>
  <c r="K22" i="9"/>
  <c r="L22" i="9"/>
  <c r="K60" i="9"/>
  <c r="M60" i="9" s="1"/>
  <c r="N60" i="9" s="1"/>
  <c r="L60" i="9"/>
  <c r="M355" i="7"/>
  <c r="P355" i="7" s="1"/>
  <c r="N355" i="7"/>
  <c r="Q355" i="7" s="1"/>
  <c r="M151" i="7"/>
  <c r="P151" i="7" s="1"/>
  <c r="N151" i="7"/>
  <c r="Q151" i="7" s="1"/>
  <c r="K77" i="9"/>
  <c r="L77" i="9"/>
  <c r="K32" i="9"/>
  <c r="L32" i="9"/>
  <c r="K44" i="9"/>
  <c r="L44" i="9"/>
  <c r="M44" i="9" s="1"/>
  <c r="N44" i="9" s="1"/>
  <c r="L9" i="9"/>
  <c r="M9" i="9" s="1"/>
  <c r="N9" i="9" s="1"/>
  <c r="K9" i="9"/>
  <c r="K68" i="9"/>
  <c r="L68" i="9"/>
  <c r="K69" i="9"/>
  <c r="L69" i="9"/>
  <c r="K65" i="9"/>
  <c r="L65" i="9"/>
  <c r="M65" i="9" s="1"/>
  <c r="N65" i="9" s="1"/>
  <c r="K108" i="9"/>
  <c r="L108" i="9"/>
  <c r="M235" i="7"/>
  <c r="P235" i="7" s="1"/>
  <c r="N235" i="7"/>
  <c r="Q235" i="7" s="1"/>
  <c r="K85" i="9"/>
  <c r="L85" i="9"/>
  <c r="M435" i="7"/>
  <c r="P435" i="7" s="1"/>
  <c r="N435" i="7"/>
  <c r="Q435" i="7" s="1"/>
  <c r="M476" i="7"/>
  <c r="P476" i="7" s="1"/>
  <c r="N476" i="7"/>
  <c r="Q476" i="7" s="1"/>
  <c r="K101" i="9"/>
  <c r="L101" i="9"/>
  <c r="K49" i="9"/>
  <c r="L49" i="9"/>
  <c r="K105" i="9"/>
  <c r="L105" i="9"/>
  <c r="M105" i="9" s="1"/>
  <c r="N105" i="9" s="1"/>
  <c r="K70" i="9"/>
  <c r="L70" i="9"/>
  <c r="K20" i="9"/>
  <c r="L20" i="9"/>
  <c r="M658" i="7"/>
  <c r="P658" i="7" s="1"/>
  <c r="N658" i="7"/>
  <c r="Q658" i="7" s="1"/>
  <c r="M173" i="7"/>
  <c r="P173" i="7" s="1"/>
  <c r="N173" i="7"/>
  <c r="Q173" i="7" s="1"/>
  <c r="O593" i="7"/>
  <c r="N140" i="7"/>
  <c r="Q140" i="7" s="1"/>
  <c r="L140" i="7"/>
  <c r="M140" i="7" s="1"/>
  <c r="P140" i="7" s="1"/>
  <c r="I29" i="9"/>
  <c r="J29" i="9" s="1"/>
  <c r="L57" i="9"/>
  <c r="M57" i="9" s="1"/>
  <c r="N57" i="9" s="1"/>
  <c r="I21" i="9"/>
  <c r="J21" i="9" s="1"/>
  <c r="L66" i="9"/>
  <c r="M66" i="9" s="1"/>
  <c r="N66" i="9" s="1"/>
  <c r="L86" i="9"/>
  <c r="M86" i="9" s="1"/>
  <c r="N86" i="9" s="1"/>
  <c r="L35" i="9"/>
  <c r="M35" i="9" s="1"/>
  <c r="N35" i="9" s="1"/>
  <c r="L94" i="9"/>
  <c r="M94" i="9" s="1"/>
  <c r="N94" i="9" s="1"/>
  <c r="L14" i="9"/>
  <c r="M14" i="9" s="1"/>
  <c r="N14" i="9" s="1"/>
  <c r="L13" i="9"/>
  <c r="M13" i="9" s="1"/>
  <c r="N13" i="9" s="1"/>
  <c r="N612" i="7"/>
  <c r="O645" i="7"/>
  <c r="M571" i="7"/>
  <c r="P571" i="7" s="1"/>
  <c r="N571" i="7"/>
  <c r="M595" i="7"/>
  <c r="P595" i="7" s="1"/>
  <c r="N595" i="7"/>
  <c r="M637" i="7"/>
  <c r="P637" i="7" s="1"/>
  <c r="N637" i="7"/>
  <c r="N661" i="7"/>
  <c r="N596" i="7"/>
  <c r="L623" i="7"/>
  <c r="M623" i="7" s="1"/>
  <c r="P623" i="7" s="1"/>
  <c r="O575" i="7"/>
  <c r="L547" i="7"/>
  <c r="M547" i="7" s="1"/>
  <c r="P547" i="7" s="1"/>
  <c r="N589" i="7"/>
  <c r="N541" i="7"/>
  <c r="L541" i="7"/>
  <c r="M541" i="7" s="1"/>
  <c r="P541" i="7" s="1"/>
  <c r="N583" i="7"/>
  <c r="N532" i="7"/>
  <c r="L533" i="7"/>
  <c r="M533" i="7" s="1"/>
  <c r="P533" i="7" s="1"/>
  <c r="L474" i="7"/>
  <c r="M474" i="7" s="1"/>
  <c r="P474" i="7" s="1"/>
  <c r="O398" i="7"/>
  <c r="O446" i="7"/>
  <c r="N528" i="7"/>
  <c r="L498" i="7"/>
  <c r="M498" i="7" s="1"/>
  <c r="P498" i="7" s="1"/>
  <c r="N633" i="7"/>
  <c r="O521" i="7"/>
  <c r="O508" i="7"/>
  <c r="N420" i="7"/>
  <c r="N387" i="7"/>
  <c r="Q387" i="7" s="1"/>
  <c r="L387" i="7"/>
  <c r="M387" i="7" s="1"/>
  <c r="P387" i="7" s="1"/>
  <c r="N436" i="7"/>
  <c r="N413" i="7"/>
  <c r="N471" i="7"/>
  <c r="N373" i="7"/>
  <c r="L373" i="7"/>
  <c r="M373" i="7" s="1"/>
  <c r="P373" i="7" s="1"/>
  <c r="L303" i="7"/>
  <c r="O487" i="7"/>
  <c r="N419" i="7"/>
  <c r="Q419" i="7" s="1"/>
  <c r="L394" i="7"/>
  <c r="M394" i="7" s="1"/>
  <c r="P394" i="7" s="1"/>
  <c r="L438" i="7"/>
  <c r="M438" i="7" s="1"/>
  <c r="P438" i="7" s="1"/>
  <c r="N408" i="7"/>
  <c r="Q408" i="7" s="1"/>
  <c r="L408" i="7"/>
  <c r="M408" i="7" s="1"/>
  <c r="P408" i="7" s="1"/>
  <c r="N349" i="7"/>
  <c r="N391" i="7"/>
  <c r="O454" i="7"/>
  <c r="L411" i="7"/>
  <c r="M411" i="7" s="1"/>
  <c r="P411" i="7" s="1"/>
  <c r="O326" i="7"/>
  <c r="L174" i="7"/>
  <c r="M174" i="7" s="1"/>
  <c r="P174" i="7" s="1"/>
  <c r="N362" i="7"/>
  <c r="L389" i="7"/>
  <c r="M389" i="7" s="1"/>
  <c r="P389" i="7" s="1"/>
  <c r="O287" i="7"/>
  <c r="L162" i="7"/>
  <c r="M162" i="7" s="1"/>
  <c r="P162" i="7" s="1"/>
  <c r="L351" i="7"/>
  <c r="M351" i="7" s="1"/>
  <c r="P351" i="7" s="1"/>
  <c r="L275" i="7"/>
  <c r="M275" i="7" s="1"/>
  <c r="P275" i="7" s="1"/>
  <c r="O230" i="7"/>
  <c r="O290" i="7"/>
  <c r="N345" i="7"/>
  <c r="O306" i="7"/>
  <c r="N254" i="7"/>
  <c r="O145" i="7"/>
  <c r="M163" i="7"/>
  <c r="P163" i="7" s="1"/>
  <c r="N163" i="7"/>
  <c r="L133" i="7"/>
  <c r="M133" i="7" s="1"/>
  <c r="P133" i="7" s="1"/>
  <c r="N133" i="7"/>
  <c r="Q133" i="7" s="1"/>
  <c r="N101" i="7"/>
  <c r="Q101" i="7" s="1"/>
  <c r="L101" i="7"/>
  <c r="M101" i="7" s="1"/>
  <c r="P101" i="7" s="1"/>
  <c r="O243" i="7"/>
  <c r="N258" i="7"/>
  <c r="N79" i="7"/>
  <c r="N210" i="7"/>
  <c r="N81" i="7"/>
  <c r="N185" i="7"/>
  <c r="N44" i="7"/>
  <c r="O27" i="7"/>
  <c r="N59" i="7"/>
  <c r="O30" i="7"/>
  <c r="N245" i="7"/>
  <c r="N111" i="7"/>
  <c r="N66" i="7"/>
  <c r="N28" i="7"/>
  <c r="N113" i="7"/>
  <c r="N56" i="7"/>
  <c r="N261" i="7"/>
  <c r="N58" i="7"/>
  <c r="M58" i="7"/>
  <c r="P58" i="7" s="1"/>
  <c r="N39" i="7"/>
  <c r="O140" i="7"/>
  <c r="N88" i="7"/>
  <c r="D8" i="1"/>
  <c r="G25" i="2"/>
  <c r="D9" i="1" s="1"/>
  <c r="G24" i="2"/>
  <c r="L7" i="4" s="1"/>
  <c r="J7" i="4" s="1"/>
  <c r="N189" i="7"/>
  <c r="Q189" i="7" s="1"/>
  <c r="O105" i="7"/>
  <c r="Q255" i="7"/>
  <c r="O255" i="7"/>
  <c r="O101" i="7"/>
  <c r="N64" i="7"/>
  <c r="M64" i="7"/>
  <c r="P64" i="7" s="1"/>
  <c r="I116" i="9"/>
  <c r="J116" i="9" s="1"/>
  <c r="L46" i="9"/>
  <c r="M46" i="9" s="1"/>
  <c r="N46" i="9" s="1"/>
  <c r="L63" i="9"/>
  <c r="M63" i="9" s="1"/>
  <c r="N63" i="9" s="1"/>
  <c r="L50" i="9"/>
  <c r="M50" i="9" s="1"/>
  <c r="N50" i="9" s="1"/>
  <c r="L23" i="9"/>
  <c r="M23" i="9" s="1"/>
  <c r="N23" i="9" s="1"/>
  <c r="L11" i="9"/>
  <c r="M11" i="9" s="1"/>
  <c r="N11" i="9" s="1"/>
  <c r="K10" i="9"/>
  <c r="L10" i="9"/>
  <c r="M10" i="9" s="1"/>
  <c r="N10" i="9" s="1"/>
  <c r="L635" i="7"/>
  <c r="M635" i="7" s="1"/>
  <c r="P635" i="7" s="1"/>
  <c r="N635" i="7"/>
  <c r="Q610" i="7"/>
  <c r="O610" i="7"/>
  <c r="L572" i="7"/>
  <c r="M572" i="7" s="1"/>
  <c r="P572" i="7" s="1"/>
  <c r="L634" i="7"/>
  <c r="M634" i="7" s="1"/>
  <c r="P634" i="7" s="1"/>
  <c r="L579" i="7"/>
  <c r="M579" i="7" s="1"/>
  <c r="P579" i="7" s="1"/>
  <c r="N579" i="7"/>
  <c r="O613" i="7"/>
  <c r="N581" i="7"/>
  <c r="L625" i="7"/>
  <c r="M625" i="7" s="1"/>
  <c r="P625" i="7" s="1"/>
  <c r="L636" i="7"/>
  <c r="M636" i="7" s="1"/>
  <c r="P636" i="7" s="1"/>
  <c r="N616" i="7"/>
  <c r="Q529" i="7"/>
  <c r="O529" i="7"/>
  <c r="Q501" i="7"/>
  <c r="O501" i="7"/>
  <c r="L469" i="7"/>
  <c r="M469" i="7" s="1"/>
  <c r="P469" i="7" s="1"/>
  <c r="N535" i="7"/>
  <c r="L490" i="7"/>
  <c r="M490" i="7" s="1"/>
  <c r="P490" i="7" s="1"/>
  <c r="L458" i="7"/>
  <c r="M458" i="7" s="1"/>
  <c r="P458" i="7" s="1"/>
  <c r="N458" i="7"/>
  <c r="Q458" i="7" s="1"/>
  <c r="M515" i="7"/>
  <c r="P515" i="7" s="1"/>
  <c r="N515" i="7"/>
  <c r="Q500" i="7"/>
  <c r="O500" i="7"/>
  <c r="N512" i="7"/>
  <c r="L518" i="7"/>
  <c r="M518" i="7" s="1"/>
  <c r="P518" i="7" s="1"/>
  <c r="N491" i="7"/>
  <c r="Q491" i="7" s="1"/>
  <c r="L491" i="7"/>
  <c r="M491" i="7" s="1"/>
  <c r="P491" i="7" s="1"/>
  <c r="O503" i="7"/>
  <c r="N409" i="7"/>
  <c r="Q409" i="7" s="1"/>
  <c r="L409" i="7"/>
  <c r="M409" i="7" s="1"/>
  <c r="P409" i="7" s="1"/>
  <c r="L335" i="7"/>
  <c r="N462" i="7"/>
  <c r="N406" i="7"/>
  <c r="Q461" i="7"/>
  <c r="O461" i="7"/>
  <c r="N337" i="7"/>
  <c r="O484" i="7"/>
  <c r="L393" i="7"/>
  <c r="M393" i="7" s="1"/>
  <c r="P393" i="7" s="1"/>
  <c r="O313" i="7"/>
  <c r="O307" i="7"/>
  <c r="N320" i="7"/>
  <c r="M207" i="7"/>
  <c r="P207" i="7" s="1"/>
  <c r="N207" i="7"/>
  <c r="O301" i="7"/>
  <c r="N228" i="7"/>
  <c r="M228" i="7"/>
  <c r="P228" i="7" s="1"/>
  <c r="L192" i="7"/>
  <c r="M192" i="7" s="1"/>
  <c r="P192" i="7" s="1"/>
  <c r="O151" i="7"/>
  <c r="N332" i="7"/>
  <c r="N298" i="7"/>
  <c r="N249" i="7"/>
  <c r="O321" i="7"/>
  <c r="O274" i="7"/>
  <c r="Q247" i="7"/>
  <c r="O247" i="7"/>
  <c r="N138" i="7"/>
  <c r="Q138" i="7" s="1"/>
  <c r="L138" i="7"/>
  <c r="M138" i="7" s="1"/>
  <c r="P138" i="7" s="1"/>
  <c r="M127" i="7"/>
  <c r="P127" i="7" s="1"/>
  <c r="N127" i="7"/>
  <c r="L90" i="7"/>
  <c r="M90" i="7" s="1"/>
  <c r="P90" i="7" s="1"/>
  <c r="N169" i="7"/>
  <c r="N165" i="7"/>
  <c r="Q165" i="7" s="1"/>
  <c r="L165" i="7"/>
  <c r="M165" i="7" s="1"/>
  <c r="P165" i="7" s="1"/>
  <c r="N77" i="7"/>
  <c r="N252" i="7"/>
  <c r="O199" i="7"/>
  <c r="N368" i="7"/>
  <c r="L85" i="7"/>
  <c r="M85" i="7" s="1"/>
  <c r="P85" i="7" s="1"/>
  <c r="N147" i="7"/>
  <c r="O129" i="7"/>
  <c r="N76" i="7"/>
  <c r="O55" i="7"/>
  <c r="L25" i="7"/>
  <c r="M25" i="7" s="1"/>
  <c r="P25" i="7" s="1"/>
  <c r="L142" i="7"/>
  <c r="M142" i="7" s="1"/>
  <c r="P142" i="7" s="1"/>
  <c r="N110" i="7"/>
  <c r="O257" i="7"/>
  <c r="M54" i="7"/>
  <c r="P54" i="7" s="1"/>
  <c r="N54" i="7"/>
  <c r="O23" i="7"/>
  <c r="L37" i="7"/>
  <c r="M37" i="7" s="1"/>
  <c r="P37" i="7" s="1"/>
  <c r="N37" i="7"/>
  <c r="Q37" i="7" s="1"/>
  <c r="L527" i="7"/>
  <c r="M527" i="7" s="1"/>
  <c r="P527" i="7" s="1"/>
  <c r="L403" i="7"/>
  <c r="M403" i="7" s="1"/>
  <c r="P403" i="7" s="1"/>
  <c r="L277" i="7"/>
  <c r="M277" i="7" s="1"/>
  <c r="P277" i="7" s="1"/>
  <c r="L325" i="7"/>
  <c r="M325" i="7" s="1"/>
  <c r="P325" i="7" s="1"/>
  <c r="O341" i="7"/>
  <c r="L98" i="7"/>
  <c r="M98" i="7" s="1"/>
  <c r="P98" i="7" s="1"/>
  <c r="L76" i="9"/>
  <c r="N7" i="9"/>
  <c r="N614" i="7"/>
  <c r="Q614" i="7" s="1"/>
  <c r="L614" i="7"/>
  <c r="M614" i="7" s="1"/>
  <c r="P614" i="7" s="1"/>
  <c r="O624" i="7"/>
  <c r="O621" i="7"/>
  <c r="L537" i="7"/>
  <c r="M537" i="7" s="1"/>
  <c r="P537" i="7" s="1"/>
  <c r="N549" i="7"/>
  <c r="O580" i="7"/>
  <c r="Q580" i="7"/>
  <c r="L497" i="7"/>
  <c r="M497" i="7" s="1"/>
  <c r="P497" i="7" s="1"/>
  <c r="O488" i="7"/>
  <c r="O496" i="7"/>
  <c r="L434" i="7"/>
  <c r="M434" i="7" s="1"/>
  <c r="P434" i="7" s="1"/>
  <c r="N453" i="7"/>
  <c r="Q453" i="7" s="1"/>
  <c r="L453" i="7"/>
  <c r="M453" i="7" s="1"/>
  <c r="P453" i="7" s="1"/>
  <c r="O429" i="7"/>
  <c r="L367" i="7"/>
  <c r="L278" i="7"/>
  <c r="M278" i="7" s="1"/>
  <c r="P278" i="7" s="1"/>
  <c r="L297" i="7"/>
  <c r="M297" i="7" s="1"/>
  <c r="P297" i="7" s="1"/>
  <c r="N323" i="7"/>
  <c r="Q323" i="7" s="1"/>
  <c r="N451" i="7"/>
  <c r="N437" i="7"/>
  <c r="M382" i="7"/>
  <c r="P382" i="7" s="1"/>
  <c r="N382" i="7"/>
  <c r="Q334" i="7"/>
  <c r="O334" i="7"/>
  <c r="Q310" i="7"/>
  <c r="O310" i="7"/>
  <c r="O222" i="7"/>
  <c r="L146" i="7"/>
  <c r="M146" i="7" s="1"/>
  <c r="P146" i="7" s="1"/>
  <c r="O386" i="7"/>
  <c r="N296" i="7"/>
  <c r="O246" i="7"/>
  <c r="N340" i="7"/>
  <c r="N407" i="7"/>
  <c r="N308" i="7"/>
  <c r="L271" i="7"/>
  <c r="M271" i="7" s="1"/>
  <c r="P271" i="7" s="1"/>
  <c r="L93" i="7"/>
  <c r="M93" i="7" s="1"/>
  <c r="P93" i="7" s="1"/>
  <c r="N219" i="7"/>
  <c r="N122" i="7"/>
  <c r="Q122" i="7" s="1"/>
  <c r="L122" i="7"/>
  <c r="M122" i="7" s="1"/>
  <c r="P122" i="7" s="1"/>
  <c r="N212" i="7"/>
  <c r="M212" i="7"/>
  <c r="P212" i="7" s="1"/>
  <c r="N167" i="7"/>
  <c r="Q167" i="7" s="1"/>
  <c r="L94" i="7"/>
  <c r="M94" i="7" s="1"/>
  <c r="P94" i="7" s="1"/>
  <c r="L187" i="7"/>
  <c r="M187" i="7" s="1"/>
  <c r="P187" i="7" s="1"/>
  <c r="L106" i="7"/>
  <c r="M106" i="7" s="1"/>
  <c r="P106" i="7" s="1"/>
  <c r="L171" i="7"/>
  <c r="M171" i="7" s="1"/>
  <c r="P171" i="7" s="1"/>
  <c r="N123" i="7"/>
  <c r="Q123" i="7" s="1"/>
  <c r="N193" i="7"/>
  <c r="L132" i="7"/>
  <c r="M132" i="7" s="1"/>
  <c r="P132" i="7" s="1"/>
  <c r="Q217" i="7"/>
  <c r="N115" i="7"/>
  <c r="M42" i="7"/>
  <c r="P42" i="7" s="1"/>
  <c r="N42" i="7"/>
  <c r="M22" i="7"/>
  <c r="P22" i="7" s="1"/>
  <c r="N22" i="7"/>
  <c r="O137" i="7"/>
  <c r="L53" i="7"/>
  <c r="M53" i="7" s="1"/>
  <c r="P53" i="7" s="1"/>
  <c r="O209" i="7"/>
  <c r="O15" i="7"/>
  <c r="N112" i="7"/>
  <c r="N68" i="7"/>
  <c r="L81" i="9"/>
  <c r="M81" i="9" s="1"/>
  <c r="N81" i="9" s="1"/>
  <c r="M551" i="7"/>
  <c r="P551" i="7" s="1"/>
  <c r="N551" i="7"/>
  <c r="L455" i="7"/>
  <c r="Q309" i="7"/>
  <c r="L149" i="7"/>
  <c r="M149" i="7" s="1"/>
  <c r="P149" i="7" s="1"/>
  <c r="L95" i="7"/>
  <c r="L155" i="7"/>
  <c r="M155" i="7" s="1"/>
  <c r="P155" i="7" s="1"/>
  <c r="L9" i="7"/>
  <c r="M9" i="7" s="1"/>
  <c r="P9" i="7" s="1"/>
  <c r="L56" i="9"/>
  <c r="M56" i="9" s="1"/>
  <c r="N56" i="9" s="1"/>
  <c r="M76" i="9"/>
  <c r="N76" i="9" s="1"/>
  <c r="I8" i="9"/>
  <c r="J8" i="9" s="1"/>
  <c r="L607" i="7"/>
  <c r="M607" i="7" s="1"/>
  <c r="P607" i="7" s="1"/>
  <c r="L84" i="9"/>
  <c r="M84" i="9" s="1"/>
  <c r="N84" i="9" s="1"/>
  <c r="L109" i="9"/>
  <c r="M109" i="9" s="1"/>
  <c r="N109" i="9" s="1"/>
  <c r="M24" i="9"/>
  <c r="N24" i="9" s="1"/>
  <c r="O666" i="7"/>
  <c r="L656" i="7"/>
  <c r="M656" i="7" s="1"/>
  <c r="P656" i="7" s="1"/>
  <c r="N652" i="7"/>
  <c r="L665" i="7"/>
  <c r="M665" i="7" s="1"/>
  <c r="P665" i="7" s="1"/>
  <c r="N620" i="7"/>
  <c r="L552" i="7"/>
  <c r="M552" i="7" s="1"/>
  <c r="P552" i="7" s="1"/>
  <c r="N646" i="7"/>
  <c r="N597" i="7"/>
  <c r="M597" i="7"/>
  <c r="P597" i="7" s="1"/>
  <c r="O615" i="7"/>
  <c r="Q517" i="7"/>
  <c r="O517" i="7"/>
  <c r="L493" i="7"/>
  <c r="M493" i="7" s="1"/>
  <c r="P493" i="7" s="1"/>
  <c r="O569" i="7"/>
  <c r="N604" i="7"/>
  <c r="L566" i="7"/>
  <c r="O570" i="7"/>
  <c r="Q601" i="7"/>
  <c r="O601" i="7"/>
  <c r="O550" i="7"/>
  <c r="N586" i="7"/>
  <c r="Q586" i="7" s="1"/>
  <c r="O485" i="7"/>
  <c r="O494" i="7"/>
  <c r="N505" i="7"/>
  <c r="L509" i="7"/>
  <c r="M509" i="7" s="1"/>
  <c r="P509" i="7" s="1"/>
  <c r="L542" i="7"/>
  <c r="M542" i="7" s="1"/>
  <c r="P542" i="7" s="1"/>
  <c r="L514" i="7"/>
  <c r="M514" i="7" s="1"/>
  <c r="P514" i="7" s="1"/>
  <c r="N514" i="7"/>
  <c r="Q514" i="7" s="1"/>
  <c r="N410" i="7"/>
  <c r="N452" i="7"/>
  <c r="O390" i="7"/>
  <c r="Q318" i="7"/>
  <c r="O318" i="7"/>
  <c r="L402" i="7"/>
  <c r="M402" i="7" s="1"/>
  <c r="P402" i="7" s="1"/>
  <c r="N390" i="7"/>
  <c r="Q390" i="7" s="1"/>
  <c r="L329" i="7"/>
  <c r="M329" i="7" s="1"/>
  <c r="P329" i="7" s="1"/>
  <c r="O292" i="7"/>
  <c r="O384" i="7"/>
  <c r="L379" i="7"/>
  <c r="M379" i="7" s="1"/>
  <c r="P379" i="7" s="1"/>
  <c r="N259" i="7"/>
  <c r="O315" i="7"/>
  <c r="O270" i="7"/>
  <c r="L202" i="7"/>
  <c r="M202" i="7" s="1"/>
  <c r="P202" i="7" s="1"/>
  <c r="N380" i="7"/>
  <c r="O338" i="7"/>
  <c r="L293" i="7"/>
  <c r="M293" i="7" s="1"/>
  <c r="P293" i="7" s="1"/>
  <c r="N244" i="7"/>
  <c r="M244" i="7"/>
  <c r="P244" i="7" s="1"/>
  <c r="N280" i="7"/>
  <c r="O327" i="7"/>
  <c r="O363" i="7"/>
  <c r="O305" i="7"/>
  <c r="O189" i="7"/>
  <c r="N172" i="7"/>
  <c r="L82" i="7"/>
  <c r="M82" i="7" s="1"/>
  <c r="P82" i="7" s="1"/>
  <c r="L195" i="7"/>
  <c r="N159" i="7"/>
  <c r="O122" i="7"/>
  <c r="L91" i="7"/>
  <c r="L158" i="7"/>
  <c r="M158" i="7" s="1"/>
  <c r="P158" i="7" s="1"/>
  <c r="N73" i="7"/>
  <c r="O239" i="7"/>
  <c r="O339" i="7"/>
  <c r="L164" i="7"/>
  <c r="M164" i="7" s="1"/>
  <c r="P164" i="7" s="1"/>
  <c r="N70" i="7"/>
  <c r="L33" i="7"/>
  <c r="M33" i="7" s="1"/>
  <c r="P33" i="7" s="1"/>
  <c r="N84" i="7"/>
  <c r="M38" i="7"/>
  <c r="P38" i="7" s="1"/>
  <c r="N38" i="7"/>
  <c r="L126" i="7"/>
  <c r="M126" i="7" s="1"/>
  <c r="P126" i="7" s="1"/>
  <c r="N126" i="7"/>
  <c r="Q126" i="7" s="1"/>
  <c r="N67" i="7"/>
  <c r="Q67" i="7" s="1"/>
  <c r="L67" i="7"/>
  <c r="M67" i="7" s="1"/>
  <c r="P67" i="7" s="1"/>
  <c r="N175" i="7"/>
  <c r="N99" i="7"/>
  <c r="Q99" i="7" s="1"/>
  <c r="O10" i="7"/>
  <c r="L45" i="7"/>
  <c r="M45" i="7" s="1"/>
  <c r="P45" i="7" s="1"/>
  <c r="N45" i="7"/>
  <c r="Q45" i="7" s="1"/>
  <c r="N120" i="7"/>
  <c r="N52" i="7"/>
  <c r="O7" i="7"/>
  <c r="N60" i="7"/>
  <c r="Q16" i="7"/>
  <c r="O16" i="7"/>
  <c r="O75" i="7"/>
  <c r="L13" i="7"/>
  <c r="M13" i="7" s="1"/>
  <c r="P13" i="7" s="1"/>
  <c r="L139" i="7"/>
  <c r="L194" i="7"/>
  <c r="M194" i="7" s="1"/>
  <c r="P194" i="7" s="1"/>
  <c r="O116" i="7"/>
  <c r="I38" i="9"/>
  <c r="J38" i="9" s="1"/>
  <c r="L47" i="9"/>
  <c r="M47" i="9" s="1"/>
  <c r="N47" i="9" s="1"/>
  <c r="L58" i="9"/>
  <c r="M58" i="9" s="1"/>
  <c r="N58" i="9" s="1"/>
  <c r="L27" i="9"/>
  <c r="M27" i="9" s="1"/>
  <c r="N27" i="9" s="1"/>
  <c r="L113" i="9"/>
  <c r="M113" i="9" s="1"/>
  <c r="N113" i="9" s="1"/>
  <c r="L104" i="9"/>
  <c r="M104" i="9" s="1"/>
  <c r="N104" i="9" s="1"/>
  <c r="L95" i="9"/>
  <c r="M95" i="9" s="1"/>
  <c r="N95" i="9" s="1"/>
  <c r="L73" i="9"/>
  <c r="M73" i="9" s="1"/>
  <c r="N73" i="9" s="1"/>
  <c r="M108" i="9"/>
  <c r="N108" i="9" s="1"/>
  <c r="L110" i="9"/>
  <c r="M110" i="9" s="1"/>
  <c r="N110" i="9" s="1"/>
  <c r="L34" i="9"/>
  <c r="M34" i="9" s="1"/>
  <c r="N34" i="9" s="1"/>
  <c r="L72" i="9"/>
  <c r="M72" i="9" s="1"/>
  <c r="N72" i="9" s="1"/>
  <c r="L103" i="9"/>
  <c r="M103" i="9" s="1"/>
  <c r="N103" i="9" s="1"/>
  <c r="J36" i="9"/>
  <c r="L12" i="9"/>
  <c r="M12" i="9" s="1"/>
  <c r="N12" i="9" s="1"/>
  <c r="L26" i="9"/>
  <c r="M26" i="9" s="1"/>
  <c r="N26" i="9" s="1"/>
  <c r="N648" i="7"/>
  <c r="M648" i="7"/>
  <c r="P648" i="7" s="1"/>
  <c r="O658" i="7"/>
  <c r="L651" i="7"/>
  <c r="M651" i="7" s="1"/>
  <c r="P651" i="7" s="1"/>
  <c r="O590" i="7"/>
  <c r="N626" i="7"/>
  <c r="L664" i="7"/>
  <c r="L654" i="7"/>
  <c r="M654" i="7" s="1"/>
  <c r="P654" i="7" s="1"/>
  <c r="O611" i="7"/>
  <c r="M653" i="7"/>
  <c r="P653" i="7" s="1"/>
  <c r="N653" i="7"/>
  <c r="N567" i="7"/>
  <c r="L600" i="7"/>
  <c r="M600" i="7" s="1"/>
  <c r="P600" i="7" s="1"/>
  <c r="L481" i="7"/>
  <c r="M481" i="7" s="1"/>
  <c r="P481" i="7" s="1"/>
  <c r="N599" i="7"/>
  <c r="L531" i="7"/>
  <c r="M531" i="7" s="1"/>
  <c r="P531" i="7" s="1"/>
  <c r="N655" i="7"/>
  <c r="N591" i="7"/>
  <c r="L546" i="7"/>
  <c r="M546" i="7" s="1"/>
  <c r="P546" i="7" s="1"/>
  <c r="N643" i="7"/>
  <c r="L568" i="7"/>
  <c r="M568" i="7" s="1"/>
  <c r="P568" i="7" s="1"/>
  <c r="L544" i="7"/>
  <c r="M544" i="7" s="1"/>
  <c r="P544" i="7" s="1"/>
  <c r="L582" i="7"/>
  <c r="N513" i="7"/>
  <c r="L495" i="7"/>
  <c r="M495" i="7" s="1"/>
  <c r="P495" i="7" s="1"/>
  <c r="N477" i="7"/>
  <c r="L510" i="7"/>
  <c r="M510" i="7" s="1"/>
  <c r="P510" i="7" s="1"/>
  <c r="M466" i="7"/>
  <c r="P466" i="7" s="1"/>
  <c r="N466" i="7"/>
  <c r="N543" i="7"/>
  <c r="N480" i="7"/>
  <c r="Q480" i="7" s="1"/>
  <c r="L480" i="7"/>
  <c r="M480" i="7" s="1"/>
  <c r="P480" i="7" s="1"/>
  <c r="Q536" i="7"/>
  <c r="O536" i="7"/>
  <c r="L405" i="7"/>
  <c r="N365" i="7"/>
  <c r="N450" i="7"/>
  <c r="N426" i="7"/>
  <c r="L439" i="7"/>
  <c r="M388" i="7"/>
  <c r="P388" i="7" s="1"/>
  <c r="N388" i="7"/>
  <c r="Q350" i="7"/>
  <c r="O350" i="7"/>
  <c r="Q561" i="7"/>
  <c r="O561" i="7"/>
  <c r="N361" i="7"/>
  <c r="L361" i="7"/>
  <c r="M361" i="7" s="1"/>
  <c r="P361" i="7" s="1"/>
  <c r="O324" i="7"/>
  <c r="O291" i="7"/>
  <c r="N381" i="7"/>
  <c r="O312" i="7"/>
  <c r="N311" i="7"/>
  <c r="L464" i="7"/>
  <c r="M464" i="7" s="1"/>
  <c r="P464" i="7" s="1"/>
  <c r="N423" i="7"/>
  <c r="L206" i="7"/>
  <c r="M206" i="7" s="1"/>
  <c r="P206" i="7" s="1"/>
  <c r="N442" i="7"/>
  <c r="O250" i="7"/>
  <c r="N346" i="7"/>
  <c r="O196" i="7"/>
  <c r="L130" i="7"/>
  <c r="M130" i="7" s="1"/>
  <c r="P130" i="7" s="1"/>
  <c r="N364" i="7"/>
  <c r="N330" i="7"/>
  <c r="O262" i="7"/>
  <c r="L214" i="7"/>
  <c r="M214" i="7" s="1"/>
  <c r="P214" i="7" s="1"/>
  <c r="N314" i="7"/>
  <c r="N267" i="7"/>
  <c r="N238" i="7"/>
  <c r="N231" i="7"/>
  <c r="O184" i="7"/>
  <c r="N213" i="7"/>
  <c r="L135" i="7"/>
  <c r="M135" i="7" s="1"/>
  <c r="P135" i="7" s="1"/>
  <c r="N135" i="7"/>
  <c r="Q135" i="7" s="1"/>
  <c r="N208" i="7"/>
  <c r="L154" i="7"/>
  <c r="M154" i="7" s="1"/>
  <c r="P154" i="7" s="1"/>
  <c r="N360" i="7"/>
  <c r="N156" i="7"/>
  <c r="L117" i="7"/>
  <c r="M117" i="7" s="1"/>
  <c r="P117" i="7" s="1"/>
  <c r="O87" i="7"/>
  <c r="N181" i="7"/>
  <c r="Q181" i="7" s="1"/>
  <c r="L181" i="7"/>
  <c r="M181" i="7" s="1"/>
  <c r="P181" i="7" s="1"/>
  <c r="L125" i="7"/>
  <c r="M125" i="7" s="1"/>
  <c r="P125" i="7" s="1"/>
  <c r="N103" i="7"/>
  <c r="L62" i="7"/>
  <c r="M62" i="7" s="1"/>
  <c r="P62" i="7" s="1"/>
  <c r="N62" i="7"/>
  <c r="N226" i="7"/>
  <c r="L109" i="7"/>
  <c r="M109" i="7" s="1"/>
  <c r="P109" i="7" s="1"/>
  <c r="N71" i="7"/>
  <c r="N236" i="7"/>
  <c r="L183" i="7"/>
  <c r="N121" i="7"/>
  <c r="N300" i="7"/>
  <c r="Q40" i="7"/>
  <c r="O40" i="7"/>
  <c r="M14" i="7"/>
  <c r="P14" i="7" s="1"/>
  <c r="N14" i="7"/>
  <c r="O126" i="7"/>
  <c r="N51" i="7"/>
  <c r="L17" i="7"/>
  <c r="M17" i="7" s="1"/>
  <c r="P17" i="7" s="1"/>
  <c r="L170" i="7"/>
  <c r="M170" i="7" s="1"/>
  <c r="P170" i="7" s="1"/>
  <c r="O89" i="7"/>
  <c r="L49" i="7"/>
  <c r="M49" i="7" s="1"/>
  <c r="P49" i="7" s="1"/>
  <c r="L21" i="7"/>
  <c r="M21" i="7" s="1"/>
  <c r="P21" i="7" s="1"/>
  <c r="N166" i="7"/>
  <c r="N63" i="7"/>
  <c r="N266" i="7"/>
  <c r="Q642" i="7"/>
  <c r="O642" i="7"/>
  <c r="N534" i="7"/>
  <c r="M534" i="7"/>
  <c r="P534" i="7" s="1"/>
  <c r="O476" i="7"/>
  <c r="N343" i="7"/>
  <c r="Q221" i="7"/>
  <c r="O221" i="7"/>
  <c r="M215" i="7"/>
  <c r="P215" i="7" s="1"/>
  <c r="N215" i="7"/>
  <c r="Q97" i="7"/>
  <c r="O97" i="7"/>
  <c r="Q32" i="7"/>
  <c r="O32" i="7"/>
  <c r="Q8" i="7"/>
  <c r="O8" i="7"/>
  <c r="L42" i="9"/>
  <c r="M42" i="9" s="1"/>
  <c r="N42" i="9" s="1"/>
  <c r="L79" i="9"/>
  <c r="M79" i="9" s="1"/>
  <c r="N79" i="9" s="1"/>
  <c r="L61" i="9"/>
  <c r="M61" i="9" s="1"/>
  <c r="N61" i="9" s="1"/>
  <c r="L114" i="9"/>
  <c r="M114" i="9" s="1"/>
  <c r="N114" i="9" s="1"/>
  <c r="L92" i="9"/>
  <c r="M92" i="9" s="1"/>
  <c r="N92" i="9" s="1"/>
  <c r="L31" i="9"/>
  <c r="M31" i="9" s="1"/>
  <c r="N31" i="9" s="1"/>
  <c r="I30" i="9"/>
  <c r="J30" i="9" s="1"/>
  <c r="L647" i="7"/>
  <c r="M647" i="7" s="1"/>
  <c r="P647" i="7" s="1"/>
  <c r="Q631" i="7"/>
  <c r="O631" i="7"/>
  <c r="O602" i="7"/>
  <c r="L650" i="7"/>
  <c r="M650" i="7" s="1"/>
  <c r="P650" i="7" s="1"/>
  <c r="L618" i="7"/>
  <c r="M618" i="7" s="1"/>
  <c r="P618" i="7" s="1"/>
  <c r="O557" i="7"/>
  <c r="L449" i="7"/>
  <c r="M449" i="7" s="1"/>
  <c r="P449" i="7" s="1"/>
  <c r="O562" i="7"/>
  <c r="L587" i="7"/>
  <c r="M587" i="7" s="1"/>
  <c r="P587" i="7" s="1"/>
  <c r="O444" i="7"/>
  <c r="N465" i="7"/>
  <c r="Q465" i="7" s="1"/>
  <c r="L465" i="7"/>
  <c r="M465" i="7" s="1"/>
  <c r="P465" i="7" s="1"/>
  <c r="L459" i="7"/>
  <c r="N483" i="7"/>
  <c r="M483" i="7"/>
  <c r="P483" i="7" s="1"/>
  <c r="L555" i="7"/>
  <c r="M555" i="7" s="1"/>
  <c r="P555" i="7" s="1"/>
  <c r="N555" i="7"/>
  <c r="Q555" i="7" s="1"/>
  <c r="L502" i="7"/>
  <c r="N539" i="7"/>
  <c r="L507" i="7"/>
  <c r="M507" i="7" s="1"/>
  <c r="P507" i="7" s="1"/>
  <c r="O480" i="7"/>
  <c r="N530" i="7"/>
  <c r="N447" i="7"/>
  <c r="Q447" i="7" s="1"/>
  <c r="N422" i="7"/>
  <c r="L375" i="7"/>
  <c r="M375" i="7" s="1"/>
  <c r="P375" i="7" s="1"/>
  <c r="N473" i="7"/>
  <c r="N520" i="7"/>
  <c r="Q520" i="7" s="1"/>
  <c r="L520" i="7"/>
  <c r="M520" i="7" s="1"/>
  <c r="P520" i="7" s="1"/>
  <c r="O356" i="7"/>
  <c r="L289" i="7"/>
  <c r="M289" i="7" s="1"/>
  <c r="P289" i="7" s="1"/>
  <c r="L371" i="7"/>
  <c r="M371" i="7" s="1"/>
  <c r="P371" i="7" s="1"/>
  <c r="N291" i="7"/>
  <c r="Q291" i="7" s="1"/>
  <c r="M372" i="7"/>
  <c r="P372" i="7" s="1"/>
  <c r="N372" i="7"/>
  <c r="Q302" i="7"/>
  <c r="O302" i="7"/>
  <c r="O333" i="7"/>
  <c r="Q279" i="7"/>
  <c r="O279" i="7"/>
  <c r="N260" i="7"/>
  <c r="M260" i="7"/>
  <c r="P260" i="7" s="1"/>
  <c r="Q237" i="7"/>
  <c r="O237" i="7"/>
  <c r="O211" i="7"/>
  <c r="O475" i="7"/>
  <c r="N358" i="7"/>
  <c r="L319" i="7"/>
  <c r="M319" i="7" s="1"/>
  <c r="P319" i="7" s="1"/>
  <c r="N265" i="7"/>
  <c r="N233" i="7"/>
  <c r="O460" i="7"/>
  <c r="O224" i="7"/>
  <c r="O173" i="7"/>
  <c r="O374" i="7"/>
  <c r="L119" i="7"/>
  <c r="M119" i="7" s="1"/>
  <c r="P119" i="7" s="1"/>
  <c r="L357" i="7"/>
  <c r="M357" i="7" s="1"/>
  <c r="P357" i="7" s="1"/>
  <c r="N176" i="7"/>
  <c r="L102" i="7"/>
  <c r="M102" i="7" s="1"/>
  <c r="P102" i="7" s="1"/>
  <c r="N102" i="7"/>
  <c r="L57" i="7"/>
  <c r="M57" i="7" s="1"/>
  <c r="P57" i="7" s="1"/>
  <c r="O197" i="7"/>
  <c r="N153" i="7"/>
  <c r="N107" i="7"/>
  <c r="L157" i="7"/>
  <c r="O118" i="7"/>
  <c r="O65" i="7"/>
  <c r="N74" i="7"/>
  <c r="O36" i="7"/>
  <c r="N100" i="7"/>
  <c r="Q100" i="7" s="1"/>
  <c r="L100" i="7"/>
  <c r="M100" i="7" s="1"/>
  <c r="P100" i="7" s="1"/>
  <c r="N78" i="7"/>
  <c r="N370" i="7"/>
  <c r="O43" i="7"/>
  <c r="N24" i="7"/>
  <c r="L660" i="7"/>
  <c r="M660" i="7" s="1"/>
  <c r="P660" i="7" s="1"/>
  <c r="Q538" i="7"/>
  <c r="O538" i="7"/>
  <c r="L418" i="7"/>
  <c r="M418" i="7" s="1"/>
  <c r="P418" i="7" s="1"/>
  <c r="N418" i="7"/>
  <c r="Q273" i="7"/>
  <c r="O273" i="7"/>
  <c r="L29" i="7"/>
  <c r="M29" i="7" s="1"/>
  <c r="P29" i="7" s="1"/>
  <c r="K17" i="9"/>
  <c r="L17" i="9"/>
  <c r="M17" i="9" s="1"/>
  <c r="N17" i="9" s="1"/>
  <c r="O627" i="7"/>
  <c r="N644" i="7"/>
  <c r="M644" i="7"/>
  <c r="P644" i="7" s="1"/>
  <c r="L657" i="7"/>
  <c r="M657" i="7" s="1"/>
  <c r="P657" i="7" s="1"/>
  <c r="N657" i="7"/>
  <c r="Q657" i="7" s="1"/>
  <c r="L592" i="7"/>
  <c r="M592" i="7" s="1"/>
  <c r="P592" i="7" s="1"/>
  <c r="N629" i="7"/>
  <c r="Q629" i="7" s="1"/>
  <c r="L629" i="7"/>
  <c r="M629" i="7" s="1"/>
  <c r="P629" i="7" s="1"/>
  <c r="L608" i="7"/>
  <c r="M608" i="7" s="1"/>
  <c r="P608" i="7" s="1"/>
  <c r="Q565" i="7"/>
  <c r="O565" i="7"/>
  <c r="L554" i="7"/>
  <c r="M554" i="7" s="1"/>
  <c r="P554" i="7" s="1"/>
  <c r="L556" i="7"/>
  <c r="M556" i="7" s="1"/>
  <c r="P556" i="7" s="1"/>
  <c r="L525" i="7"/>
  <c r="M525" i="7" s="1"/>
  <c r="P525" i="7" s="1"/>
  <c r="N639" i="7"/>
  <c r="L560" i="7"/>
  <c r="M560" i="7" s="1"/>
  <c r="P560" i="7" s="1"/>
  <c r="O540" i="7"/>
  <c r="O504" i="7"/>
  <c r="Q456" i="7"/>
  <c r="O456" i="7"/>
  <c r="O419" i="7"/>
  <c r="O463" i="7"/>
  <c r="N638" i="7"/>
  <c r="L478" i="7"/>
  <c r="M478" i="7" s="1"/>
  <c r="P478" i="7" s="1"/>
  <c r="N478" i="7"/>
  <c r="Q478" i="7" s="1"/>
  <c r="O415" i="7"/>
  <c r="L425" i="7"/>
  <c r="M425" i="7" s="1"/>
  <c r="P425" i="7" s="1"/>
  <c r="Q397" i="7"/>
  <c r="O397" i="7"/>
  <c r="L383" i="7"/>
  <c r="M383" i="7" s="1"/>
  <c r="P383" i="7" s="1"/>
  <c r="L288" i="7"/>
  <c r="M288" i="7" s="1"/>
  <c r="P288" i="7" s="1"/>
  <c r="N424" i="7"/>
  <c r="Q424" i="7" s="1"/>
  <c r="L424" i="7"/>
  <c r="M424" i="7" s="1"/>
  <c r="P424" i="7" s="1"/>
  <c r="O506" i="7"/>
  <c r="N395" i="7"/>
  <c r="L457" i="7"/>
  <c r="M457" i="7" s="1"/>
  <c r="P457" i="7" s="1"/>
  <c r="L190" i="7"/>
  <c r="M190" i="7" s="1"/>
  <c r="P190" i="7" s="1"/>
  <c r="Q396" i="7"/>
  <c r="O396" i="7"/>
  <c r="L178" i="7"/>
  <c r="M178" i="7" s="1"/>
  <c r="P178" i="7" s="1"/>
  <c r="N178" i="7"/>
  <c r="L114" i="7"/>
  <c r="M114" i="7" s="1"/>
  <c r="P114" i="7" s="1"/>
  <c r="O167" i="7"/>
  <c r="O272" i="7"/>
  <c r="L427" i="7"/>
  <c r="N342" i="7"/>
  <c r="N284" i="7"/>
  <c r="Q263" i="7"/>
  <c r="O263" i="7"/>
  <c r="L141" i="7"/>
  <c r="M141" i="7" s="1"/>
  <c r="P141" i="7" s="1"/>
  <c r="N141" i="7"/>
  <c r="Q141" i="7" s="1"/>
  <c r="O295" i="7"/>
  <c r="L186" i="7"/>
  <c r="M186" i="7" s="1"/>
  <c r="P186" i="7" s="1"/>
  <c r="L148" i="7"/>
  <c r="M148" i="7" s="1"/>
  <c r="P148" i="7" s="1"/>
  <c r="L180" i="7"/>
  <c r="M180" i="7" s="1"/>
  <c r="P180" i="7" s="1"/>
  <c r="N180" i="7"/>
  <c r="Q180" i="7" s="1"/>
  <c r="N203" i="7"/>
  <c r="Q203" i="7" s="1"/>
  <c r="M46" i="7"/>
  <c r="P46" i="7" s="1"/>
  <c r="N46" i="7"/>
  <c r="N72" i="7"/>
  <c r="Q229" i="7"/>
  <c r="M26" i="7"/>
  <c r="P26" i="7" s="1"/>
  <c r="N26" i="7"/>
  <c r="L41" i="7"/>
  <c r="M41" i="7" s="1"/>
  <c r="P41" i="7" s="1"/>
  <c r="N116" i="7"/>
  <c r="Q116" i="7" s="1"/>
  <c r="L116" i="7"/>
  <c r="M116" i="7" s="1"/>
  <c r="P116" i="7" s="1"/>
  <c r="N48" i="7"/>
  <c r="K52" i="9" l="1"/>
  <c r="L52" i="9"/>
  <c r="Q12" i="7"/>
  <c r="O12" i="7"/>
  <c r="N553" i="7"/>
  <c r="M553" i="7"/>
  <c r="P553" i="7" s="1"/>
  <c r="Q400" i="7"/>
  <c r="O400" i="7"/>
  <c r="Q276" i="7"/>
  <c r="O276" i="7"/>
  <c r="Q50" i="7"/>
  <c r="O50" i="7"/>
  <c r="M269" i="7"/>
  <c r="P269" i="7" s="1"/>
  <c r="N269" i="7"/>
  <c r="Q182" i="7"/>
  <c r="O182" i="7"/>
  <c r="M524" i="7"/>
  <c r="P524" i="7" s="1"/>
  <c r="N524" i="7"/>
  <c r="Q69" i="7"/>
  <c r="O69" i="7"/>
  <c r="Q558" i="7"/>
  <c r="O558" i="7"/>
  <c r="O355" i="7"/>
  <c r="N125" i="7"/>
  <c r="Q125" i="7" s="1"/>
  <c r="N154" i="7"/>
  <c r="Q154" i="7" s="1"/>
  <c r="N623" i="7"/>
  <c r="O143" i="7"/>
  <c r="O354" i="7"/>
  <c r="Q205" i="7"/>
  <c r="O205" i="7"/>
  <c r="Q378" i="7"/>
  <c r="O378" i="7"/>
  <c r="N630" i="7"/>
  <c r="Q468" i="7"/>
  <c r="O468" i="7"/>
  <c r="Q34" i="7"/>
  <c r="O34" i="7"/>
  <c r="O235" i="7"/>
  <c r="N457" i="7"/>
  <c r="Q457" i="7" s="1"/>
  <c r="N592" i="7"/>
  <c r="Q592" i="7" s="1"/>
  <c r="O123" i="7"/>
  <c r="O45" i="7"/>
  <c r="O435" i="7"/>
  <c r="O47" i="7"/>
  <c r="N171" i="7"/>
  <c r="Q171" i="7" s="1"/>
  <c r="O443" i="7"/>
  <c r="N434" i="7"/>
  <c r="Q434" i="7" s="1"/>
  <c r="N527" i="7"/>
  <c r="O227" i="7"/>
  <c r="O344" i="7"/>
  <c r="N469" i="7"/>
  <c r="Q469" i="7" s="1"/>
  <c r="O179" i="7"/>
  <c r="N411" i="7"/>
  <c r="Q411" i="7" s="1"/>
  <c r="M93" i="9"/>
  <c r="N93" i="9" s="1"/>
  <c r="M347" i="7"/>
  <c r="P347" i="7" s="1"/>
  <c r="N347" i="7"/>
  <c r="M598" i="7"/>
  <c r="P598" i="7" s="1"/>
  <c r="N598" i="7"/>
  <c r="Q412" i="7"/>
  <c r="O412" i="7"/>
  <c r="Q526" i="7"/>
  <c r="O526" i="7"/>
  <c r="N440" i="7"/>
  <c r="M663" i="7"/>
  <c r="P663" i="7" s="1"/>
  <c r="N663" i="7"/>
  <c r="Q467" i="7"/>
  <c r="O467" i="7"/>
  <c r="N432" i="7"/>
  <c r="M253" i="7"/>
  <c r="P253" i="7" s="1"/>
  <c r="N253" i="7"/>
  <c r="M628" i="7"/>
  <c r="P628" i="7" s="1"/>
  <c r="N628" i="7"/>
  <c r="N248" i="7"/>
  <c r="Q83" i="7"/>
  <c r="O83" i="7"/>
  <c r="Q649" i="7"/>
  <c r="O649" i="7"/>
  <c r="Q511" i="7"/>
  <c r="O511" i="7"/>
  <c r="M40" i="9"/>
  <c r="N40" i="9" s="1"/>
  <c r="M112" i="9"/>
  <c r="N112" i="9" s="1"/>
  <c r="Q136" i="7"/>
  <c r="O136" i="7"/>
  <c r="N329" i="7"/>
  <c r="O377" i="7"/>
  <c r="N297" i="7"/>
  <c r="O514" i="7"/>
  <c r="N351" i="7"/>
  <c r="N438" i="7"/>
  <c r="N286" i="7"/>
  <c r="N441" i="7"/>
  <c r="Q168" i="7"/>
  <c r="O168" i="7"/>
  <c r="Q622" i="7"/>
  <c r="O622" i="7"/>
  <c r="Q35" i="7"/>
  <c r="O35" i="7"/>
  <c r="M470" i="7"/>
  <c r="P470" i="7" s="1"/>
  <c r="N470" i="7"/>
  <c r="O223" i="7"/>
  <c r="N29" i="7"/>
  <c r="Q29" i="7" s="1"/>
  <c r="N618" i="7"/>
  <c r="Q618" i="7" s="1"/>
  <c r="N510" i="7"/>
  <c r="Q510" i="7" s="1"/>
  <c r="N402" i="7"/>
  <c r="Q402" i="7" s="1"/>
  <c r="O453" i="7"/>
  <c r="N53" i="7"/>
  <c r="N278" i="7"/>
  <c r="O61" i="7"/>
  <c r="N393" i="7"/>
  <c r="Q393" i="7" s="1"/>
  <c r="N376" i="7"/>
  <c r="Q80" i="7"/>
  <c r="O80" i="7"/>
  <c r="Q218" i="7"/>
  <c r="O218" i="7"/>
  <c r="Q640" i="7"/>
  <c r="O640" i="7"/>
  <c r="M576" i="7"/>
  <c r="P576" i="7" s="1"/>
  <c r="N576" i="7"/>
  <c r="Q548" i="7"/>
  <c r="O548" i="7"/>
  <c r="M659" i="7"/>
  <c r="P659" i="7" s="1"/>
  <c r="N659" i="7"/>
  <c r="N479" i="7"/>
  <c r="M353" i="7"/>
  <c r="P353" i="7" s="1"/>
  <c r="N353" i="7"/>
  <c r="M359" i="7"/>
  <c r="P359" i="7" s="1"/>
  <c r="N359" i="7"/>
  <c r="M88" i="9"/>
  <c r="N88" i="9" s="1"/>
  <c r="O141" i="7"/>
  <c r="Q285" i="7"/>
  <c r="O285" i="7"/>
  <c r="O573" i="7"/>
  <c r="Q573" i="7"/>
  <c r="M431" i="7"/>
  <c r="P431" i="7" s="1"/>
  <c r="N431" i="7"/>
  <c r="Q177" i="7"/>
  <c r="O177" i="7"/>
  <c r="Q304" i="7"/>
  <c r="O304" i="7"/>
  <c r="Q486" i="7"/>
  <c r="O486" i="7"/>
  <c r="O92" i="7"/>
  <c r="N651" i="7"/>
  <c r="N82" i="7"/>
  <c r="O445" i="7"/>
  <c r="N389" i="7"/>
  <c r="M241" i="7"/>
  <c r="P241" i="7" s="1"/>
  <c r="N241" i="7"/>
  <c r="K43" i="9"/>
  <c r="L43" i="9"/>
  <c r="M43" i="9" s="1"/>
  <c r="N43" i="9" s="1"/>
  <c r="Q482" i="7"/>
  <c r="O482" i="7"/>
  <c r="O282" i="7"/>
  <c r="Q282" i="7"/>
  <c r="Q20" i="7"/>
  <c r="O20" i="7"/>
  <c r="N416" i="7"/>
  <c r="Q392" i="7"/>
  <c r="O392" i="7"/>
  <c r="N417" i="7"/>
  <c r="Q523" i="7"/>
  <c r="O523" i="7"/>
  <c r="Q161" i="7"/>
  <c r="O161" i="7"/>
  <c r="O520" i="7"/>
  <c r="N608" i="7"/>
  <c r="Q608" i="7" s="1"/>
  <c r="N57" i="7"/>
  <c r="O57" i="7" s="1"/>
  <c r="N587" i="7"/>
  <c r="Q587" i="7" s="1"/>
  <c r="N650" i="7"/>
  <c r="N495" i="7"/>
  <c r="N33" i="7"/>
  <c r="Q33" i="7" s="1"/>
  <c r="N158" i="7"/>
  <c r="N665" i="7"/>
  <c r="Q665" i="7" s="1"/>
  <c r="N132" i="7"/>
  <c r="N490" i="7"/>
  <c r="Q490" i="7" s="1"/>
  <c r="O251" i="7"/>
  <c r="N547" i="7"/>
  <c r="M82" i="9"/>
  <c r="N82" i="9" s="1"/>
  <c r="N545" i="7"/>
  <c r="M108" i="7"/>
  <c r="P108" i="7" s="1"/>
  <c r="N108" i="7"/>
  <c r="Q606" i="7"/>
  <c r="O606" i="7"/>
  <c r="Q268" i="7"/>
  <c r="O268" i="7"/>
  <c r="O489" i="7"/>
  <c r="N264" i="7"/>
  <c r="M472" i="7"/>
  <c r="P472" i="7" s="1"/>
  <c r="N472" i="7"/>
  <c r="N316" i="7"/>
  <c r="N401" i="7"/>
  <c r="Q328" i="7"/>
  <c r="O328" i="7"/>
  <c r="M83" i="9"/>
  <c r="N83" i="9" s="1"/>
  <c r="Q131" i="7"/>
  <c r="O131" i="7"/>
  <c r="O421" i="7"/>
  <c r="O603" i="7"/>
  <c r="N187" i="7"/>
  <c r="Q187" i="7" s="1"/>
  <c r="O99" i="7"/>
  <c r="N634" i="7"/>
  <c r="O588" i="7"/>
  <c r="Q577" i="7"/>
  <c r="O577" i="7"/>
  <c r="Q428" i="7"/>
  <c r="O428" i="7"/>
  <c r="O617" i="7"/>
  <c r="M366" i="7"/>
  <c r="P366" i="7" s="1"/>
  <c r="N366" i="7"/>
  <c r="Q294" i="7"/>
  <c r="O294" i="7"/>
  <c r="N232" i="7"/>
  <c r="M299" i="7"/>
  <c r="P299" i="7" s="1"/>
  <c r="N299" i="7"/>
  <c r="N150" i="7"/>
  <c r="M48" i="9"/>
  <c r="N48" i="9" s="1"/>
  <c r="K116" i="9"/>
  <c r="L116" i="9"/>
  <c r="H7" i="4"/>
  <c r="K21" i="9"/>
  <c r="L21" i="9"/>
  <c r="Q51" i="7"/>
  <c r="O51" i="7"/>
  <c r="Q42" i="7"/>
  <c r="O42" i="7"/>
  <c r="Q340" i="7"/>
  <c r="O340" i="7"/>
  <c r="Q535" i="7"/>
  <c r="O535" i="7"/>
  <c r="Q616" i="7"/>
  <c r="O616" i="7"/>
  <c r="Q579" i="7"/>
  <c r="O579" i="7"/>
  <c r="Q635" i="7"/>
  <c r="O635" i="7"/>
  <c r="Q113" i="7"/>
  <c r="O113" i="7"/>
  <c r="Q79" i="7"/>
  <c r="O79" i="7"/>
  <c r="M303" i="7"/>
  <c r="P303" i="7" s="1"/>
  <c r="N303" i="7"/>
  <c r="Q528" i="7"/>
  <c r="O528" i="7"/>
  <c r="Q661" i="7"/>
  <c r="O661" i="7"/>
  <c r="Q26" i="7"/>
  <c r="O26" i="7"/>
  <c r="N186" i="7"/>
  <c r="N190" i="7"/>
  <c r="N288" i="7"/>
  <c r="N425" i="7"/>
  <c r="Q638" i="7"/>
  <c r="O638" i="7"/>
  <c r="N560" i="7"/>
  <c r="N554" i="7"/>
  <c r="Q24" i="7"/>
  <c r="O24" i="7"/>
  <c r="Q107" i="7"/>
  <c r="O107" i="7"/>
  <c r="Q176" i="7"/>
  <c r="O176" i="7"/>
  <c r="O478" i="7"/>
  <c r="N49" i="7"/>
  <c r="O67" i="7"/>
  <c r="Q300" i="7"/>
  <c r="O300" i="7"/>
  <c r="Q226" i="7"/>
  <c r="O226" i="7"/>
  <c r="Q208" i="7"/>
  <c r="O208" i="7"/>
  <c r="Q442" i="7"/>
  <c r="O442" i="7"/>
  <c r="Q365" i="7"/>
  <c r="O365" i="7"/>
  <c r="Q466" i="7"/>
  <c r="O466" i="7"/>
  <c r="M582" i="7"/>
  <c r="P582" i="7" s="1"/>
  <c r="N582" i="7"/>
  <c r="Q591" i="7"/>
  <c r="O591" i="7"/>
  <c r="N600" i="7"/>
  <c r="M664" i="7"/>
  <c r="P664" i="7" s="1"/>
  <c r="N664" i="7"/>
  <c r="Q648" i="7"/>
  <c r="O648" i="7"/>
  <c r="O180" i="7"/>
  <c r="O629" i="7"/>
  <c r="Q52" i="7"/>
  <c r="O52" i="7"/>
  <c r="Q244" i="7"/>
  <c r="O244" i="7"/>
  <c r="Q410" i="7"/>
  <c r="O410" i="7"/>
  <c r="N509" i="7"/>
  <c r="Q597" i="7"/>
  <c r="O597" i="7"/>
  <c r="Q652" i="7"/>
  <c r="O652" i="7"/>
  <c r="N607" i="7"/>
  <c r="N9" i="7"/>
  <c r="N93" i="7"/>
  <c r="Q54" i="7"/>
  <c r="O54" i="7"/>
  <c r="N25" i="7"/>
  <c r="Q406" i="7"/>
  <c r="O406" i="7"/>
  <c r="N636" i="7"/>
  <c r="Q88" i="7"/>
  <c r="O88" i="7"/>
  <c r="Q28" i="7"/>
  <c r="O28" i="7"/>
  <c r="Q258" i="7"/>
  <c r="O258" i="7"/>
  <c r="Q420" i="7"/>
  <c r="O420" i="7"/>
  <c r="N533" i="7"/>
  <c r="Q589" i="7"/>
  <c r="O589" i="7"/>
  <c r="O586" i="7"/>
  <c r="Q612" i="7"/>
  <c r="O612" i="7"/>
  <c r="M70" i="9"/>
  <c r="N70" i="9" s="1"/>
  <c r="M55" i="9"/>
  <c r="N55" i="9" s="1"/>
  <c r="M19" i="9"/>
  <c r="N19" i="9" s="1"/>
  <c r="M7" i="4"/>
  <c r="K7" i="4" s="1"/>
  <c r="I7" i="4" s="1"/>
  <c r="Q66" i="7"/>
  <c r="O66" i="7"/>
  <c r="O29" i="7"/>
  <c r="O165" i="7"/>
  <c r="Q163" i="7"/>
  <c r="O163" i="7"/>
  <c r="Q373" i="7"/>
  <c r="O373" i="7"/>
  <c r="Q637" i="7"/>
  <c r="O637" i="7"/>
  <c r="O608" i="7"/>
  <c r="M157" i="7"/>
  <c r="P157" i="7" s="1"/>
  <c r="N157" i="7"/>
  <c r="Q358" i="7"/>
  <c r="O358" i="7"/>
  <c r="Q172" i="7"/>
  <c r="O172" i="7"/>
  <c r="Q329" i="7"/>
  <c r="O329" i="7"/>
  <c r="Q604" i="7"/>
  <c r="O604" i="7"/>
  <c r="Q549" i="7"/>
  <c r="O549" i="7"/>
  <c r="Q207" i="7"/>
  <c r="O207" i="7"/>
  <c r="Q418" i="7"/>
  <c r="O418" i="7"/>
  <c r="Q153" i="7"/>
  <c r="O153" i="7"/>
  <c r="Q238" i="7"/>
  <c r="O238" i="7"/>
  <c r="Q381" i="7"/>
  <c r="O381" i="7"/>
  <c r="Q70" i="7"/>
  <c r="O70" i="7"/>
  <c r="Q515" i="7"/>
  <c r="O515" i="7"/>
  <c r="Q634" i="7"/>
  <c r="O634" i="7"/>
  <c r="N371" i="7"/>
  <c r="Q483" i="7"/>
  <c r="O483" i="7"/>
  <c r="Q14" i="7"/>
  <c r="O14" i="7"/>
  <c r="M183" i="7"/>
  <c r="P183" i="7" s="1"/>
  <c r="N183" i="7"/>
  <c r="N117" i="7"/>
  <c r="Q267" i="7"/>
  <c r="O267" i="7"/>
  <c r="Q364" i="7"/>
  <c r="O364" i="7"/>
  <c r="N206" i="7"/>
  <c r="N544" i="7"/>
  <c r="N13" i="7"/>
  <c r="Q159" i="7"/>
  <c r="O159" i="7"/>
  <c r="N293" i="7"/>
  <c r="N656" i="7"/>
  <c r="K8" i="9"/>
  <c r="L8" i="9"/>
  <c r="N155" i="7"/>
  <c r="Q68" i="7"/>
  <c r="O68" i="7"/>
  <c r="Q212" i="7"/>
  <c r="O212" i="7"/>
  <c r="O469" i="7"/>
  <c r="N537" i="7"/>
  <c r="Q76" i="7"/>
  <c r="O76" i="7"/>
  <c r="Q77" i="7"/>
  <c r="O77" i="7"/>
  <c r="N90" i="7"/>
  <c r="N192" i="7"/>
  <c r="O657" i="7"/>
  <c r="Q39" i="7"/>
  <c r="O39" i="7"/>
  <c r="Q111" i="7"/>
  <c r="O111" i="7"/>
  <c r="Q44" i="7"/>
  <c r="O44" i="7"/>
  <c r="O393" i="7"/>
  <c r="O409" i="7"/>
  <c r="O447" i="7"/>
  <c r="Q532" i="7"/>
  <c r="O532" i="7"/>
  <c r="Q368" i="7"/>
  <c r="O368" i="7"/>
  <c r="Q266" i="7"/>
  <c r="O266" i="7"/>
  <c r="Q121" i="7"/>
  <c r="O121" i="7"/>
  <c r="M405" i="7"/>
  <c r="P405" i="7" s="1"/>
  <c r="N405" i="7"/>
  <c r="O505" i="7"/>
  <c r="Q505" i="7"/>
  <c r="O138" i="7"/>
  <c r="Q473" i="7"/>
  <c r="O473" i="7"/>
  <c r="O555" i="7"/>
  <c r="N525" i="7"/>
  <c r="Q370" i="7"/>
  <c r="O370" i="7"/>
  <c r="Q57" i="7"/>
  <c r="N357" i="7"/>
  <c r="Q233" i="7"/>
  <c r="O233" i="7"/>
  <c r="M459" i="7"/>
  <c r="P459" i="7" s="1"/>
  <c r="N459" i="7"/>
  <c r="Q343" i="7"/>
  <c r="O343" i="7"/>
  <c r="Q63" i="7"/>
  <c r="O63" i="7"/>
  <c r="Q236" i="7"/>
  <c r="O236" i="7"/>
  <c r="Q103" i="7"/>
  <c r="O103" i="7"/>
  <c r="Q156" i="7"/>
  <c r="O156" i="7"/>
  <c r="Q388" i="7"/>
  <c r="O388" i="7"/>
  <c r="N531" i="7"/>
  <c r="Q653" i="7"/>
  <c r="O653" i="7"/>
  <c r="O665" i="7"/>
  <c r="N194" i="7"/>
  <c r="M195" i="7"/>
  <c r="P195" i="7" s="1"/>
  <c r="N195" i="7"/>
  <c r="N379" i="7"/>
  <c r="N493" i="7"/>
  <c r="N552" i="7"/>
  <c r="M95" i="7"/>
  <c r="P95" i="7" s="1"/>
  <c r="N95" i="7"/>
  <c r="M455" i="7"/>
  <c r="P455" i="7" s="1"/>
  <c r="N455" i="7"/>
  <c r="O37" i="7"/>
  <c r="N106" i="7"/>
  <c r="Q382" i="7"/>
  <c r="O382" i="7"/>
  <c r="Q278" i="7"/>
  <c r="O278" i="7"/>
  <c r="N325" i="7"/>
  <c r="Q110" i="7"/>
  <c r="O110" i="7"/>
  <c r="Q127" i="7"/>
  <c r="O127" i="7"/>
  <c r="M335" i="7"/>
  <c r="P335" i="7" s="1"/>
  <c r="N335" i="7"/>
  <c r="N518" i="7"/>
  <c r="N625" i="7"/>
  <c r="Q245" i="7"/>
  <c r="O245" i="7"/>
  <c r="N275" i="7"/>
  <c r="N394" i="7"/>
  <c r="Q471" i="7"/>
  <c r="O471" i="7"/>
  <c r="Q633" i="7"/>
  <c r="O633" i="7"/>
  <c r="Q583" i="7"/>
  <c r="O583" i="7"/>
  <c r="Q595" i="7"/>
  <c r="O595" i="7"/>
  <c r="Q311" i="7"/>
  <c r="O311" i="7"/>
  <c r="Q450" i="7"/>
  <c r="O450" i="7"/>
  <c r="Q543" i="7"/>
  <c r="O543" i="7"/>
  <c r="Q513" i="7"/>
  <c r="O513" i="7"/>
  <c r="Q259" i="7"/>
  <c r="O259" i="7"/>
  <c r="Q48" i="7"/>
  <c r="O48" i="7"/>
  <c r="Q342" i="7"/>
  <c r="O342" i="7"/>
  <c r="Q178" i="7"/>
  <c r="O178" i="7"/>
  <c r="Q395" i="7"/>
  <c r="O395" i="7"/>
  <c r="M427" i="7"/>
  <c r="P427" i="7" s="1"/>
  <c r="N427" i="7"/>
  <c r="N383" i="7"/>
  <c r="O465" i="7"/>
  <c r="N556" i="7"/>
  <c r="Q74" i="7"/>
  <c r="O74" i="7"/>
  <c r="N119" i="7"/>
  <c r="Q265" i="7"/>
  <c r="O265" i="7"/>
  <c r="N289" i="7"/>
  <c r="N375" i="7"/>
  <c r="N507" i="7"/>
  <c r="N647" i="7"/>
  <c r="O133" i="7"/>
  <c r="Q166" i="7"/>
  <c r="O166" i="7"/>
  <c r="N170" i="7"/>
  <c r="Q71" i="7"/>
  <c r="O71" i="7"/>
  <c r="Q360" i="7"/>
  <c r="O360" i="7"/>
  <c r="Q213" i="7"/>
  <c r="O213" i="7"/>
  <c r="Q314" i="7"/>
  <c r="O314" i="7"/>
  <c r="N130" i="7"/>
  <c r="Q423" i="7"/>
  <c r="O423" i="7"/>
  <c r="Q477" i="7"/>
  <c r="O477" i="7"/>
  <c r="N568" i="7"/>
  <c r="Q599" i="7"/>
  <c r="O599" i="7"/>
  <c r="M139" i="7"/>
  <c r="P139" i="7" s="1"/>
  <c r="N139" i="7"/>
  <c r="Q38" i="7"/>
  <c r="O38" i="7"/>
  <c r="N164" i="7"/>
  <c r="Q380" i="7"/>
  <c r="O380" i="7"/>
  <c r="Q620" i="7"/>
  <c r="O620" i="7"/>
  <c r="Q112" i="7"/>
  <c r="O112" i="7"/>
  <c r="N271" i="7"/>
  <c r="N146" i="7"/>
  <c r="O491" i="7"/>
  <c r="N497" i="7"/>
  <c r="N277" i="7"/>
  <c r="N142" i="7"/>
  <c r="Q147" i="7"/>
  <c r="O147" i="7"/>
  <c r="Q249" i="7"/>
  <c r="O249" i="7"/>
  <c r="Q228" i="7"/>
  <c r="O228" i="7"/>
  <c r="Q512" i="7"/>
  <c r="O512" i="7"/>
  <c r="Q581" i="7"/>
  <c r="O581" i="7"/>
  <c r="N572" i="7"/>
  <c r="Q58" i="7"/>
  <c r="O58" i="7"/>
  <c r="Q185" i="7"/>
  <c r="O185" i="7"/>
  <c r="Q254" i="7"/>
  <c r="O254" i="7"/>
  <c r="O362" i="7"/>
  <c r="Q362" i="7"/>
  <c r="Q391" i="7"/>
  <c r="O391" i="7"/>
  <c r="Q413" i="7"/>
  <c r="O413" i="7"/>
  <c r="N498" i="7"/>
  <c r="N474" i="7"/>
  <c r="M49" i="9"/>
  <c r="N49" i="9" s="1"/>
  <c r="M85" i="9"/>
  <c r="N85" i="9" s="1"/>
  <c r="M69" i="9"/>
  <c r="N69" i="9" s="1"/>
  <c r="M32" i="9"/>
  <c r="N32" i="9" s="1"/>
  <c r="M37" i="9"/>
  <c r="N37" i="9" s="1"/>
  <c r="M39" i="9"/>
  <c r="N39" i="9" s="1"/>
  <c r="Q73" i="7"/>
  <c r="O73" i="7"/>
  <c r="Q169" i="7"/>
  <c r="O169" i="7"/>
  <c r="Q639" i="7"/>
  <c r="O639" i="7"/>
  <c r="Q530" i="7"/>
  <c r="O530" i="7"/>
  <c r="Q62" i="7"/>
  <c r="O62" i="7"/>
  <c r="O330" i="7"/>
  <c r="Q330" i="7"/>
  <c r="Q655" i="7"/>
  <c r="O655" i="7"/>
  <c r="Q567" i="7"/>
  <c r="O567" i="7"/>
  <c r="Q626" i="7"/>
  <c r="O626" i="7"/>
  <c r="Q120" i="7"/>
  <c r="O120" i="7"/>
  <c r="Q646" i="7"/>
  <c r="O646" i="7"/>
  <c r="Q115" i="7"/>
  <c r="O115" i="7"/>
  <c r="Q337" i="7"/>
  <c r="O337" i="7"/>
  <c r="O100" i="7"/>
  <c r="Q284" i="7"/>
  <c r="O284" i="7"/>
  <c r="N114" i="7"/>
  <c r="Q72" i="7"/>
  <c r="O72" i="7"/>
  <c r="Q78" i="7"/>
  <c r="O78" i="7"/>
  <c r="Q102" i="7"/>
  <c r="O102" i="7"/>
  <c r="Q260" i="7"/>
  <c r="O260" i="7"/>
  <c r="Q372" i="7"/>
  <c r="O372" i="7"/>
  <c r="O323" i="7"/>
  <c r="Q422" i="7"/>
  <c r="O422" i="7"/>
  <c r="Q539" i="7"/>
  <c r="O539" i="7"/>
  <c r="K30" i="9"/>
  <c r="L30" i="9"/>
  <c r="Q215" i="7"/>
  <c r="O215" i="7"/>
  <c r="Q361" i="7"/>
  <c r="O361" i="7"/>
  <c r="M439" i="7"/>
  <c r="P439" i="7" s="1"/>
  <c r="N439" i="7"/>
  <c r="Q643" i="7"/>
  <c r="O643" i="7"/>
  <c r="K36" i="9"/>
  <c r="L36" i="9"/>
  <c r="K38" i="9"/>
  <c r="L38" i="9"/>
  <c r="M38" i="9" s="1"/>
  <c r="N38" i="9" s="1"/>
  <c r="O181" i="7"/>
  <c r="Q280" i="7"/>
  <c r="O280" i="7"/>
  <c r="O614" i="7"/>
  <c r="Q22" i="7"/>
  <c r="O22" i="7"/>
  <c r="Q308" i="7"/>
  <c r="O308" i="7"/>
  <c r="O203" i="7"/>
  <c r="Q437" i="7"/>
  <c r="O437" i="7"/>
  <c r="O298" i="7"/>
  <c r="Q298" i="7"/>
  <c r="O408" i="7"/>
  <c r="Q261" i="7"/>
  <c r="O261" i="7"/>
  <c r="Q81" i="7"/>
  <c r="O81" i="7"/>
  <c r="N174" i="7"/>
  <c r="Q349" i="7"/>
  <c r="O349" i="7"/>
  <c r="Q436" i="7"/>
  <c r="O436" i="7"/>
  <c r="O458" i="7"/>
  <c r="Q571" i="7"/>
  <c r="O571" i="7"/>
  <c r="L29" i="9"/>
  <c r="M29" i="9" s="1"/>
  <c r="N29" i="9" s="1"/>
  <c r="K29" i="9"/>
  <c r="O424" i="7"/>
  <c r="Q296" i="7"/>
  <c r="O296" i="7"/>
  <c r="Q297" i="7"/>
  <c r="O297" i="7"/>
  <c r="Q252" i="7"/>
  <c r="O252" i="7"/>
  <c r="Q320" i="7"/>
  <c r="O320" i="7"/>
  <c r="Q462" i="7"/>
  <c r="O462" i="7"/>
  <c r="N41" i="7"/>
  <c r="Q46" i="7"/>
  <c r="O46" i="7"/>
  <c r="N148" i="7"/>
  <c r="Q644" i="7"/>
  <c r="O644" i="7"/>
  <c r="N660" i="7"/>
  <c r="O154" i="7"/>
  <c r="N319" i="7"/>
  <c r="M502" i="7"/>
  <c r="P502" i="7" s="1"/>
  <c r="N502" i="7"/>
  <c r="N449" i="7"/>
  <c r="Q534" i="7"/>
  <c r="O534" i="7"/>
  <c r="N21" i="7"/>
  <c r="N17" i="7"/>
  <c r="O33" i="7"/>
  <c r="N109" i="7"/>
  <c r="Q231" i="7"/>
  <c r="O231" i="7"/>
  <c r="N214" i="7"/>
  <c r="Q346" i="7"/>
  <c r="O346" i="7"/>
  <c r="N464" i="7"/>
  <c r="O402" i="7"/>
  <c r="Q426" i="7"/>
  <c r="O426" i="7"/>
  <c r="N546" i="7"/>
  <c r="N481" i="7"/>
  <c r="N654" i="7"/>
  <c r="Q60" i="7"/>
  <c r="O60" i="7"/>
  <c r="Q175" i="7"/>
  <c r="O175" i="7"/>
  <c r="Q84" i="7"/>
  <c r="O84" i="7"/>
  <c r="M91" i="7"/>
  <c r="P91" i="7" s="1"/>
  <c r="N91" i="7"/>
  <c r="O135" i="7"/>
  <c r="N202" i="7"/>
  <c r="Q452" i="7"/>
  <c r="O452" i="7"/>
  <c r="N542" i="7"/>
  <c r="M566" i="7"/>
  <c r="P566" i="7" s="1"/>
  <c r="N566" i="7"/>
  <c r="N149" i="7"/>
  <c r="Q551" i="7"/>
  <c r="O551" i="7"/>
  <c r="Q193" i="7"/>
  <c r="O193" i="7"/>
  <c r="N94" i="7"/>
  <c r="Q219" i="7"/>
  <c r="O219" i="7"/>
  <c r="Q407" i="7"/>
  <c r="O407" i="7"/>
  <c r="Q451" i="7"/>
  <c r="O451" i="7"/>
  <c r="M367" i="7"/>
  <c r="P367" i="7" s="1"/>
  <c r="N367" i="7"/>
  <c r="N98" i="7"/>
  <c r="N403" i="7"/>
  <c r="N85" i="7"/>
  <c r="O187" i="7"/>
  <c r="Q332" i="7"/>
  <c r="O332" i="7"/>
  <c r="O387" i="7"/>
  <c r="Q64" i="7"/>
  <c r="O64" i="7"/>
  <c r="Q56" i="7"/>
  <c r="O56" i="7"/>
  <c r="Q59" i="7"/>
  <c r="O59" i="7"/>
  <c r="Q210" i="7"/>
  <c r="O210" i="7"/>
  <c r="Q345" i="7"/>
  <c r="O345" i="7"/>
  <c r="N162" i="7"/>
  <c r="Q541" i="7"/>
  <c r="O541" i="7"/>
  <c r="Q596" i="7"/>
  <c r="O596" i="7"/>
  <c r="M20" i="9"/>
  <c r="N20" i="9" s="1"/>
  <c r="M101" i="9"/>
  <c r="N101" i="9" s="1"/>
  <c r="M68" i="9"/>
  <c r="N68" i="9" s="1"/>
  <c r="M77" i="9"/>
  <c r="N77" i="9" s="1"/>
  <c r="M22" i="9"/>
  <c r="N22" i="9" s="1"/>
  <c r="M41" i="9"/>
  <c r="N41" i="9" s="1"/>
  <c r="M74" i="9"/>
  <c r="N74" i="9" s="1"/>
  <c r="Q351" i="7" l="1"/>
  <c r="O351" i="7"/>
  <c r="Q628" i="7"/>
  <c r="O628" i="7"/>
  <c r="Q527" i="7"/>
  <c r="O527" i="7"/>
  <c r="O592" i="7"/>
  <c r="Q359" i="7"/>
  <c r="O359" i="7"/>
  <c r="Q440" i="7"/>
  <c r="O440" i="7"/>
  <c r="Q299" i="7"/>
  <c r="O299" i="7"/>
  <c r="Q132" i="7"/>
  <c r="O132" i="7"/>
  <c r="Q108" i="7"/>
  <c r="O108" i="7"/>
  <c r="Q232" i="7"/>
  <c r="O232" i="7"/>
  <c r="Q158" i="7"/>
  <c r="O158" i="7"/>
  <c r="Q432" i="7"/>
  <c r="O432" i="7"/>
  <c r="Q82" i="7"/>
  <c r="O82" i="7"/>
  <c r="Q431" i="7"/>
  <c r="O431" i="7"/>
  <c r="Q416" i="7"/>
  <c r="O416" i="7"/>
  <c r="Q553" i="7"/>
  <c r="O553" i="7"/>
  <c r="Q241" i="7"/>
  <c r="O241" i="7"/>
  <c r="O510" i="7"/>
  <c r="O587" i="7"/>
  <c r="O457" i="7"/>
  <c r="Q264" i="7"/>
  <c r="O264" i="7"/>
  <c r="Q545" i="7"/>
  <c r="O545" i="7"/>
  <c r="Q479" i="7"/>
  <c r="O479" i="7"/>
  <c r="Q470" i="7"/>
  <c r="O470" i="7"/>
  <c r="Q441" i="7"/>
  <c r="O441" i="7"/>
  <c r="Q347" i="7"/>
  <c r="O347" i="7"/>
  <c r="Q150" i="7"/>
  <c r="O150" i="7"/>
  <c r="Q401" i="7"/>
  <c r="O401" i="7"/>
  <c r="Q651" i="7"/>
  <c r="O651" i="7"/>
  <c r="Q316" i="7"/>
  <c r="O316" i="7"/>
  <c r="O576" i="7"/>
  <c r="Q576" i="7"/>
  <c r="Q376" i="7"/>
  <c r="O376" i="7"/>
  <c r="Q253" i="7"/>
  <c r="O253" i="7"/>
  <c r="Q269" i="7"/>
  <c r="O269" i="7"/>
  <c r="O618" i="7"/>
  <c r="O472" i="7"/>
  <c r="Q472" i="7"/>
  <c r="O434" i="7"/>
  <c r="O171" i="7"/>
  <c r="Q495" i="7"/>
  <c r="O495" i="7"/>
  <c r="Q389" i="7"/>
  <c r="O389" i="7"/>
  <c r="O659" i="7"/>
  <c r="Q659" i="7"/>
  <c r="Q53" i="7"/>
  <c r="O53" i="7"/>
  <c r="Q286" i="7"/>
  <c r="O286" i="7"/>
  <c r="Q598" i="7"/>
  <c r="O598" i="7"/>
  <c r="Q623" i="7"/>
  <c r="O623" i="7"/>
  <c r="Q524" i="7"/>
  <c r="O524" i="7"/>
  <c r="M52" i="9"/>
  <c r="N52" i="9" s="1"/>
  <c r="Q417" i="7"/>
  <c r="O417" i="7"/>
  <c r="O490" i="7"/>
  <c r="O125" i="7"/>
  <c r="Q353" i="7"/>
  <c r="O353" i="7"/>
  <c r="O411" i="7"/>
  <c r="O366" i="7"/>
  <c r="Q366" i="7"/>
  <c r="Q547" i="7"/>
  <c r="O547" i="7"/>
  <c r="Q650" i="7"/>
  <c r="O650" i="7"/>
  <c r="Q438" i="7"/>
  <c r="O438" i="7"/>
  <c r="Q248" i="7"/>
  <c r="O248" i="7"/>
  <c r="Q663" i="7"/>
  <c r="O663" i="7"/>
  <c r="Q630" i="7"/>
  <c r="O630" i="7"/>
  <c r="Q149" i="7"/>
  <c r="O149" i="7"/>
  <c r="Q146" i="7"/>
  <c r="O146" i="7"/>
  <c r="Q568" i="7"/>
  <c r="O568" i="7"/>
  <c r="Q119" i="7"/>
  <c r="O119" i="7"/>
  <c r="Q335" i="7"/>
  <c r="O335" i="7"/>
  <c r="Q95" i="7"/>
  <c r="O95" i="7"/>
  <c r="Q459" i="7"/>
  <c r="O459" i="7"/>
  <c r="Q90" i="7"/>
  <c r="O90" i="7"/>
  <c r="Q293" i="7"/>
  <c r="O293" i="7"/>
  <c r="Q509" i="7"/>
  <c r="O509" i="7"/>
  <c r="Q582" i="7"/>
  <c r="O582" i="7"/>
  <c r="Q560" i="7"/>
  <c r="O560" i="7"/>
  <c r="Q41" i="7"/>
  <c r="O41" i="7"/>
  <c r="Q439" i="7"/>
  <c r="O439" i="7"/>
  <c r="Q162" i="7"/>
  <c r="O162" i="7"/>
  <c r="Q566" i="7"/>
  <c r="O566" i="7"/>
  <c r="Q91" i="7"/>
  <c r="O91" i="7"/>
  <c r="Q654" i="7"/>
  <c r="O654" i="7"/>
  <c r="Q572" i="7"/>
  <c r="O572" i="7"/>
  <c r="Q271" i="7"/>
  <c r="O271" i="7"/>
  <c r="Q164" i="7"/>
  <c r="O164" i="7"/>
  <c r="Q405" i="7"/>
  <c r="O405" i="7"/>
  <c r="Q371" i="7"/>
  <c r="O371" i="7"/>
  <c r="C8" i="4"/>
  <c r="Q93" i="7"/>
  <c r="O93" i="7"/>
  <c r="M21" i="9"/>
  <c r="N21" i="9" s="1"/>
  <c r="Q202" i="7"/>
  <c r="O202" i="7"/>
  <c r="Q464" i="7"/>
  <c r="O464" i="7"/>
  <c r="Q17" i="7"/>
  <c r="O17" i="7"/>
  <c r="Q325" i="7"/>
  <c r="O325" i="7"/>
  <c r="Q194" i="7"/>
  <c r="O194" i="7"/>
  <c r="Q49" i="7"/>
  <c r="O49" i="7"/>
  <c r="Q554" i="7"/>
  <c r="O554" i="7"/>
  <c r="Q85" i="7"/>
  <c r="O85" i="7"/>
  <c r="Q21" i="7"/>
  <c r="O21" i="7"/>
  <c r="Q660" i="7"/>
  <c r="O660" i="7"/>
  <c r="Q98" i="7"/>
  <c r="O98" i="7"/>
  <c r="Q481" i="7"/>
  <c r="O481" i="7"/>
  <c r="Q214" i="7"/>
  <c r="O214" i="7"/>
  <c r="Q647" i="7"/>
  <c r="O647" i="7"/>
  <c r="Q394" i="7"/>
  <c r="O394" i="7"/>
  <c r="Q552" i="7"/>
  <c r="O552" i="7"/>
  <c r="Q525" i="7"/>
  <c r="O525" i="7"/>
  <c r="Q117" i="7"/>
  <c r="O117" i="7"/>
  <c r="Q533" i="7"/>
  <c r="O533" i="7"/>
  <c r="Q9" i="7"/>
  <c r="O9" i="7"/>
  <c r="Q518" i="7"/>
  <c r="O518" i="7"/>
  <c r="Q192" i="7"/>
  <c r="O192" i="7"/>
  <c r="Q656" i="7"/>
  <c r="O656" i="7"/>
  <c r="Q403" i="7"/>
  <c r="O403" i="7"/>
  <c r="Q367" i="7"/>
  <c r="O367" i="7"/>
  <c r="Q94" i="7"/>
  <c r="O94" i="7"/>
  <c r="Q546" i="7"/>
  <c r="O546" i="7"/>
  <c r="Q449" i="7"/>
  <c r="O449" i="7"/>
  <c r="M36" i="9"/>
  <c r="N36" i="9" s="1"/>
  <c r="Q474" i="7"/>
  <c r="O474" i="7"/>
  <c r="Q507" i="7"/>
  <c r="O507" i="7"/>
  <c r="Q556" i="7"/>
  <c r="O556" i="7"/>
  <c r="Q275" i="7"/>
  <c r="O275" i="7"/>
  <c r="Q493" i="7"/>
  <c r="O493" i="7"/>
  <c r="Q531" i="7"/>
  <c r="O531" i="7"/>
  <c r="Q13" i="7"/>
  <c r="O13" i="7"/>
  <c r="Q183" i="7"/>
  <c r="O183" i="7"/>
  <c r="Q636" i="7"/>
  <c r="O636" i="7"/>
  <c r="Q607" i="7"/>
  <c r="O607" i="7"/>
  <c r="Q664" i="7"/>
  <c r="O664" i="7"/>
  <c r="Q425" i="7"/>
  <c r="O425" i="7"/>
  <c r="B8" i="4"/>
  <c r="Q375" i="7"/>
  <c r="O375" i="7"/>
  <c r="Q288" i="7"/>
  <c r="O288" i="7"/>
  <c r="O7" i="4"/>
  <c r="Q142" i="7"/>
  <c r="O142" i="7"/>
  <c r="Q155" i="7"/>
  <c r="O155" i="7"/>
  <c r="Q157" i="7"/>
  <c r="O157" i="7"/>
  <c r="Q109" i="7"/>
  <c r="O109" i="7"/>
  <c r="M30" i="9"/>
  <c r="N30" i="9" s="1"/>
  <c r="Q277" i="7"/>
  <c r="O277" i="7"/>
  <c r="Q130" i="7"/>
  <c r="O130" i="7"/>
  <c r="Q289" i="7"/>
  <c r="O289" i="7"/>
  <c r="Q383" i="7"/>
  <c r="O383" i="7"/>
  <c r="Q195" i="7"/>
  <c r="O195" i="7"/>
  <c r="Q537" i="7"/>
  <c r="O537" i="7"/>
  <c r="M8" i="9"/>
  <c r="Q206" i="7"/>
  <c r="O206" i="7"/>
  <c r="Q600" i="7"/>
  <c r="O600" i="7"/>
  <c r="Q190" i="7"/>
  <c r="O190" i="7"/>
  <c r="Q303" i="7"/>
  <c r="O303" i="7"/>
  <c r="M116" i="9"/>
  <c r="N116" i="9" s="1"/>
  <c r="Q542" i="7"/>
  <c r="O542" i="7"/>
  <c r="Q502" i="7"/>
  <c r="O502" i="7"/>
  <c r="Q148" i="7"/>
  <c r="O148" i="7"/>
  <c r="Q174" i="7"/>
  <c r="O174" i="7"/>
  <c r="Q498" i="7"/>
  <c r="O498" i="7"/>
  <c r="Q139" i="7"/>
  <c r="O139" i="7"/>
  <c r="Q106" i="7"/>
  <c r="O106" i="7"/>
  <c r="Q379" i="7"/>
  <c r="O379" i="7"/>
  <c r="Q357" i="7"/>
  <c r="O357" i="7"/>
  <c r="Q544" i="7"/>
  <c r="O544" i="7"/>
  <c r="Q319" i="7"/>
  <c r="O319" i="7"/>
  <c r="Q114" i="7"/>
  <c r="O114" i="7"/>
  <c r="Q497" i="7"/>
  <c r="O497" i="7"/>
  <c r="Q170" i="7"/>
  <c r="O170" i="7"/>
  <c r="Q427" i="7"/>
  <c r="O427" i="7"/>
  <c r="Q625" i="7"/>
  <c r="O625" i="7"/>
  <c r="Q455" i="7"/>
  <c r="O455" i="7"/>
  <c r="Q25" i="7"/>
  <c r="O25" i="7"/>
  <c r="Q186" i="7"/>
  <c r="O186" i="7"/>
  <c r="N8" i="9" l="1"/>
  <c r="B7" i="3"/>
  <c r="B10" i="3" l="1"/>
  <c r="D11" i="1"/>
  <c r="B11" i="3"/>
  <c r="D12" i="1" l="1"/>
  <c r="E15" i="5"/>
  <c r="E7" i="5"/>
  <c r="E8" i="5"/>
  <c r="E13" i="5"/>
  <c r="E12" i="5"/>
  <c r="G12" i="5" s="1"/>
  <c r="H12" i="5" s="1"/>
  <c r="E9" i="5"/>
  <c r="E14" i="5"/>
  <c r="E11" i="5"/>
  <c r="E10" i="5"/>
  <c r="E8" i="4"/>
  <c r="D8" i="4"/>
  <c r="F8" i="4"/>
  <c r="G8" i="4"/>
  <c r="P7" i="4"/>
  <c r="D13" i="1"/>
  <c r="F8" i="5"/>
  <c r="F10" i="5"/>
  <c r="F9" i="5"/>
  <c r="F11" i="5"/>
  <c r="F12" i="5"/>
  <c r="F13" i="5"/>
  <c r="F15" i="5"/>
  <c r="F7" i="5"/>
  <c r="F14" i="5"/>
  <c r="G11" i="5" l="1"/>
  <c r="H11" i="5" s="1"/>
  <c r="G14" i="5"/>
  <c r="H14" i="5" s="1"/>
  <c r="G9" i="5"/>
  <c r="H9" i="5" s="1"/>
  <c r="D22" i="1" s="1"/>
  <c r="N8" i="4"/>
  <c r="L8" i="4"/>
  <c r="J8" i="4" s="1"/>
  <c r="M8" i="4"/>
  <c r="K8" i="4" s="1"/>
  <c r="I8" i="4" s="1"/>
  <c r="G13" i="5"/>
  <c r="H13" i="5" s="1"/>
  <c r="Q8" i="4"/>
  <c r="G8" i="5"/>
  <c r="H8" i="5" s="1"/>
  <c r="D21" i="1" s="1"/>
  <c r="G7" i="5"/>
  <c r="H7" i="5" s="1"/>
  <c r="G10" i="5"/>
  <c r="H10" i="5" s="1"/>
  <c r="G15" i="5"/>
  <c r="H15" i="5" s="1"/>
  <c r="C9" i="4" l="1"/>
  <c r="H8" i="4"/>
  <c r="O8" i="4"/>
  <c r="P8" i="4" s="1"/>
  <c r="D9" i="4" l="1"/>
  <c r="B9" i="4"/>
  <c r="F9" i="4"/>
  <c r="G9" i="4"/>
  <c r="M9" i="4" s="1"/>
  <c r="E9" i="4"/>
  <c r="Q9" i="4" l="1"/>
  <c r="K9" i="4"/>
  <c r="I9" i="4" s="1"/>
  <c r="N9" i="4"/>
  <c r="L9" i="4"/>
  <c r="J9" i="4" s="1"/>
  <c r="O9" i="4" l="1"/>
  <c r="P9" i="4" s="1"/>
  <c r="H9" i="4"/>
  <c r="G10" i="4" s="1"/>
  <c r="B10" i="4" l="1"/>
  <c r="D10" i="4"/>
  <c r="F10" i="4"/>
  <c r="C10" i="4"/>
  <c r="E10" i="4"/>
  <c r="N10" i="4" l="1"/>
  <c r="L10" i="4"/>
  <c r="J10" i="4" s="1"/>
  <c r="M10" i="4"/>
  <c r="K10" i="4" s="1"/>
  <c r="I10" i="4" s="1"/>
  <c r="Q10" i="4"/>
  <c r="H10" i="4" l="1"/>
  <c r="O10" i="4"/>
  <c r="P10" i="4" s="1"/>
  <c r="D11" i="4" l="1"/>
  <c r="B11" i="4"/>
  <c r="F11" i="4"/>
  <c r="E11" i="4"/>
  <c r="G11" i="4"/>
  <c r="M11" i="4" s="1"/>
  <c r="K11" i="4" s="1"/>
  <c r="I11" i="4" s="1"/>
  <c r="C11" i="4"/>
  <c r="N11" i="4" l="1"/>
  <c r="L11" i="4"/>
  <c r="J11" i="4" s="1"/>
  <c r="Q11" i="4"/>
  <c r="O11" i="4" l="1"/>
  <c r="P11" i="4" s="1"/>
  <c r="H11" i="4"/>
  <c r="B12" i="4" l="1"/>
  <c r="D12" i="4"/>
  <c r="F12" i="4"/>
  <c r="G12" i="4"/>
  <c r="M12" i="4" s="1"/>
  <c r="C12" i="4"/>
  <c r="E12" i="4"/>
  <c r="K12" i="4" l="1"/>
  <c r="I12" i="4" s="1"/>
  <c r="N12" i="4"/>
  <c r="L12" i="4"/>
  <c r="J12" i="4" s="1"/>
  <c r="Q12" i="4"/>
  <c r="H12" i="4" l="1"/>
  <c r="O12" i="4"/>
  <c r="P12" i="4" s="1"/>
  <c r="F13" i="4" l="1"/>
  <c r="D13" i="4"/>
  <c r="B13" i="4"/>
  <c r="C13" i="4"/>
  <c r="G13" i="4"/>
  <c r="M13" i="4" s="1"/>
  <c r="E13" i="4"/>
  <c r="K13" i="4" l="1"/>
  <c r="I13" i="4" s="1"/>
  <c r="Q13" i="4"/>
  <c r="N13" i="4"/>
  <c r="L13" i="4"/>
  <c r="J13" i="4" s="1"/>
  <c r="O13" i="4" l="1"/>
  <c r="P13" i="4" s="1"/>
  <c r="H13" i="4"/>
  <c r="F14" i="4" l="1"/>
  <c r="B14" i="4"/>
  <c r="D14" i="4"/>
  <c r="G14" i="4"/>
  <c r="M14" i="4" s="1"/>
  <c r="E14" i="4"/>
  <c r="C14" i="4"/>
  <c r="K14" i="4" l="1"/>
  <c r="I14" i="4" s="1"/>
  <c r="Q14" i="4"/>
  <c r="N14" i="4"/>
  <c r="L14" i="4"/>
  <c r="J14" i="4" s="1"/>
  <c r="H14" i="4" l="1"/>
  <c r="O14" i="4"/>
  <c r="P14" i="4" s="1"/>
  <c r="F15" i="4" l="1"/>
  <c r="B15" i="4"/>
  <c r="D15" i="4"/>
  <c r="G15" i="4"/>
  <c r="E15" i="4"/>
  <c r="C15" i="4"/>
  <c r="M15" i="4" l="1"/>
  <c r="K15" i="4" s="1"/>
  <c r="I15" i="4" s="1"/>
  <c r="Q15" i="4"/>
  <c r="N15" i="4"/>
  <c r="L15" i="4"/>
  <c r="J15" i="4" s="1"/>
  <c r="O15" i="4" l="1"/>
  <c r="P15" i="4" s="1"/>
  <c r="H15" i="4"/>
  <c r="F16" i="4" l="1"/>
  <c r="B16" i="4"/>
  <c r="D16" i="4"/>
  <c r="E16" i="4"/>
  <c r="C16" i="4"/>
  <c r="G16" i="4"/>
  <c r="M16" i="4" s="1"/>
  <c r="K16" i="4" s="1"/>
  <c r="I16" i="4" s="1"/>
  <c r="Q16" i="4" l="1"/>
  <c r="N16" i="4"/>
  <c r="L16" i="4"/>
  <c r="J16" i="4" s="1"/>
  <c r="H16" i="4" l="1"/>
  <c r="O16" i="4"/>
  <c r="P16" i="4" s="1"/>
  <c r="B17" i="4" l="1"/>
  <c r="Q17" i="4" s="1"/>
  <c r="D17" i="4"/>
  <c r="F17" i="4"/>
  <c r="G17" i="4"/>
  <c r="M17" i="4" s="1"/>
  <c r="K17" i="4" s="1"/>
  <c r="I17" i="4" s="1"/>
  <c r="C17" i="4"/>
  <c r="E17" i="4"/>
  <c r="N17" i="4" l="1"/>
  <c r="L17" i="4"/>
  <c r="J17" i="4" s="1"/>
  <c r="O17" i="4" l="1"/>
  <c r="P17" i="4" s="1"/>
  <c r="H17" i="4"/>
  <c r="B18" i="4" l="1"/>
  <c r="D18" i="4"/>
  <c r="F18" i="4"/>
  <c r="G18" i="4"/>
  <c r="E18" i="4"/>
  <c r="C18" i="4"/>
  <c r="M18" i="4" l="1"/>
  <c r="K18" i="4" s="1"/>
  <c r="I18" i="4" s="1"/>
  <c r="N18" i="4"/>
  <c r="L18" i="4"/>
  <c r="J18" i="4" s="1"/>
  <c r="Q18" i="4"/>
  <c r="H18" i="4" l="1"/>
  <c r="O18" i="4"/>
  <c r="P18" i="4" s="1"/>
  <c r="B19" i="4" l="1"/>
  <c r="D19" i="4"/>
  <c r="F19" i="4"/>
  <c r="G19" i="4"/>
  <c r="M19" i="4" s="1"/>
  <c r="E19" i="4"/>
  <c r="C19" i="4"/>
  <c r="Q19" i="4" l="1"/>
  <c r="K19" i="4"/>
  <c r="I19" i="4" s="1"/>
  <c r="N19" i="4"/>
  <c r="L19" i="4"/>
  <c r="J19" i="4" s="1"/>
  <c r="O19" i="4" l="1"/>
  <c r="P19" i="4" s="1"/>
  <c r="H19" i="4"/>
  <c r="B20" i="4" l="1"/>
  <c r="D20" i="4"/>
  <c r="F20" i="4"/>
  <c r="C20" i="4"/>
  <c r="E20" i="4"/>
  <c r="G20" i="4"/>
  <c r="M20" i="4" l="1"/>
  <c r="K20" i="4" s="1"/>
  <c r="I20" i="4" s="1"/>
  <c r="N20" i="4"/>
  <c r="L20" i="4"/>
  <c r="J20" i="4" s="1"/>
  <c r="Q20" i="4"/>
  <c r="H20" i="4" l="1"/>
  <c r="O20" i="4"/>
  <c r="P20" i="4" s="1"/>
  <c r="B21" i="4" l="1"/>
  <c r="D21" i="4"/>
  <c r="F21" i="4"/>
  <c r="C21" i="4"/>
  <c r="G21" i="4"/>
  <c r="M21" i="4" s="1"/>
  <c r="K21" i="4" s="1"/>
  <c r="E21" i="4"/>
  <c r="I21" i="4" l="1"/>
  <c r="N21" i="4"/>
  <c r="L21" i="4"/>
  <c r="J21" i="4" s="1"/>
  <c r="Q21" i="4"/>
  <c r="O21" i="4" l="1"/>
  <c r="P21" i="4" s="1"/>
  <c r="H21" i="4"/>
  <c r="D22" i="4" l="1"/>
  <c r="F22" i="4"/>
  <c r="B22" i="4"/>
  <c r="C22" i="4"/>
  <c r="G22" i="4"/>
  <c r="M22" i="4" s="1"/>
  <c r="K22" i="4" s="1"/>
  <c r="I22" i="4" s="1"/>
  <c r="E22" i="4"/>
  <c r="Q22" i="4" l="1"/>
  <c r="N22" i="4"/>
  <c r="L22" i="4"/>
  <c r="J22" i="4" s="1"/>
  <c r="H22" i="4" l="1"/>
  <c r="O22" i="4"/>
  <c r="P22" i="4" s="1"/>
  <c r="F23" i="4" l="1"/>
  <c r="D23" i="4"/>
  <c r="B23" i="4"/>
  <c r="C23" i="4"/>
  <c r="G23" i="4"/>
  <c r="E23" i="4"/>
  <c r="M23" i="4" l="1"/>
  <c r="K23" i="4" s="1"/>
  <c r="I23" i="4" s="1"/>
  <c r="Q23" i="4"/>
  <c r="N23" i="4"/>
  <c r="L23" i="4"/>
  <c r="J23" i="4" s="1"/>
  <c r="O23" i="4" l="1"/>
  <c r="P23" i="4" s="1"/>
  <c r="H23" i="4"/>
  <c r="F24" i="4" l="1"/>
  <c r="D24" i="4"/>
  <c r="B24" i="4"/>
  <c r="G24" i="4"/>
  <c r="E24" i="4"/>
  <c r="C24" i="4"/>
  <c r="M24" i="4" l="1"/>
  <c r="K24" i="4" s="1"/>
  <c r="I24" i="4" s="1"/>
  <c r="Q24" i="4"/>
  <c r="N24" i="4"/>
  <c r="L24" i="4"/>
  <c r="J24" i="4" s="1"/>
  <c r="O24" i="4" l="1"/>
  <c r="P24" i="4" s="1"/>
  <c r="H24" i="4"/>
  <c r="D25" i="4" l="1"/>
  <c r="F25" i="4"/>
  <c r="B25" i="4"/>
  <c r="E25" i="4"/>
  <c r="G25" i="4"/>
  <c r="M25" i="4" s="1"/>
  <c r="K25" i="4" s="1"/>
  <c r="I25" i="4" s="1"/>
  <c r="C25" i="4"/>
  <c r="Q25" i="4" l="1"/>
  <c r="N25" i="4"/>
  <c r="L25" i="4"/>
  <c r="J25" i="4" s="1"/>
  <c r="O25" i="4" l="1"/>
  <c r="P25" i="4" s="1"/>
  <c r="H25" i="4"/>
  <c r="B26" i="4" l="1"/>
  <c r="F26" i="4"/>
  <c r="D26" i="4"/>
  <c r="G26" i="4"/>
  <c r="M26" i="4" s="1"/>
  <c r="K26" i="4" s="1"/>
  <c r="I26" i="4" s="1"/>
  <c r="E26" i="4"/>
  <c r="C26" i="4"/>
  <c r="N26" i="4" l="1"/>
  <c r="L26" i="4"/>
  <c r="J26" i="4" s="1"/>
  <c r="Q26" i="4"/>
  <c r="O26" i="4" l="1"/>
  <c r="P26" i="4" s="1"/>
  <c r="H26" i="4"/>
  <c r="D27" i="4" l="1"/>
  <c r="B27" i="4"/>
  <c r="F27" i="4"/>
  <c r="G27" i="4"/>
  <c r="M27" i="4" s="1"/>
  <c r="C27" i="4"/>
  <c r="E27" i="4"/>
  <c r="K27" i="4" l="1"/>
  <c r="I27" i="4" s="1"/>
  <c r="N27" i="4"/>
  <c r="L27" i="4"/>
  <c r="J27" i="4" s="1"/>
  <c r="Q27" i="4"/>
  <c r="O27" i="4" l="1"/>
  <c r="P27" i="4" s="1"/>
  <c r="H27" i="4"/>
  <c r="B28" i="4" l="1"/>
  <c r="D28" i="4"/>
  <c r="F28" i="4"/>
  <c r="C28" i="4"/>
  <c r="G28" i="4"/>
  <c r="M28" i="4" s="1"/>
  <c r="K28" i="4" s="1"/>
  <c r="I28" i="4" s="1"/>
  <c r="E28" i="4"/>
  <c r="N28" i="4" l="1"/>
  <c r="L28" i="4"/>
  <c r="J28" i="4" s="1"/>
  <c r="Q28" i="4"/>
  <c r="O28" i="4" l="1"/>
  <c r="P28" i="4" s="1"/>
  <c r="H28" i="4"/>
  <c r="D29" i="4" l="1"/>
  <c r="F29" i="4"/>
  <c r="B29" i="4"/>
  <c r="C29" i="4"/>
  <c r="E29" i="4"/>
  <c r="G29" i="4"/>
  <c r="M29" i="4" s="1"/>
  <c r="K29" i="4" s="1"/>
  <c r="I29" i="4" s="1"/>
  <c r="Q29" i="4" l="1"/>
  <c r="N29" i="4"/>
  <c r="L29" i="4"/>
  <c r="J29" i="4" s="1"/>
  <c r="O29" i="4" l="1"/>
  <c r="P29" i="4" s="1"/>
  <c r="H29" i="4"/>
  <c r="D30" i="4" l="1"/>
  <c r="F30" i="4"/>
  <c r="B30" i="4"/>
  <c r="E30" i="4"/>
  <c r="C30" i="4"/>
  <c r="G30" i="4"/>
  <c r="M30" i="4" s="1"/>
  <c r="K30" i="4" s="1"/>
  <c r="I30" i="4" s="1"/>
  <c r="Q30" i="4" l="1"/>
  <c r="N30" i="4"/>
  <c r="L30" i="4"/>
  <c r="J30" i="4" s="1"/>
  <c r="O30" i="4" l="1"/>
  <c r="P30" i="4" s="1"/>
  <c r="H30" i="4"/>
  <c r="D31" i="4" l="1"/>
  <c r="F31" i="4"/>
  <c r="B31" i="4"/>
  <c r="C31" i="4"/>
  <c r="E31" i="4"/>
  <c r="G31" i="4"/>
  <c r="M31" i="4" s="1"/>
  <c r="K31" i="4" s="1"/>
  <c r="I31" i="4" s="1"/>
  <c r="Q31" i="4" l="1"/>
  <c r="N31" i="4"/>
  <c r="L31" i="4"/>
  <c r="J31" i="4" s="1"/>
  <c r="O31" i="4" l="1"/>
  <c r="P31" i="4" s="1"/>
  <c r="H31" i="4"/>
  <c r="F32" i="4" l="1"/>
  <c r="D32" i="4"/>
  <c r="B32" i="4"/>
  <c r="E32" i="4"/>
  <c r="G32" i="4"/>
  <c r="C32" i="4"/>
  <c r="M32" i="4" l="1"/>
  <c r="K32" i="4" s="1"/>
  <c r="I32" i="4" s="1"/>
  <c r="Q32" i="4"/>
  <c r="N32" i="4"/>
  <c r="L32" i="4"/>
  <c r="J32" i="4" s="1"/>
  <c r="O32" i="4" l="1"/>
  <c r="P32" i="4" s="1"/>
  <c r="H32" i="4"/>
  <c r="B33" i="4" l="1"/>
  <c r="D33" i="4"/>
  <c r="F33" i="4"/>
  <c r="G33" i="4"/>
  <c r="C33" i="4"/>
  <c r="E33" i="4"/>
  <c r="M33" i="4" l="1"/>
  <c r="K33" i="4" s="1"/>
  <c r="I33" i="4" s="1"/>
  <c r="N33" i="4"/>
  <c r="L33" i="4"/>
  <c r="J33" i="4" s="1"/>
  <c r="Q33" i="4"/>
  <c r="O33" i="4" l="1"/>
  <c r="P33" i="4" s="1"/>
  <c r="H33" i="4"/>
  <c r="B34" i="4" l="1"/>
  <c r="D34" i="4"/>
  <c r="F34" i="4"/>
  <c r="C34" i="4"/>
  <c r="E34" i="4"/>
  <c r="G34" i="4"/>
  <c r="N34" i="4" l="1"/>
  <c r="L34" i="4"/>
  <c r="J34" i="4" s="1"/>
  <c r="M34" i="4"/>
  <c r="K34" i="4" s="1"/>
  <c r="I34" i="4" s="1"/>
  <c r="Q34" i="4"/>
  <c r="O34" i="4" l="1"/>
  <c r="P34" i="4" s="1"/>
  <c r="H34" i="4"/>
  <c r="B35" i="4" l="1"/>
  <c r="F35" i="4"/>
  <c r="D35" i="4"/>
  <c r="G35" i="4"/>
  <c r="M35" i="4" s="1"/>
  <c r="K35" i="4" s="1"/>
  <c r="I35" i="4" s="1"/>
  <c r="E35" i="4"/>
  <c r="C35" i="4"/>
  <c r="N35" i="4" l="1"/>
  <c r="L35" i="4"/>
  <c r="J35" i="4" s="1"/>
  <c r="Q35" i="4"/>
  <c r="O35" i="4" l="1"/>
  <c r="P35" i="4" s="1"/>
  <c r="H35" i="4"/>
  <c r="B36" i="4" l="1"/>
  <c r="F36" i="4"/>
  <c r="D36" i="4"/>
  <c r="G36" i="4"/>
  <c r="M36" i="4" s="1"/>
  <c r="K36" i="4" s="1"/>
  <c r="I36" i="4" s="1"/>
  <c r="E36" i="4"/>
  <c r="C36" i="4"/>
  <c r="N36" i="4" l="1"/>
  <c r="L36" i="4"/>
  <c r="J36" i="4" s="1"/>
  <c r="Q36" i="4"/>
  <c r="O36" i="4" l="1"/>
  <c r="P36" i="4" s="1"/>
  <c r="H36" i="4"/>
  <c r="D37" i="4" l="1"/>
  <c r="F37" i="4"/>
  <c r="B37" i="4"/>
  <c r="E37" i="4"/>
  <c r="G37" i="4"/>
  <c r="M37" i="4" s="1"/>
  <c r="K37" i="4" s="1"/>
  <c r="I37" i="4" s="1"/>
  <c r="C37" i="4"/>
  <c r="Q37" i="4" l="1"/>
  <c r="N37" i="4"/>
  <c r="L37" i="4"/>
  <c r="J37" i="4" s="1"/>
  <c r="O37" i="4" l="1"/>
  <c r="P37" i="4" s="1"/>
  <c r="H37" i="4"/>
  <c r="D38" i="4" l="1"/>
  <c r="F38" i="4"/>
  <c r="B38" i="4"/>
  <c r="E38" i="4"/>
  <c r="G38" i="4"/>
  <c r="M38" i="4" s="1"/>
  <c r="K38" i="4" s="1"/>
  <c r="I38" i="4" s="1"/>
  <c r="C38" i="4"/>
  <c r="Q38" i="4" l="1"/>
  <c r="N38" i="4"/>
  <c r="L38" i="4"/>
  <c r="J38" i="4" s="1"/>
  <c r="O38" i="4" l="1"/>
  <c r="P38" i="4" s="1"/>
  <c r="H38" i="4"/>
  <c r="F39" i="4" l="1"/>
  <c r="B39" i="4"/>
  <c r="D39" i="4"/>
  <c r="G39" i="4"/>
  <c r="E39" i="4"/>
  <c r="C39" i="4"/>
  <c r="M39" i="4" l="1"/>
  <c r="K39" i="4" s="1"/>
  <c r="I39" i="4" s="1"/>
  <c r="Q39" i="4"/>
  <c r="N39" i="4"/>
  <c r="L39" i="4"/>
  <c r="J39" i="4" s="1"/>
  <c r="O39" i="4" l="1"/>
  <c r="P39" i="4" s="1"/>
  <c r="H39" i="4"/>
  <c r="F40" i="4" l="1"/>
  <c r="B40" i="4"/>
  <c r="D40" i="4"/>
  <c r="C40" i="4"/>
  <c r="E40" i="4"/>
  <c r="G40" i="4"/>
  <c r="M40" i="4" s="1"/>
  <c r="K40" i="4" s="1"/>
  <c r="I40" i="4" s="1"/>
  <c r="Q40" i="4" l="1"/>
  <c r="N40" i="4"/>
  <c r="L40" i="4"/>
  <c r="J40" i="4" s="1"/>
  <c r="O40" i="4" l="1"/>
  <c r="P40" i="4" s="1"/>
  <c r="H40" i="4"/>
  <c r="D41" i="4" l="1"/>
  <c r="B41" i="4"/>
  <c r="F41" i="4"/>
  <c r="C41" i="4"/>
  <c r="E41" i="4"/>
  <c r="G41" i="4"/>
  <c r="M41" i="4" s="1"/>
  <c r="K41" i="4" s="1"/>
  <c r="I41" i="4" s="1"/>
  <c r="N41" i="4" l="1"/>
  <c r="L41" i="4"/>
  <c r="J41" i="4" s="1"/>
  <c r="Q41" i="4"/>
  <c r="O41" i="4" l="1"/>
  <c r="P41" i="4" s="1"/>
  <c r="H41" i="4"/>
  <c r="B42" i="4" l="1"/>
  <c r="D42" i="4"/>
  <c r="F42" i="4"/>
  <c r="G42" i="4"/>
  <c r="E42" i="4"/>
  <c r="C42" i="4"/>
  <c r="M42" i="4" l="1"/>
  <c r="K42" i="4" s="1"/>
  <c r="I42" i="4" s="1"/>
  <c r="N42" i="4"/>
  <c r="L42" i="4"/>
  <c r="J42" i="4" s="1"/>
  <c r="Q42" i="4"/>
  <c r="O42" i="4" l="1"/>
  <c r="P42" i="4" s="1"/>
  <c r="H42" i="4"/>
  <c r="B43" i="4" l="1"/>
  <c r="F43" i="4"/>
  <c r="D43" i="4"/>
  <c r="C43" i="4"/>
  <c r="G43" i="4"/>
  <c r="M43" i="4" s="1"/>
  <c r="K43" i="4" s="1"/>
  <c r="I43" i="4" s="1"/>
  <c r="E43" i="4"/>
  <c r="N43" i="4" l="1"/>
  <c r="L43" i="4"/>
  <c r="J43" i="4" s="1"/>
  <c r="Q43" i="4"/>
  <c r="O43" i="4" l="1"/>
  <c r="P43" i="4" s="1"/>
  <c r="H43" i="4"/>
  <c r="B44" i="4" l="1"/>
  <c r="F44" i="4"/>
  <c r="D44" i="4"/>
  <c r="E44" i="4"/>
  <c r="C44" i="4"/>
  <c r="G44" i="4"/>
  <c r="M44" i="4" s="1"/>
  <c r="K44" i="4" s="1"/>
  <c r="I44" i="4" s="1"/>
  <c r="N44" i="4" l="1"/>
  <c r="L44" i="4"/>
  <c r="J44" i="4" s="1"/>
  <c r="Q44" i="4"/>
  <c r="O44" i="4" l="1"/>
  <c r="P44" i="4" s="1"/>
  <c r="H44" i="4"/>
  <c r="D45" i="4" l="1"/>
  <c r="B45" i="4"/>
  <c r="F45" i="4"/>
  <c r="E45" i="4"/>
  <c r="G45" i="4"/>
  <c r="M45" i="4" s="1"/>
  <c r="K45" i="4" s="1"/>
  <c r="I45" i="4" s="1"/>
  <c r="C45" i="4"/>
  <c r="N45" i="4" l="1"/>
  <c r="L45" i="4"/>
  <c r="J45" i="4" s="1"/>
  <c r="Q45" i="4"/>
  <c r="H45" i="4" l="1"/>
  <c r="O45" i="4"/>
  <c r="P45" i="4" s="1"/>
  <c r="D46" i="4" l="1"/>
  <c r="F46" i="4"/>
  <c r="B46" i="4"/>
  <c r="E46" i="4"/>
  <c r="C46" i="4"/>
  <c r="G46" i="4"/>
  <c r="M46" i="4" s="1"/>
  <c r="K46" i="4" s="1"/>
  <c r="I46" i="4" s="1"/>
  <c r="N46" i="4" l="1"/>
  <c r="L46" i="4"/>
  <c r="J46" i="4" s="1"/>
  <c r="Q46" i="4"/>
  <c r="H46" i="4" l="1"/>
  <c r="O46" i="4"/>
  <c r="P46" i="4" s="1"/>
  <c r="D47" i="4" l="1"/>
  <c r="F47" i="4"/>
  <c r="B47" i="4"/>
  <c r="E47" i="4"/>
  <c r="C47" i="4"/>
  <c r="G47" i="4"/>
  <c r="M47" i="4" s="1"/>
  <c r="K47" i="4" s="1"/>
  <c r="I47" i="4" s="1"/>
  <c r="Q47" i="4" l="1"/>
  <c r="N47" i="4"/>
  <c r="L47" i="4"/>
  <c r="J47" i="4" s="1"/>
  <c r="H47" i="4" l="1"/>
  <c r="O47" i="4"/>
  <c r="P47" i="4" s="1"/>
  <c r="F48" i="4" l="1"/>
  <c r="D48" i="4"/>
  <c r="B48" i="4"/>
  <c r="E48" i="4"/>
  <c r="G48" i="4"/>
  <c r="M48" i="4" s="1"/>
  <c r="K48" i="4" s="1"/>
  <c r="I48" i="4" s="1"/>
  <c r="C48" i="4"/>
  <c r="Q48" i="4" l="1"/>
  <c r="N48" i="4"/>
  <c r="L48" i="4"/>
  <c r="J48" i="4" s="1"/>
  <c r="H48" i="4" l="1"/>
  <c r="O48" i="4"/>
  <c r="P48" i="4" s="1"/>
  <c r="F49" i="4" l="1"/>
  <c r="B49" i="4"/>
  <c r="D49" i="4"/>
  <c r="C49" i="4"/>
  <c r="E49" i="4"/>
  <c r="G49" i="4"/>
  <c r="M49" i="4" s="1"/>
  <c r="K49" i="4" s="1"/>
  <c r="I49" i="4" s="1"/>
  <c r="Q49" i="4" l="1"/>
  <c r="N49" i="4"/>
  <c r="L49" i="4"/>
  <c r="J49" i="4" s="1"/>
  <c r="H49" i="4" l="1"/>
  <c r="O49" i="4"/>
  <c r="P49" i="4" s="1"/>
  <c r="B50" i="4" l="1"/>
  <c r="D50" i="4"/>
  <c r="F50" i="4"/>
  <c r="C50" i="4"/>
  <c r="E50" i="4"/>
  <c r="G50" i="4"/>
  <c r="M50" i="4" s="1"/>
  <c r="K50" i="4" s="1"/>
  <c r="I50" i="4" s="1"/>
  <c r="N50" i="4" l="1"/>
  <c r="L50" i="4"/>
  <c r="J50" i="4" s="1"/>
  <c r="Q50" i="4"/>
  <c r="H50" i="4" l="1"/>
  <c r="O50" i="4"/>
  <c r="P50" i="4" s="1"/>
  <c r="B51" i="4" l="1"/>
  <c r="D51" i="4"/>
  <c r="F51" i="4"/>
  <c r="G51" i="4"/>
  <c r="M51" i="4" s="1"/>
  <c r="C51" i="4"/>
  <c r="E51" i="4"/>
  <c r="K51" i="4" l="1"/>
  <c r="I51" i="4" s="1"/>
  <c r="N51" i="4"/>
  <c r="L51" i="4"/>
  <c r="J51" i="4" s="1"/>
  <c r="Q51" i="4"/>
  <c r="H51" i="4" l="1"/>
  <c r="O51" i="4"/>
  <c r="P51" i="4" s="1"/>
  <c r="B52" i="4" l="1"/>
  <c r="D52" i="4"/>
  <c r="F52" i="4"/>
  <c r="C52" i="4"/>
  <c r="G52" i="4"/>
  <c r="M52" i="4" s="1"/>
  <c r="K52" i="4" s="1"/>
  <c r="I52" i="4" s="1"/>
  <c r="E52" i="4"/>
  <c r="N52" i="4" l="1"/>
  <c r="L52" i="4"/>
  <c r="J52" i="4" s="1"/>
  <c r="Q52" i="4"/>
  <c r="H52" i="4" l="1"/>
  <c r="O52" i="4"/>
  <c r="P52" i="4" s="1"/>
  <c r="D53" i="4" l="1"/>
  <c r="F53" i="4"/>
  <c r="B53" i="4"/>
  <c r="G53" i="4"/>
  <c r="M53" i="4" s="1"/>
  <c r="K53" i="4" s="1"/>
  <c r="I53" i="4" s="1"/>
  <c r="E53" i="4"/>
  <c r="C53" i="4"/>
  <c r="N53" i="4" l="1"/>
  <c r="L53" i="4"/>
  <c r="J53" i="4" s="1"/>
  <c r="Q53" i="4"/>
  <c r="H53" i="4" l="1"/>
  <c r="O53" i="4"/>
  <c r="P53" i="4" s="1"/>
  <c r="D54" i="4" l="1"/>
  <c r="F54" i="4"/>
  <c r="B54" i="4"/>
  <c r="C54" i="4"/>
  <c r="E54" i="4"/>
  <c r="G54" i="4"/>
  <c r="M54" i="4" s="1"/>
  <c r="K54" i="4" s="1"/>
  <c r="I54" i="4" s="1"/>
  <c r="Q54" i="4" l="1"/>
  <c r="N54" i="4"/>
  <c r="L54" i="4"/>
  <c r="J54" i="4" s="1"/>
  <c r="H54" i="4" l="1"/>
  <c r="O54" i="4"/>
  <c r="P54" i="4" s="1"/>
  <c r="D55" i="4" l="1"/>
  <c r="F55" i="4"/>
  <c r="B55" i="4"/>
  <c r="C55" i="4"/>
  <c r="E55" i="4"/>
  <c r="G55" i="4"/>
  <c r="M55" i="4" s="1"/>
  <c r="K55" i="4" s="1"/>
  <c r="I55" i="4" s="1"/>
  <c r="Q55" i="4" l="1"/>
  <c r="N55" i="4"/>
  <c r="L55" i="4"/>
  <c r="J55" i="4" s="1"/>
  <c r="H55" i="4" l="1"/>
  <c r="O55" i="4"/>
  <c r="P55" i="4" s="1"/>
  <c r="F56" i="4" l="1"/>
  <c r="B56" i="4"/>
  <c r="D56" i="4"/>
  <c r="E56" i="4"/>
  <c r="C56" i="4"/>
  <c r="G56" i="4"/>
  <c r="M56" i="4" s="1"/>
  <c r="K56" i="4" s="1"/>
  <c r="I56" i="4" s="1"/>
  <c r="Q56" i="4" l="1"/>
  <c r="N56" i="4"/>
  <c r="L56" i="4"/>
  <c r="J56" i="4" s="1"/>
  <c r="H56" i="4" l="1"/>
  <c r="O56" i="4"/>
  <c r="P56" i="4" s="1"/>
  <c r="B57" i="4" l="1"/>
  <c r="D57" i="4"/>
  <c r="F57" i="4"/>
  <c r="E57" i="4"/>
  <c r="C57" i="4"/>
  <c r="G57" i="4"/>
  <c r="M57" i="4" s="1"/>
  <c r="K57" i="4" s="1"/>
  <c r="I57" i="4" s="1"/>
  <c r="N57" i="4" l="1"/>
  <c r="L57" i="4"/>
  <c r="J57" i="4" s="1"/>
  <c r="Q57" i="4"/>
  <c r="H57" i="4" l="1"/>
  <c r="O57" i="4"/>
  <c r="P57" i="4" s="1"/>
  <c r="B58" i="4" l="1"/>
  <c r="D58" i="4"/>
  <c r="F58" i="4"/>
  <c r="G58" i="4"/>
  <c r="M58" i="4" s="1"/>
  <c r="K58" i="4" s="1"/>
  <c r="I58" i="4" s="1"/>
  <c r="C58" i="4"/>
  <c r="E58" i="4"/>
  <c r="N58" i="4" l="1"/>
  <c r="L58" i="4"/>
  <c r="J58" i="4" s="1"/>
  <c r="Q58" i="4"/>
  <c r="H58" i="4" l="1"/>
  <c r="O58" i="4"/>
  <c r="P58" i="4" s="1"/>
  <c r="B59" i="4" l="1"/>
  <c r="D59" i="4"/>
  <c r="F59" i="4"/>
  <c r="C59" i="4"/>
  <c r="E59" i="4"/>
  <c r="G59" i="4"/>
  <c r="M59" i="4" s="1"/>
  <c r="K59" i="4" s="1"/>
  <c r="I59" i="4" s="1"/>
  <c r="N59" i="4" l="1"/>
  <c r="L59" i="4"/>
  <c r="J59" i="4" s="1"/>
  <c r="Q59" i="4"/>
  <c r="H59" i="4" l="1"/>
  <c r="O59" i="4"/>
  <c r="P59" i="4" s="1"/>
  <c r="B60" i="4" l="1"/>
  <c r="D60" i="4"/>
  <c r="F60" i="4"/>
  <c r="C60" i="4"/>
  <c r="G60" i="4"/>
  <c r="M60" i="4" s="1"/>
  <c r="K60" i="4" s="1"/>
  <c r="I60" i="4" s="1"/>
  <c r="E60" i="4"/>
  <c r="N60" i="4" l="1"/>
  <c r="L60" i="4"/>
  <c r="J60" i="4" s="1"/>
  <c r="Q60" i="4"/>
  <c r="H60" i="4" l="1"/>
  <c r="O60" i="4"/>
  <c r="P60" i="4" s="1"/>
  <c r="D61" i="4" l="1"/>
  <c r="F61" i="4"/>
  <c r="B61" i="4"/>
  <c r="C61" i="4"/>
  <c r="E61" i="4"/>
  <c r="G61" i="4"/>
  <c r="M61" i="4" s="1"/>
  <c r="K61" i="4" s="1"/>
  <c r="I61" i="4" s="1"/>
  <c r="Q61" i="4" l="1"/>
  <c r="N61" i="4"/>
  <c r="L61" i="4"/>
  <c r="J61" i="4" s="1"/>
  <c r="H61" i="4" l="1"/>
  <c r="O61" i="4"/>
  <c r="P61" i="4" s="1"/>
  <c r="D62" i="4" l="1"/>
  <c r="F62" i="4"/>
  <c r="B62" i="4"/>
  <c r="C62" i="4"/>
  <c r="G62" i="4"/>
  <c r="M62" i="4" s="1"/>
  <c r="K62" i="4" s="1"/>
  <c r="I62" i="4" s="1"/>
  <c r="E62" i="4"/>
  <c r="N62" i="4" l="1"/>
  <c r="L62" i="4"/>
  <c r="J62" i="4" s="1"/>
  <c r="Q62" i="4"/>
  <c r="H62" i="4" l="1"/>
  <c r="O62" i="4"/>
  <c r="P62" i="4" s="1"/>
  <c r="D63" i="4" l="1"/>
  <c r="F63" i="4"/>
  <c r="B63" i="4"/>
  <c r="C63" i="4"/>
  <c r="E63" i="4"/>
  <c r="G63" i="4"/>
  <c r="M63" i="4" s="1"/>
  <c r="K63" i="4" s="1"/>
  <c r="I63" i="4" s="1"/>
  <c r="Q63" i="4" l="1"/>
  <c r="N63" i="4"/>
  <c r="L63" i="4"/>
  <c r="J63" i="4" s="1"/>
  <c r="H63" i="4" l="1"/>
  <c r="O63" i="4"/>
  <c r="P63" i="4" s="1"/>
  <c r="F64" i="4" l="1"/>
  <c r="B64" i="4"/>
  <c r="D64" i="4"/>
  <c r="C64" i="4"/>
  <c r="E64" i="4"/>
  <c r="G64" i="4"/>
  <c r="M64" i="4" s="1"/>
  <c r="K64" i="4" s="1"/>
  <c r="I64" i="4" s="1"/>
  <c r="Q64" i="4" l="1"/>
  <c r="N64" i="4"/>
  <c r="L64" i="4"/>
  <c r="J64" i="4" s="1"/>
  <c r="H64" i="4" l="1"/>
  <c r="O64" i="4"/>
  <c r="P64" i="4" s="1"/>
  <c r="F65" i="4" l="1"/>
  <c r="B65" i="4"/>
  <c r="D65" i="4"/>
  <c r="C65" i="4"/>
  <c r="G65" i="4"/>
  <c r="M65" i="4" s="1"/>
  <c r="K65" i="4" s="1"/>
  <c r="I65" i="4" s="1"/>
  <c r="E65" i="4"/>
  <c r="Q65" i="4" l="1"/>
  <c r="N65" i="4"/>
  <c r="L65" i="4"/>
  <c r="J65" i="4" s="1"/>
  <c r="H65" i="4" l="1"/>
  <c r="O65" i="4"/>
  <c r="P65" i="4" s="1"/>
  <c r="B66" i="4" l="1"/>
  <c r="F66" i="4"/>
  <c r="D66" i="4"/>
  <c r="B31" i="3" s="1"/>
  <c r="C66" i="4"/>
  <c r="G66" i="4"/>
  <c r="M66" i="4" s="1"/>
  <c r="K66" i="4" s="1"/>
  <c r="I66" i="4" s="1"/>
  <c r="B25" i="3" s="1"/>
  <c r="E66" i="4"/>
  <c r="N66" i="4" l="1"/>
  <c r="B21" i="3" s="1"/>
  <c r="D16" i="1" s="1"/>
  <c r="L66" i="4"/>
  <c r="J66" i="4" s="1"/>
  <c r="Q66" i="4"/>
  <c r="B33" i="3" s="1"/>
  <c r="B30" i="3"/>
  <c r="B32" i="3" s="1"/>
  <c r="H66" i="4" l="1"/>
  <c r="B24" i="3" s="1"/>
  <c r="O66" i="4"/>
  <c r="P66" i="4" l="1"/>
  <c r="B23" i="3" s="1"/>
  <c r="D17" i="1" s="1"/>
  <c r="B22" i="3"/>
  <c r="D15" i="1" s="1"/>
  <c r="B26" i="3"/>
  <c r="D18" i="1"/>
  <c r="B27" i="3"/>
  <c r="D28" i="1" s="1"/>
  <c r="D29" i="1" s="1"/>
  <c r="D19" i="1" l="1"/>
  <c r="B28" i="3"/>
</calcChain>
</file>

<file path=xl/sharedStrings.xml><?xml version="1.0" encoding="utf-8"?>
<sst xmlns="http://schemas.openxmlformats.org/spreadsheetml/2006/main" count="2447" uniqueCount="594">
  <si>
    <t>RESUMEN DE CÁLCULOS</t>
  </si>
  <si>
    <t>Ítem</t>
  </si>
  <si>
    <t>Resultado</t>
  </si>
  <si>
    <t>Unidad</t>
  </si>
  <si>
    <t>Valor</t>
  </si>
  <si>
    <t>Desarrollo</t>
  </si>
  <si>
    <t>01</t>
  </si>
  <si>
    <t>Usuarios potenciales</t>
  </si>
  <si>
    <t>ud</t>
  </si>
  <si>
    <t>Proyección geométrica por localidad</t>
  </si>
  <si>
    <t>02</t>
  </si>
  <si>
    <t>Demanda máxima</t>
  </si>
  <si>
    <t>kW</t>
  </si>
  <si>
    <t>Doméstica + alumbrado + servicios</t>
  </si>
  <si>
    <t>03</t>
  </si>
  <si>
    <t>Potencia aparente de carga</t>
  </si>
  <si>
    <t>kVA</t>
  </si>
  <si>
    <t>P / FP</t>
  </si>
  <si>
    <t>04</t>
  </si>
  <si>
    <t>Longitud eléctrica por fase</t>
  </si>
  <si>
    <t>m</t>
  </si>
  <si>
    <t>Catenaria EDS de 110 vanos</t>
  </si>
  <si>
    <t>05</t>
  </si>
  <si>
    <t>Resistencia de fase</t>
  </si>
  <si>
    <t>Ω</t>
  </si>
  <si>
    <t>Temperatura de cálculo 75 °C</t>
  </si>
  <si>
    <t>06</t>
  </si>
  <si>
    <t>Reactancia de fase</t>
  </si>
  <si>
    <t>Disposición horizontal 1.2 / 1.2 / 2.4 m</t>
  </si>
  <si>
    <t>07</t>
  </si>
  <si>
    <t>Corriente de la línea</t>
  </si>
  <si>
    <t>A</t>
  </si>
  <si>
    <t>Barrido radial con ambos transformadores</t>
  </si>
  <si>
    <t>08</t>
  </si>
  <si>
    <t>Tensión BT de llegada</t>
  </si>
  <si>
    <t>V</t>
  </si>
  <si>
    <t>Generador + T1 + línea + T2</t>
  </si>
  <si>
    <t>09</t>
  </si>
  <si>
    <t>Pérdida activa de la línea</t>
  </si>
  <si>
    <t>3 I² R</t>
  </si>
  <si>
    <t>10</t>
  </si>
  <si>
    <t>Generación requerida</t>
  </si>
  <si>
    <t>Carga + pérdidas + auxiliares</t>
  </si>
  <si>
    <t>11</t>
  </si>
  <si>
    <t>Potencia aparente del generador</t>
  </si>
  <si>
    <t>Potencias activa y reactiva de fuente</t>
  </si>
  <si>
    <t>12</t>
  </si>
  <si>
    <t>Ik3 subtransitoria MT de llegada</t>
  </si>
  <si>
    <t>Impedancias de fuente, T1 y línea</t>
  </si>
  <si>
    <t>13</t>
  </si>
  <si>
    <t>Ik3 subtransitoria BT de llegada</t>
  </si>
  <si>
    <t>Incluye T2 y relación MT/BT</t>
  </si>
  <si>
    <t>14</t>
  </si>
  <si>
    <t>D/C máximo de flexión tipo</t>
  </si>
  <si>
    <t>-</t>
  </si>
  <si>
    <t>Momentos de la envolvente del modelo</t>
  </si>
  <si>
    <t>15</t>
  </si>
  <si>
    <t>Apoyos con carga ascendente</t>
  </si>
  <si>
    <t>Vertical mínima negativa</t>
  </si>
  <si>
    <t>16</t>
  </si>
  <si>
    <t>Rotura mínima de retenida</t>
  </si>
  <si>
    <t>kN</t>
  </si>
  <si>
    <t>Especificación de suministro</t>
  </si>
  <si>
    <t>17</t>
  </si>
  <si>
    <t>Margen de potencia nominal</t>
  </si>
  <si>
    <t>Referencia de 200 kW menos necesidad</t>
  </si>
  <si>
    <t>18</t>
  </si>
  <si>
    <t>Margen con 25 kW para Limbani</t>
  </si>
  <si>
    <t>Balance de oferta compartida</t>
  </si>
  <si>
    <t>Caso: 10 kV, fuente equivalente 1.05 pu.</t>
  </si>
  <si>
    <t>Geometría de gabinete y datos tipo de equipos.</t>
  </si>
  <si>
    <t>CÁLCULO DE DEMANDA</t>
  </si>
  <si>
    <t>Localidad</t>
  </si>
  <si>
    <t>Viviendas 2017</t>
  </si>
  <si>
    <t>Años</t>
  </si>
  <si>
    <t>Usuarios 2026</t>
  </si>
  <si>
    <t>kW/usuario</t>
  </si>
  <si>
    <t>Simultaneidad</t>
  </si>
  <si>
    <t>Demanda (kW)</t>
  </si>
  <si>
    <t>Huancasayani Centro</t>
  </si>
  <si>
    <t>Huancasayani Bellavista</t>
  </si>
  <si>
    <t>Huancasayani Lince</t>
  </si>
  <si>
    <t>Demanda doméstica</t>
  </si>
  <si>
    <t>Alumbrado público</t>
  </si>
  <si>
    <t>Salud</t>
  </si>
  <si>
    <t>Educación y comunicaciones</t>
  </si>
  <si>
    <t>Agua y bombeo</t>
  </si>
  <si>
    <t>Comercio y talleres</t>
  </si>
  <si>
    <t>Servicios comunales</t>
  </si>
  <si>
    <t>DEMANDA MÁXIMA</t>
  </si>
  <si>
    <t>Factor de potencia</t>
  </si>
  <si>
    <t>Potencia reactiva (kvar)</t>
  </si>
  <si>
    <t>Potencia aparente (kVA)</t>
  </si>
  <si>
    <t>PARÁMETROS ELÉCTRICOS Y RESULTADOS</t>
  </si>
  <si>
    <t>Magnitud</t>
  </si>
  <si>
    <t>Expresión</t>
  </si>
  <si>
    <t>Suma de longitudes EDS</t>
  </si>
  <si>
    <t>Distancia media geométrica</t>
  </si>
  <si>
    <t>DMG = (Dab × Dbc × Dca)^(1/3)</t>
  </si>
  <si>
    <t>Radio medio geométrico</t>
  </si>
  <si>
    <t>GMR = 0.7788 × d / 2</t>
  </si>
  <si>
    <t>R = R20 [1 + αR (T − 20)] L</t>
  </si>
  <si>
    <t>X = 2πf × 2·10^-4 ln(DMG/GMR) L</t>
  </si>
  <si>
    <t>Resistencia del transformador</t>
  </si>
  <si>
    <t>pu</t>
  </si>
  <si>
    <t>rTX = Pcu / Sn</t>
  </si>
  <si>
    <t>Reactancia del transformador</t>
  </si>
  <si>
    <t>xTX = √(uk² − rTX²)</t>
  </si>
  <si>
    <t>Impedancia base MT</t>
  </si>
  <si>
    <t>Zb = Vn² / Sn</t>
  </si>
  <si>
    <t>Resistencia TX referida a MT</t>
  </si>
  <si>
    <t>RTX = rTX × Zb</t>
  </si>
  <si>
    <t>Reactancia TX referida a MT</t>
  </si>
  <si>
    <t>XTX = xTX × Zb</t>
  </si>
  <si>
    <t>Tensión de fuente por fase</t>
  </si>
  <si>
    <t>Vfuente = Vn × t / √3</t>
  </si>
  <si>
    <t>√3 |V3| × Vbt/Vn</t>
  </si>
  <si>
    <t>Corriente en la línea</t>
  </si>
  <si>
    <t>|I2|</t>
  </si>
  <si>
    <t>Pérdida activa de línea</t>
  </si>
  <si>
    <t>3 |I2|² R</t>
  </si>
  <si>
    <t>Potencia activa de generación</t>
  </si>
  <si>
    <t>Potencia de fuente más auxiliares</t>
  </si>
  <si>
    <t>Potencia reactiva de generación</t>
  </si>
  <si>
    <t>kvar</t>
  </si>
  <si>
    <t>−3 Vfuente Im(I1)</t>
  </si>
  <si>
    <t>√(Pg² + Qg²)</t>
  </si>
  <si>
    <t>Margen frente a 200 kW</t>
  </si>
  <si>
    <t>Pg nominal − Pg requerida</t>
  </si>
  <si>
    <t>Carga relativa del generador</t>
  </si>
  <si>
    <t>Sg / Sn</t>
  </si>
  <si>
    <t>Tensión MT de salida</t>
  </si>
  <si>
    <t>kV</t>
  </si>
  <si>
    <t>√3 |V1|</t>
  </si>
  <si>
    <t>Tensión MT de llegada</t>
  </si>
  <si>
    <t>√3 |V2|</t>
  </si>
  <si>
    <t>Caída de la línea</t>
  </si>
  <si>
    <t>(V1 − V2) / V1</t>
  </si>
  <si>
    <t>Residuo de iteración de tensión</t>
  </si>
  <si>
    <t>Diferencia máxima de dos iteraciones</t>
  </si>
  <si>
    <t>BALANCE RADIAL POR BARRIDO ITERATIVO</t>
  </si>
  <si>
    <t>Iteración</t>
  </si>
  <si>
    <t>Re V1 (V)</t>
  </si>
  <si>
    <t>Im V1 (V)</t>
  </si>
  <si>
    <t>Re V2 (V)</t>
  </si>
  <si>
    <t>Im V2 (V)</t>
  </si>
  <si>
    <t>Re V3 (V)</t>
  </si>
  <si>
    <t>Im V3 (V)</t>
  </si>
  <si>
    <t>Re I1 (A)</t>
  </si>
  <si>
    <t>Im I1 (A)</t>
  </si>
  <si>
    <t>Re I2 (A)</t>
  </si>
  <si>
    <t>Im I2 (A)</t>
  </si>
  <si>
    <t>Re I3 (A)</t>
  </si>
  <si>
    <t>Im I3 (A)</t>
  </si>
  <si>
    <t>BT final (V)</t>
  </si>
  <si>
    <t>I línea (A)</t>
  </si>
  <si>
    <t>P línea (kW)</t>
  </si>
  <si>
    <t>ΔV iter. (V)</t>
  </si>
  <si>
    <t>CORTOCIRCUITO TRIFÁSICO SIMÉTRICO</t>
  </si>
  <si>
    <t>Estado de fuente</t>
  </si>
  <si>
    <t>Punto</t>
  </si>
  <si>
    <t>Xd (pu)</t>
  </si>
  <si>
    <t>Vbase (V)</t>
  </si>
  <si>
    <t>Re Z (Ω)</t>
  </si>
  <si>
    <t>Im Z (Ω)</t>
  </si>
  <si>
    <t>|Z| (Ω)</t>
  </si>
  <si>
    <t>Ik3 (A)</t>
  </si>
  <si>
    <t>Subtransitorio</t>
  </si>
  <si>
    <t>MT salida</t>
  </si>
  <si>
    <t>MT llegada</t>
  </si>
  <si>
    <t>BT llegada</t>
  </si>
  <si>
    <t>Transitorio</t>
  </si>
  <si>
    <t>Sostenido</t>
  </si>
  <si>
    <t>Fuente: impedancias tipo del generador y transformadores.</t>
  </si>
  <si>
    <t>No incluye decremento temporal ni selección de ajustes del relé.</t>
  </si>
  <si>
    <t>VERIFICACIÓN DE POSTES Y RETENIDAS</t>
  </si>
  <si>
    <t>Poste</t>
  </si>
  <si>
    <t>Altura (m)</t>
  </si>
  <si>
    <t>Empotr. (m)</t>
  </si>
  <si>
    <t>Momento aplicado (kN·m)</t>
  </si>
  <si>
    <t>Momento tipo (kN·m)</t>
  </si>
  <si>
    <t>D/C</t>
  </si>
  <si>
    <t>Vertical mín. (kN)</t>
  </si>
  <si>
    <t>Ramales</t>
  </si>
  <si>
    <t>Tiro (kN)</t>
  </si>
  <si>
    <t>Rotura adopt. (kN)</t>
  </si>
  <si>
    <t>T admisible (kN)</t>
  </si>
  <si>
    <t>Utilización retenida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</si>
  <si>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</si>
  <si>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</si>
  <si>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</si>
  <si>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</si>
  <si>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</si>
  <si>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</si>
  <si>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</si>
  <si>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</si>
  <si>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</si>
  <si>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</si>
  <si>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</si>
  <si>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</si>
  <si>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</si>
  <si>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</si>
  <si>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</si>
  <si>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</si>
  <si>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</si>
  <si>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</si>
  <si>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</si>
  <si>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</si>
  <si>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</si>
  <si>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</si>
  <si>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</si>
  <si>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</si>
  <si>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</si>
  <si>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</si>
  <si>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</si>
  <si>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</si>
  <si>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</si>
  <si>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</si>
  <si>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</si>
  <si>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</si>
  <si>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</si>
  <si>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</si>
  <si>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</si>
  <si>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</si>
  <si>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</si>
  <si>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</si>
  <si>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</si>
  <si>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</si>
  <si>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</si>
  <si>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</si>
  <si>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</si>
  <si>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</si>
  <si>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</si>
  <si>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</si>
  <si>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</si>
  <si>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</si>
  <si>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</si>
  <si>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</si>
  <si>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</si>
  <si>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</si>
  <si>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</si>
  <si>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</si>
  <si>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</si>
  <si>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</si>
  <si>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</si>
  <si>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</si>
  <si>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</si>
  <si>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</si>
  <si>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</si>
  <si>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</si>
  <si>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</si>
  <si>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</si>
  <si>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</si>
  <si>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</si>
  <si>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</si>
  <si>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</si>
  <si>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</si>
  <si>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</si>
  <si>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</si>
  <si>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</si>
  <si>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</si>
  <si>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</si>
  <si>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</si>
  <si>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</si>
  <si>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</si>
  <si>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</si>
  <si>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</si>
  <si>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</si>
  <si>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</si>
  <si>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</si>
  <si>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</si>
  <si>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</si>
  <si>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</si>
  <si>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</si>
  <si>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</si>
  <si>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</si>
  <si>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</si>
  <si>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</si>
  <si>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</si>
  <si>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</si>
  <si>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</si>
  <si>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</si>
  <si>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</si>
  <si>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</si>
  <si>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</si>
  <si>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</si>
  <si>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</si>
  <si>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</si>
  <si>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</si>
  <si>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</si>
  <si>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</si>
  <si>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</si>
  <si>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</si>
  <si>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</si>
  <si>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</si>
  <si>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</si>
  <si>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</si>
  <si>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</si>
  <si>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</si>
  <si>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Momentos y fuerzas: envolvente del modelo 3D por vano, seis estados y viento cada 15°.</t>
  </si>
  <si>
    <t>CATENARIA: DESARROLLO POR VANO Y ESTADO</t>
  </si>
  <si>
    <t>Vano</t>
  </si>
  <si>
    <t>Estado</t>
  </si>
  <si>
    <t>L (m)</t>
  </si>
  <si>
    <t>Δz (m)</t>
  </si>
  <si>
    <t>H resuelto (N)</t>
  </si>
  <si>
    <t>qv (N/m)</t>
  </si>
  <si>
    <t>qw (N/m)</t>
  </si>
  <si>
    <t>q (N/m)</t>
  </si>
  <si>
    <t>dy (m)</t>
  </si>
  <si>
    <t>dx (m)</t>
  </si>
  <si>
    <t>a (m)</t>
  </si>
  <si>
    <t>x0 (m)</t>
  </si>
  <si>
    <t>u0</t>
  </si>
  <si>
    <t>u1</t>
  </si>
  <si>
    <t>Cable (m)</t>
  </si>
  <si>
    <t>T inicial (N)</t>
  </si>
  <si>
    <t>T final (N)</t>
  </si>
  <si>
    <t>V001</t>
  </si>
  <si>
    <t>EDS</t>
  </si>
  <si>
    <t>VIENTO</t>
  </si>
  <si>
    <t>HIELO</t>
  </si>
  <si>
    <t>COMBINADO</t>
  </si>
  <si>
    <t>FRIO</t>
  </si>
  <si>
    <t>CALOR_FINAL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</si>
  <si>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</si>
  <si>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</si>
  <si>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</si>
  <si>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</si>
  <si>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</si>
  <si>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</si>
  <si>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</si>
  <si>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</si>
  <si>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</si>
  <si>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</si>
  <si>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</si>
  <si>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</si>
  <si>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</si>
  <si>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</si>
  <si>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</si>
  <si>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</si>
  <si>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</si>
  <si>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</si>
  <si>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</si>
  <si>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</si>
  <si>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</si>
  <si>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</si>
  <si>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</si>
  <si>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</si>
  <si>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</si>
  <si>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</si>
  <si>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</si>
  <si>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</si>
  <si>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</si>
  <si>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</si>
  <si>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</si>
  <si>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</si>
  <si>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</si>
  <si>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</si>
  <si>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</si>
  <si>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</si>
  <si>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</si>
  <si>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</si>
  <si>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</si>
  <si>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</si>
  <si>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</si>
  <si>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</si>
  <si>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</si>
  <si>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</si>
  <si>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</si>
  <si>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</si>
  <si>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</si>
  <si>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</si>
  <si>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</si>
  <si>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</si>
  <si>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</si>
  <si>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</si>
  <si>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</si>
  <si>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</si>
  <si>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</si>
  <si>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</si>
  <si>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</si>
  <si>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</si>
  <si>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</si>
  <si>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</si>
  <si>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</si>
  <si>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</si>
  <si>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</si>
  <si>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</si>
  <si>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</si>
  <si>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</si>
  <si>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</si>
  <si>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</si>
  <si>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</si>
  <si>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</si>
  <si>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</si>
  <si>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</si>
  <si>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</si>
  <si>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</si>
  <si>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</si>
  <si>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</si>
  <si>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</si>
  <si>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</si>
  <si>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</si>
  <si>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</si>
  <si>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</si>
  <si>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</si>
  <si>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</si>
  <si>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</si>
  <si>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</si>
  <si>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</si>
  <si>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</si>
  <si>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</si>
  <si>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</si>
  <si>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</si>
  <si>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</si>
  <si>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</si>
  <si>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</si>
  <si>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</si>
  <si>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</si>
  <si>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</si>
  <si>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</si>
  <si>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</si>
  <si>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</si>
  <si>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</si>
  <si>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</si>
  <si>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</si>
  <si>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</si>
  <si>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</si>
  <si>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</si>
  <si>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</si>
  <si>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</si>
  <si>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</si>
  <si>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</si>
  <si>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H: solución termoelástica del motor. Longitud y esfuerzos de extremo se desarrollan con fórmulas de Excel.</t>
  </si>
  <si>
    <t>PLANILLA DE POSTES Y ARMADOS</t>
  </si>
  <si>
    <t>Este (m)</t>
  </si>
  <si>
    <t>Norte (m)</t>
  </si>
  <si>
    <t>Cota DEM (m)</t>
  </si>
  <si>
    <t>Amarre (m)</t>
  </si>
  <si>
    <t>Ángulo (°)</t>
  </si>
  <si>
    <t>Función</t>
  </si>
  <si>
    <t>Postes (ud)</t>
  </si>
  <si>
    <t>Armados (jgo)</t>
  </si>
  <si>
    <t>Puentes (m)</t>
  </si>
  <si>
    <t>TERMINAL</t>
  </si>
  <si>
    <t>SUSPENSION</t>
  </si>
  <si>
    <t>ANCLAJE</t>
  </si>
  <si>
    <t>ANGULO</t>
  </si>
  <si>
    <t>ANCLAJE_PROPUESTO</t>
  </si>
  <si>
    <t>LONGITUD DE CONDUCTOR POR CATENARIA EDS</t>
  </si>
  <si>
    <t>Inicial</t>
  </si>
  <si>
    <t>Final</t>
  </si>
  <si>
    <t>L horiz. (m)</t>
  </si>
  <si>
    <t>Δz amarre (m)</t>
  </si>
  <si>
    <t>H EDS (N)</t>
  </si>
  <si>
    <t>a = H/q (m)</t>
  </si>
  <si>
    <t>u (–)</t>
  </si>
  <si>
    <t>u0 (–)</t>
  </si>
  <si>
    <t>u1 (–)</t>
  </si>
  <si>
    <t>Cable/fase (m)</t>
  </si>
  <si>
    <t>Terna (m)</t>
  </si>
  <si>
    <t>PARÁMETROS DE DISEÑO</t>
  </si>
  <si>
    <t>Limbani – Huancasayani · 2026</t>
  </si>
  <si>
    <t>n</t>
  </si>
  <si>
    <t>Número de fases</t>
  </si>
  <si>
    <t>Terna AAAC 50 mm²</t>
  </si>
  <si>
    <t>lp</t>
  </si>
  <si>
    <t>Longitud por puente y ramal</t>
  </si>
  <si>
    <t>Asignación geométrica académica por fase</t>
  </si>
  <si>
    <t>s</t>
  </si>
  <si>
    <t>Reserva de conductor</t>
  </si>
  <si>
    <t>%</t>
  </si>
  <si>
    <t>Reserva adicional sobre tendido y puentes</t>
  </si>
  <si>
    <t>RTS</t>
  </si>
  <si>
    <t>Carga de rotura del conductor</t>
  </si>
  <si>
    <t>N</t>
  </si>
  <si>
    <t>Dato tipo AAAC del modelo de diseño</t>
  </si>
  <si>
    <t>fEDS</t>
  </si>
  <si>
    <t>Fracción de tracción inicial</t>
  </si>
  <si>
    <t>Estado EDS, 15 °C</t>
  </si>
  <si>
    <t>Masa lineal</t>
  </si>
  <si>
    <t>kg/km</t>
  </si>
  <si>
    <t>Dato tipo AAAC 6201-T81</t>
  </si>
  <si>
    <t>g</t>
  </si>
  <si>
    <t>Aceleración de gravedad</t>
  </si>
  <si>
    <t>m/s²</t>
  </si>
  <si>
    <t>Constante de cálculo</t>
  </si>
  <si>
    <t>W</t>
  </si>
  <si>
    <t>Carga transversal de poste</t>
  </si>
  <si>
    <t>daN</t>
  </si>
  <si>
    <t>Capacidad tipo para verificación de flexión</t>
  </si>
  <si>
    <t>kr</t>
  </si>
  <si>
    <t>Relación rotura/trabajo</t>
  </si>
  <si>
    <t>Hipótesis resistente del estudio</t>
  </si>
  <si>
    <t>phi</t>
  </si>
  <si>
    <t>Factor de resistencia</t>
  </si>
  <si>
    <t>e</t>
  </si>
  <si>
    <t>Punto de ensayo bajo cima</t>
  </si>
  <si>
    <t>Brazo de ensayo del poste tipo</t>
  </si>
  <si>
    <t>Tu</t>
  </si>
  <si>
    <t>Especificación de retenida de la línea</t>
  </si>
  <si>
    <t>phiR</t>
  </si>
  <si>
    <t>Factor resistente de retenida</t>
  </si>
  <si>
    <t>theta</t>
  </si>
  <si>
    <t>Ángulo vertical de retenida</t>
  </si>
  <si>
    <t>°</t>
  </si>
  <si>
    <t>Geometría ideal del cálculo</t>
  </si>
  <si>
    <t>Dab</t>
  </si>
  <si>
    <t>Separación fase A–B</t>
  </si>
  <si>
    <t>Disposición horizontal</t>
  </si>
  <si>
    <t>Dbc</t>
  </si>
  <si>
    <t>Separación fase B–C</t>
  </si>
  <si>
    <t>Dca</t>
  </si>
  <si>
    <t>Separación fase C–A</t>
  </si>
  <si>
    <t>R20</t>
  </si>
  <si>
    <t>Resistencia a 20 °C</t>
  </si>
  <si>
    <t>Ω/km</t>
  </si>
  <si>
    <t>Dato tipo del conductor</t>
  </si>
  <si>
    <t>aR</t>
  </si>
  <si>
    <t>Coeficiente de resistencia</t>
  </si>
  <si>
    <t>1/°C</t>
  </si>
  <si>
    <t>Dato tipo AAAC</t>
  </si>
  <si>
    <t>T</t>
  </si>
  <si>
    <t>Temperatura de cálculo eléctrico</t>
  </si>
  <si>
    <t>°C</t>
  </si>
  <si>
    <t>Estado térmico de cálculo</t>
  </si>
  <si>
    <t>d</t>
  </si>
  <si>
    <t>Diámetro del conductor</t>
  </si>
  <si>
    <t>Dato tipo AAAC 50</t>
  </si>
  <si>
    <t>f</t>
  </si>
  <si>
    <t>Frecuencia</t>
  </si>
  <si>
    <t>Hz</t>
  </si>
  <si>
    <t>Sistema de estudio</t>
  </si>
  <si>
    <t>Vn</t>
  </si>
  <si>
    <t>Tensión nominal del caso</t>
  </si>
  <si>
    <t>Caso de compatibilidad académico; placa no verificada</t>
  </si>
  <si>
    <t>t</t>
  </si>
  <si>
    <t>Elevación efectiva de fuente</t>
  </si>
  <si>
    <t>Condición equivalente de regulación</t>
  </si>
  <si>
    <t>Vbt</t>
  </si>
  <si>
    <t>Tensión nominal secundaria</t>
  </si>
  <si>
    <t>Relación de transformación de cálculo</t>
  </si>
  <si>
    <t>Sn</t>
  </si>
  <si>
    <t>Potencia de cada transformador</t>
  </si>
  <si>
    <t>Capacidad neta de estudio a altitud local</t>
  </si>
  <si>
    <t>uk</t>
  </si>
  <si>
    <t>Impedancia de cortocircuito TX</t>
  </si>
  <si>
    <t>Dato tipo de transformación</t>
  </si>
  <si>
    <t>Pcu</t>
  </si>
  <si>
    <t>Pérdida de cobre nominal TX</t>
  </si>
  <si>
    <t>P0</t>
  </si>
  <si>
    <t>Pérdida en vacío TX</t>
  </si>
  <si>
    <t>Q0</t>
  </si>
  <si>
    <t>Reactiva en vacío TX</t>
  </si>
  <si>
    <t>Paux</t>
  </si>
  <si>
    <t>Consumo auxiliar de generación</t>
  </si>
  <si>
    <t>Balance del sistema aislado</t>
  </si>
  <si>
    <t>FP</t>
  </si>
  <si>
    <t>Factor de potencia de carga</t>
  </si>
  <si>
    <t>Caso equilibrado</t>
  </si>
  <si>
    <t>Ra</t>
  </si>
  <si>
    <t>Resistencia de generador</t>
  </si>
  <si>
    <t>Modelo de fuente débil</t>
  </si>
  <si>
    <t>Xdpp</t>
  </si>
  <si>
    <t>Reactancia subtransitoria</t>
  </si>
  <si>
    <t>Xdp</t>
  </si>
  <si>
    <t>Reactancia transitoria</t>
  </si>
  <si>
    <t>Xd</t>
  </si>
  <si>
    <t>Reactancia sostenida</t>
  </si>
  <si>
    <t>Pg</t>
  </si>
  <si>
    <t>Potencia nominal de referencia</t>
  </si>
  <si>
    <t>Referencia académica; no potencia firme certificada</t>
  </si>
  <si>
    <t>af</t>
  </si>
  <si>
    <t>Año de diseño</t>
  </si>
  <si>
    <t>año</t>
  </si>
  <si>
    <t>Proyección demográfica</t>
  </si>
  <si>
    <t>a0</t>
  </si>
  <si>
    <t>Año de censo</t>
  </si>
  <si>
    <t>INEI Directorio 2017, tomo 4, pp. 1713–1714</t>
  </si>
  <si>
    <t>r</t>
  </si>
  <si>
    <t>Crecimiento anual</t>
  </si>
  <si>
    <t>Proyección geométrica adoptada</t>
  </si>
  <si>
    <t>fs</t>
  </si>
  <si>
    <t>Simultaneidad residencial</t>
  </si>
  <si>
    <t>Hipótesis de carga</t>
  </si>
  <si>
    <t>Napu</t>
  </si>
  <si>
    <t>Luminarias públicas</t>
  </si>
  <si>
    <t>Hipótesis de alumbrado</t>
  </si>
  <si>
    <t>Papu</t>
  </si>
  <si>
    <t>Potencia por luminaria</t>
  </si>
  <si>
    <t>dv</t>
  </si>
  <si>
    <t>Límite de caída de estudio</t>
  </si>
  <si>
    <t>Criterio de evaluación del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</si>
</sst>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%"/>
    <numFmt numFmtId="167" formatCode="0.000%"/>
    <numFmt numFmtId="168" formatCode="0.000000"/>
  </numFmts>
  <fonts count="6">
    <font>
      <sz val="11"/>
      <name val="Carlito"/>
    </font>
    <font>
      <sz val="11"/>
      <color rgb="FF20252B"/>
      <name val="Arial"/>
    </font>
    <font>
      <b/>
      <sz val="16"/>
      <color rgb="FF254D73"/>
      <name val="Arial"/>
    </font>
    <font>
      <b/>
      <sz val="10"/>
      <color rgb="FFFFFFFF"/>
      <name val="Arial"/>
    </font>
    <font>
      <b/>
      <sz val="11"/>
      <color rgb="FF254D73"/>
      <name val="Arial"/>
    </font>
    <font>
      <sz val="11"/>
      <color rgb="FF225DA8"/>
      <name val="Arial"/>
    </font>
  </fonts>
  <fills count="5">
    <fill>
      <patternFill patternType="none"/>
    </fill>
    <fill>
      <patternFill patternType="gray125"/>
    </fill>
    <fill>
      <patternFill patternType="solid">
        <fgColor rgb="FF254D73"/>
      </patternFill>
    </fill>
    <fill>
      <patternFill patternType="solid">
        <fgColor rgb="FFEEF4FA"/>
      </patternFill>
    </fill>
    <fill>
      <patternFill patternType="solid">
        <fgColor rgb="FFF3F7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0" fontId="4" fillId="3" borderId="2" xfId="0" applyNumberFormat="1" applyFont="1" applyFill="1" applyBorder="1"/>
    <xf numFmtId="164" fontId="4" fillId="3" borderId="2" xfId="0" applyNumberFormat="1" applyFont="1" applyFill="1" applyBorder="1" applyAlignment="1">
      <alignment horizontal="right"/>
    </xf>
    <xf numFmtId="0" fontId="5" fillId="4" borderId="0" xfId="0" applyNumberFormat="1" applyFont="1" applyFill="1" applyBorder="1"/>
    <xf numFmtId="165" fontId="5" fillId="4" borderId="0" xfId="0" applyNumberFormat="1" applyFont="1" applyFill="1" applyBorder="1" applyAlignment="1">
      <alignment horizontal="right"/>
    </xf>
    <xf numFmtId="166" fontId="5" fillId="4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4" fontId="5" fillId="4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165" fontId="4" fillId="3" borderId="2" xfId="0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/>
    </xf>
    <xf numFmtId="167" fontId="1" fillId="0" borderId="0" xfId="0" applyNumberFormat="1" applyFont="1" applyFill="1" applyBorder="1" applyAlignment="1">
      <alignment horizontal="right"/>
    </xf>
    <xf numFmtId="168" fontId="1" fillId="0" borderId="0" xfId="0" applyNumberFormat="1" applyFont="1" applyFill="1" applyBorder="1" applyAlignment="1">
      <alignment horizontal="right"/>
    </xf>
    <xf numFmtId="168" fontId="4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4D73"/>
    <pageSetUpPr fitToPage="1"/>
  </sheetPr>
  <dimension ref="A1:E37"/>
  <sheetViews>
    <sheetView showGridLines="0" tabSelected="1" zoomScale="85" zoomScaleNormal="85" workbookViewId="0"/>
  </sheetViews>
  <sheetFormatPr baseColWidth="10" defaultColWidth="9" defaultRowHeight="14.25"/>
  <cols>
    <col min="1" max="1" width="8" customWidth="1"/>
    <col min="2" max="2" width="47" customWidth="1"/>
    <col min="3" max="3" width="15" customWidth="1"/>
    <col min="4" max="4" width="19" customWidth="1"/>
    <col min="5" max="5" width="47" customWidth="1"/>
  </cols>
  <sheetData>
    <row r="1" spans="1:5" ht="21" customHeight="1">
      <c r="A1" s="1"/>
      <c r="B1" s="1"/>
      <c r="C1" s="1"/>
      <c r="D1" s="1"/>
      <c r="E1" s="1"/>
    </row>
    <row r="2" spans="1:5" ht="21" customHeight="1">
      <c r="A2" s="2" t="s">
        <v>0</v>
      </c>
      <c r="B2" s="2"/>
      <c r="C2" s="2"/>
      <c r="D2" s="2"/>
      <c r="E2" s="2"/>
    </row>
    <row r="3" spans="1:5" ht="21" customHeight="1">
      <c r="A3" s="1"/>
      <c r="B3" s="1"/>
      <c r="C3" s="1"/>
      <c r="D3" s="1"/>
      <c r="E3" s="1"/>
    </row>
    <row r="4" spans="1:5" ht="21" customHeight="1">
      <c r="A4" s="3"/>
      <c r="B4" s="3"/>
      <c r="C4" s="3"/>
      <c r="D4" s="3"/>
      <c r="E4" s="3"/>
    </row>
    <row r="5" spans="1:5" ht="21" customHeight="1">
      <c r="A5" s="1"/>
      <c r="B5" s="1"/>
      <c r="C5" s="1"/>
      <c r="D5" s="1"/>
      <c r="E5" s="1"/>
    </row>
    <row r="6" spans="1:5" ht="36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</row>
    <row r="7" spans="1:5" ht="21" customHeight="1">
      <c r="A7" s="1" t="s">
        <v>6</v>
      </c>
      <c r="B7" s="1" t="s">
        <v>7</v>
      </c>
      <c r="C7" s="1" t="s">
        <v>8</v>
      </c>
      <c r="D7" s="6">
        <f>Demanda!G27</f>
        <v>353</v>
      </c>
      <c r="E7" s="1" t="s">
        <v>9</v>
      </c>
    </row>
    <row r="8" spans="1:5" ht="21" customHeight="1">
      <c r="A8" s="7" t="s">
        <v>10</v>
      </c>
      <c r="B8" s="7" t="s">
        <v>11</v>
      </c>
      <c r="C8" s="7" t="s">
        <v>12</v>
      </c>
      <c r="D8" s="8">
        <f>Demanda!G21</f>
        <v>171.48600000000002</v>
      </c>
      <c r="E8" s="7" t="s">
        <v>13</v>
      </c>
    </row>
    <row r="9" spans="1:5" ht="21" customHeight="1">
      <c r="A9" s="1" t="s">
        <v>14</v>
      </c>
      <c r="B9" s="1" t="s">
        <v>15</v>
      </c>
      <c r="C9" s="1" t="s">
        <v>16</v>
      </c>
      <c r="D9" s="5">
        <f>Demanda!G25</f>
        <v>190.54000000000002</v>
      </c>
      <c r="E9" s="1" t="s">
        <v>17</v>
      </c>
    </row>
    <row r="10" spans="1:5" ht="21" customHeight="1">
      <c r="A10" s="1"/>
      <c r="B10" s="1"/>
      <c r="C10" s="1"/>
      <c r="D10" s="5"/>
      <c r="E10" s="1"/>
    </row>
    <row r="11" spans="1:5" ht="21" customHeight="1">
      <c r="A11" s="1" t="s">
        <v>18</v>
      </c>
      <c r="B11" s="1" t="s">
        <v>19</v>
      </c>
      <c r="C11" s="1" t="s">
        <v>20</v>
      </c>
      <c r="D11" s="5">
        <f>Electrico!B7</f>
        <v>6758.1202970857503</v>
      </c>
      <c r="E11" s="1" t="s">
        <v>21</v>
      </c>
    </row>
    <row r="12" spans="1:5" ht="21" customHeight="1">
      <c r="A12" s="1" t="s">
        <v>22</v>
      </c>
      <c r="B12" s="1" t="s">
        <v>23</v>
      </c>
      <c r="C12" s="1" t="s">
        <v>24</v>
      </c>
      <c r="D12" s="5">
        <f>Electrico!B10</f>
        <v>5.4325690657747572</v>
      </c>
      <c r="E12" s="1" t="s">
        <v>25</v>
      </c>
    </row>
    <row r="13" spans="1:5" ht="21" customHeight="1">
      <c r="A13" s="1" t="s">
        <v>26</v>
      </c>
      <c r="B13" s="1" t="s">
        <v>27</v>
      </c>
      <c r="C13" s="1" t="s">
        <v>24</v>
      </c>
      <c r="D13" s="5">
        <f>Electrico!B11</f>
        <v>3.0914666880762001</v>
      </c>
      <c r="E13" s="1" t="s">
        <v>28</v>
      </c>
    </row>
    <row r="14" spans="1:5" ht="21" customHeight="1">
      <c r="A14" s="1"/>
      <c r="B14" s="1"/>
      <c r="C14" s="1"/>
      <c r="D14" s="5"/>
      <c r="E14" s="1"/>
    </row>
    <row r="15" spans="1:5" ht="21" customHeight="1">
      <c r="A15" s="1" t="s">
        <v>29</v>
      </c>
      <c r="B15" s="1" t="s">
        <v>30</v>
      </c>
      <c r="C15" s="1" t="s">
        <v>31</v>
      </c>
      <c r="D15" s="5">
        <f>Electrico!B22</f>
        <v>11.356330276256235</v>
      </c>
      <c r="E15" s="1" t="s">
        <v>32</v>
      </c>
    </row>
    <row r="16" spans="1:5" ht="21" customHeight="1">
      <c r="A16" s="7" t="s">
        <v>33</v>
      </c>
      <c r="B16" s="7" t="s">
        <v>34</v>
      </c>
      <c r="C16" s="7" t="s">
        <v>35</v>
      </c>
      <c r="D16" s="8">
        <f>Electrico!B21</f>
        <v>371.06662970623142</v>
      </c>
      <c r="E16" s="7" t="s">
        <v>36</v>
      </c>
    </row>
    <row r="17" spans="1:5" ht="21" customHeight="1">
      <c r="A17" s="1" t="s">
        <v>37</v>
      </c>
      <c r="B17" s="1" t="s">
        <v>38</v>
      </c>
      <c r="C17" s="1" t="s">
        <v>12</v>
      </c>
      <c r="D17" s="5">
        <f>Electrico!B23</f>
        <v>2.1018539745635891</v>
      </c>
      <c r="E17" s="1" t="s">
        <v>39</v>
      </c>
    </row>
    <row r="18" spans="1:5" ht="21" customHeight="1">
      <c r="A18" s="7" t="s">
        <v>40</v>
      </c>
      <c r="B18" s="7" t="s">
        <v>41</v>
      </c>
      <c r="C18" s="7" t="s">
        <v>12</v>
      </c>
      <c r="D18" s="8">
        <f>Electrico!B24</f>
        <v>183.32615092135805</v>
      </c>
      <c r="E18" s="7" t="s">
        <v>42</v>
      </c>
    </row>
    <row r="19" spans="1:5" ht="21" customHeight="1">
      <c r="A19" s="7" t="s">
        <v>43</v>
      </c>
      <c r="B19" s="7" t="s">
        <v>44</v>
      </c>
      <c r="C19" s="7" t="s">
        <v>16</v>
      </c>
      <c r="D19" s="8">
        <f>Electrico!B26</f>
        <v>212.48050066465896</v>
      </c>
      <c r="E19" s="7" t="s">
        <v>45</v>
      </c>
    </row>
    <row r="20" spans="1:5" ht="21" customHeight="1">
      <c r="A20" s="1"/>
      <c r="B20" s="1"/>
      <c r="C20" s="1"/>
      <c r="D20" s="5"/>
      <c r="E20" s="1"/>
    </row>
    <row r="21" spans="1:5" ht="21" customHeight="1">
      <c r="A21" s="1" t="s">
        <v>46</v>
      </c>
      <c r="B21" s="1" t="s">
        <v>47</v>
      </c>
      <c r="C21" s="1" t="s">
        <v>31</v>
      </c>
      <c r="D21" s="5">
        <f>Cortocircuito!H8</f>
        <v>53.384804555824324</v>
      </c>
      <c r="E21" s="1" t="s">
        <v>48</v>
      </c>
    </row>
    <row r="22" spans="1:5" ht="21" customHeight="1">
      <c r="A22" s="1" t="s">
        <v>49</v>
      </c>
      <c r="B22" s="1" t="s">
        <v>50</v>
      </c>
      <c r="C22" s="1" t="s">
        <v>31</v>
      </c>
      <c r="D22" s="5">
        <f>Cortocircuito!H9</f>
        <v>1149.8398913728804</v>
      </c>
      <c r="E22" s="1" t="s">
        <v>51</v>
      </c>
    </row>
    <row r="23" spans="1:5" ht="21" customHeight="1">
      <c r="A23" s="1"/>
      <c r="B23" s="1"/>
      <c r="C23" s="1"/>
      <c r="D23" s="5"/>
      <c r="E23" s="1"/>
    </row>
    <row r="24" spans="1:5" ht="21" customHeight="1">
      <c r="A24" s="7" t="s">
        <v>52</v>
      </c>
      <c r="B24" s="7" t="s">
        <v>53</v>
      </c>
      <c r="C24" s="7" t="s">
        <v>54</v>
      </c>
      <c r="D24" s="8">
        <f>MAX(Mecanica!F7:F117)</f>
        <v>0.59769994335986409</v>
      </c>
      <c r="E24" s="7" t="s">
        <v>55</v>
      </c>
    </row>
    <row r="25" spans="1:5" ht="21" customHeight="1">
      <c r="A25" s="1" t="s">
        <v>56</v>
      </c>
      <c r="B25" s="1" t="s">
        <v>57</v>
      </c>
      <c r="C25" s="1" t="s">
        <v>8</v>
      </c>
      <c r="D25" s="6">
        <f>COUNTIFS(Mecanica!G7:G117,"&lt;0")</f>
        <v>46</v>
      </c>
      <c r="E25" s="1" t="s">
        <v>58</v>
      </c>
    </row>
    <row r="26" spans="1:5" ht="21" customHeight="1">
      <c r="A26" s="1" t="s">
        <v>59</v>
      </c>
      <c r="B26" s="1" t="s">
        <v>60</v>
      </c>
      <c r="C26" s="1" t="s">
        <v>61</v>
      </c>
      <c r="D26" s="5">
        <f>Parametros!E16</f>
        <v>60</v>
      </c>
      <c r="E26" s="1" t="s">
        <v>62</v>
      </c>
    </row>
    <row r="27" spans="1:5" ht="21" customHeight="1">
      <c r="A27" s="1"/>
      <c r="B27" s="1"/>
      <c r="C27" s="1"/>
      <c r="D27" s="5"/>
      <c r="E27" s="1"/>
    </row>
    <row r="28" spans="1:5" ht="21" customHeight="1">
      <c r="A28" s="1" t="s">
        <v>63</v>
      </c>
      <c r="B28" s="1" t="s">
        <v>64</v>
      </c>
      <c r="C28" s="1" t="s">
        <v>12</v>
      </c>
      <c r="D28" s="5">
        <f>Electrico!B27</f>
        <v>16.67384907864195</v>
      </c>
      <c r="E28" s="1" t="s">
        <v>65</v>
      </c>
    </row>
    <row r="29" spans="1:5" ht="21" customHeight="1">
      <c r="A29" s="1" t="s">
        <v>66</v>
      </c>
      <c r="B29" s="1" t="s">
        <v>67</v>
      </c>
      <c r="C29" s="1" t="s">
        <v>12</v>
      </c>
      <c r="D29" s="5">
        <f>D28-25</f>
        <v>-8.3261509213580496</v>
      </c>
      <c r="E29" s="1" t="s">
        <v>68</v>
      </c>
    </row>
    <row r="30" spans="1:5" ht="21" customHeight="1">
      <c r="A30" s="1"/>
      <c r="B30" s="1"/>
      <c r="C30" s="1"/>
      <c r="D30" s="1"/>
      <c r="E30" s="1"/>
    </row>
    <row r="31" spans="1:5" ht="21" customHeight="1">
      <c r="A31" s="1"/>
      <c r="B31" s="1"/>
      <c r="C31" s="1"/>
      <c r="D31" s="1"/>
      <c r="E31" s="1"/>
    </row>
    <row r="32" spans="1:5" ht="21" customHeight="1">
      <c r="A32" s="1"/>
      <c r="B32" s="1" t="s">
        <v>69</v>
      </c>
      <c r="C32" s="1"/>
      <c r="D32" s="1"/>
      <c r="E32" s="1"/>
    </row>
    <row r="33" spans="1:5" ht="21" customHeight="1">
      <c r="A33" s="1"/>
      <c r="B33" s="1" t="s">
        <v>70</v>
      </c>
      <c r="C33" s="1"/>
      <c r="D33" s="1"/>
      <c r="E33" s="1"/>
    </row>
    <row r="34" spans="1:5" ht="21" customHeight="1">
      <c r="A34" s="1"/>
      <c r="B34" s="1"/>
      <c r="C34" s="1"/>
      <c r="D34" s="1"/>
      <c r="E34" s="1"/>
    </row>
    <row r="35" spans="1:5" ht="21" customHeight="1">
      <c r="A35" s="1"/>
      <c r="B35" s="1"/>
      <c r="C35" s="1"/>
      <c r="D35" s="1"/>
      <c r="E35" s="1"/>
    </row>
    <row r="36" spans="1:5" ht="21" customHeight="1">
      <c r="A36" s="1"/>
      <c r="B36" s="1"/>
      <c r="C36" s="1"/>
      <c r="D36" s="1"/>
      <c r="E36" s="1"/>
    </row>
    <row r="37" spans="1:5" ht="21" customHeight="1">
      <c r="A37" s="1"/>
      <c r="B37" s="1"/>
      <c r="C37" s="1"/>
      <c r="D37" s="1"/>
      <c r="E37" s="1"/>
    </row>
  </sheetData>
  <pageMargins left="0.39370078740157477" right="0.39370078740157477" top="0.55118110236220463" bottom="0.55118110236220463" header="0.3" footer="0.3"/>
  <pageSetup paperSize="9" scale="75" orientation="landscape" r:id="rId1"/>
  <headerFooter>
    <oddFooter>&amp;CInstalaciones Eléctricas II | Aquiles Taylor Ramos Yapo | 227368&amp;RHoja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0"/>
  <sheetViews>
    <sheetView showGridLines="0" zoomScale="85" zoomScaleNormal="85" workbookViewId="0"/>
  </sheetViews>
  <sheetFormatPr baseColWidth="10" defaultColWidth="9" defaultRowHeight="14.25"/>
  <cols>
    <col min="1" max="1" width="35" customWidth="1"/>
    <col min="2" max="2" width="15" customWidth="1"/>
    <col min="3" max="3" width="14" customWidth="1"/>
    <col min="4" max="4" width="15" customWidth="1"/>
    <col min="5" max="5" width="14" customWidth="1"/>
    <col min="6" max="6" width="16" customWidth="1"/>
    <col min="7" max="7" width="19" customWidth="1"/>
  </cols>
  <sheetData>
    <row r="1" spans="1:7" ht="21" customHeight="1">
      <c r="A1" s="1"/>
      <c r="B1" s="1"/>
      <c r="C1" s="1"/>
      <c r="D1" s="1"/>
      <c r="E1" s="1"/>
      <c r="F1" s="1"/>
      <c r="G1" s="1"/>
    </row>
    <row r="2" spans="1:7" ht="21" customHeight="1">
      <c r="A2" s="2" t="s">
        <v>71</v>
      </c>
      <c r="B2" s="2"/>
      <c r="C2" s="2"/>
      <c r="D2" s="2"/>
      <c r="E2" s="2"/>
      <c r="F2" s="2"/>
      <c r="G2" s="2"/>
    </row>
    <row r="3" spans="1:7" ht="21" customHeight="1">
      <c r="A3" s="1"/>
      <c r="B3" s="1"/>
      <c r="C3" s="1"/>
      <c r="D3" s="1"/>
      <c r="E3" s="1"/>
      <c r="F3" s="1"/>
      <c r="G3" s="1"/>
    </row>
    <row r="4" spans="1:7" ht="21" customHeight="1">
      <c r="A4" s="3"/>
      <c r="B4" s="3"/>
      <c r="C4" s="3"/>
      <c r="D4" s="3"/>
      <c r="E4" s="3"/>
      <c r="F4" s="3"/>
      <c r="G4" s="3"/>
    </row>
    <row r="5" spans="1:7" ht="21" customHeight="1">
      <c r="A5" s="1"/>
      <c r="B5" s="1"/>
      <c r="C5" s="1"/>
      <c r="D5" s="1"/>
      <c r="E5" s="1"/>
      <c r="F5" s="1"/>
      <c r="G5" s="1"/>
    </row>
    <row r="6" spans="1:7" ht="36" customHeight="1">
      <c r="A6" s="4" t="s">
        <v>72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</row>
    <row r="7" spans="1:7" ht="21" customHeight="1">
      <c r="A7" s="1" t="s">
        <v>79</v>
      </c>
      <c r="B7" s="9">
        <v>95</v>
      </c>
      <c r="C7" s="6">
        <f>Parametros!$E$42-Parametros!$E$43</f>
        <v>9</v>
      </c>
      <c r="D7" s="6">
        <f>ROUNDUP(B7*(1+Parametros!$E$44)^C7,0)</f>
        <v>104</v>
      </c>
      <c r="E7" s="10">
        <v>0.6</v>
      </c>
      <c r="F7" s="14">
        <f>Parametros!$E$45</f>
        <v>0.8</v>
      </c>
      <c r="G7" s="14">
        <f>D7*E7*F7</f>
        <v>49.92</v>
      </c>
    </row>
    <row r="8" spans="1:7" ht="21" customHeight="1">
      <c r="A8" s="1" t="s">
        <v>80</v>
      </c>
      <c r="B8" s="9">
        <v>140</v>
      </c>
      <c r="C8" s="6">
        <f>Parametros!$E$42-Parametros!$E$43</f>
        <v>9</v>
      </c>
      <c r="D8" s="6">
        <f>ROUNDUP(B8*(1+Parametros!$E$44)^C8,0)</f>
        <v>154</v>
      </c>
      <c r="E8" s="10">
        <v>0.6</v>
      </c>
      <c r="F8" s="14">
        <f>Parametros!$E$45</f>
        <v>0.8</v>
      </c>
      <c r="G8" s="14">
        <f>D8*E8*F8</f>
        <v>73.92</v>
      </c>
    </row>
    <row r="9" spans="1:7" ht="21" customHeight="1">
      <c r="A9" s="1" t="s">
        <v>81</v>
      </c>
      <c r="B9" s="9">
        <v>86</v>
      </c>
      <c r="C9" s="6">
        <f>Parametros!$E$42-Parametros!$E$43</f>
        <v>9</v>
      </c>
      <c r="D9" s="6">
        <f>ROUNDUP(B9*(1+Parametros!$E$44)^C9,0)</f>
        <v>95</v>
      </c>
      <c r="E9" s="10">
        <v>0.4</v>
      </c>
      <c r="F9" s="14">
        <f>Parametros!$E$45</f>
        <v>0.8</v>
      </c>
      <c r="G9" s="14">
        <f>D9*E9*F9</f>
        <v>30.400000000000002</v>
      </c>
    </row>
    <row r="10" spans="1:7" ht="21" customHeight="1">
      <c r="A10" s="1"/>
      <c r="B10" s="1"/>
      <c r="C10" s="1"/>
      <c r="D10" s="1"/>
      <c r="E10" s="14"/>
      <c r="F10" s="14"/>
      <c r="G10" s="14"/>
    </row>
    <row r="11" spans="1:7" ht="21" customHeight="1">
      <c r="A11" s="1" t="s">
        <v>82</v>
      </c>
      <c r="B11" s="1"/>
      <c r="C11" s="1"/>
      <c r="D11" s="1"/>
      <c r="E11" s="14"/>
      <c r="F11" s="14"/>
      <c r="G11" s="14">
        <f>SUM(G7:G9)</f>
        <v>154.24</v>
      </c>
    </row>
    <row r="12" spans="1:7" ht="21" customHeight="1">
      <c r="A12" s="1"/>
      <c r="B12" s="1"/>
      <c r="C12" s="1"/>
      <c r="D12" s="1"/>
      <c r="E12" s="14"/>
      <c r="F12" s="14"/>
      <c r="G12" s="14"/>
    </row>
    <row r="13" spans="1:7" ht="21" customHeight="1">
      <c r="A13" s="1" t="s">
        <v>83</v>
      </c>
      <c r="B13" s="1"/>
      <c r="C13" s="1"/>
      <c r="D13" s="1"/>
      <c r="E13" s="14"/>
      <c r="F13" s="14"/>
      <c r="G13" s="14">
        <f>Parametros!$E$46*Parametros!$E$47</f>
        <v>3.246</v>
      </c>
    </row>
    <row r="14" spans="1:7" ht="21" customHeight="1">
      <c r="A14" s="1"/>
      <c r="B14" s="1"/>
      <c r="C14" s="1"/>
      <c r="D14" s="1"/>
      <c r="E14" s="14"/>
      <c r="F14" s="14"/>
      <c r="G14" s="14"/>
    </row>
    <row r="15" spans="1:7" ht="21" customHeight="1">
      <c r="A15" s="1" t="s">
        <v>84</v>
      </c>
      <c r="B15" s="1"/>
      <c r="C15" s="1"/>
      <c r="D15" s="1"/>
      <c r="E15" s="14"/>
      <c r="F15" s="14"/>
      <c r="G15" s="10">
        <v>3</v>
      </c>
    </row>
    <row r="16" spans="1:7" ht="21" customHeight="1">
      <c r="A16" s="1" t="s">
        <v>85</v>
      </c>
      <c r="B16" s="1"/>
      <c r="C16" s="1"/>
      <c r="D16" s="1"/>
      <c r="E16" s="14"/>
      <c r="F16" s="14"/>
      <c r="G16" s="10">
        <v>3</v>
      </c>
    </row>
    <row r="17" spans="1:7" ht="21" customHeight="1">
      <c r="A17" s="1" t="s">
        <v>86</v>
      </c>
      <c r="B17" s="1"/>
      <c r="C17" s="1"/>
      <c r="D17" s="1"/>
      <c r="E17" s="14"/>
      <c r="F17" s="14"/>
      <c r="G17" s="10">
        <v>3</v>
      </c>
    </row>
    <row r="18" spans="1:7" ht="21" customHeight="1">
      <c r="A18" s="1" t="s">
        <v>87</v>
      </c>
      <c r="B18" s="1"/>
      <c r="C18" s="1"/>
      <c r="D18" s="1"/>
      <c r="E18" s="14"/>
      <c r="F18" s="14"/>
      <c r="G18" s="10">
        <v>4</v>
      </c>
    </row>
    <row r="19" spans="1:7" ht="21" customHeight="1">
      <c r="A19" s="1" t="s">
        <v>88</v>
      </c>
      <c r="B19" s="1"/>
      <c r="C19" s="1"/>
      <c r="D19" s="1"/>
      <c r="E19" s="14"/>
      <c r="F19" s="14"/>
      <c r="G19" s="10">
        <v>1</v>
      </c>
    </row>
    <row r="20" spans="1:7" ht="21" customHeight="1">
      <c r="A20" s="1"/>
      <c r="B20" s="1"/>
      <c r="C20" s="1"/>
      <c r="D20" s="1"/>
      <c r="E20" s="14"/>
      <c r="F20" s="14"/>
      <c r="G20" s="14"/>
    </row>
    <row r="21" spans="1:7" ht="21" customHeight="1">
      <c r="A21" s="7" t="s">
        <v>89</v>
      </c>
      <c r="B21" s="7"/>
      <c r="C21" s="7"/>
      <c r="D21" s="7"/>
      <c r="E21" s="15"/>
      <c r="F21" s="15"/>
      <c r="G21" s="15">
        <f>G11+G13+SUM(G15:G19)</f>
        <v>171.48600000000002</v>
      </c>
    </row>
    <row r="22" spans="1:7" ht="21" customHeight="1">
      <c r="A22" s="1"/>
      <c r="B22" s="1"/>
      <c r="C22" s="1"/>
      <c r="D22" s="1"/>
      <c r="E22" s="14"/>
      <c r="F22" s="14"/>
      <c r="G22" s="14"/>
    </row>
    <row r="23" spans="1:7" ht="21" customHeight="1">
      <c r="A23" s="1" t="s">
        <v>90</v>
      </c>
      <c r="B23" s="1"/>
      <c r="C23" s="1"/>
      <c r="D23" s="1"/>
      <c r="E23" s="14"/>
      <c r="F23" s="14"/>
      <c r="G23" s="14">
        <f>Parametros!$E$36</f>
        <v>0.9</v>
      </c>
    </row>
    <row r="24" spans="1:7" ht="21" customHeight="1">
      <c r="A24" s="1" t="s">
        <v>91</v>
      </c>
      <c r="B24" s="1"/>
      <c r="C24" s="1"/>
      <c r="D24" s="1"/>
      <c r="E24" s="14"/>
      <c r="F24" s="14"/>
      <c r="G24" s="14">
        <f>G21*TAN(ACOS(G23))</f>
        <v>83.054460470223987</v>
      </c>
    </row>
    <row r="25" spans="1:7" ht="21" customHeight="1">
      <c r="A25" s="1" t="s">
        <v>92</v>
      </c>
      <c r="B25" s="1"/>
      <c r="C25" s="1"/>
      <c r="D25" s="1"/>
      <c r="E25" s="14"/>
      <c r="F25" s="14"/>
      <c r="G25" s="14">
        <f>G21/G23</f>
        <v>190.54000000000002</v>
      </c>
    </row>
    <row r="26" spans="1:7" ht="21" customHeight="1">
      <c r="A26" s="1"/>
      <c r="B26" s="1"/>
      <c r="C26" s="1"/>
      <c r="D26" s="1"/>
      <c r="E26" s="14"/>
      <c r="F26" s="14"/>
      <c r="G26" s="14"/>
    </row>
    <row r="27" spans="1:7" ht="21" customHeight="1">
      <c r="A27" s="1" t="s">
        <v>7</v>
      </c>
      <c r="B27" s="1"/>
      <c r="C27" s="1"/>
      <c r="D27" s="1"/>
      <c r="E27" s="14"/>
      <c r="F27" s="14"/>
      <c r="G27" s="14">
        <f>SUM(D7:D9)</f>
        <v>353</v>
      </c>
    </row>
    <row r="28" spans="1:7" ht="21" customHeight="1">
      <c r="A28" s="1"/>
      <c r="B28" s="1"/>
      <c r="C28" s="1"/>
      <c r="D28" s="1"/>
      <c r="E28" s="1"/>
      <c r="F28" s="1"/>
      <c r="G28" s="1"/>
    </row>
    <row r="29" spans="1:7" ht="21" customHeight="1">
      <c r="A29" s="1"/>
      <c r="B29" s="1"/>
      <c r="C29" s="1"/>
      <c r="D29" s="1"/>
      <c r="E29" s="1"/>
      <c r="F29" s="1"/>
      <c r="G29" s="1"/>
    </row>
    <row r="30" spans="1:7" ht="21" customHeight="1">
      <c r="A30" s="1"/>
      <c r="B30" s="1"/>
      <c r="C30" s="1"/>
      <c r="D30" s="1"/>
      <c r="E30" s="1"/>
      <c r="F30" s="1"/>
      <c r="G30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7"/>
  <sheetViews>
    <sheetView showGridLines="0" zoomScale="85" zoomScaleNormal="85" workbookViewId="0"/>
  </sheetViews>
  <sheetFormatPr baseColWidth="10" defaultColWidth="9" defaultRowHeight="14.25"/>
  <cols>
    <col min="1" max="1" width="52" customWidth="1"/>
    <col min="2" max="3" width="17" customWidth="1"/>
    <col min="4" max="4" width="48" customWidth="1"/>
  </cols>
  <sheetData>
    <row r="1" spans="1:4" ht="21" customHeight="1">
      <c r="A1" s="1"/>
      <c r="B1" s="1"/>
      <c r="C1" s="1"/>
      <c r="D1" s="1"/>
    </row>
    <row r="2" spans="1:4" ht="21" customHeight="1">
      <c r="A2" s="2" t="s">
        <v>93</v>
      </c>
      <c r="B2" s="2"/>
      <c r="C2" s="2"/>
      <c r="D2" s="2"/>
    </row>
    <row r="3" spans="1:4" ht="21" customHeight="1">
      <c r="A3" s="1"/>
      <c r="B3" s="1"/>
      <c r="C3" s="1"/>
      <c r="D3" s="1"/>
    </row>
    <row r="4" spans="1:4" ht="21" customHeight="1">
      <c r="A4" s="3"/>
      <c r="B4" s="3"/>
      <c r="C4" s="3"/>
      <c r="D4" s="3"/>
    </row>
    <row r="5" spans="1:4" ht="21" customHeight="1">
      <c r="A5" s="1"/>
      <c r="B5" s="1"/>
      <c r="C5" s="1"/>
      <c r="D5" s="1"/>
    </row>
    <row r="6" spans="1:4" ht="36" customHeight="1">
      <c r="A6" s="4" t="s">
        <v>94</v>
      </c>
      <c r="B6" s="4" t="s">
        <v>4</v>
      </c>
      <c r="C6" s="4" t="s">
        <v>3</v>
      </c>
      <c r="D6" s="4" t="s">
        <v>95</v>
      </c>
    </row>
    <row r="7" spans="1:4" ht="21" customHeight="1">
      <c r="A7" s="1" t="s">
        <v>19</v>
      </c>
      <c r="B7" s="5">
        <f>SUM(Vanos!$M$7:$M$116)</f>
        <v>6758.1202970857503</v>
      </c>
      <c r="C7" s="1" t="s">
        <v>20</v>
      </c>
      <c r="D7" s="1" t="s">
        <v>96</v>
      </c>
    </row>
    <row r="8" spans="1:4" ht="21" customHeight="1">
      <c r="A8" s="1" t="s">
        <v>97</v>
      </c>
      <c r="B8" s="5">
        <f>(Parametros!E19*Parametros!E20*Parametros!E21)^(1/3)</f>
        <v>1.5119052598738478</v>
      </c>
      <c r="C8" s="1" t="s">
        <v>20</v>
      </c>
      <c r="D8" s="1" t="s">
        <v>98</v>
      </c>
    </row>
    <row r="9" spans="1:4" ht="21" customHeight="1">
      <c r="A9" s="1" t="s">
        <v>99</v>
      </c>
      <c r="B9" s="5">
        <f>0.7788*Parametros!E25/2</f>
        <v>3.5046000000000001E-3</v>
      </c>
      <c r="C9" s="1" t="s">
        <v>20</v>
      </c>
      <c r="D9" s="1" t="s">
        <v>100</v>
      </c>
    </row>
    <row r="10" spans="1:4" ht="21" customHeight="1">
      <c r="A10" s="1" t="s">
        <v>23</v>
      </c>
      <c r="B10" s="5">
        <f>Parametros!E22*(1+Parametros!E23*(Parametros!E24-20))*B7/1000</f>
        <v>5.4325690657747572</v>
      </c>
      <c r="C10" s="1" t="s">
        <v>24</v>
      </c>
      <c r="D10" s="1" t="s">
        <v>101</v>
      </c>
    </row>
    <row r="11" spans="1:4" ht="21" customHeight="1">
      <c r="A11" s="1" t="s">
        <v>27</v>
      </c>
      <c r="B11" s="5">
        <f>2*PI()*Parametros!E26*0.0002*LN(B8/B9)*B7/1000</f>
        <v>3.0914666880762001</v>
      </c>
      <c r="C11" s="1" t="s">
        <v>24</v>
      </c>
      <c r="D11" s="1" t="s">
        <v>102</v>
      </c>
    </row>
    <row r="12" spans="1:4" ht="21" customHeight="1">
      <c r="A12" s="1"/>
      <c r="B12" s="5"/>
      <c r="C12" s="1"/>
      <c r="D12" s="1"/>
    </row>
    <row r="13" spans="1:4" ht="21" customHeight="1">
      <c r="A13" s="1" t="s">
        <v>103</v>
      </c>
      <c r="B13" s="5">
        <f>Parametros!E32/Parametros!E30</f>
        <v>1.24E-2</v>
      </c>
      <c r="C13" s="1" t="s">
        <v>104</v>
      </c>
      <c r="D13" s="1" t="s">
        <v>105</v>
      </c>
    </row>
    <row r="14" spans="1:4" ht="21" customHeight="1">
      <c r="A14" s="1" t="s">
        <v>106</v>
      </c>
      <c r="B14" s="5">
        <f>SQRT(Parametros!E31^2-B13^2)</f>
        <v>5.870468465122694E-2</v>
      </c>
      <c r="C14" s="1" t="s">
        <v>104</v>
      </c>
      <c r="D14" s="1" t="s">
        <v>107</v>
      </c>
    </row>
    <row r="15" spans="1:4" ht="21" customHeight="1">
      <c r="A15" s="1" t="s">
        <v>108</v>
      </c>
      <c r="B15" s="5">
        <f>(Parametros!E27*1000)^2/(Parametros!E30*1000)</f>
        <v>400</v>
      </c>
      <c r="C15" s="1" t="s">
        <v>24</v>
      </c>
      <c r="D15" s="1" t="s">
        <v>109</v>
      </c>
    </row>
    <row r="16" spans="1:4" ht="21" customHeight="1">
      <c r="A16" s="1" t="s">
        <v>110</v>
      </c>
      <c r="B16" s="5">
        <f>B13*B15</f>
        <v>4.96</v>
      </c>
      <c r="C16" s="1" t="s">
        <v>24</v>
      </c>
      <c r="D16" s="1" t="s">
        <v>111</v>
      </c>
    </row>
    <row r="17" spans="1:4" ht="21" customHeight="1">
      <c r="A17" s="1" t="s">
        <v>112</v>
      </c>
      <c r="B17" s="5">
        <f>B14*B15</f>
        <v>23.481873860490776</v>
      </c>
      <c r="C17" s="1" t="s">
        <v>24</v>
      </c>
      <c r="D17" s="1" t="s">
        <v>113</v>
      </c>
    </row>
    <row r="18" spans="1:4" ht="21" customHeight="1">
      <c r="A18" s="1" t="s">
        <v>114</v>
      </c>
      <c r="B18" s="5">
        <f>Parametros!E27*1000*Parametros!E28/SQRT(3)</f>
        <v>6062.1778264910708</v>
      </c>
      <c r="C18" s="1" t="s">
        <v>35</v>
      </c>
      <c r="D18" s="1" t="s">
        <v>115</v>
      </c>
    </row>
    <row r="19" spans="1:4" ht="21" customHeight="1">
      <c r="A19" s="1"/>
      <c r="B19" s="5"/>
      <c r="C19" s="1"/>
      <c r="D19" s="1"/>
    </row>
    <row r="20" spans="1:4" ht="21" customHeight="1">
      <c r="A20" s="1"/>
      <c r="B20" s="5"/>
      <c r="C20" s="1"/>
      <c r="D20" s="1"/>
    </row>
    <row r="21" spans="1:4" ht="21" customHeight="1">
      <c r="A21" s="7" t="s">
        <v>34</v>
      </c>
      <c r="B21" s="8">
        <f>Flujo!N66</f>
        <v>371.06662970623142</v>
      </c>
      <c r="C21" s="7" t="s">
        <v>35</v>
      </c>
      <c r="D21" s="7" t="s">
        <v>116</v>
      </c>
    </row>
    <row r="22" spans="1:4" ht="21" customHeight="1">
      <c r="A22" s="1" t="s">
        <v>117</v>
      </c>
      <c r="B22" s="5">
        <f>Flujo!O66</f>
        <v>11.356330276256235</v>
      </c>
      <c r="C22" s="1" t="s">
        <v>31</v>
      </c>
      <c r="D22" s="1" t="s">
        <v>118</v>
      </c>
    </row>
    <row r="23" spans="1:4" ht="21" customHeight="1">
      <c r="A23" s="1" t="s">
        <v>119</v>
      </c>
      <c r="B23" s="5">
        <f>Flujo!P66</f>
        <v>2.1018539745635891</v>
      </c>
      <c r="C23" s="1" t="s">
        <v>12</v>
      </c>
      <c r="D23" s="1" t="s">
        <v>120</v>
      </c>
    </row>
    <row r="24" spans="1:4" ht="21" customHeight="1">
      <c r="A24" s="7" t="s">
        <v>121</v>
      </c>
      <c r="B24" s="8">
        <f>3*B18*Flujo!H66/1000+Parametros!E35</f>
        <v>183.32615092135805</v>
      </c>
      <c r="C24" s="7" t="s">
        <v>12</v>
      </c>
      <c r="D24" s="7" t="s">
        <v>122</v>
      </c>
    </row>
    <row r="25" spans="1:4" ht="21" customHeight="1">
      <c r="A25" s="1" t="s">
        <v>123</v>
      </c>
      <c r="B25" s="5">
        <f>-3*B18*Flujo!I66/1000</f>
        <v>107.4219975194261</v>
      </c>
      <c r="C25" s="1" t="s">
        <v>124</v>
      </c>
      <c r="D25" s="1" t="s">
        <v>125</v>
      </c>
    </row>
    <row r="26" spans="1:4" ht="21" customHeight="1">
      <c r="A26" s="7" t="s">
        <v>44</v>
      </c>
      <c r="B26" s="8">
        <f>SQRT(B24^2+B25^2)</f>
        <v>212.48050066465896</v>
      </c>
      <c r="C26" s="7" t="s">
        <v>16</v>
      </c>
      <c r="D26" s="7" t="s">
        <v>126</v>
      </c>
    </row>
    <row r="27" spans="1:4" ht="21" customHeight="1">
      <c r="A27" s="1" t="s">
        <v>127</v>
      </c>
      <c r="B27" s="5">
        <f>Parametros!E41-B24</f>
        <v>16.67384907864195</v>
      </c>
      <c r="C27" s="1" t="s">
        <v>12</v>
      </c>
      <c r="D27" s="1" t="s">
        <v>128</v>
      </c>
    </row>
    <row r="28" spans="1:4" ht="21" customHeight="1">
      <c r="A28" s="1" t="s">
        <v>129</v>
      </c>
      <c r="B28" s="16">
        <f>B26/Parametros!E30</f>
        <v>0.84992200265863582</v>
      </c>
      <c r="C28" s="1" t="s">
        <v>104</v>
      </c>
      <c r="D28" s="1" t="s">
        <v>130</v>
      </c>
    </row>
    <row r="29" spans="1:4" ht="21" customHeight="1">
      <c r="A29" s="1"/>
      <c r="B29" s="5"/>
      <c r="C29" s="1"/>
      <c r="D29" s="1"/>
    </row>
    <row r="30" spans="1:4" ht="21" customHeight="1">
      <c r="A30" s="1" t="s">
        <v>131</v>
      </c>
      <c r="B30" s="5">
        <f>SQRT(Flujo!B66^2+Flujo!C66^2)*SQRT(3)/1000</f>
        <v>10.181477929098541</v>
      </c>
      <c r="C30" s="1" t="s">
        <v>132</v>
      </c>
      <c r="D30" s="1" t="s">
        <v>133</v>
      </c>
    </row>
    <row r="31" spans="1:4" ht="21" customHeight="1">
      <c r="A31" s="1" t="s">
        <v>134</v>
      </c>
      <c r="B31" s="5">
        <f>SQRT(Flujo!D66^2+Flujo!E66^2)*SQRT(3)/1000</f>
        <v>10.058553205296597</v>
      </c>
      <c r="C31" s="1" t="s">
        <v>132</v>
      </c>
      <c r="D31" s="1" t="s">
        <v>135</v>
      </c>
    </row>
    <row r="32" spans="1:4" ht="21" customHeight="1">
      <c r="A32" s="1" t="s">
        <v>136</v>
      </c>
      <c r="B32" s="17">
        <f>(B30-B31)/B30</f>
        <v>1.2073367408736073E-2</v>
      </c>
      <c r="C32" s="1" t="s">
        <v>104</v>
      </c>
      <c r="D32" s="1" t="s">
        <v>137</v>
      </c>
    </row>
    <row r="33" spans="1:4" ht="21" customHeight="1">
      <c r="A33" s="1" t="s">
        <v>138</v>
      </c>
      <c r="B33" s="5">
        <f>Flujo!Q66</f>
        <v>0</v>
      </c>
      <c r="C33" s="1" t="s">
        <v>35</v>
      </c>
      <c r="D33" s="1" t="s">
        <v>139</v>
      </c>
    </row>
    <row r="34" spans="1:4" ht="21" customHeight="1">
      <c r="A34" s="1"/>
      <c r="B34" s="1"/>
      <c r="C34" s="1"/>
      <c r="D34" s="1"/>
    </row>
    <row r="35" spans="1:4" ht="21" customHeight="1">
      <c r="A35" s="1"/>
      <c r="B35" s="1"/>
      <c r="C35" s="1"/>
      <c r="D35" s="1"/>
    </row>
    <row r="36" spans="1:4" ht="21" customHeight="1">
      <c r="A36" s="1"/>
      <c r="B36" s="1"/>
      <c r="C36" s="1"/>
      <c r="D36" s="1"/>
    </row>
    <row r="37" spans="1:4" ht="21" customHeight="1">
      <c r="A37" s="1"/>
      <c r="B37" s="1"/>
      <c r="C37" s="1"/>
      <c r="D37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70"/>
  <sheetViews>
    <sheetView showGridLines="0" zoomScale="85" zoomScaleNormal="85" workbookViewId="0">
      <pane ySplit="6" topLeftCell="A7" activePane="bottomLeft" state="frozen"/>
      <selection pane="bottomLeft"/>
    </sheetView>
  </sheetViews>
  <sheetFormatPr baseColWidth="10" defaultColWidth="9" defaultRowHeight="14.25"/>
  <cols>
    <col min="1" max="1" width="9" customWidth="1"/>
    <col min="2" max="7" width="16" customWidth="1"/>
    <col min="8" max="14" width="15" customWidth="1"/>
    <col min="15" max="15" width="14" customWidth="1"/>
    <col min="16" max="16" width="15" customWidth="1"/>
    <col min="17" max="17" width="17" customWidth="1"/>
  </cols>
  <sheetData>
    <row r="1" spans="1:17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6" customHeight="1">
      <c r="A6" s="4" t="s">
        <v>141</v>
      </c>
      <c r="B6" s="4" t="s">
        <v>142</v>
      </c>
      <c r="C6" s="4" t="s">
        <v>143</v>
      </c>
      <c r="D6" s="4" t="s">
        <v>144</v>
      </c>
      <c r="E6" s="4" t="s">
        <v>145</v>
      </c>
      <c r="F6" s="4" t="s">
        <v>146</v>
      </c>
      <c r="G6" s="4" t="s">
        <v>147</v>
      </c>
      <c r="H6" s="4" t="s">
        <v>148</v>
      </c>
      <c r="I6" s="4" t="s">
        <v>149</v>
      </c>
      <c r="J6" s="4" t="s">
        <v>150</v>
      </c>
      <c r="K6" s="4" t="s">
        <v>151</v>
      </c>
      <c r="L6" s="4" t="s">
        <v>152</v>
      </c>
      <c r="M6" s="4" t="s">
        <v>153</v>
      </c>
      <c r="N6" s="4" t="s">
        <v>154</v>
      </c>
      <c r="O6" s="4" t="s">
        <v>155</v>
      </c>
      <c r="P6" s="4" t="s">
        <v>156</v>
      </c>
      <c r="Q6" s="4" t="s">
        <v>157</v>
      </c>
    </row>
    <row r="7" spans="1:17" ht="21" customHeight="1">
      <c r="A7" s="1">
        <v>0</v>
      </c>
      <c r="B7" s="18">
        <f>Electrico!$B$18</f>
        <v>6062.1778264910708</v>
      </c>
      <c r="C7" s="18">
        <f>0</f>
        <v>0</v>
      </c>
      <c r="D7" s="18">
        <f>Electrico!$B$18</f>
        <v>6062.1778264910708</v>
      </c>
      <c r="E7" s="18">
        <f>0</f>
        <v>0</v>
      </c>
      <c r="F7" s="18">
        <f>Electrico!$B$18</f>
        <v>6062.1778264910708</v>
      </c>
      <c r="G7" s="18">
        <f>0</f>
        <v>0</v>
      </c>
      <c r="H7" s="18">
        <f>J7+(Parametros!$E$33*1000*B7+Parametros!$E$34*1000*C7)/(3*(B7^2+C7^2))</f>
        <v>9.4787717623355068</v>
      </c>
      <c r="I7" s="18">
        <f>K7+(Parametros!$E$33*1000*C7-Parametros!$E$34*1000*B7)/(3*(B7^2+C7^2))</f>
        <v>-4.8417396624601023</v>
      </c>
      <c r="J7" s="18">
        <f>L7+(Parametros!$E$33*1000*D7+Parametros!$E$34*1000*E7)/(3*(D7^2+E7^2))</f>
        <v>9.454028179370237</v>
      </c>
      <c r="K7" s="18">
        <f>M7+(Parametros!$E$33*1000*E7-Parametros!$E$34*1000*D7)/(3*(D7^2+E7^2))</f>
        <v>-4.7042753126530483</v>
      </c>
      <c r="L7" s="18">
        <f>(Demanda!$G$21*1000*F7+Demanda!$G$24*1000*G7)/(3*(F7^2+G7^2))</f>
        <v>9.4292845964049672</v>
      </c>
      <c r="M7" s="18">
        <f>(Demanda!$G$21*1000*G7-Demanda!$G$24*1000*F7)/(3*(F7^2+G7^2))</f>
        <v>-4.5668109628459943</v>
      </c>
      <c r="N7" s="18">
        <f>SQRT(F7^2+G7^2)*SQRT(3)*Parametros!$E$29/(Parametros!$E$27*1000)</f>
        <v>399</v>
      </c>
      <c r="O7" s="18">
        <f t="shared" ref="O7:O38" si="0">SQRT(J7^2+K7^2)</f>
        <v>10.559775330638596</v>
      </c>
      <c r="P7" s="18">
        <f>3*O7^2*Electrico!$B$10/1000</f>
        <v>1.8173386692458959</v>
      </c>
      <c r="Q7" s="18">
        <f>0</f>
        <v>0</v>
      </c>
    </row>
    <row r="8" spans="1:17" ht="21" customHeight="1">
      <c r="A8" s="1">
        <v>1</v>
      </c>
      <c r="B8" s="18">
        <f>0.7*(Electrico!$B$18-Electrico!$B$16*H7+Electrico!$B$17*I7)+0.3*B7</f>
        <v>5949.6823469187848</v>
      </c>
      <c r="C8" s="18">
        <f>0.7*(-Electrico!$B$16*I7-Electrico!$B$17*H7)+0.3*C7</f>
        <v>-138.99500590481946</v>
      </c>
      <c r="D8" s="18">
        <f>0.7*(Electrico!$B$18-Electrico!$B$16*H7+Electrico!$B$17*I7-Electrico!$B$10*J7+Electrico!$B$11*K7)+0.3*D7</f>
        <v>5903.5504069004146</v>
      </c>
      <c r="E8" s="18">
        <f>0.7*(-Electrico!$B$16*I7-Electrico!$B$17*H7-Electrico!$B$10*K7-Electrico!$B$11*J7)+0.3*E7</f>
        <v>-141.56436475579446</v>
      </c>
      <c r="F8" s="18">
        <f>0.7*(Electrico!$B$18-Electrico!$B$16*H7+Electrico!$B$17*I7-Electrico!$B$10*J7+Electrico!$B$11*K7-Electrico!$B$16*L7+Electrico!$B$17*M7)+0.3*F7</f>
        <v>5795.745835499717</v>
      </c>
      <c r="G8" s="18">
        <f>0.7*(-Electrico!$B$16*I7-Electrico!$B$17*H7-Electrico!$B$10*K7-Electrico!$B$11*J7-Electrico!$B$16*M7-Electrico!$B$17*L7)+0.3*G7</f>
        <v>-280.7004871340082</v>
      </c>
      <c r="H8" s="18">
        <f>J8+(Parametros!$E$33*1000*B8+Parametros!$E$34*1000*C8)/(3*(B8^2+C8^2))</f>
        <v>9.6528020450299881</v>
      </c>
      <c r="I8" s="18">
        <f>K8+(Parametros!$E$33*1000*C8-Parametros!$E$34*1000*B8)/(3*(B8^2+C8^2))</f>
        <v>-5.5243880799588636</v>
      </c>
      <c r="J8" s="18">
        <f>L8+(Parametros!$E$33*1000*D8+Parametros!$E$34*1000*E8)/(3*(D8^2+E8^2))</f>
        <v>9.6308747111536785</v>
      </c>
      <c r="K8" s="18">
        <f>M8+(Parametros!$E$33*1000*E8-Parametros!$E$34*1000*D8)/(3*(D8^2+E8^2))</f>
        <v>-5.3838123190246527</v>
      </c>
      <c r="L8" s="18">
        <f>(Demanda!$G$21*1000*F8+Demanda!$G$24*1000*G8)/(3*(F8^2+G8^2))</f>
        <v>9.6088638312396224</v>
      </c>
      <c r="M8" s="18">
        <f>(Demanda!$G$21*1000*G8-Demanda!$G$24*1000*F8)/(3*(F8^2+G8^2))</f>
        <v>-5.2421265143962392</v>
      </c>
      <c r="N8" s="18">
        <f>SQRT(F8^2+G8^2)*SQRT(3)*Parametros!$E$29/(Parametros!$E$27*1000)</f>
        <v>381.91113073648063</v>
      </c>
      <c r="O8" s="18">
        <f t="shared" si="0"/>
        <v>11.033548059822872</v>
      </c>
      <c r="P8" s="18">
        <f>3*O8^2*Electrico!$B$10/1000</f>
        <v>1.9840695555272247</v>
      </c>
      <c r="Q8" s="18">
        <f t="shared" ref="Q8:Q39" si="1">MAX(ABS(B8-B7),ABS(C8-C7),ABS(D8-D7),ABS(E8-E7),ABS(F8-F7),ABS(G8-G7))</f>
        <v>280.7004871340082</v>
      </c>
    </row>
    <row r="9" spans="1:17" ht="21" customHeight="1">
      <c r="A9" s="1">
        <v>2</v>
      </c>
      <c r="B9" s="18">
        <f>0.7*(Electrico!$B$18-Electrico!$B$16*H8+Electrico!$B$17*I8)+0.3*B8</f>
        <v>5904.108565084045</v>
      </c>
      <c r="C9" s="18">
        <f>0.7*(-Electrico!$B$16*I8-Electrico!$B$17*H8)+0.3*C8</f>
        <v>-181.18394237300578</v>
      </c>
      <c r="D9" s="18">
        <f>0.7*(Electrico!$B$18-Electrico!$B$16*H8+Electrico!$B$17*I8-Electrico!$B$10*J8+Electrico!$B$11*K8)+0.3*D8</f>
        <v>5841.9939951486358</v>
      </c>
      <c r="E9" s="18">
        <f>0.7*(-Electrico!$B$16*I8-Electrico!$B$17*H8-Electrico!$B$10*K8-Electrico!$B$11*J8)+0.3*E8</f>
        <v>-182.32266728870596</v>
      </c>
      <c r="F9" s="18">
        <f>0.7*(Electrico!$B$18-Electrico!$B$16*H8+Electrico!$B$17*I8-Electrico!$B$10*J8+Electrico!$B$11*K8-Electrico!$B$16*L8+Electrico!$B$17*M8)+0.3*F8</f>
        <v>5690.1241810061119</v>
      </c>
      <c r="G9" s="18">
        <f>0.7*(-Electrico!$B$16*I8-Electrico!$B$17*H8-Electrico!$B$10*K8-Electrico!$B$11*J8-Electrico!$B$16*M8-Electrico!$B$17*L8)+0.3*G8</f>
        <v>-363.80673064364703</v>
      </c>
      <c r="H9" s="18">
        <f>J9+(Parametros!$E$33*1000*B9+Parametros!$E$34*1000*C9)/(3*(B9^2+C9^2))</f>
        <v>9.7373747348718709</v>
      </c>
      <c r="I9" s="18">
        <f>K9+(Parametros!$E$33*1000*C9-Parametros!$E$34*1000*B9)/(3*(B9^2+C9^2))</f>
        <v>-5.7703856705535692</v>
      </c>
      <c r="J9" s="18">
        <f>L9+(Parametros!$E$33*1000*D9+Parametros!$E$34*1000*E9)/(3*(D9^2+E9^2))</f>
        <v>9.716319941047546</v>
      </c>
      <c r="K9" s="18">
        <f>M9+(Parametros!$E$33*1000*E9-Parametros!$E$34*1000*D9)/(3*(D9^2+E9^2))</f>
        <v>-5.6285948964416166</v>
      </c>
      <c r="L9" s="18">
        <f>(Demanda!$G$21*1000*F9+Demanda!$G$24*1000*G9)/(3*(F9^2+G9^2))</f>
        <v>9.6951162447669574</v>
      </c>
      <c r="M9" s="18">
        <f>(Demanda!$G$21*1000*G9-Demanda!$G$24*1000*F9)/(3*(F9^2+G9^2))</f>
        <v>-5.4852877912835449</v>
      </c>
      <c r="N9" s="18">
        <f>SQRT(F9^2+G9^2)*SQRT(3)*Parametros!$E$29/(Parametros!$E$27*1000)</f>
        <v>375.27689841359671</v>
      </c>
      <c r="O9" s="18">
        <f t="shared" si="0"/>
        <v>11.228889246272171</v>
      </c>
      <c r="P9" s="18">
        <f>3*O9^2*Electrico!$B$10/1000</f>
        <v>2.0549445505946311</v>
      </c>
      <c r="Q9" s="18">
        <f t="shared" si="1"/>
        <v>105.62165449360509</v>
      </c>
    </row>
    <row r="10" spans="1:17" ht="21" customHeight="1">
      <c r="A10" s="1">
        <v>3</v>
      </c>
      <c r="B10" s="18">
        <f>0.7*(Electrico!$B$18-Electrico!$B$16*H9+Electrico!$B$17*I9)+0.3*B9</f>
        <v>5886.0992550798619</v>
      </c>
      <c r="C10" s="18">
        <f>0.7*(-Electrico!$B$16*I9-Electrico!$B$17*H9)+0.3*C9</f>
        <v>-194.37666734335349</v>
      </c>
      <c r="D10" s="18">
        <f>0.7*(Electrico!$B$18-Electrico!$B$16*H9+Electrico!$B$17*I9-Electrico!$B$10*J9+Electrico!$B$11*K9)+0.3*D9</f>
        <v>5818.3352491616879</v>
      </c>
      <c r="E10" s="18">
        <f>0.7*(-Electrico!$B$16*I9-Electrico!$B$17*H9-Electrico!$B$10*K9-Electrico!$B$11*J9)+0.3*E9</f>
        <v>-194.34024905524035</v>
      </c>
      <c r="F10" s="18">
        <f>0.7*(Electrico!$B$18-Electrico!$B$16*H9+Electrico!$B$17*I9-Electrico!$B$10*J9+Electrico!$B$11*K9-Electrico!$B$16*L9+Electrico!$B$17*M9)+0.3*F9</f>
        <v>5648.9494761147134</v>
      </c>
      <c r="G10" s="18">
        <f>0.7*(-Electrico!$B$16*I9-Electrico!$B$17*H9-Electrico!$B$10*K9-Electrico!$B$11*J9-Electrico!$B$16*M9-Electrico!$B$17*L9)+0.3*G9</f>
        <v>-389.10219655607506</v>
      </c>
      <c r="H10" s="18">
        <f>J10+(Parametros!$E$33*1000*B10+Parametros!$E$34*1000*C10)/(3*(B10^2+C10^2))</f>
        <v>9.7770446657723298</v>
      </c>
      <c r="I10" s="18">
        <f>K10+(Parametros!$E$33*1000*C10-Parametros!$E$34*1000*B10)/(3*(B10^2+C10^2))</f>
        <v>-5.857639119566648</v>
      </c>
      <c r="J10" s="18">
        <f>L10+(Parametros!$E$33*1000*D10+Parametros!$E$34*1000*E10)/(3*(D10^2+E10^2))</f>
        <v>9.7562588440846785</v>
      </c>
      <c r="K10" s="18">
        <f>M10+(Parametros!$E$33*1000*E10-Parametros!$E$34*1000*D10)/(3*(D10^2+E10^2))</f>
        <v>-5.7153762089712661</v>
      </c>
      <c r="L10" s="18">
        <f>(Demanda!$G$21*1000*F10+Demanda!$G$24*1000*G10)/(3*(F10^2+G10^2))</f>
        <v>9.7352855940474541</v>
      </c>
      <c r="M10" s="18">
        <f>(Demanda!$G$21*1000*G10-Demanda!$G$24*1000*F10)/(3*(F10^2+G10^2))</f>
        <v>-5.5714502844398943</v>
      </c>
      <c r="N10" s="18">
        <f>SQRT(F10^2+G10^2)*SQRT(3)*Parametros!$E$29/(Parametros!$E$27*1000)</f>
        <v>372.68313217217417</v>
      </c>
      <c r="O10" s="18">
        <f t="shared" si="0"/>
        <v>11.307082375345784</v>
      </c>
      <c r="P10" s="18">
        <f>3*O10^2*Electrico!$B$10/1000</f>
        <v>2.0836636879600152</v>
      </c>
      <c r="Q10" s="18">
        <f t="shared" si="1"/>
        <v>41.174704891398505</v>
      </c>
    </row>
    <row r="11" spans="1:17" ht="21" customHeight="1">
      <c r="A11" s="1">
        <v>4</v>
      </c>
      <c r="B11" s="18">
        <f>0.7*(Electrico!$B$18-Electrico!$B$16*H10+Electrico!$B$17*I10)+0.3*B10</f>
        <v>5879.1245159399878</v>
      </c>
      <c r="C11" s="18">
        <f>0.7*(-Electrico!$B$16*I10-Electrico!$B$17*H10)+0.3*C10</f>
        <v>-198.68360787890566</v>
      </c>
      <c r="D11" s="18">
        <f>0.7*(Electrico!$B$18-Electrico!$B$16*H10+Electrico!$B$17*I10-Electrico!$B$10*J10+Electrico!$B$11*K10)+0.3*D10</f>
        <v>5809.3260025567897</v>
      </c>
      <c r="E11" s="18">
        <f>0.7*(-Electrico!$B$16*I10-Electrico!$B$17*H10-Electrico!$B$10*K10-Electrico!$B$11*J10)+0.3*E10</f>
        <v>-198.05106364970169</v>
      </c>
      <c r="F11" s="18">
        <f>0.7*(Electrico!$B$18-Electrico!$B$16*H10+Electrico!$B$17*I10-Electrico!$B$10*J10+Electrico!$B$11*K10-Electrico!$B$16*L10+Electrico!$B$17*M10)+0.3*F10</f>
        <v>5633.1296941007149</v>
      </c>
      <c r="G11" s="18">
        <f>0.7*(-Electrico!$B$16*I10-Electrico!$B$17*H10-Electrico!$B$10*K10-Electrico!$B$11*J10-Electrico!$B$16*M10-Electrico!$B$17*L10)+0.3*G10</f>
        <v>-397.1574963330695</v>
      </c>
      <c r="H11" s="18">
        <f>J11+(Parametros!$E$33*1000*B11+Parametros!$E$34*1000*C11)/(3*(B11^2+C11^2))</f>
        <v>9.7940943849431559</v>
      </c>
      <c r="I11" s="18">
        <f>K11+(Parametros!$E$33*1000*C11-Parametros!$E$34*1000*B11)/(3*(B11^2+C11^2))</f>
        <v>-5.8888352854881711</v>
      </c>
      <c r="J11" s="18">
        <f>L11+(Parametros!$E$33*1000*D11+Parametros!$E$34*1000*E11)/(3*(D11^2+E11^2))</f>
        <v>9.7733942435420573</v>
      </c>
      <c r="K11" s="18">
        <f>M11+(Parametros!$E$33*1000*E11-Parametros!$E$34*1000*D11)/(3*(D11^2+E11^2))</f>
        <v>-5.7463912685533449</v>
      </c>
      <c r="L11" s="18">
        <f>(Demanda!$G$21*1000*F11+Demanda!$G$24*1000*G11)/(3*(F11^2+G11^2))</f>
        <v>9.7524883908662705</v>
      </c>
      <c r="M11" s="18">
        <f>(Demanda!$G$21*1000*G11-Demanda!$G$24*1000*F11)/(3*(F11^2+G11^2))</f>
        <v>-5.6022310407879052</v>
      </c>
      <c r="N11" s="18">
        <f>SQRT(F11^2+G11^2)*SQRT(3)*Parametros!$E$29/(Parametros!$E$27*1000)</f>
        <v>371.68128614893345</v>
      </c>
      <c r="O11" s="18">
        <f t="shared" si="0"/>
        <v>11.337559157552702</v>
      </c>
      <c r="P11" s="18">
        <f>3*O11^2*Electrico!$B$10/1000</f>
        <v>2.0949113192876636</v>
      </c>
      <c r="Q11" s="18">
        <f t="shared" si="1"/>
        <v>15.81978201399852</v>
      </c>
    </row>
    <row r="12" spans="1:17" ht="21" customHeight="1">
      <c r="A12" s="1">
        <v>5</v>
      </c>
      <c r="B12" s="18">
        <f>0.7*(Electrico!$B$18-Electrico!$B$16*H11+Electrico!$B$17*I11)+0.3*B11</f>
        <v>5876.4601164698943</v>
      </c>
      <c r="C12" s="18">
        <f>0.7*(-Electrico!$B$16*I11-Electrico!$B$17*H11)+0.3*C11</f>
        <v>-200.14762849994008</v>
      </c>
      <c r="D12" s="18">
        <f>0.7*(Electrico!$B$18-Electrico!$B$16*H11+Electrico!$B$17*I11-Electrico!$B$10*J11+Electrico!$B$11*K11)+0.3*D11</f>
        <v>5805.918970962005</v>
      </c>
      <c r="E12" s="18">
        <f>0.7*(-Electrico!$B$16*I11-Electrico!$B$17*H11-Electrico!$B$10*K11-Electrico!$B$11*J11)+0.3*E11</f>
        <v>-199.25538393275431</v>
      </c>
      <c r="F12" s="18">
        <f>0.7*(Electrico!$B$18-Electrico!$B$16*H11+Electrico!$B$17*I11-Electrico!$B$10*J11+Electrico!$B$11*K11-Electrico!$B$16*L11+Electrico!$B$17*M11)+0.3*F11</f>
        <v>5627.1138208861194</v>
      </c>
      <c r="G12" s="18">
        <f>0.7*(-Electrico!$B$16*I11-Electrico!$B$17*H11-Electrico!$B$10*K11-Electrico!$B$11*J11-Electrico!$B$16*M11-Electrico!$B$17*L11)+0.3*G11</f>
        <v>-399.84105911830471</v>
      </c>
      <c r="H12" s="18">
        <f>J12+(Parametros!$E$33*1000*B12+Parametros!$E$34*1000*C12)/(3*(B12^2+C12^2))</f>
        <v>9.8010086273673735</v>
      </c>
      <c r="I12" s="18">
        <f>K12+(Parametros!$E$33*1000*C12-Parametros!$E$34*1000*B12)/(3*(B12^2+C12^2))</f>
        <v>-5.9001272901274291</v>
      </c>
      <c r="J12" s="18">
        <f>L12+(Parametros!$E$33*1000*D12+Parametros!$E$34*1000*E12)/(3*(D12^2+E12^2))</f>
        <v>9.7803369303401109</v>
      </c>
      <c r="K12" s="18">
        <f>M12+(Parametros!$E$33*1000*E12-Parametros!$E$34*1000*D12)/(3*(D12^2+E12^2))</f>
        <v>-5.7576145004765236</v>
      </c>
      <c r="L12" s="18">
        <f>(Demanda!$G$21*1000*F12+Demanda!$G$24*1000*G12)/(3*(F12^2+G12^2))</f>
        <v>9.7594517405769938</v>
      </c>
      <c r="M12" s="18">
        <f>(Demanda!$G$21*1000*G12-Demanda!$G$24*1000*F12)/(3*(F12^2+G12^2))</f>
        <v>-5.6133660491931385</v>
      </c>
      <c r="N12" s="18">
        <f>SQRT(F12^2+G12^2)*SQRT(3)*Parametros!$E$29/(Parametros!$E$27*1000)</f>
        <v>371.29879235086599</v>
      </c>
      <c r="O12" s="18">
        <f t="shared" si="0"/>
        <v>11.349234124251387</v>
      </c>
      <c r="P12" s="18">
        <f>3*O12^2*Electrico!$B$10/1000</f>
        <v>2.0992280531624816</v>
      </c>
      <c r="Q12" s="18">
        <f t="shared" si="1"/>
        <v>6.0158732145955582</v>
      </c>
    </row>
    <row r="13" spans="1:17" ht="21" customHeight="1">
      <c r="A13" s="1">
        <v>6</v>
      </c>
      <c r="B13" s="18">
        <f>0.7*(Electrico!$B$18-Electrico!$B$16*H12+Electrico!$B$17*I12)+0.3*B12</f>
        <v>5875.4511801791705</v>
      </c>
      <c r="C13" s="18">
        <f>0.7*(-Electrico!$B$16*I12-Electrico!$B$17*H12)+0.3*C12</f>
        <v>-200.6612804040553</v>
      </c>
      <c r="D13" s="18">
        <f>0.7*(Electrico!$B$18-Electrico!$B$16*H12+Electrico!$B$17*I12-Electrico!$B$10*J12+Electrico!$B$11*K12)+0.3*D12</f>
        <v>5804.6365560226641</v>
      </c>
      <c r="E13" s="18">
        <f>0.7*(-Electrico!$B$16*I12-Electrico!$B$17*H12-Electrico!$B$10*K12-Electrico!$B$11*J12)+0.3*E12</f>
        <v>-199.66347020715364</v>
      </c>
      <c r="F13" s="18">
        <f>0.7*(Electrico!$B$18-Electrico!$B$16*H12+Electrico!$B$17*I12-Electrico!$B$10*J12+Electrico!$B$11*K12-Electrico!$B$16*L12+Electrico!$B$17*M12)+0.3*F12</f>
        <v>5624.8415471066746</v>
      </c>
      <c r="G13" s="18">
        <f>0.7*(-Electrico!$B$16*I12-Electrico!$B$17*H12-Electrico!$B$10*K12-Electrico!$B$11*J12-Electrico!$B$16*M12-Electrico!$B$17*L12)+0.3*G12</f>
        <v>-400.76871614386346</v>
      </c>
      <c r="H13" s="18">
        <f>J13+(Parametros!$E$33*1000*B13+Parametros!$E$34*1000*C13)/(3*(B13^2+C13^2))</f>
        <v>9.8037188484761106</v>
      </c>
      <c r="I13" s="18">
        <f>K13+(Parametros!$E$33*1000*C13-Parametros!$E$34*1000*B13)/(3*(B13^2+C13^2))</f>
        <v>-5.9042577993637426</v>
      </c>
      <c r="J13" s="18">
        <f>L13+(Parametros!$E$33*1000*D13+Parametros!$E$34*1000*E13)/(3*(D13^2+E13^2))</f>
        <v>9.7830569467317492</v>
      </c>
      <c r="K13" s="18">
        <f>M13+(Parametros!$E$33*1000*E13-Parametros!$E$34*1000*D13)/(3*(D13^2+E13^2))</f>
        <v>-5.7617190646673881</v>
      </c>
      <c r="L13" s="18">
        <f>(Demanda!$G$21*1000*F13+Demanda!$G$24*1000*G13)/(3*(F13^2+G13^2))</f>
        <v>9.7621784228020267</v>
      </c>
      <c r="M13" s="18">
        <f>(Demanda!$G$21*1000*G13-Demanda!$G$24*1000*F13)/(3*(F13^2+G13^2))</f>
        <v>-5.6174375056428207</v>
      </c>
      <c r="N13" s="18">
        <f>SQRT(F13^2+G13^2)*SQRT(3)*Parametros!$E$29/(Parametros!$E$27*1000)</f>
        <v>371.15394653642289</v>
      </c>
      <c r="O13" s="18">
        <f t="shared" si="0"/>
        <v>11.353660634489124</v>
      </c>
      <c r="P13" s="18">
        <f>3*O13^2*Electrico!$B$10/1000</f>
        <v>2.100865884664239</v>
      </c>
      <c r="Q13" s="18">
        <f t="shared" si="1"/>
        <v>2.2722737794447312</v>
      </c>
    </row>
    <row r="14" spans="1:17" ht="21" customHeight="1">
      <c r="A14" s="1">
        <v>7</v>
      </c>
      <c r="B14" s="18">
        <f>0.7*(Electrico!$B$18-Electrico!$B$16*H13+Electrico!$B$17*I13)+0.3*B13</f>
        <v>5875.0711949364568</v>
      </c>
      <c r="C14" s="18">
        <f>0.7*(-Electrico!$B$16*I13-Electrico!$B$17*H13)+0.3*C13</f>
        <v>-200.84558359636799</v>
      </c>
      <c r="D14" s="18">
        <f>0.7*(Electrico!$B$18-Electrico!$B$16*H13+Electrico!$B$17*I13-Electrico!$B$10*J13+Electrico!$B$11*K13)+0.3*D13</f>
        <v>5804.1553011251044</v>
      </c>
      <c r="E14" s="18">
        <f>0.7*(-Electrico!$B$16*I13-Electrico!$B$17*H13-Electrico!$B$10*K13-Electrico!$B$11*J13)+0.3*E13</f>
        <v>-199.80638106868136</v>
      </c>
      <c r="F14" s="18">
        <f>0.7*(Electrico!$B$18-Electrico!$B$16*H13+Electrico!$B$17*I13-Electrico!$B$10*J13+Electrico!$B$11*K13-Electrico!$B$16*L13+Electrico!$B$17*M13)+0.3*F13</f>
        <v>5623.986943717653</v>
      </c>
      <c r="G14" s="18">
        <f>0.7*(-Electrico!$B$16*I13-Electrico!$B$17*H13-Electrico!$B$10*K13-Electrico!$B$11*J13-Electrico!$B$16*M13-Electrico!$B$17*L13)+0.3*G13</f>
        <v>-401.09818145959173</v>
      </c>
      <c r="H14" s="18">
        <f>J14+(Parametros!$E$33*1000*B14+Parametros!$E$34*1000*C14)/(3*(B14^2+C14^2))</f>
        <v>9.804760487540916</v>
      </c>
      <c r="I14" s="18">
        <f>K14+(Parametros!$E$33*1000*C14-Parametros!$E$34*1000*B14)/(3*(B14^2+C14^2))</f>
        <v>-5.9057801421251677</v>
      </c>
      <c r="J14" s="18">
        <f>L14+(Parametros!$E$33*1000*D14+Parametros!$E$34*1000*E14)/(3*(D14^2+E14^2))</f>
        <v>9.7841020541972288</v>
      </c>
      <c r="K14" s="18">
        <f>M14+(Parametros!$E$33*1000*E14-Parametros!$E$34*1000*D14)/(3*(D14^2+E14^2))</f>
        <v>-5.7632316587712582</v>
      </c>
      <c r="L14" s="18">
        <f>(Demanda!$G$21*1000*F14+Demanda!$G$24*1000*G14)/(3*(F14^2+G14^2))</f>
        <v>9.7632257784986844</v>
      </c>
      <c r="M14" s="18">
        <f>(Demanda!$G$21*1000*G14-Demanda!$G$24*1000*F14)/(3*(F14^2+G14^2))</f>
        <v>-5.6189376998779625</v>
      </c>
      <c r="N14" s="18">
        <f>SQRT(F14^2+G14^2)*SQRT(3)*Parametros!$E$29/(Parametros!$E$27*1000)</f>
        <v>371.09938255136882</v>
      </c>
      <c r="O14" s="18">
        <f t="shared" si="0"/>
        <v>11.355328800154126</v>
      </c>
      <c r="P14" s="18">
        <f>3*O14^2*Electrico!$B$10/1000</f>
        <v>2.1014832802177974</v>
      </c>
      <c r="Q14" s="18">
        <f t="shared" si="1"/>
        <v>0.85460338902157673</v>
      </c>
    </row>
    <row r="15" spans="1:17" ht="21" customHeight="1">
      <c r="A15" s="1">
        <v>8</v>
      </c>
      <c r="B15" s="18">
        <f>0.7*(Electrico!$B$18-Electrico!$B$16*H14+Electrico!$B$17*I14)+0.3*B14</f>
        <v>5874.9285595703222</v>
      </c>
      <c r="C15" s="18">
        <f>0.7*(-Electrico!$B$16*I14-Electrico!$B$17*H14)+0.3*C14</f>
        <v>-200.91271072598369</v>
      </c>
      <c r="D15" s="18">
        <f>0.7*(Electrico!$B$18-Electrico!$B$16*H14+Electrico!$B$17*I14-Electrico!$B$10*J14+Electrico!$B$11*K14)+0.3*D14</f>
        <v>5803.9750372355757</v>
      </c>
      <c r="E15" s="18">
        <f>0.7*(-Electrico!$B$16*I14-Electrico!$B$17*H14-Electrico!$B$10*K14-Electrico!$B$11*J14)+0.3*E14</f>
        <v>-199.85760004914562</v>
      </c>
      <c r="F15" s="18">
        <f>0.7*(Electrico!$B$18-Electrico!$B$16*H14+Electrico!$B$17*I14-Electrico!$B$10*J14+Electrico!$B$11*K14-Electrico!$B$16*L14+Electrico!$B$17*M14)+0.3*F14</f>
        <v>5623.6663797014498</v>
      </c>
      <c r="G15" s="18">
        <f>0.7*(-Electrico!$B$16*I14-Electrico!$B$17*H14-Electrico!$B$10*K14-Electrico!$B$11*J14-Electrico!$B$16*M14-Electrico!$B$17*L14)+0.3*G14</f>
        <v>-401.21737381398106</v>
      </c>
      <c r="H15" s="18">
        <f>J15+(Parametros!$E$33*1000*B15+Parametros!$E$34*1000*C15)/(3*(B15^2+C15^2))</f>
        <v>9.8051562491942548</v>
      </c>
      <c r="I15" s="18">
        <f>K15+(Parametros!$E$33*1000*C15-Parametros!$E$34*1000*B15)/(3*(B15^2+C15^2))</f>
        <v>-5.9063440396005777</v>
      </c>
      <c r="J15" s="18">
        <f>L15+(Parametros!$E$33*1000*D15+Parametros!$E$34*1000*E15)/(3*(D15^2+E15^2))</f>
        <v>9.784499068019656</v>
      </c>
      <c r="K15" s="18">
        <f>M15+(Parametros!$E$33*1000*E15-Parametros!$E$34*1000*D15)/(3*(D15^2+E15^2))</f>
        <v>-5.763791902139296</v>
      </c>
      <c r="L15" s="18">
        <f>(Demanda!$G$21*1000*F15+Demanda!$G$24*1000*G15)/(3*(F15^2+G15^2))</f>
        <v>9.7636235770330035</v>
      </c>
      <c r="M15" s="18">
        <f>(Demanda!$G$21*1000*G15-Demanda!$G$24*1000*F15)/(3*(F15^2+G15^2))</f>
        <v>-5.6194933044560305</v>
      </c>
      <c r="N15" s="18">
        <f>SQRT(F15^2+G15^2)*SQRT(3)*Parametros!$E$29/(Parametros!$E$27*1000)</f>
        <v>371.07889534451874</v>
      </c>
      <c r="O15" s="18">
        <f t="shared" si="0"/>
        <v>11.35595522636665</v>
      </c>
      <c r="P15" s="18">
        <f>3*O15^2*Electrico!$B$10/1000</f>
        <v>2.1017151467794615</v>
      </c>
      <c r="Q15" s="18">
        <f t="shared" si="1"/>
        <v>0.32056401620320685</v>
      </c>
    </row>
    <row r="16" spans="1:17" ht="21" customHeight="1">
      <c r="A16" s="1">
        <v>9</v>
      </c>
      <c r="B16" s="18">
        <f>0.7*(Electrico!$B$18-Electrico!$B$16*H15+Electrico!$B$17*I15)+0.3*B15</f>
        <v>5874.8751259174505</v>
      </c>
      <c r="C16" s="18">
        <f>0.7*(-Electrico!$B$16*I15-Electrico!$B$17*H15)+0.3*C15</f>
        <v>-200.93739627048953</v>
      </c>
      <c r="D16" s="18">
        <f>0.7*(Electrico!$B$18-Electrico!$B$16*H15+Electrico!$B$17*I15-Electrico!$B$10*J15+Electrico!$B$11*K15)+0.3*D15</f>
        <v>5803.9075928805805</v>
      </c>
      <c r="E16" s="18">
        <f>0.7*(-Electrico!$B$16*I15-Electrico!$B$17*H15-Electrico!$B$10*K15-Electrico!$B$11*J15)+0.3*E15</f>
        <v>-199.87624180485739</v>
      </c>
      <c r="F16" s="18">
        <f>0.7*(Electrico!$B$18-Electrico!$B$16*H15+Electrico!$B$17*I15-Electrico!$B$10*J15+Electrico!$B$11*K15-Electrico!$B$16*L15+Electrico!$B$17*M15)+0.3*F15</f>
        <v>5623.546331506308</v>
      </c>
      <c r="G16" s="18">
        <f>0.7*(-Electrico!$B$16*I15-Electrico!$B$17*H15-Electrico!$B$10*K15-Electrico!$B$11*J15-Electrico!$B$16*M15-Electrico!$B$17*L15)+0.3*G15</f>
        <v>-401.26101726127854</v>
      </c>
      <c r="H16" s="18">
        <f>J16+(Parametros!$E$33*1000*B16+Parametros!$E$34*1000*C16)/(3*(B16^2+C16^2))</f>
        <v>9.8053055962526852</v>
      </c>
      <c r="I16" s="18">
        <f>K16+(Parametros!$E$33*1000*C16-Parametros!$E$34*1000*B16)/(3*(B16^2+C16^2))</f>
        <v>-5.9065535862660443</v>
      </c>
      <c r="J16" s="18">
        <f>L16+(Parametros!$E$33*1000*D16+Parametros!$E$34*1000*E16)/(3*(D16^2+E16^2))</f>
        <v>9.7846488729616219</v>
      </c>
      <c r="K16" s="18">
        <f>M16+(Parametros!$E$33*1000*E16-Parametros!$E$34*1000*D16)/(3*(D16^2+E16^2))</f>
        <v>-5.7640000811145393</v>
      </c>
      <c r="L16" s="18">
        <f>(Demanda!$G$21*1000*F16+Demanda!$G$24*1000*G16)/(3*(F16^2+G16^2))</f>
        <v>9.7637736625915164</v>
      </c>
      <c r="M16" s="18">
        <f>(Demanda!$G$21*1000*G16-Demanda!$G$24*1000*F16)/(3*(F16^2+G16^2))</f>
        <v>-5.6196997492215353</v>
      </c>
      <c r="N16" s="18">
        <f>SQRT(F16^2+G16^2)*SQRT(3)*Parametros!$E$29/(Parametros!$E$27*1000)</f>
        <v>371.07121848797192</v>
      </c>
      <c r="O16" s="18">
        <f t="shared" si="0"/>
        <v>11.356189964166571</v>
      </c>
      <c r="P16" s="18">
        <f>3*O16^2*Electrico!$B$10/1000</f>
        <v>2.10180203635921</v>
      </c>
      <c r="Q16" s="18">
        <f t="shared" si="1"/>
        <v>0.12004819514186238</v>
      </c>
    </row>
    <row r="17" spans="1:17" ht="21" customHeight="1">
      <c r="A17" s="1">
        <v>10</v>
      </c>
      <c r="B17" s="18">
        <f>0.7*(Electrico!$B$18-Electrico!$B$16*H16+Electrico!$B$17*I16)+0.3*B16</f>
        <v>5874.8551329047459</v>
      </c>
      <c r="C17" s="18">
        <f>0.7*(-Electrico!$B$16*I16-Electrico!$B$17*H16)+0.3*C16</f>
        <v>-200.94652925197005</v>
      </c>
      <c r="D17" s="18">
        <f>0.7*(Electrico!$B$18-Electrico!$B$16*H16+Electrico!$B$17*I16-Electrico!$B$10*J16+Electrico!$B$11*K16)+0.3*D16</f>
        <v>5803.8823764743966</v>
      </c>
      <c r="E17" s="18">
        <f>0.7*(-Electrico!$B$16*I16-Electrico!$B$17*H16-Electrico!$B$10*K16-Electrico!$B$11*J16)+0.3*E16</f>
        <v>-199.88309416892838</v>
      </c>
      <c r="F17" s="18">
        <f>0.7*(Electrico!$B$18-Electrico!$B$16*H16+Electrico!$B$17*I16-Electrico!$B$10*J16+Electrico!$B$11*K16-Electrico!$B$16*L16+Electrico!$B$17*M16)+0.3*F16</f>
        <v>5623.5014194540618</v>
      </c>
      <c r="G17" s="18">
        <f>0.7*(-Electrico!$B$16*I16-Electrico!$B$17*H16-Electrico!$B$10*K16-Electrico!$B$11*J16-Electrico!$B$16*M16-Electrico!$B$17*L16)+0.3*G16</f>
        <v>-401.27712035970671</v>
      </c>
      <c r="H17" s="18">
        <f>J17+(Parametros!$E$33*1000*B17+Parametros!$E$34*1000*C17)/(3*(B17^2+C17^2))</f>
        <v>9.8053617266614914</v>
      </c>
      <c r="I17" s="18">
        <f>K17+(Parametros!$E$33*1000*C17-Parametros!$E$34*1000*B17)/(3*(B17^2+C17^2))</f>
        <v>-5.9066316110554569</v>
      </c>
      <c r="J17" s="18">
        <f>L17+(Parametros!$E$33*1000*D17+Parametros!$E$34*1000*E17)/(3*(D17^2+E17^2))</f>
        <v>9.7847051721790912</v>
      </c>
      <c r="K17" s="18">
        <f>M17+(Parametros!$E$33*1000*E17-Parametros!$E$34*1000*D17)/(3*(D17^2+E17^2))</f>
        <v>-5.7640775944343199</v>
      </c>
      <c r="L17" s="18">
        <f>(Demanda!$G$21*1000*F17+Demanda!$G$24*1000*G17)/(3*(F17^2+G17^2))</f>
        <v>9.7638300637995687</v>
      </c>
      <c r="M17" s="18">
        <f>(Demanda!$G$21*1000*G17-Demanda!$G$24*1000*F17)/(3*(F17^2+G17^2))</f>
        <v>-5.619776614458897</v>
      </c>
      <c r="N17" s="18">
        <f>SQRT(F17^2+G17^2)*SQRT(3)*Parametros!$E$29/(Parametros!$E$27*1000)</f>
        <v>371.06834540233086</v>
      </c>
      <c r="O17" s="18">
        <f t="shared" si="0"/>
        <v>11.356277815425615</v>
      </c>
      <c r="P17" s="18">
        <f>3*O17^2*Electrico!$B$10/1000</f>
        <v>2.1018345554822524</v>
      </c>
      <c r="Q17" s="18">
        <f t="shared" si="1"/>
        <v>4.4912052246218082E-2</v>
      </c>
    </row>
    <row r="18" spans="1:17" ht="21" customHeight="1">
      <c r="A18" s="1">
        <v>11</v>
      </c>
      <c r="B18" s="18">
        <f>0.7*(Electrico!$B$18-Electrico!$B$16*H17+Electrico!$B$17*I17)+0.3*B17</f>
        <v>5874.8476575983705</v>
      </c>
      <c r="C18" s="18">
        <f>0.7*(-Electrico!$B$16*I17-Electrico!$B$17*H17)+0.3*C17</f>
        <v>-200.94992087737086</v>
      </c>
      <c r="D18" s="18">
        <f>0.7*(Electrico!$B$18-Electrico!$B$16*H17+Electrico!$B$17*I17-Electrico!$B$10*J17+Electrico!$B$11*K17)+0.3*D17</f>
        <v>5803.8729523145148</v>
      </c>
      <c r="E18" s="18">
        <f>0.7*(-Electrico!$B$16*I17-Electrico!$B$17*H17-Electrico!$B$10*K17-Electrico!$B$11*J17)+0.3*E17</f>
        <v>-199.88562867459086</v>
      </c>
      <c r="F18" s="18">
        <f>0.7*(Electrico!$B$18-Electrico!$B$16*H17+Electrico!$B$17*I17-Electrico!$B$10*J17+Electrico!$B$11*K17-Electrico!$B$16*L17+Electrico!$B$17*M17)+0.3*F17</f>
        <v>5623.4846273175008</v>
      </c>
      <c r="G18" s="18">
        <f>0.7*(-Electrico!$B$16*I17-Electrico!$B$17*H17-Electrico!$B$10*K17-Electrico!$B$11*J17-Electrico!$B$16*M17-Electrico!$B$17*L17)+0.3*G17</f>
        <v>-401.28309029380944</v>
      </c>
      <c r="H18" s="18">
        <f>J18+(Parametros!$E$33*1000*B18+Parametros!$E$34*1000*C18)/(3*(B18^2+C18^2))</f>
        <v>9.8053827713676771</v>
      </c>
      <c r="I18" s="18">
        <f>K18+(Parametros!$E$33*1000*C18-Parametros!$E$34*1000*B18)/(3*(B18^2+C18^2))</f>
        <v>-5.9066606996427238</v>
      </c>
      <c r="J18" s="18">
        <f>L18+(Parametros!$E$33*1000*D18+Parametros!$E$34*1000*E18)/(3*(D18^2+E18^2))</f>
        <v>9.7847262794387895</v>
      </c>
      <c r="K18" s="18">
        <f>M18+(Parametros!$E$33*1000*E18-Parametros!$E$34*1000*D18)/(3*(D18^2+E18^2))</f>
        <v>-5.7641064918465661</v>
      </c>
      <c r="L18" s="18">
        <f>(Demanda!$G$21*1000*F18+Demanda!$G$24*1000*G18)/(3*(F18^2+G18^2))</f>
        <v>9.7638512085172078</v>
      </c>
      <c r="M18" s="18">
        <f>(Demanda!$G$21*1000*G18-Demanda!$G$24*1000*F18)/(3*(F18^2+G18^2))</f>
        <v>-5.6198052697334715</v>
      </c>
      <c r="N18" s="18">
        <f>SQRT(F18^2+G18^2)*SQRT(3)*Parametros!$E$29/(Parametros!$E$27*1000)</f>
        <v>371.06727094922962</v>
      </c>
      <c r="O18" s="18">
        <f t="shared" si="0"/>
        <v>11.35631066909002</v>
      </c>
      <c r="P18" s="18">
        <f>3*O18^2*Electrico!$B$10/1000</f>
        <v>2.1018467166970667</v>
      </c>
      <c r="Q18" s="18">
        <f t="shared" si="1"/>
        <v>1.6792136560979998E-2</v>
      </c>
    </row>
    <row r="19" spans="1:17" ht="21" customHeight="1">
      <c r="A19" s="1">
        <v>12</v>
      </c>
      <c r="B19" s="18">
        <f>0.7*(Electrico!$B$18-Electrico!$B$16*H18+Electrico!$B$17*I18)+0.3*B18</f>
        <v>5874.8448638010614</v>
      </c>
      <c r="C19" s="18">
        <f>0.7*(-Electrico!$B$16*I18-Electrico!$B$17*H18)+0.3*C18</f>
        <v>-200.9511832878114</v>
      </c>
      <c r="D19" s="18">
        <f>0.7*(Electrico!$B$18-Electrico!$B$16*H18+Electrico!$B$17*I18-Electrico!$B$10*J18+Electrico!$B$11*K18)+0.3*D18</f>
        <v>5803.8694310597311</v>
      </c>
      <c r="E19" s="18">
        <f>0.7*(-Electrico!$B$16*I18-Electrico!$B$17*H18-Electrico!$B$10*K18-Electrico!$B$11*J18)+0.3*E18</f>
        <v>-199.88656973475156</v>
      </c>
      <c r="F19" s="18">
        <f>0.7*(Electrico!$B$18-Electrico!$B$16*H18+Electrico!$B$17*I18-Electrico!$B$10*J18+Electrico!$B$11*K18-Electrico!$B$16*L18+Electrico!$B$17*M18)+0.3*F18</f>
        <v>5623.4783512395725</v>
      </c>
      <c r="G19" s="18">
        <f>0.7*(-Electrico!$B$16*I18-Electrico!$B$17*H18-Electrico!$B$10*K18-Electrico!$B$11*J18-Electrico!$B$16*M18-Electrico!$B$17*L18)+0.3*G18</f>
        <v>-401.28531005370354</v>
      </c>
      <c r="H19" s="18">
        <f>J19+(Parametros!$E$33*1000*B19+Parametros!$E$34*1000*C19)/(3*(B19^2+C19^2))</f>
        <v>9.8053906500012342</v>
      </c>
      <c r="I19" s="18">
        <f>K19+(Parametros!$E$33*1000*C19-Parametros!$E$34*1000*B19)/(3*(B19^2+C19^2))</f>
        <v>-5.9066715524638935</v>
      </c>
      <c r="J19" s="18">
        <f>L19+(Parametros!$E$33*1000*D19+Parametros!$E$34*1000*E19)/(3*(D19^2+E19^2))</f>
        <v>9.7847341813251987</v>
      </c>
      <c r="K19" s="18">
        <f>M19+(Parametros!$E$33*1000*E19-Parametros!$E$34*1000*D19)/(3*(D19^2+E19^2))</f>
        <v>-5.764117273232344</v>
      </c>
      <c r="L19" s="18">
        <f>(Demanda!$G$21*1000*F19+Demanda!$G$24*1000*G19)/(3*(F19^2+G19^2))</f>
        <v>9.7638591242514039</v>
      </c>
      <c r="M19" s="18">
        <f>(Demanda!$G$21*1000*G19-Demanda!$G$24*1000*F19)/(3*(F19^2+G19^2))</f>
        <v>-5.6198159606626863</v>
      </c>
      <c r="N19" s="18">
        <f>SQRT(F19^2+G19^2)*SQRT(3)*Parametros!$E$29/(Parametros!$E$27*1000)</f>
        <v>371.06686931753853</v>
      </c>
      <c r="O19" s="18">
        <f t="shared" si="0"/>
        <v>11.35632294973902</v>
      </c>
      <c r="P19" s="18">
        <f>3*O19^2*Electrico!$B$10/1000</f>
        <v>2.101851262549411</v>
      </c>
      <c r="Q19" s="18">
        <f t="shared" si="1"/>
        <v>6.2760779283053125E-3</v>
      </c>
    </row>
    <row r="20" spans="1:17" ht="21" customHeight="1">
      <c r="A20" s="1">
        <v>13</v>
      </c>
      <c r="B20" s="18">
        <f>0.7*(Electrico!$B$18-Electrico!$B$16*H19+Electrico!$B$17*I19)+0.3*B19</f>
        <v>5874.8438199160482</v>
      </c>
      <c r="C20" s="18">
        <f>0.7*(-Electrico!$B$16*I19-Electrico!$B$17*H19)+0.3*C19</f>
        <v>-200.951653833504</v>
      </c>
      <c r="D20" s="18">
        <f>0.7*(Electrico!$B$18-Electrico!$B$16*H19+Electrico!$B$17*I19-Electrico!$B$10*J19+Electrico!$B$11*K19)+0.3*D19</f>
        <v>5803.8681155569884</v>
      </c>
      <c r="E20" s="18">
        <f>0.7*(-Electrico!$B$16*I19-Electrico!$B$17*H19-Electrico!$B$10*K19-Electrico!$B$11*J19)+0.3*E19</f>
        <v>-199.88691997581725</v>
      </c>
      <c r="F20" s="18">
        <f>0.7*(Electrico!$B$18-Electrico!$B$16*H19+Electrico!$B$17*I19-Electrico!$B$10*J19+Electrico!$B$11*K19-Electrico!$B$16*L19+Electrico!$B$17*M19)+0.3*F19</f>
        <v>5623.4760060763219</v>
      </c>
      <c r="G20" s="18">
        <f>0.7*(-Electrico!$B$16*I19-Electrico!$B$17*H19-Electrico!$B$10*K19-Electrico!$B$11*J19-Electrico!$B$16*M19-Electrico!$B$17*L19)+0.3*G19</f>
        <v>-401.28613689917336</v>
      </c>
      <c r="H20" s="18">
        <f>J20+(Parametros!$E$33*1000*B20+Parametros!$E$34*1000*C20)/(3*(B20^2+C20^2))</f>
        <v>9.8053935969629951</v>
      </c>
      <c r="I20" s="18">
        <f>K20+(Parametros!$E$33*1000*C20-Parametros!$E$34*1000*B20)/(3*(B20^2+C20^2))</f>
        <v>-5.906675603481407</v>
      </c>
      <c r="J20" s="18">
        <f>L20+(Parametros!$E$33*1000*D20+Parametros!$E$34*1000*E20)/(3*(D20^2+E20^2))</f>
        <v>9.7847371369473404</v>
      </c>
      <c r="K20" s="18">
        <f>M20+(Parametros!$E$33*1000*E20-Parametros!$E$34*1000*D20)/(3*(D20^2+E20^2))</f>
        <v>-5.7641212975615277</v>
      </c>
      <c r="L20" s="18">
        <f>(Demanda!$G$21*1000*F20+Demanda!$G$24*1000*G20)/(3*(F20^2+G20^2))</f>
        <v>9.7638620850137769</v>
      </c>
      <c r="M20" s="18">
        <f>(Demanda!$G$21*1000*G20-Demanda!$G$24*1000*F20)/(3*(F20^2+G20^2))</f>
        <v>-5.6198199512018858</v>
      </c>
      <c r="N20" s="18">
        <f>SQRT(F20^2+G20^2)*SQRT(3)*Parametros!$E$29/(Parametros!$E$27*1000)</f>
        <v>371.06671922884158</v>
      </c>
      <c r="O20" s="18">
        <f t="shared" si="0"/>
        <v>11.356327538960773</v>
      </c>
      <c r="P20" s="18">
        <f>3*O20^2*Electrico!$B$10/1000</f>
        <v>2.1018529613146759</v>
      </c>
      <c r="Q20" s="18">
        <f t="shared" si="1"/>
        <v>2.3451632505384623E-3</v>
      </c>
    </row>
    <row r="21" spans="1:17" ht="21" customHeight="1">
      <c r="A21" s="1">
        <v>14</v>
      </c>
      <c r="B21" s="18">
        <f>0.7*(Electrico!$B$18-Electrico!$B$16*H20+Electrico!$B$17*I20)+0.3*B20</f>
        <v>5874.8434299308556</v>
      </c>
      <c r="C21" s="18">
        <f>0.7*(-Electrico!$B$16*I20-Electrico!$B$17*H20)+0.3*C20</f>
        <v>-200.95182937220801</v>
      </c>
      <c r="D21" s="18">
        <f>0.7*(Electrico!$B$18-Electrico!$B$16*H20+Electrico!$B$17*I20-Electrico!$B$10*J20+Electrico!$B$11*K20)+0.3*D20</f>
        <v>5803.8676241380854</v>
      </c>
      <c r="E21" s="18">
        <f>0.7*(-Electrico!$B$16*I20-Electrico!$B$17*H20-Electrico!$B$10*K20-Electrico!$B$11*J20)+0.3*E20</f>
        <v>-199.88705051546603</v>
      </c>
      <c r="F21" s="18">
        <f>0.7*(Electrico!$B$18-Electrico!$B$16*H20+Electrico!$B$17*I20-Electrico!$B$10*J20+Electrico!$B$11*K20-Electrico!$B$16*L20+Electrico!$B$17*M20)+0.3*F20</f>
        <v>5623.4751298857636</v>
      </c>
      <c r="G21" s="18">
        <f>0.7*(-Electrico!$B$16*I20-Electrico!$B$17*H20-Electrico!$B$10*K20-Electrico!$B$11*J20-Electrico!$B$16*M20-Electrico!$B$17*L20)+0.3*G20</f>
        <v>-401.28644523196527</v>
      </c>
      <c r="H21" s="18">
        <f>J21+(Parametros!$E$33*1000*B21+Parametros!$E$34*1000*C21)/(3*(B21^2+C21^2))</f>
        <v>9.8053946986686995</v>
      </c>
      <c r="I21" s="18">
        <f>K21+(Parametros!$E$33*1000*C21-Parametros!$E$34*1000*B21)/(3*(B21^2+C21^2))</f>
        <v>-5.9066771160262519</v>
      </c>
      <c r="J21" s="18">
        <f>L21+(Parametros!$E$33*1000*D21+Parametros!$E$34*1000*E21)/(3*(D21^2+E21^2))</f>
        <v>9.7847382418823283</v>
      </c>
      <c r="K21" s="18">
        <f>M21+(Parametros!$E$33*1000*E21-Parametros!$E$34*1000*D21)/(3*(D21^2+E21^2))</f>
        <v>-5.7641228001365503</v>
      </c>
      <c r="L21" s="18">
        <f>(Demanda!$G$21*1000*F21+Demanda!$G$24*1000*G21)/(3*(F21^2+G21^2))</f>
        <v>9.7638631918615548</v>
      </c>
      <c r="M21" s="18">
        <f>(Demanda!$G$21*1000*G21-Demanda!$G$24*1000*F21)/(3*(F21^2+G21^2))</f>
        <v>-5.6198214411551373</v>
      </c>
      <c r="N21" s="18">
        <f>SQRT(F21^2+G21^2)*SQRT(3)*Parametros!$E$29/(Parametros!$E$27*1000)</f>
        <v>371.0666631505394</v>
      </c>
      <c r="O21" s="18">
        <f t="shared" si="0"/>
        <v>11.356329253645674</v>
      </c>
      <c r="P21" s="18">
        <f>3*O21^2*Electrico!$B$10/1000</f>
        <v>2.101853596029692</v>
      </c>
      <c r="Q21" s="18">
        <f t="shared" si="1"/>
        <v>8.7619055830145953E-4</v>
      </c>
    </row>
    <row r="22" spans="1:17" ht="21" customHeight="1">
      <c r="A22" s="1">
        <v>15</v>
      </c>
      <c r="B22" s="18">
        <f>0.7*(Electrico!$B$18-Electrico!$B$16*H21+Electrico!$B$17*I21)+0.3*B21</f>
        <v>5874.8432842480051</v>
      </c>
      <c r="C22" s="18">
        <f>0.7*(-Electrico!$B$16*I21-Electrico!$B$17*H21)+0.3*C21</f>
        <v>-200.95189489134361</v>
      </c>
      <c r="D22" s="18">
        <f>0.7*(Electrico!$B$18-Electrico!$B$16*H21+Electrico!$B$17*I21-Electrico!$B$10*J21+Electrico!$B$11*K21)+0.3*D21</f>
        <v>5803.8674405716647</v>
      </c>
      <c r="E22" s="18">
        <f>0.7*(-Electrico!$B$16*I21-Electrico!$B$17*H21-Electrico!$B$10*K21-Electrico!$B$11*J21)+0.3*E21</f>
        <v>-199.88709921200399</v>
      </c>
      <c r="F22" s="18">
        <f>0.7*(Electrico!$B$18-Electrico!$B$16*H21+Electrico!$B$17*I21-Electrico!$B$10*J21+Electrico!$B$11*K21-Electrico!$B$16*L21+Electrico!$B$17*M21)+0.3*F21</f>
        <v>5623.4748025540439</v>
      </c>
      <c r="G22" s="18">
        <f>0.7*(-Electrico!$B$16*I21-Electrico!$B$17*H21-Electrico!$B$10*K21-Electrico!$B$11*J21-Electrico!$B$16*M21-Electrico!$B$17*L21)+0.3*G21</f>
        <v>-401.28656028693047</v>
      </c>
      <c r="H22" s="18">
        <f>J22+(Parametros!$E$33*1000*B22+Parametros!$E$34*1000*C22)/(3*(B22^2+C22^2))</f>
        <v>9.8053951104019568</v>
      </c>
      <c r="I22" s="18">
        <f>K22+(Parametros!$E$33*1000*C22-Parametros!$E$34*1000*B22)/(3*(B22^2+C22^2))</f>
        <v>-5.9066776808682357</v>
      </c>
      <c r="J22" s="18">
        <f>L22+(Parametros!$E$33*1000*D22+Parametros!$E$34*1000*E22)/(3*(D22^2+E22^2))</f>
        <v>9.7847386548205755</v>
      </c>
      <c r="K22" s="18">
        <f>M22+(Parametros!$E$33*1000*E22-Parametros!$E$34*1000*D22)/(3*(D22^2+E22^2))</f>
        <v>-5.764123361254355</v>
      </c>
      <c r="L22" s="18">
        <f>(Demanda!$G$21*1000*F22+Demanda!$G$24*1000*G22)/(3*(F22^2+G22^2))</f>
        <v>9.7638636055126717</v>
      </c>
      <c r="M22" s="18">
        <f>(Demanda!$G$21*1000*G22-Demanda!$G$24*1000*F22)/(3*(F22^2+G22^2))</f>
        <v>-5.619821997558339</v>
      </c>
      <c r="N22" s="18">
        <f>SQRT(F22^2+G22^2)*SQRT(3)*Parametros!$E$29/(Parametros!$E$27*1000)</f>
        <v>371.06664219989705</v>
      </c>
      <c r="O22" s="18">
        <f t="shared" si="0"/>
        <v>11.356329894243922</v>
      </c>
      <c r="P22" s="18">
        <f>3*O22^2*Electrico!$B$10/1000</f>
        <v>2.1018538331562739</v>
      </c>
      <c r="Q22" s="18">
        <f t="shared" si="1"/>
        <v>3.2733171974541619E-4</v>
      </c>
    </row>
    <row r="23" spans="1:17" ht="21" customHeight="1">
      <c r="A23" s="1">
        <v>16</v>
      </c>
      <c r="B23" s="18">
        <f>0.7*(Electrico!$B$18-Electrico!$B$16*H22+Electrico!$B$17*I22)+0.3*B22</f>
        <v>5874.8432298291291</v>
      </c>
      <c r="C23" s="18">
        <f>0.7*(-Electrico!$B$16*I22-Electrico!$B$17*H22)+0.3*C22</f>
        <v>-200.95191935374078</v>
      </c>
      <c r="D23" s="18">
        <f>0.7*(Electrico!$B$18-Electrico!$B$16*H22+Electrico!$B$17*I22-Electrico!$B$10*J22+Electrico!$B$11*K22)+0.3*D22</f>
        <v>5803.8673720031229</v>
      </c>
      <c r="E23" s="18">
        <f>0.7*(-Electrico!$B$16*I22-Electrico!$B$17*H22-Electrico!$B$10*K22-Electrico!$B$11*J22)+0.3*E22</f>
        <v>-199.88711738741347</v>
      </c>
      <c r="F23" s="18">
        <f>0.7*(Electrico!$B$18-Electrico!$B$16*H22+Electrico!$B$17*I22-Electrico!$B$10*J22+Electrico!$B$11*K22-Electrico!$B$16*L22+Electrico!$B$17*M22)+0.3*F22</f>
        <v>5623.4746802739428</v>
      </c>
      <c r="G23" s="18">
        <f>0.7*(-Electrico!$B$16*I22-Electrico!$B$17*H22-Electrico!$B$10*K22-Electrico!$B$11*J22-Electrico!$B$16*M22-Electrico!$B$17*L22)+0.3*G22</f>
        <v>-401.28660323734846</v>
      </c>
      <c r="H23" s="18">
        <f>J23+(Parametros!$E$33*1000*B23+Parametros!$E$34*1000*C23)/(3*(B23^2+C23^2))</f>
        <v>9.8053952642461297</v>
      </c>
      <c r="I23" s="18">
        <f>K23+(Parametros!$E$33*1000*C23-Parametros!$E$34*1000*B23)/(3*(B23^2+C23^2))</f>
        <v>-5.9066778918237945</v>
      </c>
      <c r="J23" s="18">
        <f>L23+(Parametros!$E$33*1000*D23+Parametros!$E$34*1000*E23)/(3*(D23^2+E23^2))</f>
        <v>9.7847388091145753</v>
      </c>
      <c r="K23" s="18">
        <f>M23+(Parametros!$E$33*1000*E23-Parametros!$E$34*1000*D23)/(3*(D23^2+E23^2))</f>
        <v>-5.7641235708188026</v>
      </c>
      <c r="L23" s="18">
        <f>(Demanda!$G$21*1000*F23+Demanda!$G$24*1000*G23)/(3*(F23^2+G23^2))</f>
        <v>9.7638637600725939</v>
      </c>
      <c r="M23" s="18">
        <f>(Demanda!$G$21*1000*G23-Demanda!$G$24*1000*F23)/(3*(F23^2+G23^2))</f>
        <v>-5.6198222053617553</v>
      </c>
      <c r="N23" s="18">
        <f>SQRT(F23^2+G23^2)*SQRT(3)*Parametros!$E$29/(Parametros!$E$27*1000)</f>
        <v>371.06663437330138</v>
      </c>
      <c r="O23" s="18">
        <f t="shared" si="0"/>
        <v>11.356330133553788</v>
      </c>
      <c r="P23" s="18">
        <f>3*O23^2*Electrico!$B$10/1000</f>
        <v>2.101853921740239</v>
      </c>
      <c r="Q23" s="18">
        <f t="shared" si="1"/>
        <v>1.2228010109538445E-4</v>
      </c>
    </row>
    <row r="24" spans="1:17" ht="21" customHeight="1">
      <c r="A24" s="1">
        <v>17</v>
      </c>
      <c r="B24" s="18">
        <f>0.7*(Electrico!$B$18-Electrico!$B$16*H23+Electrico!$B$17*I23)+0.3*B23</f>
        <v>5874.8432095017761</v>
      </c>
      <c r="C24" s="18">
        <f>0.7*(-Electrico!$B$16*I23-Electrico!$B$17*H23)+0.3*C23</f>
        <v>-200.95192848880686</v>
      </c>
      <c r="D24" s="18">
        <f>0.7*(Electrico!$B$18-Electrico!$B$16*H23+Electrico!$B$17*I23-Electrico!$B$10*J23+Electrico!$B$11*K23)+0.3*D23</f>
        <v>5803.8673463906189</v>
      </c>
      <c r="E24" s="18">
        <f>0.7*(-Electrico!$B$16*I23-Electrico!$B$17*H23-Electrico!$B$10*K23-Electrico!$B$11*J23)+0.3*E23</f>
        <v>-199.88712417334818</v>
      </c>
      <c r="F24" s="18">
        <f>0.7*(Electrico!$B$18-Electrico!$B$16*H23+Electrico!$B$17*I23-Electrico!$B$10*J23+Electrico!$B$11*K23-Electrico!$B$16*L23+Electrico!$B$17*M23)+0.3*F23</f>
        <v>5623.4746345956091</v>
      </c>
      <c r="G24" s="18">
        <f>0.7*(-Electrico!$B$16*I23-Electrico!$B$17*H23-Electrico!$B$10*K23-Electrico!$B$11*J23-Electrico!$B$16*M23-Electrico!$B$17*L23)+0.3*G23</f>
        <v>-401.28661927484188</v>
      </c>
      <c r="H24" s="18">
        <f>J24+(Parametros!$E$33*1000*B24+Parametros!$E$34*1000*C24)/(3*(B24^2+C24^2))</f>
        <v>9.805395321723184</v>
      </c>
      <c r="I24" s="18">
        <f>K24+(Parametros!$E$33*1000*C24-Parametros!$E$34*1000*B24)/(3*(B24^2+C24^2))</f>
        <v>-5.9066779706158608</v>
      </c>
      <c r="J24" s="18">
        <f>L24+(Parametros!$E$33*1000*D24+Parametros!$E$34*1000*E24)/(3*(D24^2+E24^2))</f>
        <v>9.7847388667595965</v>
      </c>
      <c r="K24" s="18">
        <f>M24+(Parametros!$E$33*1000*E24-Parametros!$E$34*1000*D24)/(3*(D24^2+E24^2))</f>
        <v>-5.7641236490912471</v>
      </c>
      <c r="L24" s="18">
        <f>(Demanda!$G$21*1000*F24+Demanda!$G$24*1000*G24)/(3*(F24^2+G24^2))</f>
        <v>9.7638638178168655</v>
      </c>
      <c r="M24" s="18">
        <f>(Demanda!$G$21*1000*G24-Demanda!$G$24*1000*F24)/(3*(F24^2+G24^2))</f>
        <v>-5.6198222829764077</v>
      </c>
      <c r="N24" s="18">
        <f>SQRT(F24^2+G24^2)*SQRT(3)*Parametros!$E$29/(Parametros!$E$27*1000)</f>
        <v>371.06663144960606</v>
      </c>
      <c r="O24" s="18">
        <f t="shared" si="0"/>
        <v>11.356330222950056</v>
      </c>
      <c r="P24" s="18">
        <f>3*O24^2*Electrico!$B$10/1000</f>
        <v>2.1018539548315451</v>
      </c>
      <c r="Q24" s="18">
        <f t="shared" si="1"/>
        <v>4.5678333663090598E-5</v>
      </c>
    </row>
    <row r="25" spans="1:17" ht="21" customHeight="1">
      <c r="A25" s="1">
        <v>18</v>
      </c>
      <c r="B25" s="18">
        <f>0.7*(Electrico!$B$18-Electrico!$B$16*H24+Electrico!$B$17*I24)+0.3*B24</f>
        <v>5874.8432019088805</v>
      </c>
      <c r="C25" s="18">
        <f>0.7*(-Electrico!$B$16*I24-Electrico!$B$17*H24)+0.3*C24</f>
        <v>-200.9519319005289</v>
      </c>
      <c r="D25" s="18">
        <f>0.7*(Electrico!$B$18-Electrico!$B$16*H24+Electrico!$B$17*I24-Electrico!$B$10*J24+Electrico!$B$11*K24)+0.3*D24</f>
        <v>5803.8673368235814</v>
      </c>
      <c r="E25" s="18">
        <f>0.7*(-Electrico!$B$16*I24-Electrico!$B$17*H24-Electrico!$B$10*K24-Electrico!$B$11*J24)+0.3*E24</f>
        <v>-199.88712670742186</v>
      </c>
      <c r="F25" s="18">
        <f>0.7*(Electrico!$B$18-Electrico!$B$16*H24+Electrico!$B$17*I24-Electrico!$B$10*J24+Electrico!$B$11*K24-Electrico!$B$16*L24+Electrico!$B$17*M24)+0.3*F24</f>
        <v>5623.4746175325581</v>
      </c>
      <c r="G25" s="18">
        <f>0.7*(-Electrico!$B$16*I24-Electrico!$B$17*H24-Electrico!$B$10*K24-Electrico!$B$11*J24-Electrico!$B$16*M24-Electrico!$B$17*L24)+0.3*G24</f>
        <v>-401.28662526406572</v>
      </c>
      <c r="H25" s="18">
        <f>J25+(Parametros!$E$33*1000*B25+Parametros!$E$34*1000*C25)/(3*(B25^2+C25^2))</f>
        <v>9.8053953431953893</v>
      </c>
      <c r="I25" s="18">
        <f>K25+(Parametros!$E$33*1000*C25-Parametros!$E$34*1000*B25)/(3*(B25^2+C25^2))</f>
        <v>-5.9066780000458872</v>
      </c>
      <c r="J25" s="18">
        <f>L25+(Parametros!$E$33*1000*D25+Parametros!$E$34*1000*E25)/(3*(D25^2+E25^2))</f>
        <v>9.7847388882945285</v>
      </c>
      <c r="K25" s="18">
        <f>M25+(Parametros!$E$33*1000*E25-Parametros!$E$34*1000*D25)/(3*(D25^2+E25^2))</f>
        <v>-5.7641236783271799</v>
      </c>
      <c r="L25" s="18">
        <f>(Demanda!$G$21*1000*F25+Demanda!$G$24*1000*G25)/(3*(F25^2+G25^2))</f>
        <v>9.7638638393888542</v>
      </c>
      <c r="M25" s="18">
        <f>(Demanda!$G$21*1000*G25-Demanda!$G$24*1000*F25)/(3*(F25^2+G25^2))</f>
        <v>-5.6198223119666375</v>
      </c>
      <c r="N25" s="18">
        <f>SQRT(F25^2+G25^2)*SQRT(3)*Parametros!$E$29/(Parametros!$E$27*1000)</f>
        <v>371.06663035745811</v>
      </c>
      <c r="O25" s="18">
        <f t="shared" si="0"/>
        <v>11.356330256344048</v>
      </c>
      <c r="P25" s="18">
        <f>3*O25^2*Electrico!$B$10/1000</f>
        <v>2.1018539671928078</v>
      </c>
      <c r="Q25" s="18">
        <f t="shared" si="1"/>
        <v>1.7063051018340047E-5</v>
      </c>
    </row>
    <row r="26" spans="1:17" ht="21" customHeight="1">
      <c r="A26" s="1">
        <v>19</v>
      </c>
      <c r="B26" s="18">
        <f>0.7*(Electrico!$B$18-Electrico!$B$16*H25+Electrico!$B$17*I25)+0.3*B25</f>
        <v>5874.8431990727095</v>
      </c>
      <c r="C26" s="18">
        <f>0.7*(-Electrico!$B$16*I25-Electrico!$B$17*H25)+0.3*C25</f>
        <v>-200.9519331748098</v>
      </c>
      <c r="D26" s="18">
        <f>0.7*(Electrico!$B$18-Electrico!$B$16*H25+Electrico!$B$17*I25-Electrico!$B$10*J25+Electrico!$B$11*K25)+0.3*D25</f>
        <v>5803.8673332500075</v>
      </c>
      <c r="E26" s="18">
        <f>0.7*(-Electrico!$B$16*I25-Electrico!$B$17*H25-Electrico!$B$10*K25-Electrico!$B$11*J25)+0.3*E25</f>
        <v>-199.88712765383207</v>
      </c>
      <c r="F26" s="18">
        <f>0.7*(Electrico!$B$18-Electrico!$B$16*H25+Electrico!$B$17*I25-Electrico!$B$10*J25+Electrico!$B$11*K25-Electrico!$B$16*L25+Electrico!$B$17*M25)+0.3*F25</f>
        <v>5623.474611158761</v>
      </c>
      <c r="G26" s="18">
        <f>0.7*(-Electrico!$B$16*I25-Electrico!$B$17*H25-Electrico!$B$10*K25-Electrico!$B$11*J25-Electrico!$B$16*M25-Electrico!$B$17*L25)+0.3*G25</f>
        <v>-401.28662750095242</v>
      </c>
      <c r="H26" s="18">
        <f>J26+(Parametros!$E$33*1000*B26+Parametros!$E$34*1000*C26)/(3*(B26^2+C26^2))</f>
        <v>9.8053953512165997</v>
      </c>
      <c r="I26" s="18">
        <f>K26+(Parametros!$E$33*1000*C26-Parametros!$E$34*1000*B26)/(3*(B26^2+C26^2))</f>
        <v>-5.9066780110387054</v>
      </c>
      <c r="J26" s="18">
        <f>L26+(Parametros!$E$33*1000*D26+Parametros!$E$34*1000*E26)/(3*(D26^2+E26^2))</f>
        <v>9.7847388963391673</v>
      </c>
      <c r="K26" s="18">
        <f>M26+(Parametros!$E$33*1000*E26-Parametros!$E$34*1000*D26)/(3*(D26^2+E26^2))</f>
        <v>-5.7641236892474987</v>
      </c>
      <c r="L26" s="18">
        <f>(Demanda!$G$21*1000*F26+Demanda!$G$24*1000*G26)/(3*(F26^2+G26^2))</f>
        <v>9.7638638474473307</v>
      </c>
      <c r="M26" s="18">
        <f>(Demanda!$G$21*1000*G26-Demanda!$G$24*1000*F26)/(3*(F26^2+G26^2))</f>
        <v>-5.6198223227951791</v>
      </c>
      <c r="N26" s="18">
        <f>SQRT(F26^2+G26^2)*SQRT(3)*Parametros!$E$29/(Parametros!$E$27*1000)</f>
        <v>371.06662994949136</v>
      </c>
      <c r="O26" s="18">
        <f t="shared" si="0"/>
        <v>11.356330268818216</v>
      </c>
      <c r="P26" s="18">
        <f>3*O26^2*Electrico!$B$10/1000</f>
        <v>2.1018539718102995</v>
      </c>
      <c r="Q26" s="18">
        <f t="shared" si="1"/>
        <v>6.3737970776855946E-6</v>
      </c>
    </row>
    <row r="27" spans="1:17" ht="21" customHeight="1">
      <c r="A27" s="1">
        <v>20</v>
      </c>
      <c r="B27" s="18">
        <f>0.7*(Electrico!$B$18-Electrico!$B$16*H26+Electrico!$B$17*I26)+0.3*B26</f>
        <v>5874.8431980133164</v>
      </c>
      <c r="C27" s="18">
        <f>0.7*(-Electrico!$B$16*I26-Electrico!$B$17*H26)+0.3*C26</f>
        <v>-200.95193365077412</v>
      </c>
      <c r="D27" s="18">
        <f>0.7*(Electrico!$B$18-Electrico!$B$16*H26+Electrico!$B$17*I26-Electrico!$B$10*J26+Electrico!$B$11*K26)+0.3*D26</f>
        <v>5803.8673319151694</v>
      </c>
      <c r="E27" s="18">
        <f>0.7*(-Electrico!$B$16*I26-Electrico!$B$17*H26-Electrico!$B$10*K26-Electrico!$B$11*J26)+0.3*E26</f>
        <v>-199.88712800731622</v>
      </c>
      <c r="F27" s="18">
        <f>0.7*(Electrico!$B$18-Electrico!$B$16*H26+Electrico!$B$17*I26-Electrico!$B$10*J26+Electrico!$B$11*K26-Electrico!$B$16*L26+Electrico!$B$17*M26)+0.3*F26</f>
        <v>5623.4746087778858</v>
      </c>
      <c r="G27" s="18">
        <f>0.7*(-Electrico!$B$16*I26-Electrico!$B$17*H26-Electrico!$B$10*K26-Electrico!$B$11*J26-Electrico!$B$16*M26-Electrico!$B$17*L26)+0.3*G26</f>
        <v>-401.2866283364425</v>
      </c>
      <c r="H27" s="18">
        <f>J27+(Parametros!$E$33*1000*B27+Parametros!$E$34*1000*C27)/(3*(B27^2+C27^2))</f>
        <v>9.8053953542129388</v>
      </c>
      <c r="I27" s="18">
        <f>K27+(Parametros!$E$33*1000*C27-Parametros!$E$34*1000*B27)/(3*(B27^2+C27^2))</f>
        <v>-5.9066780151448404</v>
      </c>
      <c r="J27" s="18">
        <f>L27+(Parametros!$E$33*1000*D27+Parametros!$E$34*1000*E27)/(3*(D27^2+E27^2))</f>
        <v>9.7847388993442586</v>
      </c>
      <c r="K27" s="18">
        <f>M27+(Parametros!$E$33*1000*E27-Parametros!$E$34*1000*D27)/(3*(D27^2+E27^2))</f>
        <v>-5.7641236933265532</v>
      </c>
      <c r="L27" s="18">
        <f>(Demanda!$G$21*1000*F27+Demanda!$G$24*1000*G27)/(3*(F27^2+G27^2))</f>
        <v>9.7638638504575912</v>
      </c>
      <c r="M27" s="18">
        <f>(Demanda!$G$21*1000*G27-Demanda!$G$24*1000*F27)/(3*(F27^2+G27^2))</f>
        <v>-5.6198223268399525</v>
      </c>
      <c r="N27" s="18">
        <f>SQRT(F27^2+G27^2)*SQRT(3)*Parametros!$E$29/(Parametros!$E$27*1000)</f>
        <v>371.06662979709864</v>
      </c>
      <c r="O27" s="18">
        <f t="shared" si="0"/>
        <v>11.356330273477839</v>
      </c>
      <c r="P27" s="18">
        <f>3*O27^2*Electrico!$B$10/1000</f>
        <v>2.101853973535126</v>
      </c>
      <c r="Q27" s="18">
        <f t="shared" si="1"/>
        <v>2.3808752303011715E-6</v>
      </c>
    </row>
    <row r="28" spans="1:17" ht="21" customHeight="1">
      <c r="A28" s="1">
        <v>21</v>
      </c>
      <c r="B28" s="18">
        <f>0.7*(Electrico!$B$18-Electrico!$B$16*H27+Electrico!$B$17*I27)+0.3*B27</f>
        <v>5874.8431976176007</v>
      </c>
      <c r="C28" s="18">
        <f>0.7*(-Electrico!$B$16*I27-Electrico!$B$17*H27)+0.3*C27</f>
        <v>-200.95193382855871</v>
      </c>
      <c r="D28" s="18">
        <f>0.7*(Electrico!$B$18-Electrico!$B$16*H27+Electrico!$B$17*I27-Electrico!$B$10*J27+Electrico!$B$11*K27)+0.3*D27</f>
        <v>5803.8673314165653</v>
      </c>
      <c r="E28" s="18">
        <f>0.7*(-Electrico!$B$16*I27-Electrico!$B$17*H27-Electrico!$B$10*K27-Electrico!$B$11*J27)+0.3*E27</f>
        <v>-199.88712813934802</v>
      </c>
      <c r="F28" s="18">
        <f>0.7*(Electrico!$B$18-Electrico!$B$16*H27+Electrico!$B$17*I27-Electrico!$B$10*J27+Electrico!$B$11*K27-Electrico!$B$16*L27+Electrico!$B$17*M27)+0.3*F27</f>
        <v>5623.4746078885337</v>
      </c>
      <c r="G28" s="18">
        <f>0.7*(-Electrico!$B$16*I27-Electrico!$B$17*H27-Electrico!$B$10*K27-Electrico!$B$11*J27-Electrico!$B$16*M27-Electrico!$B$17*L27)+0.3*G27</f>
        <v>-401.28662864851322</v>
      </c>
      <c r="H28" s="18">
        <f>J28+(Parametros!$E$33*1000*B28+Parametros!$E$34*1000*C28)/(3*(B28^2+C28^2))</f>
        <v>9.8053953553322124</v>
      </c>
      <c r="I28" s="18">
        <f>K28+(Parametros!$E$33*1000*C28-Parametros!$E$34*1000*B28)/(3*(B28^2+C28^2))</f>
        <v>-5.906678016678617</v>
      </c>
      <c r="J28" s="18">
        <f>L28+(Parametros!$E$33*1000*D28+Parametros!$E$34*1000*E28)/(3*(D28^2+E28^2))</f>
        <v>9.7847389004668006</v>
      </c>
      <c r="K28" s="18">
        <f>M28+(Parametros!$E$33*1000*E28-Parametros!$E$34*1000*D28)/(3*(D28^2+E28^2))</f>
        <v>-5.7641236948502144</v>
      </c>
      <c r="L28" s="18">
        <f>(Demanda!$G$21*1000*F28+Demanda!$G$24*1000*G28)/(3*(F28^2+G28^2))</f>
        <v>9.7638638515820642</v>
      </c>
      <c r="M28" s="18">
        <f>(Demanda!$G$21*1000*G28-Demanda!$G$24*1000*F28)/(3*(F28^2+G28^2))</f>
        <v>-5.619822328350808</v>
      </c>
      <c r="N28" s="18">
        <f>SQRT(F28^2+G28^2)*SQRT(3)*Parametros!$E$29/(Parametros!$E$27*1000)</f>
        <v>371.06662974017382</v>
      </c>
      <c r="O28" s="18">
        <f t="shared" si="0"/>
        <v>11.356330275218395</v>
      </c>
      <c r="P28" s="18">
        <f>3*O28^2*Electrico!$B$10/1000</f>
        <v>2.1018539741794178</v>
      </c>
      <c r="Q28" s="18">
        <f t="shared" si="1"/>
        <v>8.893521226127632E-7</v>
      </c>
    </row>
    <row r="29" spans="1:17" ht="21" customHeight="1">
      <c r="A29" s="1">
        <v>22</v>
      </c>
      <c r="B29" s="18">
        <f>0.7*(Electrico!$B$18-Electrico!$B$16*H28+Electrico!$B$17*I28)+0.3*B28</f>
        <v>5874.8431974697896</v>
      </c>
      <c r="C29" s="18">
        <f>0.7*(-Electrico!$B$16*I28-Electrico!$B$17*H28)+0.3*C28</f>
        <v>-200.95193389496663</v>
      </c>
      <c r="D29" s="18">
        <f>0.7*(Electrico!$B$18-Electrico!$B$16*H28+Electrico!$B$17*I28-Electrico!$B$10*J28+Electrico!$B$11*K28)+0.3*D28</f>
        <v>5803.8673312303217</v>
      </c>
      <c r="E29" s="18">
        <f>0.7*(-Electrico!$B$16*I28-Electrico!$B$17*H28-Electrico!$B$10*K28-Electrico!$B$11*J28)+0.3*E28</f>
        <v>-199.88712818866514</v>
      </c>
      <c r="F29" s="18">
        <f>0.7*(Electrico!$B$18-Electrico!$B$16*H28+Electrico!$B$17*I28-Electrico!$B$10*J28+Electrico!$B$11*K28-Electrico!$B$16*L28+Electrico!$B$17*M28)+0.3*F28</f>
        <v>5623.4746075563262</v>
      </c>
      <c r="G29" s="18">
        <f>0.7*(-Electrico!$B$16*I28-Electrico!$B$17*H28-Electrico!$B$10*K28-Electrico!$B$11*J28-Electrico!$B$16*M28-Electrico!$B$17*L28)+0.3*G28</f>
        <v>-401.28662876507963</v>
      </c>
      <c r="H29" s="18">
        <f>J29+(Parametros!$E$33*1000*B29+Parametros!$E$34*1000*C29)/(3*(B29^2+C29^2))</f>
        <v>9.8053953557503135</v>
      </c>
      <c r="I29" s="18">
        <f>K29+(Parametros!$E$33*1000*C29-Parametros!$E$34*1000*B29)/(3*(B29^2+C29^2))</f>
        <v>-5.9066780172515347</v>
      </c>
      <c r="J29" s="18">
        <f>L29+(Parametros!$E$33*1000*D29+Parametros!$E$34*1000*E29)/(3*(D29^2+E29^2))</f>
        <v>9.7847389008861221</v>
      </c>
      <c r="K29" s="18">
        <f>M29+(Parametros!$E$33*1000*E29-Parametros!$E$34*1000*D29)/(3*(D29^2+E29^2))</f>
        <v>-5.7641236954193538</v>
      </c>
      <c r="L29" s="18">
        <f>(Demanda!$G$21*1000*F29+Demanda!$G$24*1000*G29)/(3*(F29^2+G29^2))</f>
        <v>9.763863852002105</v>
      </c>
      <c r="M29" s="18">
        <f>(Demanda!$G$21*1000*G29-Demanda!$G$24*1000*F29)/(3*(F29^2+G29^2))</f>
        <v>-5.6198223289151645</v>
      </c>
      <c r="N29" s="18">
        <f>SQRT(F29^2+G29^2)*SQRT(3)*Parametros!$E$29/(Parametros!$E$27*1000)</f>
        <v>371.06662971891018</v>
      </c>
      <c r="O29" s="18">
        <f t="shared" si="0"/>
        <v>11.356330275868565</v>
      </c>
      <c r="P29" s="18">
        <f>3*O29^2*Electrico!$B$10/1000</f>
        <v>2.101853974420087</v>
      </c>
      <c r="Q29" s="18">
        <f t="shared" si="1"/>
        <v>3.3220749173779041E-7</v>
      </c>
    </row>
    <row r="30" spans="1:17" ht="21" customHeight="1">
      <c r="A30" s="1">
        <v>23</v>
      </c>
      <c r="B30" s="18">
        <f>0.7*(Electrico!$B$18-Electrico!$B$16*H29+Electrico!$B$17*I29)+0.3*B29</f>
        <v>5874.8431974145769</v>
      </c>
      <c r="C30" s="18">
        <f>0.7*(-Electrico!$B$16*I29-Electrico!$B$17*H29)+0.3*C29</f>
        <v>-200.9519339197723</v>
      </c>
      <c r="D30" s="18">
        <f>0.7*(Electrico!$B$18-Electrico!$B$16*H29+Electrico!$B$17*I29-Electrico!$B$10*J29+Electrico!$B$11*K29)+0.3*D29</f>
        <v>5803.8673311607527</v>
      </c>
      <c r="E30" s="18">
        <f>0.7*(-Electrico!$B$16*I29-Electrico!$B$17*H29-Electrico!$B$10*K29-Electrico!$B$11*J29)+0.3*E29</f>
        <v>-199.88712820708668</v>
      </c>
      <c r="F30" s="18">
        <f>0.7*(Electrico!$B$18-Electrico!$B$16*H29+Electrico!$B$17*I29-Electrico!$B$10*J29+Electrico!$B$11*K29-Electrico!$B$16*L29+Electrico!$B$17*M29)+0.3*F29</f>
        <v>5623.4746074322338</v>
      </c>
      <c r="G30" s="18">
        <f>0.7*(-Electrico!$B$16*I29-Electrico!$B$17*H29-Electrico!$B$10*K29-Electrico!$B$11*J29-Electrico!$B$16*M29-Electrico!$B$17*L29)+0.3*G29</f>
        <v>-401.28662880862083</v>
      </c>
      <c r="H30" s="18">
        <f>J30+(Parametros!$E$33*1000*B30+Parametros!$E$34*1000*C30)/(3*(B30^2+C30^2))</f>
        <v>9.8053953559064873</v>
      </c>
      <c r="I30" s="18">
        <f>K30+(Parametros!$E$33*1000*C30-Parametros!$E$34*1000*B30)/(3*(B30^2+C30^2))</f>
        <v>-5.9066780174655396</v>
      </c>
      <c r="J30" s="18">
        <f>L30+(Parametros!$E$33*1000*D30+Parametros!$E$34*1000*E30)/(3*(D30^2+E30^2))</f>
        <v>9.7847389010427523</v>
      </c>
      <c r="K30" s="18">
        <f>M30+(Parametros!$E$33*1000*E30-Parametros!$E$34*1000*D30)/(3*(D30^2+E30^2))</f>
        <v>-5.7641236956319473</v>
      </c>
      <c r="L30" s="18">
        <f>(Demanda!$G$21*1000*F30+Demanda!$G$24*1000*G30)/(3*(F30^2+G30^2))</f>
        <v>9.7638638521590053</v>
      </c>
      <c r="M30" s="18">
        <f>(Demanda!$G$21*1000*G30-Demanda!$G$24*1000*F30)/(3*(F30^2+G30^2))</f>
        <v>-5.619822329125971</v>
      </c>
      <c r="N30" s="18">
        <f>SQRT(F30^2+G30^2)*SQRT(3)*Parametros!$E$29/(Parametros!$E$27*1000)</f>
        <v>371.06662971096733</v>
      </c>
      <c r="O30" s="18">
        <f t="shared" si="0"/>
        <v>11.356330276111427</v>
      </c>
      <c r="P30" s="18">
        <f>3*O30^2*Electrico!$B$10/1000</f>
        <v>2.1018539745099862</v>
      </c>
      <c r="Q30" s="18">
        <f t="shared" si="1"/>
        <v>1.240923666046001E-7</v>
      </c>
    </row>
    <row r="31" spans="1:17" ht="21" customHeight="1">
      <c r="A31" s="1">
        <v>24</v>
      </c>
      <c r="B31" s="18">
        <f>0.7*(Electrico!$B$18-Electrico!$B$16*H30+Electrico!$B$17*I30)+0.3*B30</f>
        <v>5874.8431973939532</v>
      </c>
      <c r="C31" s="18">
        <f>0.7*(-Electrico!$B$16*I30-Electrico!$B$17*H30)+0.3*C30</f>
        <v>-200.95193392903803</v>
      </c>
      <c r="D31" s="18">
        <f>0.7*(Electrico!$B$18-Electrico!$B$16*H30+Electrico!$B$17*I30-Electrico!$B$10*J30+Electrico!$B$11*K30)+0.3*D30</f>
        <v>5803.8673311347675</v>
      </c>
      <c r="E31" s="18">
        <f>0.7*(-Electrico!$B$16*I30-Electrico!$B$17*H30-Electrico!$B$10*K30-Electrico!$B$11*J30)+0.3*E30</f>
        <v>-199.88712821396769</v>
      </c>
      <c r="F31" s="18">
        <f>0.7*(Electrico!$B$18-Electrico!$B$16*H30+Electrico!$B$17*I30-Electrico!$B$10*J30+Electrico!$B$11*K30-Electrico!$B$16*L30+Electrico!$B$17*M30)+0.3*F30</f>
        <v>5623.4746073858814</v>
      </c>
      <c r="G31" s="18">
        <f>0.7*(-Electrico!$B$16*I30-Electrico!$B$17*H30-Electrico!$B$10*K30-Electrico!$B$11*J30-Electrico!$B$16*M30-Electrico!$B$17*L30)+0.3*G30</f>
        <v>-401.28662882488487</v>
      </c>
      <c r="H31" s="18">
        <f>J31+(Parametros!$E$33*1000*B31+Parametros!$E$34*1000*C31)/(3*(B31^2+C31^2))</f>
        <v>9.805395355964821</v>
      </c>
      <c r="I31" s="18">
        <f>K31+(Parametros!$E$33*1000*C31-Parametros!$E$34*1000*B31)/(3*(B31^2+C31^2))</f>
        <v>-5.9066780175454765</v>
      </c>
      <c r="J31" s="18">
        <f>L31+(Parametros!$E$33*1000*D31+Parametros!$E$34*1000*E31)/(3*(D31^2+E31^2))</f>
        <v>9.7847389011012567</v>
      </c>
      <c r="K31" s="18">
        <f>M31+(Parametros!$E$33*1000*E31-Parametros!$E$34*1000*D31)/(3*(D31^2+E31^2))</f>
        <v>-5.7641236957113575</v>
      </c>
      <c r="L31" s="18">
        <f>(Demanda!$G$21*1000*F31+Demanda!$G$24*1000*G31)/(3*(F31^2+G31^2))</f>
        <v>9.7638638522176109</v>
      </c>
      <c r="M31" s="18">
        <f>(Demanda!$G$21*1000*G31-Demanda!$G$24*1000*F31)/(3*(F31^2+G31^2))</f>
        <v>-5.6198223292047143</v>
      </c>
      <c r="N31" s="18">
        <f>SQRT(F31^2+G31^2)*SQRT(3)*Parametros!$E$29/(Parametros!$E$27*1000)</f>
        <v>371.06662970800051</v>
      </c>
      <c r="O31" s="18">
        <f t="shared" si="0"/>
        <v>11.35633027620214</v>
      </c>
      <c r="P31" s="18">
        <f>3*O31^2*Electrico!$B$10/1000</f>
        <v>2.1018539745435647</v>
      </c>
      <c r="Q31" s="18">
        <f t="shared" si="1"/>
        <v>4.6352397475857288E-8</v>
      </c>
    </row>
    <row r="32" spans="1:17" ht="21" customHeight="1">
      <c r="A32" s="1">
        <v>25</v>
      </c>
      <c r="B32" s="18">
        <f>0.7*(Electrico!$B$18-Electrico!$B$16*H31+Electrico!$B$17*I31)+0.3*B31</f>
        <v>5874.8431973862498</v>
      </c>
      <c r="C32" s="18">
        <f>0.7*(-Electrico!$B$16*I31-Electrico!$B$17*H31)+0.3*C31</f>
        <v>-200.95193393249909</v>
      </c>
      <c r="D32" s="18">
        <f>0.7*(Electrico!$B$18-Electrico!$B$16*H31+Electrico!$B$17*I31-Electrico!$B$10*J31+Electrico!$B$11*K31)+0.3*D31</f>
        <v>5803.8673311250604</v>
      </c>
      <c r="E32" s="18">
        <f>0.7*(-Electrico!$B$16*I31-Electrico!$B$17*H31-Electrico!$B$10*K31-Electrico!$B$11*J31)+0.3*E31</f>
        <v>-199.88712821653792</v>
      </c>
      <c r="F32" s="18">
        <f>0.7*(Electrico!$B$18-Electrico!$B$16*H31+Electrico!$B$17*I31-Electrico!$B$10*J31+Electrico!$B$11*K31-Electrico!$B$16*L31+Electrico!$B$17*M31)+0.3*F31</f>
        <v>5623.4746073685665</v>
      </c>
      <c r="G32" s="18">
        <f>0.7*(-Electrico!$B$16*I31-Electrico!$B$17*H31-Electrico!$B$10*K31-Electrico!$B$11*J31-Electrico!$B$16*M31-Electrico!$B$17*L31)+0.3*G31</f>
        <v>-401.28662883095996</v>
      </c>
      <c r="H32" s="18">
        <f>J32+(Parametros!$E$33*1000*B32+Parametros!$E$34*1000*C32)/(3*(B32^2+C32^2))</f>
        <v>9.8053953559866169</v>
      </c>
      <c r="I32" s="18">
        <f>K32+(Parametros!$E$33*1000*C32-Parametros!$E$34*1000*B32)/(3*(B32^2+C32^2))</f>
        <v>-5.9066780175753379</v>
      </c>
      <c r="J32" s="18">
        <f>L32+(Parametros!$E$33*1000*D32+Parametros!$E$34*1000*E32)/(3*(D32^2+E32^2))</f>
        <v>9.7847389011231147</v>
      </c>
      <c r="K32" s="18">
        <f>M32+(Parametros!$E$33*1000*E32-Parametros!$E$34*1000*D32)/(3*(D32^2+E32^2))</f>
        <v>-5.7641236957410218</v>
      </c>
      <c r="L32" s="18">
        <f>(Demanda!$G$21*1000*F32+Demanda!$G$24*1000*G32)/(3*(F32^2+G32^2))</f>
        <v>9.7638638522395063</v>
      </c>
      <c r="M32" s="18">
        <f>(Demanda!$G$21*1000*G32-Demanda!$G$24*1000*F32)/(3*(F32^2+G32^2))</f>
        <v>-5.6198223292341289</v>
      </c>
      <c r="N32" s="18">
        <f>SQRT(F32^2+G32^2)*SQRT(3)*Parametros!$E$29/(Parametros!$E$27*1000)</f>
        <v>371.06662970689223</v>
      </c>
      <c r="O32" s="18">
        <f t="shared" si="0"/>
        <v>11.356330276236029</v>
      </c>
      <c r="P32" s="18">
        <f>3*O32^2*Electrico!$B$10/1000</f>
        <v>2.1018539745561093</v>
      </c>
      <c r="Q32" s="18">
        <f t="shared" si="1"/>
        <v>1.7314960132353008E-8</v>
      </c>
    </row>
    <row r="33" spans="1:17" ht="21" customHeight="1">
      <c r="A33" s="1">
        <v>26</v>
      </c>
      <c r="B33" s="18">
        <f>0.7*(Electrico!$B$18-Electrico!$B$16*H32+Electrico!$B$17*I32)+0.3*B32</f>
        <v>5874.8431973833731</v>
      </c>
      <c r="C33" s="18">
        <f>0.7*(-Electrico!$B$16*I32-Electrico!$B$17*H32)+0.3*C32</f>
        <v>-200.95193393379202</v>
      </c>
      <c r="D33" s="18">
        <f>0.7*(Electrico!$B$18-Electrico!$B$16*H32+Electrico!$B$17*I32-Electrico!$B$10*J32+Electrico!$B$11*K32)+0.3*D32</f>
        <v>5803.8673311214352</v>
      </c>
      <c r="E33" s="18">
        <f>0.7*(-Electrico!$B$16*I32-Electrico!$B$17*H32-Electrico!$B$10*K32-Electrico!$B$11*J32)+0.3*E32</f>
        <v>-199.88712821749812</v>
      </c>
      <c r="F33" s="18">
        <f>0.7*(Electrico!$B$18-Electrico!$B$16*H32+Electrico!$B$17*I32-Electrico!$B$10*J32+Electrico!$B$11*K32-Electrico!$B$16*L32+Electrico!$B$17*M32)+0.3*F32</f>
        <v>5623.4746073621</v>
      </c>
      <c r="G33" s="18">
        <f>0.7*(-Electrico!$B$16*I32-Electrico!$B$17*H32-Electrico!$B$10*K32-Electrico!$B$11*J32-Electrico!$B$16*M32-Electrico!$B$17*L32)+0.3*G32</f>
        <v>-401.28662883322932</v>
      </c>
      <c r="H33" s="18">
        <f>J33+(Parametros!$E$33*1000*B33+Parametros!$E$34*1000*C33)/(3*(B33^2+C33^2))</f>
        <v>9.8053953559947526</v>
      </c>
      <c r="I33" s="18">
        <f>K33+(Parametros!$E$33*1000*C33-Parametros!$E$34*1000*B33)/(3*(B33^2+C33^2))</f>
        <v>-5.906678017586489</v>
      </c>
      <c r="J33" s="18">
        <f>L33+(Parametros!$E$33*1000*D33+Parametros!$E$34*1000*E33)/(3*(D33^2+E33^2))</f>
        <v>9.7847389011312753</v>
      </c>
      <c r="K33" s="18">
        <f>M33+(Parametros!$E$33*1000*E33-Parametros!$E$34*1000*D33)/(3*(D33^2+E33^2))</f>
        <v>-5.7641236957520992</v>
      </c>
      <c r="L33" s="18">
        <f>(Demanda!$G$21*1000*F33+Demanda!$G$24*1000*G33)/(3*(F33^2+G33^2))</f>
        <v>9.7638638522476811</v>
      </c>
      <c r="M33" s="18">
        <f>(Demanda!$G$21*1000*G33-Demanda!$G$24*1000*F33)/(3*(F33^2+G33^2))</f>
        <v>-5.6198223292451139</v>
      </c>
      <c r="N33" s="18">
        <f>SQRT(F33^2+G33^2)*SQRT(3)*Parametros!$E$29/(Parametros!$E$27*1000)</f>
        <v>371.0666297064783</v>
      </c>
      <c r="O33" s="18">
        <f t="shared" si="0"/>
        <v>11.356330276248684</v>
      </c>
      <c r="P33" s="18">
        <f>3*O33^2*Electrico!$B$10/1000</f>
        <v>2.101853974560794</v>
      </c>
      <c r="Q33" s="18">
        <f t="shared" si="1"/>
        <v>6.4665073296055198E-9</v>
      </c>
    </row>
    <row r="34" spans="1:17" ht="21" customHeight="1">
      <c r="A34" s="1">
        <v>27</v>
      </c>
      <c r="B34" s="18">
        <f>0.7*(Electrico!$B$18-Electrico!$B$16*H33+Electrico!$B$17*I33)+0.3*B33</f>
        <v>5874.8431973822981</v>
      </c>
      <c r="C34" s="18">
        <f>0.7*(-Electrico!$B$16*I33-Electrico!$B$17*H33)+0.3*C33</f>
        <v>-200.95193393427485</v>
      </c>
      <c r="D34" s="18">
        <f>0.7*(Electrico!$B$18-Electrico!$B$16*H33+Electrico!$B$17*I33-Electrico!$B$10*J33+Electrico!$B$11*K33)+0.3*D33</f>
        <v>5803.8673311200801</v>
      </c>
      <c r="E34" s="18">
        <f>0.7*(-Electrico!$B$16*I33-Electrico!$B$17*H33-Electrico!$B$10*K33-Electrico!$B$11*J33)+0.3*E33</f>
        <v>-199.88712821785668</v>
      </c>
      <c r="F34" s="18">
        <f>0.7*(Electrico!$B$18-Electrico!$B$16*H33+Electrico!$B$17*I33-Electrico!$B$10*J33+Electrico!$B$11*K33-Electrico!$B$16*L33+Electrico!$B$17*M33)+0.3*F33</f>
        <v>5623.4746073596834</v>
      </c>
      <c r="G34" s="18">
        <f>0.7*(-Electrico!$B$16*I33-Electrico!$B$17*H33-Electrico!$B$10*K33-Electrico!$B$11*J33-Electrico!$B$16*M33-Electrico!$B$17*L33)+0.3*G33</f>
        <v>-401.28662883407691</v>
      </c>
      <c r="H34" s="18">
        <f>J34+(Parametros!$E$33*1000*B34+Parametros!$E$34*1000*C34)/(3*(B34^2+C34^2))</f>
        <v>9.8053953559977955</v>
      </c>
      <c r="I34" s="18">
        <f>K34+(Parametros!$E$33*1000*C34-Parametros!$E$34*1000*B34)/(3*(B34^2+C34^2))</f>
        <v>-5.9066780175906572</v>
      </c>
      <c r="J34" s="18">
        <f>L34+(Parametros!$E$33*1000*D34+Parametros!$E$34*1000*E34)/(3*(D34^2+E34^2))</f>
        <v>9.7847389011343271</v>
      </c>
      <c r="K34" s="18">
        <f>M34+(Parametros!$E$33*1000*E34-Parametros!$E$34*1000*D34)/(3*(D34^2+E34^2))</f>
        <v>-5.7641236957562398</v>
      </c>
      <c r="L34" s="18">
        <f>(Demanda!$G$21*1000*F34+Demanda!$G$24*1000*G34)/(3*(F34^2+G34^2))</f>
        <v>9.7638638522507382</v>
      </c>
      <c r="M34" s="18">
        <f>(Demanda!$G$21*1000*G34-Demanda!$G$24*1000*F34)/(3*(F34^2+G34^2))</f>
        <v>-5.6198223292492191</v>
      </c>
      <c r="N34" s="18">
        <f>SQRT(F34^2+G34^2)*SQRT(3)*Parametros!$E$29/(Parametros!$E$27*1000)</f>
        <v>371.06662970632362</v>
      </c>
      <c r="O34" s="18">
        <f t="shared" si="0"/>
        <v>11.356330276253415</v>
      </c>
      <c r="P34" s="18">
        <f>3*O34^2*Electrico!$B$10/1000</f>
        <v>2.1018539745625451</v>
      </c>
      <c r="Q34" s="18">
        <f t="shared" si="1"/>
        <v>2.4165274226106703E-9</v>
      </c>
    </row>
    <row r="35" spans="1:17" ht="21" customHeight="1">
      <c r="A35" s="1">
        <v>28</v>
      </c>
      <c r="B35" s="18">
        <f>0.7*(Electrico!$B$18-Electrico!$B$16*H34+Electrico!$B$17*I34)+0.3*B34</f>
        <v>5874.8431973818961</v>
      </c>
      <c r="C35" s="18">
        <f>0.7*(-Electrico!$B$16*I34-Electrico!$B$17*H34)+0.3*C34</f>
        <v>-200.95193393445527</v>
      </c>
      <c r="D35" s="18">
        <f>0.7*(Electrico!$B$18-Electrico!$B$16*H34+Electrico!$B$17*I34-Electrico!$B$10*J34+Electrico!$B$11*K34)+0.3*D34</f>
        <v>5803.8673311195744</v>
      </c>
      <c r="E35" s="18">
        <f>0.7*(-Electrico!$B$16*I34-Electrico!$B$17*H34-Electrico!$B$10*K34-Electrico!$B$11*J34)+0.3*E34</f>
        <v>-199.88712821799064</v>
      </c>
      <c r="F35" s="18">
        <f>0.7*(Electrico!$B$18-Electrico!$B$16*H34+Electrico!$B$17*I34-Electrico!$B$10*J34+Electrico!$B$11*K34-Electrico!$B$16*L34+Electrico!$B$17*M34)+0.3*F34</f>
        <v>5623.4746073587812</v>
      </c>
      <c r="G35" s="18">
        <f>0.7*(-Electrico!$B$16*I34-Electrico!$B$17*H34-Electrico!$B$10*K34-Electrico!$B$11*J34-Electrico!$B$16*M34-Electrico!$B$17*L34)+0.3*G34</f>
        <v>-401.28662883439358</v>
      </c>
      <c r="H35" s="18">
        <f>J35+(Parametros!$E$33*1000*B35+Parametros!$E$34*1000*C35)/(3*(B35^2+C35^2))</f>
        <v>9.8053953559989306</v>
      </c>
      <c r="I35" s="18">
        <f>K35+(Parametros!$E$33*1000*C35-Parametros!$E$34*1000*B35)/(3*(B35^2+C35^2))</f>
        <v>-5.9066780175922124</v>
      </c>
      <c r="J35" s="18">
        <f>L35+(Parametros!$E$33*1000*D35+Parametros!$E$34*1000*E35)/(3*(D35^2+E35^2))</f>
        <v>9.7847389011354657</v>
      </c>
      <c r="K35" s="18">
        <f>M35+(Parametros!$E$33*1000*E35-Parametros!$E$34*1000*D35)/(3*(D35^2+E35^2))</f>
        <v>-5.7641236957577853</v>
      </c>
      <c r="L35" s="18">
        <f>(Demanda!$G$21*1000*F35+Demanda!$G$24*1000*G35)/(3*(F35^2+G35^2))</f>
        <v>9.7638638522518786</v>
      </c>
      <c r="M35" s="18">
        <f>(Demanda!$G$21*1000*G35-Demanda!$G$24*1000*F35)/(3*(F35^2+G35^2))</f>
        <v>-5.6198223292507521</v>
      </c>
      <c r="N35" s="18">
        <f>SQRT(F35^2+G35^2)*SQRT(3)*Parametros!$E$29/(Parametros!$E$27*1000)</f>
        <v>371.06662970626593</v>
      </c>
      <c r="O35" s="18">
        <f t="shared" si="0"/>
        <v>11.35633027625518</v>
      </c>
      <c r="P35" s="18">
        <f>3*O35^2*Electrico!$B$10/1000</f>
        <v>2.1018539745631983</v>
      </c>
      <c r="Q35" s="18">
        <f t="shared" si="1"/>
        <v>9.0221874415874481E-10</v>
      </c>
    </row>
    <row r="36" spans="1:17" ht="21" customHeight="1">
      <c r="A36" s="1">
        <v>29</v>
      </c>
      <c r="B36" s="18">
        <f>0.7*(Electrico!$B$18-Electrico!$B$16*H35+Electrico!$B$17*I35)+0.3*B35</f>
        <v>5874.843197381746</v>
      </c>
      <c r="C36" s="18">
        <f>0.7*(-Electrico!$B$16*I35-Electrico!$B$17*H35)+0.3*C35</f>
        <v>-200.95193393452266</v>
      </c>
      <c r="D36" s="18">
        <f>0.7*(Electrico!$B$18-Electrico!$B$16*H35+Electrico!$B$17*I35-Electrico!$B$10*J35+Electrico!$B$11*K35)+0.3*D35</f>
        <v>5803.8673311193852</v>
      </c>
      <c r="E36" s="18">
        <f>0.7*(-Electrico!$B$16*I35-Electrico!$B$17*H35-Electrico!$B$10*K35-Electrico!$B$11*J35)+0.3*E35</f>
        <v>-199.88712821804071</v>
      </c>
      <c r="F36" s="18">
        <f>0.7*(Electrico!$B$18-Electrico!$B$16*H35+Electrico!$B$17*I35-Electrico!$B$10*J35+Electrico!$B$11*K35-Electrico!$B$16*L35+Electrico!$B$17*M35)+0.3*F35</f>
        <v>5623.4746073584438</v>
      </c>
      <c r="G36" s="18">
        <f>0.7*(-Electrico!$B$16*I35-Electrico!$B$17*H35-Electrico!$B$10*K35-Electrico!$B$11*J35-Electrico!$B$16*M35-Electrico!$B$17*L35)+0.3*G35</f>
        <v>-401.28662883451182</v>
      </c>
      <c r="H36" s="18">
        <f>J36+(Parametros!$E$33*1000*B36+Parametros!$E$34*1000*C36)/(3*(B36^2+C36^2))</f>
        <v>9.805395355999357</v>
      </c>
      <c r="I36" s="18">
        <f>K36+(Parametros!$E$33*1000*C36-Parametros!$E$34*1000*B36)/(3*(B36^2+C36^2))</f>
        <v>-5.9066780175927942</v>
      </c>
      <c r="J36" s="18">
        <f>L36+(Parametros!$E$33*1000*D36+Parametros!$E$34*1000*E36)/(3*(D36^2+E36^2))</f>
        <v>9.7847389011358921</v>
      </c>
      <c r="K36" s="18">
        <f>M36+(Parametros!$E$33*1000*E36-Parametros!$E$34*1000*D36)/(3*(D36^2+E36^2))</f>
        <v>-5.7641236957583626</v>
      </c>
      <c r="L36" s="18">
        <f>(Demanda!$G$21*1000*F36+Demanda!$G$24*1000*G36)/(3*(F36^2+G36^2))</f>
        <v>9.7638638522523049</v>
      </c>
      <c r="M36" s="18">
        <f>(Demanda!$G$21*1000*G36-Demanda!$G$24*1000*F36)/(3*(F36^2+G36^2))</f>
        <v>-5.6198223292513241</v>
      </c>
      <c r="N36" s="18">
        <f>SQRT(F36^2+G36^2)*SQRT(3)*Parametros!$E$29/(Parametros!$E$27*1000)</f>
        <v>371.06662970624427</v>
      </c>
      <c r="O36" s="18">
        <f t="shared" si="0"/>
        <v>11.356330276255841</v>
      </c>
      <c r="P36" s="18">
        <f>3*O36^2*Electrico!$B$10/1000</f>
        <v>2.101853974563443</v>
      </c>
      <c r="Q36" s="18">
        <f t="shared" si="1"/>
        <v>3.3742253435775638E-10</v>
      </c>
    </row>
    <row r="37" spans="1:17" ht="21" customHeight="1">
      <c r="A37" s="1">
        <v>30</v>
      </c>
      <c r="B37" s="18">
        <f>0.7*(Electrico!$B$18-Electrico!$B$16*H36+Electrico!$B$17*I36)+0.3*B36</f>
        <v>5874.8431973816896</v>
      </c>
      <c r="C37" s="18">
        <f>0.7*(-Electrico!$B$16*I36-Electrico!$B$17*H36)+0.3*C36</f>
        <v>-200.95193393454784</v>
      </c>
      <c r="D37" s="18">
        <f>0.7*(Electrico!$B$18-Electrico!$B$16*H36+Electrico!$B$17*I36-Electrico!$B$10*J36+Electrico!$B$11*K36)+0.3*D36</f>
        <v>5803.8673311193143</v>
      </c>
      <c r="E37" s="18">
        <f>0.7*(-Electrico!$B$16*I36-Electrico!$B$17*H36-Electrico!$B$10*K36-Electrico!$B$11*J36)+0.3*E36</f>
        <v>-199.88712821805944</v>
      </c>
      <c r="F37" s="18">
        <f>0.7*(Electrico!$B$18-Electrico!$B$16*H36+Electrico!$B$17*I36-Electrico!$B$10*J36+Electrico!$B$11*K36-Electrico!$B$16*L36+Electrico!$B$17*M36)+0.3*F36</f>
        <v>5623.4746073583174</v>
      </c>
      <c r="G37" s="18">
        <f>0.7*(-Electrico!$B$16*I36-Electrico!$B$17*H36-Electrico!$B$10*K36-Electrico!$B$11*J36-Electrico!$B$16*M36-Electrico!$B$17*L36)+0.3*G36</f>
        <v>-401.28662883455604</v>
      </c>
      <c r="H37" s="18">
        <f>J37+(Parametros!$E$33*1000*B37+Parametros!$E$34*1000*C37)/(3*(B37^2+C37^2))</f>
        <v>9.8053953559995133</v>
      </c>
      <c r="I37" s="18">
        <f>K37+(Parametros!$E$33*1000*C37-Parametros!$E$34*1000*B37)/(3*(B37^2+C37^2))</f>
        <v>-5.9066780175930118</v>
      </c>
      <c r="J37" s="18">
        <f>L37+(Parametros!$E$33*1000*D37+Parametros!$E$34*1000*E37)/(3*(D37^2+E37^2))</f>
        <v>9.7847389011360502</v>
      </c>
      <c r="K37" s="18">
        <f>M37+(Parametros!$E$33*1000*E37-Parametros!$E$34*1000*D37)/(3*(D37^2+E37^2))</f>
        <v>-5.7641236957585793</v>
      </c>
      <c r="L37" s="18">
        <f>(Demanda!$G$21*1000*F37+Demanda!$G$24*1000*G37)/(3*(F37^2+G37^2))</f>
        <v>9.763863852252463</v>
      </c>
      <c r="M37" s="18">
        <f>(Demanda!$G$21*1000*G37-Demanda!$G$24*1000*F37)/(3*(F37^2+G37^2))</f>
        <v>-5.619822329251539</v>
      </c>
      <c r="N37" s="18">
        <f>SQRT(F37^2+G37^2)*SQRT(3)*Parametros!$E$29/(Parametros!$E$27*1000)</f>
        <v>371.06662970623614</v>
      </c>
      <c r="O37" s="18">
        <f t="shared" si="0"/>
        <v>11.356330276256086</v>
      </c>
      <c r="P37" s="18">
        <f>3*O37^2*Electrico!$B$10/1000</f>
        <v>2.1018539745635336</v>
      </c>
      <c r="Q37" s="18">
        <f t="shared" si="1"/>
        <v>1.2641976354643703E-10</v>
      </c>
    </row>
    <row r="38" spans="1:17" ht="21" customHeight="1">
      <c r="A38" s="1">
        <v>31</v>
      </c>
      <c r="B38" s="18">
        <f>0.7*(Electrico!$B$18-Electrico!$B$16*H37+Electrico!$B$17*I37)+0.3*B37</f>
        <v>5874.8431973816696</v>
      </c>
      <c r="C38" s="18">
        <f>0.7*(-Electrico!$B$16*I37-Electrico!$B$17*H37)+0.3*C37</f>
        <v>-200.95193393455725</v>
      </c>
      <c r="D38" s="18">
        <f>0.7*(Electrico!$B$18-Electrico!$B$16*H37+Electrico!$B$17*I37-Electrico!$B$10*J37+Electrico!$B$11*K37)+0.3*D37</f>
        <v>5803.8673311192879</v>
      </c>
      <c r="E38" s="18">
        <f>0.7*(-Electrico!$B$16*I37-Electrico!$B$17*H37-Electrico!$B$10*K37-Electrico!$B$11*J37)+0.3*E37</f>
        <v>-199.88712821806638</v>
      </c>
      <c r="F38" s="18">
        <f>0.7*(Electrico!$B$18-Electrico!$B$16*H37+Electrico!$B$17*I37-Electrico!$B$10*J37+Electrico!$B$11*K37-Electrico!$B$16*L37+Electrico!$B$17*M37)+0.3*F37</f>
        <v>5623.4746073582701</v>
      </c>
      <c r="G38" s="18">
        <f>0.7*(-Electrico!$B$16*I37-Electrico!$B$17*H37-Electrico!$B$10*K37-Electrico!$B$11*J37-Electrico!$B$16*M37-Electrico!$B$17*L37)+0.3*G37</f>
        <v>-401.28662883457253</v>
      </c>
      <c r="H38" s="18">
        <f>J38+(Parametros!$E$33*1000*B38+Parametros!$E$34*1000*C38)/(3*(B38^2+C38^2))</f>
        <v>9.8053953559995755</v>
      </c>
      <c r="I38" s="18">
        <f>K38+(Parametros!$E$33*1000*C38-Parametros!$E$34*1000*B38)/(3*(B38^2+C38^2))</f>
        <v>-5.9066780175930935</v>
      </c>
      <c r="J38" s="18">
        <f>L38+(Parametros!$E$33*1000*D38+Parametros!$E$34*1000*E38)/(3*(D38^2+E38^2))</f>
        <v>9.7847389011361123</v>
      </c>
      <c r="K38" s="18">
        <f>M38+(Parametros!$E$33*1000*E38-Parametros!$E$34*1000*D38)/(3*(D38^2+E38^2))</f>
        <v>-5.7641236957586601</v>
      </c>
      <c r="L38" s="18">
        <f>(Demanda!$G$21*1000*F38+Demanda!$G$24*1000*G38)/(3*(F38^2+G38^2))</f>
        <v>9.7638638522525252</v>
      </c>
      <c r="M38" s="18">
        <f>(Demanda!$G$21*1000*G38-Demanda!$G$24*1000*F38)/(3*(F38^2+G38^2))</f>
        <v>-5.619822329251619</v>
      </c>
      <c r="N38" s="18">
        <f>SQRT(F38^2+G38^2)*SQRT(3)*Parametros!$E$29/(Parametros!$E$27*1000)</f>
        <v>371.06662970623313</v>
      </c>
      <c r="O38" s="18">
        <f t="shared" si="0"/>
        <v>11.356330276256182</v>
      </c>
      <c r="P38" s="18">
        <f>3*O38^2*Electrico!$B$10/1000</f>
        <v>2.1018539745635696</v>
      </c>
      <c r="Q38" s="18">
        <f t="shared" si="1"/>
        <v>4.7293724492192268E-11</v>
      </c>
    </row>
    <row r="39" spans="1:17" ht="21" customHeight="1">
      <c r="A39" s="1">
        <v>32</v>
      </c>
      <c r="B39" s="18">
        <f>0.7*(Electrico!$B$18-Electrico!$B$16*H38+Electrico!$B$17*I38)+0.3*B38</f>
        <v>5874.8431973816614</v>
      </c>
      <c r="C39" s="18">
        <f>0.7*(-Electrico!$B$16*I38-Electrico!$B$17*H38)+0.3*C38</f>
        <v>-200.9519339345608</v>
      </c>
      <c r="D39" s="18">
        <f>0.7*(Electrico!$B$18-Electrico!$B$16*H38+Electrico!$B$17*I38-Electrico!$B$10*J38+Electrico!$B$11*K38)+0.3*D38</f>
        <v>5803.8673311192788</v>
      </c>
      <c r="E39" s="18">
        <f>0.7*(-Electrico!$B$16*I38-Electrico!$B$17*H38-Electrico!$B$10*K38-Electrico!$B$11*J38)+0.3*E38</f>
        <v>-199.88712821806902</v>
      </c>
      <c r="F39" s="18">
        <f>0.7*(Electrico!$B$18-Electrico!$B$16*H38+Electrico!$B$17*I38-Electrico!$B$10*J38+Electrico!$B$11*K38-Electrico!$B$16*L38+Electrico!$B$17*M38)+0.3*F38</f>
        <v>5623.4746073582537</v>
      </c>
      <c r="G39" s="18">
        <f>0.7*(-Electrico!$B$16*I38-Electrico!$B$17*H38-Electrico!$B$10*K38-Electrico!$B$11*J38-Electrico!$B$16*M38-Electrico!$B$17*L38)+0.3*G38</f>
        <v>-401.28662883457878</v>
      </c>
      <c r="H39" s="18">
        <f>J39+(Parametros!$E$33*1000*B39+Parametros!$E$34*1000*C39)/(3*(B39^2+C39^2))</f>
        <v>9.805395355999595</v>
      </c>
      <c r="I39" s="18">
        <f>K39+(Parametros!$E$33*1000*C39-Parametros!$E$34*1000*B39)/(3*(B39^2+C39^2))</f>
        <v>-5.9066780175931228</v>
      </c>
      <c r="J39" s="18">
        <f>L39+(Parametros!$E$33*1000*D39+Parametros!$E$34*1000*E39)/(3*(D39^2+E39^2))</f>
        <v>9.7847389011361319</v>
      </c>
      <c r="K39" s="18">
        <f>M39+(Parametros!$E$33*1000*E39-Parametros!$E$34*1000*D39)/(3*(D39^2+E39^2))</f>
        <v>-5.7641236957586894</v>
      </c>
      <c r="L39" s="18">
        <f>(Demanda!$G$21*1000*F39+Demanda!$G$24*1000*G39)/(3*(F39^2+G39^2))</f>
        <v>9.7638638522525447</v>
      </c>
      <c r="M39" s="18">
        <f>(Demanda!$G$21*1000*G39-Demanda!$G$24*1000*F39)/(3*(F39^2+G39^2))</f>
        <v>-5.6198223292516483</v>
      </c>
      <c r="N39" s="18">
        <f>SQRT(F39^2+G39^2)*SQRT(3)*Parametros!$E$29/(Parametros!$E$27*1000)</f>
        <v>371.06662970623211</v>
      </c>
      <c r="O39" s="18">
        <f t="shared" ref="O39:O66" si="2">SQRT(J39^2+K39^2)</f>
        <v>11.356330276256214</v>
      </c>
      <c r="P39" s="18">
        <f>3*O39^2*Electrico!$B$10/1000</f>
        <v>2.1018539745635811</v>
      </c>
      <c r="Q39" s="18">
        <f t="shared" si="1"/>
        <v>1.6370904631912708E-11</v>
      </c>
    </row>
    <row r="40" spans="1:17" ht="21" customHeight="1">
      <c r="A40" s="1">
        <v>33</v>
      </c>
      <c r="B40" s="18">
        <f>0.7*(Electrico!$B$18-Electrico!$B$16*H39+Electrico!$B$17*I39)+0.3*B39</f>
        <v>5874.8431973816587</v>
      </c>
      <c r="C40" s="18">
        <f>0.7*(-Electrico!$B$16*I39-Electrico!$B$17*H39)+0.3*C39</f>
        <v>-200.95193393456208</v>
      </c>
      <c r="D40" s="18">
        <f>0.7*(Electrico!$B$18-Electrico!$B$16*H39+Electrico!$B$17*I39-Electrico!$B$10*J39+Electrico!$B$11*K39)+0.3*D39</f>
        <v>5803.8673311192751</v>
      </c>
      <c r="E40" s="18">
        <f>0.7*(-Electrico!$B$16*I39-Electrico!$B$17*H39-Electrico!$B$10*K39-Electrico!$B$11*J39)+0.3*E39</f>
        <v>-199.88712821806999</v>
      </c>
      <c r="F40" s="18">
        <f>0.7*(Electrico!$B$18-Electrico!$B$16*H39+Electrico!$B$17*I39-Electrico!$B$10*J39+Electrico!$B$11*K39-Electrico!$B$16*L39+Electrico!$B$17*M39)+0.3*F39</f>
        <v>5623.4746073582473</v>
      </c>
      <c r="G40" s="18">
        <f>0.7*(-Electrico!$B$16*I39-Electrico!$B$17*H39-Electrico!$B$10*K39-Electrico!$B$11*J39-Electrico!$B$16*M39-Electrico!$B$17*L39)+0.3*G39</f>
        <v>-401.28662883458105</v>
      </c>
      <c r="H40" s="18">
        <f>J40+(Parametros!$E$33*1000*B40+Parametros!$E$34*1000*C40)/(3*(B40^2+C40^2))</f>
        <v>9.8053953559996039</v>
      </c>
      <c r="I40" s="18">
        <f>K40+(Parametros!$E$33*1000*C40-Parametros!$E$34*1000*B40)/(3*(B40^2+C40^2))</f>
        <v>-5.9066780175931335</v>
      </c>
      <c r="J40" s="18">
        <f>L40+(Parametros!$E$33*1000*D40+Parametros!$E$34*1000*E40)/(3*(D40^2+E40^2))</f>
        <v>9.7847389011361408</v>
      </c>
      <c r="K40" s="18">
        <f>M40+(Parametros!$E$33*1000*E40-Parametros!$E$34*1000*D40)/(3*(D40^2+E40^2))</f>
        <v>-5.7641236957587001</v>
      </c>
      <c r="L40" s="18">
        <f>(Demanda!$G$21*1000*F40+Demanda!$G$24*1000*G40)/(3*(F40^2+G40^2))</f>
        <v>9.7638638522525536</v>
      </c>
      <c r="M40" s="18">
        <f>(Demanda!$G$21*1000*G40-Demanda!$G$24*1000*F40)/(3*(F40^2+G40^2))</f>
        <v>-5.6198223292516589</v>
      </c>
      <c r="N40" s="18">
        <f>SQRT(F40^2+G40^2)*SQRT(3)*Parametros!$E$29/(Parametros!$E$27*1000)</f>
        <v>371.06662970623171</v>
      </c>
      <c r="O40" s="18">
        <f t="shared" si="2"/>
        <v>11.356330276256227</v>
      </c>
      <c r="P40" s="18">
        <f>3*O40^2*Electrico!$B$10/1000</f>
        <v>2.101853974563586</v>
      </c>
      <c r="Q40" s="18">
        <f t="shared" ref="Q40:Q66" si="3">MAX(ABS(B40-B39),ABS(C40-C39),ABS(D40-D39),ABS(E40-E39),ABS(F40-F39),ABS(G40-G39))</f>
        <v>6.3664629124104977E-12</v>
      </c>
    </row>
    <row r="41" spans="1:17" ht="21" customHeight="1">
      <c r="A41" s="1">
        <v>34</v>
      </c>
      <c r="B41" s="18">
        <f>0.7*(Electrico!$B$18-Electrico!$B$16*H40+Electrico!$B$17*I40)+0.3*B40</f>
        <v>5874.8431973816578</v>
      </c>
      <c r="C41" s="18">
        <f>0.7*(-Electrico!$B$16*I40-Electrico!$B$17*H40)+0.3*C40</f>
        <v>-200.95193393456256</v>
      </c>
      <c r="D41" s="18">
        <f>0.7*(Electrico!$B$18-Electrico!$B$16*H40+Electrico!$B$17*I40-Electrico!$B$10*J40+Electrico!$B$11*K40)+0.3*D40</f>
        <v>5803.8673311192742</v>
      </c>
      <c r="E41" s="18">
        <f>0.7*(-Electrico!$B$16*I40-Electrico!$B$17*H40-Electrico!$B$10*K40-Electrico!$B$11*J40)+0.3*E40</f>
        <v>-199.88712821807036</v>
      </c>
      <c r="F41" s="18">
        <f>0.7*(Electrico!$B$18-Electrico!$B$16*H40+Electrico!$B$17*I40-Electrico!$B$10*J40+Electrico!$B$11*K40-Electrico!$B$16*L40+Electrico!$B$17*M40)+0.3*F40</f>
        <v>5623.4746073582455</v>
      </c>
      <c r="G41" s="18">
        <f>0.7*(-Electrico!$B$16*I40-Electrico!$B$17*H40-Electrico!$B$10*K40-Electrico!$B$11*J40-Electrico!$B$16*M40-Electrico!$B$17*L40)+0.3*G40</f>
        <v>-401.2866288345819</v>
      </c>
      <c r="H41" s="18">
        <f>J41+(Parametros!$E$33*1000*B41+Parametros!$E$34*1000*C41)/(3*(B41^2+C41^2))</f>
        <v>9.8053953559996057</v>
      </c>
      <c r="I41" s="18">
        <f>K41+(Parametros!$E$33*1000*C41-Parametros!$E$34*1000*B41)/(3*(B41^2+C41^2))</f>
        <v>-5.906678017593137</v>
      </c>
      <c r="J41" s="18">
        <f>L41+(Parametros!$E$33*1000*D41+Parametros!$E$34*1000*E41)/(3*(D41^2+E41^2))</f>
        <v>9.7847389011361425</v>
      </c>
      <c r="K41" s="18">
        <f>M41+(Parametros!$E$33*1000*E41-Parametros!$E$34*1000*D41)/(3*(D41^2+E41^2))</f>
        <v>-5.7641236957587036</v>
      </c>
      <c r="L41" s="18">
        <f>(Demanda!$G$21*1000*F41+Demanda!$G$24*1000*G41)/(3*(F41^2+G41^2))</f>
        <v>9.7638638522525554</v>
      </c>
      <c r="M41" s="18">
        <f>(Demanda!$G$21*1000*G41-Demanda!$G$24*1000*F41)/(3*(F41^2+G41^2))</f>
        <v>-5.6198223292516625</v>
      </c>
      <c r="N41" s="18">
        <f>SQRT(F41^2+G41^2)*SQRT(3)*Parametros!$E$29/(Parametros!$E$27*1000)</f>
        <v>371.06662970623154</v>
      </c>
      <c r="O41" s="18">
        <f t="shared" si="2"/>
        <v>11.35633027625623</v>
      </c>
      <c r="P41" s="18">
        <f>3*O41^2*Electrico!$B$10/1000</f>
        <v>2.1018539745635865</v>
      </c>
      <c r="Q41" s="18">
        <f t="shared" si="3"/>
        <v>1.8189894035458565E-12</v>
      </c>
    </row>
    <row r="42" spans="1:17" ht="21" customHeight="1">
      <c r="A42" s="1">
        <v>35</v>
      </c>
      <c r="B42" s="18">
        <f>0.7*(Electrico!$B$18-Electrico!$B$16*H41+Electrico!$B$17*I41)+0.3*B41</f>
        <v>5874.8431973816569</v>
      </c>
      <c r="C42" s="18">
        <f>0.7*(-Electrico!$B$16*I41-Electrico!$B$17*H41)+0.3*C41</f>
        <v>-200.9519339345627</v>
      </c>
      <c r="D42" s="18">
        <f>0.7*(Electrico!$B$18-Electrico!$B$16*H41+Electrico!$B$17*I41-Electrico!$B$10*J41+Electrico!$B$11*K41)+0.3*D41</f>
        <v>5803.8673311192733</v>
      </c>
      <c r="E42" s="18">
        <f>0.7*(-Electrico!$B$16*I41-Electrico!$B$17*H41-Electrico!$B$10*K41-Electrico!$B$11*J41)+0.3*E41</f>
        <v>-199.88712821807044</v>
      </c>
      <c r="F42" s="18">
        <f>0.7*(Electrico!$B$18-Electrico!$B$16*H41+Electrico!$B$17*I41-Electrico!$B$10*J41+Electrico!$B$11*K41-Electrico!$B$16*L41+Electrico!$B$17*M41)+0.3*F41</f>
        <v>5623.4746073582437</v>
      </c>
      <c r="G42" s="18">
        <f>0.7*(-Electrico!$B$16*I41-Electrico!$B$17*H41-Electrico!$B$10*K41-Electrico!$B$11*J41-Electrico!$B$16*M41-Electrico!$B$17*L41)+0.3*G41</f>
        <v>-401.28662883458219</v>
      </c>
      <c r="H42" s="18">
        <f>J42+(Parametros!$E$33*1000*B42+Parametros!$E$34*1000*C42)/(3*(B42^2+C42^2))</f>
        <v>9.8053953559996057</v>
      </c>
      <c r="I42" s="18">
        <f>K42+(Parametros!$E$33*1000*C42-Parametros!$E$34*1000*B42)/(3*(B42^2+C42^2))</f>
        <v>-5.9066780175931388</v>
      </c>
      <c r="J42" s="18">
        <f>L42+(Parametros!$E$33*1000*D42+Parametros!$E$34*1000*E42)/(3*(D42^2+E42^2))</f>
        <v>9.7847389011361425</v>
      </c>
      <c r="K42" s="18">
        <f>M42+(Parametros!$E$33*1000*E42-Parametros!$E$34*1000*D42)/(3*(D42^2+E42^2))</f>
        <v>-5.7641236957587054</v>
      </c>
      <c r="L42" s="18">
        <f>(Demanda!$G$21*1000*F42+Demanda!$G$24*1000*G42)/(3*(F42^2+G42^2))</f>
        <v>9.7638638522525554</v>
      </c>
      <c r="M42" s="18">
        <f>(Demanda!$G$21*1000*G42-Demanda!$G$24*1000*F42)/(3*(F42^2+G42^2))</f>
        <v>-5.6198223292516643</v>
      </c>
      <c r="N42" s="18">
        <f>SQRT(F42^2+G42^2)*SQRT(3)*Parametros!$E$29/(Parametros!$E$27*1000)</f>
        <v>371.06662970623148</v>
      </c>
      <c r="O42" s="18">
        <f t="shared" si="2"/>
        <v>11.35633027625623</v>
      </c>
      <c r="P42" s="18">
        <f>3*O42^2*Electrico!$B$10/1000</f>
        <v>2.1018539745635865</v>
      </c>
      <c r="Q42" s="18">
        <f t="shared" si="3"/>
        <v>1.8189894035458565E-12</v>
      </c>
    </row>
    <row r="43" spans="1:17" ht="21" customHeight="1">
      <c r="A43" s="1">
        <v>36</v>
      </c>
      <c r="B43" s="18">
        <f>0.7*(Electrico!$B$18-Electrico!$B$16*H42+Electrico!$B$17*I42)+0.3*B42</f>
        <v>5874.8431973816569</v>
      </c>
      <c r="C43" s="18">
        <f>0.7*(-Electrico!$B$16*I42-Electrico!$B$17*H42)+0.3*C42</f>
        <v>-200.95193393456276</v>
      </c>
      <c r="D43" s="18">
        <f>0.7*(Electrico!$B$18-Electrico!$B$16*H42+Electrico!$B$17*I42-Electrico!$B$10*J42+Electrico!$B$11*K42)+0.3*D42</f>
        <v>5803.8673311192733</v>
      </c>
      <c r="E43" s="18">
        <f>0.7*(-Electrico!$B$16*I42-Electrico!$B$17*H42-Electrico!$B$10*K42-Electrico!$B$11*J42)+0.3*E42</f>
        <v>-199.88712821807047</v>
      </c>
      <c r="F43" s="18">
        <f>0.7*(Electrico!$B$18-Electrico!$B$16*H42+Electrico!$B$17*I42-Electrico!$B$10*J42+Electrico!$B$11*K42-Electrico!$B$16*L42+Electrico!$B$17*M42)+0.3*F42</f>
        <v>5623.4746073582428</v>
      </c>
      <c r="G43" s="18">
        <f>0.7*(-Electrico!$B$16*I42-Electrico!$B$17*H42-Electrico!$B$10*K42-Electrico!$B$11*J42-Electrico!$B$16*M42-Electrico!$B$17*L42)+0.3*G42</f>
        <v>-401.28662883458225</v>
      </c>
      <c r="H43" s="18">
        <f>J43+(Parametros!$E$33*1000*B43+Parametros!$E$34*1000*C43)/(3*(B43^2+C43^2))</f>
        <v>9.8053953559996092</v>
      </c>
      <c r="I43" s="18">
        <f>K43+(Parametros!$E$33*1000*C43-Parametros!$E$34*1000*B43)/(3*(B43^2+C43^2))</f>
        <v>-5.9066780175931406</v>
      </c>
      <c r="J43" s="18">
        <f>L43+(Parametros!$E$33*1000*D43+Parametros!$E$34*1000*E43)/(3*(D43^2+E43^2))</f>
        <v>9.7847389011361461</v>
      </c>
      <c r="K43" s="18">
        <f>M43+(Parametros!$E$33*1000*E43-Parametros!$E$34*1000*D43)/(3*(D43^2+E43^2))</f>
        <v>-5.7641236957587072</v>
      </c>
      <c r="L43" s="18">
        <f>(Demanda!$G$21*1000*F43+Demanda!$G$24*1000*G43)/(3*(F43^2+G43^2))</f>
        <v>9.7638638522525589</v>
      </c>
      <c r="M43" s="18">
        <f>(Demanda!$G$21*1000*G43-Demanda!$G$24*1000*F43)/(3*(F43^2+G43^2))</f>
        <v>-5.619822329251666</v>
      </c>
      <c r="N43" s="18">
        <f>SQRT(F43^2+G43^2)*SQRT(3)*Parametros!$E$29/(Parametros!$E$27*1000)</f>
        <v>371.06662970623142</v>
      </c>
      <c r="O43" s="18">
        <f t="shared" si="2"/>
        <v>11.356330276256235</v>
      </c>
      <c r="P43" s="18">
        <f>3*O43^2*Electrico!$B$10/1000</f>
        <v>2.1018539745635891</v>
      </c>
      <c r="Q43" s="18">
        <f t="shared" si="3"/>
        <v>9.0949470177292824E-13</v>
      </c>
    </row>
    <row r="44" spans="1:17" ht="21" customHeight="1">
      <c r="A44" s="1">
        <v>37</v>
      </c>
      <c r="B44" s="18">
        <f>0.7*(Electrico!$B$18-Electrico!$B$16*H43+Electrico!$B$17*I43)+0.3*B43</f>
        <v>5874.8431973816569</v>
      </c>
      <c r="C44" s="18">
        <f>0.7*(-Electrico!$B$16*I43-Electrico!$B$17*H43)+0.3*C43</f>
        <v>-200.95193393456287</v>
      </c>
      <c r="D44" s="18">
        <f>0.7*(Electrico!$B$18-Electrico!$B$16*H43+Electrico!$B$17*I43-Electrico!$B$10*J43+Electrico!$B$11*K43)+0.3*D43</f>
        <v>5803.8673311192733</v>
      </c>
      <c r="E44" s="18">
        <f>0.7*(-Electrico!$B$16*I43-Electrico!$B$17*H43-Electrico!$B$10*K43-Electrico!$B$11*J43)+0.3*E43</f>
        <v>-199.88712821807053</v>
      </c>
      <c r="F44" s="18">
        <f>0.7*(Electrico!$B$18-Electrico!$B$16*H43+Electrico!$B$17*I43-Electrico!$B$10*J43+Electrico!$B$11*K43-Electrico!$B$16*L43+Electrico!$B$17*M43)+0.3*F43</f>
        <v>5623.4746073582428</v>
      </c>
      <c r="G44" s="18">
        <f>0.7*(-Electrico!$B$16*I43-Electrico!$B$17*H43-Electrico!$B$10*K43-Electrico!$B$11*J43-Electrico!$B$16*M43-Electrico!$B$17*L43)+0.3*G43</f>
        <v>-401.2866288345823</v>
      </c>
      <c r="H44" s="18">
        <f>J44+(Parametros!$E$33*1000*B44+Parametros!$E$34*1000*C44)/(3*(B44^2+C44^2))</f>
        <v>9.8053953559996092</v>
      </c>
      <c r="I44" s="18">
        <f>K44+(Parametros!$E$33*1000*C44-Parametros!$E$34*1000*B44)/(3*(B44^2+C44^2))</f>
        <v>-5.9066780175931406</v>
      </c>
      <c r="J44" s="18">
        <f>L44+(Parametros!$E$33*1000*D44+Parametros!$E$34*1000*E44)/(3*(D44^2+E44^2))</f>
        <v>9.7847389011361461</v>
      </c>
      <c r="K44" s="18">
        <f>M44+(Parametros!$E$33*1000*E44-Parametros!$E$34*1000*D44)/(3*(D44^2+E44^2))</f>
        <v>-5.7641236957587072</v>
      </c>
      <c r="L44" s="18">
        <f>(Demanda!$G$21*1000*F44+Demanda!$G$24*1000*G44)/(3*(F44^2+G44^2))</f>
        <v>9.7638638522525589</v>
      </c>
      <c r="M44" s="18">
        <f>(Demanda!$G$21*1000*G44-Demanda!$G$24*1000*F44)/(3*(F44^2+G44^2))</f>
        <v>-5.619822329251666</v>
      </c>
      <c r="N44" s="18">
        <f>SQRT(F44^2+G44^2)*SQRT(3)*Parametros!$E$29/(Parametros!$E$27*1000)</f>
        <v>371.06662970623142</v>
      </c>
      <c r="O44" s="18">
        <f t="shared" si="2"/>
        <v>11.356330276256235</v>
      </c>
      <c r="P44" s="18">
        <f>3*O44^2*Electrico!$B$10/1000</f>
        <v>2.1018539745635891</v>
      </c>
      <c r="Q44" s="18">
        <f t="shared" si="3"/>
        <v>1.1368683772161603E-13</v>
      </c>
    </row>
    <row r="45" spans="1:17" ht="21" customHeight="1">
      <c r="A45" s="1">
        <v>38</v>
      </c>
      <c r="B45" s="18">
        <f>0.7*(Electrico!$B$18-Electrico!$B$16*H44+Electrico!$B$17*I44)+0.3*B44</f>
        <v>5874.8431973816569</v>
      </c>
      <c r="C45" s="18">
        <f>0.7*(-Electrico!$B$16*I44-Electrico!$B$17*H44)+0.3*C44</f>
        <v>-200.9519339345629</v>
      </c>
      <c r="D45" s="18">
        <f>0.7*(Electrico!$B$18-Electrico!$B$16*H44+Electrico!$B$17*I44-Electrico!$B$10*J44+Electrico!$B$11*K44)+0.3*D44</f>
        <v>5803.8673311192733</v>
      </c>
      <c r="E45" s="18">
        <f>0.7*(-Electrico!$B$16*I44-Electrico!$B$17*H44-Electrico!$B$10*K44-Electrico!$B$11*J44)+0.3*E44</f>
        <v>-199.88712821807056</v>
      </c>
      <c r="F45" s="18">
        <f>0.7*(Electrico!$B$18-Electrico!$B$16*H44+Electrico!$B$17*I44-Electrico!$B$10*J44+Electrico!$B$11*K44-Electrico!$B$16*L44+Electrico!$B$17*M44)+0.3*F44</f>
        <v>5623.4746073582428</v>
      </c>
      <c r="G45" s="18">
        <f>0.7*(-Electrico!$B$16*I44-Electrico!$B$17*H44-Electrico!$B$10*K44-Electrico!$B$11*J44-Electrico!$B$16*M44-Electrico!$B$17*L44)+0.3*G44</f>
        <v>-401.2866288345823</v>
      </c>
      <c r="H45" s="18">
        <f>J45+(Parametros!$E$33*1000*B45+Parametros!$E$34*1000*C45)/(3*(B45^2+C45^2))</f>
        <v>9.8053953559996092</v>
      </c>
      <c r="I45" s="18">
        <f>K45+(Parametros!$E$33*1000*C45-Parametros!$E$34*1000*B45)/(3*(B45^2+C45^2))</f>
        <v>-5.9066780175931406</v>
      </c>
      <c r="J45" s="18">
        <f>L45+(Parametros!$E$33*1000*D45+Parametros!$E$34*1000*E45)/(3*(D45^2+E45^2))</f>
        <v>9.7847389011361461</v>
      </c>
      <c r="K45" s="18">
        <f>M45+(Parametros!$E$33*1000*E45-Parametros!$E$34*1000*D45)/(3*(D45^2+E45^2))</f>
        <v>-5.7641236957587072</v>
      </c>
      <c r="L45" s="18">
        <f>(Demanda!$G$21*1000*F45+Demanda!$G$24*1000*G45)/(3*(F45^2+G45^2))</f>
        <v>9.7638638522525589</v>
      </c>
      <c r="M45" s="18">
        <f>(Demanda!$G$21*1000*G45-Demanda!$G$24*1000*F45)/(3*(F45^2+G45^2))</f>
        <v>-5.619822329251666</v>
      </c>
      <c r="N45" s="18">
        <f>SQRT(F45^2+G45^2)*SQRT(3)*Parametros!$E$29/(Parametros!$E$27*1000)</f>
        <v>371.06662970623142</v>
      </c>
      <c r="O45" s="18">
        <f t="shared" si="2"/>
        <v>11.356330276256235</v>
      </c>
      <c r="P45" s="18">
        <f>3*O45^2*Electrico!$B$10/1000</f>
        <v>2.1018539745635891</v>
      </c>
      <c r="Q45" s="18">
        <f t="shared" si="3"/>
        <v>2.8421709430404007E-14</v>
      </c>
    </row>
    <row r="46" spans="1:17" ht="21" customHeight="1">
      <c r="A46" s="1">
        <v>39</v>
      </c>
      <c r="B46" s="18">
        <f>0.7*(Electrico!$B$18-Electrico!$B$16*H45+Electrico!$B$17*I45)+0.3*B45</f>
        <v>5874.8431973816569</v>
      </c>
      <c r="C46" s="18">
        <f>0.7*(-Electrico!$B$16*I45-Electrico!$B$17*H45)+0.3*C45</f>
        <v>-200.9519339345629</v>
      </c>
      <c r="D46" s="18">
        <f>0.7*(Electrico!$B$18-Electrico!$B$16*H45+Electrico!$B$17*I45-Electrico!$B$10*J45+Electrico!$B$11*K45)+0.3*D45</f>
        <v>5803.8673311192733</v>
      </c>
      <c r="E46" s="18">
        <f>0.7*(-Electrico!$B$16*I45-Electrico!$B$17*H45-Electrico!$B$10*K45-Electrico!$B$11*J45)+0.3*E45</f>
        <v>-199.88712821807059</v>
      </c>
      <c r="F46" s="18">
        <f>0.7*(Electrico!$B$18-Electrico!$B$16*H45+Electrico!$B$17*I45-Electrico!$B$10*J45+Electrico!$B$11*K45-Electrico!$B$16*L45+Electrico!$B$17*M45)+0.3*F45</f>
        <v>5623.4746073582428</v>
      </c>
      <c r="G46" s="18">
        <f>0.7*(-Electrico!$B$16*I45-Electrico!$B$17*H45-Electrico!$B$10*K45-Electrico!$B$11*J45-Electrico!$B$16*M45-Electrico!$B$17*L45)+0.3*G45</f>
        <v>-401.2866288345823</v>
      </c>
      <c r="H46" s="18">
        <f>J46+(Parametros!$E$33*1000*B46+Parametros!$E$34*1000*C46)/(3*(B46^2+C46^2))</f>
        <v>9.8053953559996092</v>
      </c>
      <c r="I46" s="18">
        <f>K46+(Parametros!$E$33*1000*C46-Parametros!$E$34*1000*B46)/(3*(B46^2+C46^2))</f>
        <v>-5.9066780175931406</v>
      </c>
      <c r="J46" s="18">
        <f>L46+(Parametros!$E$33*1000*D46+Parametros!$E$34*1000*E46)/(3*(D46^2+E46^2))</f>
        <v>9.7847389011361461</v>
      </c>
      <c r="K46" s="18">
        <f>M46+(Parametros!$E$33*1000*E46-Parametros!$E$34*1000*D46)/(3*(D46^2+E46^2))</f>
        <v>-5.7641236957587072</v>
      </c>
      <c r="L46" s="18">
        <f>(Demanda!$G$21*1000*F46+Demanda!$G$24*1000*G46)/(3*(F46^2+G46^2))</f>
        <v>9.7638638522525589</v>
      </c>
      <c r="M46" s="18">
        <f>(Demanda!$G$21*1000*G46-Demanda!$G$24*1000*F46)/(3*(F46^2+G46^2))</f>
        <v>-5.619822329251666</v>
      </c>
      <c r="N46" s="18">
        <f>SQRT(F46^2+G46^2)*SQRT(3)*Parametros!$E$29/(Parametros!$E$27*1000)</f>
        <v>371.06662970623142</v>
      </c>
      <c r="O46" s="18">
        <f t="shared" si="2"/>
        <v>11.356330276256235</v>
      </c>
      <c r="P46" s="18">
        <f>3*O46^2*Electrico!$B$10/1000</f>
        <v>2.1018539745635891</v>
      </c>
      <c r="Q46" s="18">
        <f t="shared" si="3"/>
        <v>2.8421709430404007E-14</v>
      </c>
    </row>
    <row r="47" spans="1:17" ht="21" customHeight="1">
      <c r="A47" s="1">
        <v>40</v>
      </c>
      <c r="B47" s="18">
        <f>0.7*(Electrico!$B$18-Electrico!$B$16*H46+Electrico!$B$17*I46)+0.3*B46</f>
        <v>5874.8431973816569</v>
      </c>
      <c r="C47" s="18">
        <f>0.7*(-Electrico!$B$16*I46-Electrico!$B$17*H46)+0.3*C46</f>
        <v>-200.9519339345629</v>
      </c>
      <c r="D47" s="18">
        <f>0.7*(Electrico!$B$18-Electrico!$B$16*H46+Electrico!$B$17*I46-Electrico!$B$10*J46+Electrico!$B$11*K46)+0.3*D46</f>
        <v>5803.8673311192733</v>
      </c>
      <c r="E47" s="18">
        <f>0.7*(-Electrico!$B$16*I46-Electrico!$B$17*H46-Electrico!$B$10*K46-Electrico!$B$11*J46)+0.3*E46</f>
        <v>-199.88712821807059</v>
      </c>
      <c r="F47" s="18">
        <f>0.7*(Electrico!$B$18-Electrico!$B$16*H46+Electrico!$B$17*I46-Electrico!$B$10*J46+Electrico!$B$11*K46-Electrico!$B$16*L46+Electrico!$B$17*M46)+0.3*F46</f>
        <v>5623.4746073582428</v>
      </c>
      <c r="G47" s="18">
        <f>0.7*(-Electrico!$B$16*I46-Electrico!$B$17*H46-Electrico!$B$10*K46-Electrico!$B$11*J46-Electrico!$B$16*M46-Electrico!$B$17*L46)+0.3*G46</f>
        <v>-401.2866288345823</v>
      </c>
      <c r="H47" s="18">
        <f>J47+(Parametros!$E$33*1000*B47+Parametros!$E$34*1000*C47)/(3*(B47^2+C47^2))</f>
        <v>9.8053953559996092</v>
      </c>
      <c r="I47" s="18">
        <f>K47+(Parametros!$E$33*1000*C47-Parametros!$E$34*1000*B47)/(3*(B47^2+C47^2))</f>
        <v>-5.9066780175931406</v>
      </c>
      <c r="J47" s="18">
        <f>L47+(Parametros!$E$33*1000*D47+Parametros!$E$34*1000*E47)/(3*(D47^2+E47^2))</f>
        <v>9.7847389011361461</v>
      </c>
      <c r="K47" s="18">
        <f>M47+(Parametros!$E$33*1000*E47-Parametros!$E$34*1000*D47)/(3*(D47^2+E47^2))</f>
        <v>-5.7641236957587072</v>
      </c>
      <c r="L47" s="18">
        <f>(Demanda!$G$21*1000*F47+Demanda!$G$24*1000*G47)/(3*(F47^2+G47^2))</f>
        <v>9.7638638522525589</v>
      </c>
      <c r="M47" s="18">
        <f>(Demanda!$G$21*1000*G47-Demanda!$G$24*1000*F47)/(3*(F47^2+G47^2))</f>
        <v>-5.619822329251666</v>
      </c>
      <c r="N47" s="18">
        <f>SQRT(F47^2+G47^2)*SQRT(3)*Parametros!$E$29/(Parametros!$E$27*1000)</f>
        <v>371.06662970623142</v>
      </c>
      <c r="O47" s="18">
        <f t="shared" si="2"/>
        <v>11.356330276256235</v>
      </c>
      <c r="P47" s="18">
        <f>3*O47^2*Electrico!$B$10/1000</f>
        <v>2.1018539745635891</v>
      </c>
      <c r="Q47" s="18">
        <f t="shared" si="3"/>
        <v>0</v>
      </c>
    </row>
    <row r="48" spans="1:17" ht="21" customHeight="1">
      <c r="A48" s="1">
        <v>41</v>
      </c>
      <c r="B48" s="18">
        <f>0.7*(Electrico!$B$18-Electrico!$B$16*H47+Electrico!$B$17*I47)+0.3*B47</f>
        <v>5874.8431973816569</v>
      </c>
      <c r="C48" s="18">
        <f>0.7*(-Electrico!$B$16*I47-Electrico!$B$17*H47)+0.3*C47</f>
        <v>-200.9519339345629</v>
      </c>
      <c r="D48" s="18">
        <f>0.7*(Electrico!$B$18-Electrico!$B$16*H47+Electrico!$B$17*I47-Electrico!$B$10*J47+Electrico!$B$11*K47)+0.3*D47</f>
        <v>5803.8673311192733</v>
      </c>
      <c r="E48" s="18">
        <f>0.7*(-Electrico!$B$16*I47-Electrico!$B$17*H47-Electrico!$B$10*K47-Electrico!$B$11*J47)+0.3*E47</f>
        <v>-199.88712821807059</v>
      </c>
      <c r="F48" s="18">
        <f>0.7*(Electrico!$B$18-Electrico!$B$16*H47+Electrico!$B$17*I47-Electrico!$B$10*J47+Electrico!$B$11*K47-Electrico!$B$16*L47+Electrico!$B$17*M47)+0.3*F47</f>
        <v>5623.4746073582428</v>
      </c>
      <c r="G48" s="18">
        <f>0.7*(-Electrico!$B$16*I47-Electrico!$B$17*H47-Electrico!$B$10*K47-Electrico!$B$11*J47-Electrico!$B$16*M47-Electrico!$B$17*L47)+0.3*G47</f>
        <v>-401.2866288345823</v>
      </c>
      <c r="H48" s="18">
        <f>J48+(Parametros!$E$33*1000*B48+Parametros!$E$34*1000*C48)/(3*(B48^2+C48^2))</f>
        <v>9.8053953559996092</v>
      </c>
      <c r="I48" s="18">
        <f>K48+(Parametros!$E$33*1000*C48-Parametros!$E$34*1000*B48)/(3*(B48^2+C48^2))</f>
        <v>-5.9066780175931406</v>
      </c>
      <c r="J48" s="18">
        <f>L48+(Parametros!$E$33*1000*D48+Parametros!$E$34*1000*E48)/(3*(D48^2+E48^2))</f>
        <v>9.7847389011361461</v>
      </c>
      <c r="K48" s="18">
        <f>M48+(Parametros!$E$33*1000*E48-Parametros!$E$34*1000*D48)/(3*(D48^2+E48^2))</f>
        <v>-5.7641236957587072</v>
      </c>
      <c r="L48" s="18">
        <f>(Demanda!$G$21*1000*F48+Demanda!$G$24*1000*G48)/(3*(F48^2+G48^2))</f>
        <v>9.7638638522525589</v>
      </c>
      <c r="M48" s="18">
        <f>(Demanda!$G$21*1000*G48-Demanda!$G$24*1000*F48)/(3*(F48^2+G48^2))</f>
        <v>-5.619822329251666</v>
      </c>
      <c r="N48" s="18">
        <f>SQRT(F48^2+G48^2)*SQRT(3)*Parametros!$E$29/(Parametros!$E$27*1000)</f>
        <v>371.06662970623142</v>
      </c>
      <c r="O48" s="18">
        <f t="shared" si="2"/>
        <v>11.356330276256235</v>
      </c>
      <c r="P48" s="18">
        <f>3*O48^2*Electrico!$B$10/1000</f>
        <v>2.1018539745635891</v>
      </c>
      <c r="Q48" s="18">
        <f t="shared" si="3"/>
        <v>0</v>
      </c>
    </row>
    <row r="49" spans="1:17" ht="21" customHeight="1">
      <c r="A49" s="1">
        <v>42</v>
      </c>
      <c r="B49" s="18">
        <f>0.7*(Electrico!$B$18-Electrico!$B$16*H48+Electrico!$B$17*I48)+0.3*B48</f>
        <v>5874.8431973816569</v>
      </c>
      <c r="C49" s="18">
        <f>0.7*(-Electrico!$B$16*I48-Electrico!$B$17*H48)+0.3*C48</f>
        <v>-200.9519339345629</v>
      </c>
      <c r="D49" s="18">
        <f>0.7*(Electrico!$B$18-Electrico!$B$16*H48+Electrico!$B$17*I48-Electrico!$B$10*J48+Electrico!$B$11*K48)+0.3*D48</f>
        <v>5803.8673311192733</v>
      </c>
      <c r="E49" s="18">
        <f>0.7*(-Electrico!$B$16*I48-Electrico!$B$17*H48-Electrico!$B$10*K48-Electrico!$B$11*J48)+0.3*E48</f>
        <v>-199.88712821807059</v>
      </c>
      <c r="F49" s="18">
        <f>0.7*(Electrico!$B$18-Electrico!$B$16*H48+Electrico!$B$17*I48-Electrico!$B$10*J48+Electrico!$B$11*K48-Electrico!$B$16*L48+Electrico!$B$17*M48)+0.3*F48</f>
        <v>5623.4746073582428</v>
      </c>
      <c r="G49" s="18">
        <f>0.7*(-Electrico!$B$16*I48-Electrico!$B$17*H48-Electrico!$B$10*K48-Electrico!$B$11*J48-Electrico!$B$16*M48-Electrico!$B$17*L48)+0.3*G48</f>
        <v>-401.2866288345823</v>
      </c>
      <c r="H49" s="18">
        <f>J49+(Parametros!$E$33*1000*B49+Parametros!$E$34*1000*C49)/(3*(B49^2+C49^2))</f>
        <v>9.8053953559996092</v>
      </c>
      <c r="I49" s="18">
        <f>K49+(Parametros!$E$33*1000*C49-Parametros!$E$34*1000*B49)/(3*(B49^2+C49^2))</f>
        <v>-5.9066780175931406</v>
      </c>
      <c r="J49" s="18">
        <f>L49+(Parametros!$E$33*1000*D49+Parametros!$E$34*1000*E49)/(3*(D49^2+E49^2))</f>
        <v>9.7847389011361461</v>
      </c>
      <c r="K49" s="18">
        <f>M49+(Parametros!$E$33*1000*E49-Parametros!$E$34*1000*D49)/(3*(D49^2+E49^2))</f>
        <v>-5.7641236957587072</v>
      </c>
      <c r="L49" s="18">
        <f>(Demanda!$G$21*1000*F49+Demanda!$G$24*1000*G49)/(3*(F49^2+G49^2))</f>
        <v>9.7638638522525589</v>
      </c>
      <c r="M49" s="18">
        <f>(Demanda!$G$21*1000*G49-Demanda!$G$24*1000*F49)/(3*(F49^2+G49^2))</f>
        <v>-5.619822329251666</v>
      </c>
      <c r="N49" s="18">
        <f>SQRT(F49^2+G49^2)*SQRT(3)*Parametros!$E$29/(Parametros!$E$27*1000)</f>
        <v>371.06662970623142</v>
      </c>
      <c r="O49" s="18">
        <f t="shared" si="2"/>
        <v>11.356330276256235</v>
      </c>
      <c r="P49" s="18">
        <f>3*O49^2*Electrico!$B$10/1000</f>
        <v>2.1018539745635891</v>
      </c>
      <c r="Q49" s="18">
        <f t="shared" si="3"/>
        <v>0</v>
      </c>
    </row>
    <row r="50" spans="1:17" ht="21" customHeight="1">
      <c r="A50" s="1">
        <v>43</v>
      </c>
      <c r="B50" s="18">
        <f>0.7*(Electrico!$B$18-Electrico!$B$16*H49+Electrico!$B$17*I49)+0.3*B49</f>
        <v>5874.8431973816569</v>
      </c>
      <c r="C50" s="18">
        <f>0.7*(-Electrico!$B$16*I49-Electrico!$B$17*H49)+0.3*C49</f>
        <v>-200.9519339345629</v>
      </c>
      <c r="D50" s="18">
        <f>0.7*(Electrico!$B$18-Electrico!$B$16*H49+Electrico!$B$17*I49-Electrico!$B$10*J49+Electrico!$B$11*K49)+0.3*D49</f>
        <v>5803.8673311192733</v>
      </c>
      <c r="E50" s="18">
        <f>0.7*(-Electrico!$B$16*I49-Electrico!$B$17*H49-Electrico!$B$10*K49-Electrico!$B$11*J49)+0.3*E49</f>
        <v>-199.88712821807059</v>
      </c>
      <c r="F50" s="18">
        <f>0.7*(Electrico!$B$18-Electrico!$B$16*H49+Electrico!$B$17*I49-Electrico!$B$10*J49+Electrico!$B$11*K49-Electrico!$B$16*L49+Electrico!$B$17*M49)+0.3*F49</f>
        <v>5623.4746073582428</v>
      </c>
      <c r="G50" s="18">
        <f>0.7*(-Electrico!$B$16*I49-Electrico!$B$17*H49-Electrico!$B$10*K49-Electrico!$B$11*J49-Electrico!$B$16*M49-Electrico!$B$17*L49)+0.3*G49</f>
        <v>-401.2866288345823</v>
      </c>
      <c r="H50" s="18">
        <f>J50+(Parametros!$E$33*1000*B50+Parametros!$E$34*1000*C50)/(3*(B50^2+C50^2))</f>
        <v>9.8053953559996092</v>
      </c>
      <c r="I50" s="18">
        <f>K50+(Parametros!$E$33*1000*C50-Parametros!$E$34*1000*B50)/(3*(B50^2+C50^2))</f>
        <v>-5.9066780175931406</v>
      </c>
      <c r="J50" s="18">
        <f>L50+(Parametros!$E$33*1000*D50+Parametros!$E$34*1000*E50)/(3*(D50^2+E50^2))</f>
        <v>9.7847389011361461</v>
      </c>
      <c r="K50" s="18">
        <f>M50+(Parametros!$E$33*1000*E50-Parametros!$E$34*1000*D50)/(3*(D50^2+E50^2))</f>
        <v>-5.7641236957587072</v>
      </c>
      <c r="L50" s="18">
        <f>(Demanda!$G$21*1000*F50+Demanda!$G$24*1000*G50)/(3*(F50^2+G50^2))</f>
        <v>9.7638638522525589</v>
      </c>
      <c r="M50" s="18">
        <f>(Demanda!$G$21*1000*G50-Demanda!$G$24*1000*F50)/(3*(F50^2+G50^2))</f>
        <v>-5.619822329251666</v>
      </c>
      <c r="N50" s="18">
        <f>SQRT(F50^2+G50^2)*SQRT(3)*Parametros!$E$29/(Parametros!$E$27*1000)</f>
        <v>371.06662970623142</v>
      </c>
      <c r="O50" s="18">
        <f t="shared" si="2"/>
        <v>11.356330276256235</v>
      </c>
      <c r="P50" s="18">
        <f>3*O50^2*Electrico!$B$10/1000</f>
        <v>2.1018539745635891</v>
      </c>
      <c r="Q50" s="18">
        <f t="shared" si="3"/>
        <v>0</v>
      </c>
    </row>
    <row r="51" spans="1:17" ht="21" customHeight="1">
      <c r="A51" s="1">
        <v>44</v>
      </c>
      <c r="B51" s="18">
        <f>0.7*(Electrico!$B$18-Electrico!$B$16*H50+Electrico!$B$17*I50)+0.3*B50</f>
        <v>5874.8431973816569</v>
      </c>
      <c r="C51" s="18">
        <f>0.7*(-Electrico!$B$16*I50-Electrico!$B$17*H50)+0.3*C50</f>
        <v>-200.9519339345629</v>
      </c>
      <c r="D51" s="18">
        <f>0.7*(Electrico!$B$18-Electrico!$B$16*H50+Electrico!$B$17*I50-Electrico!$B$10*J50+Electrico!$B$11*K50)+0.3*D50</f>
        <v>5803.8673311192733</v>
      </c>
      <c r="E51" s="18">
        <f>0.7*(-Electrico!$B$16*I50-Electrico!$B$17*H50-Electrico!$B$10*K50-Electrico!$B$11*J50)+0.3*E50</f>
        <v>-199.88712821807059</v>
      </c>
      <c r="F51" s="18">
        <f>0.7*(Electrico!$B$18-Electrico!$B$16*H50+Electrico!$B$17*I50-Electrico!$B$10*J50+Electrico!$B$11*K50-Electrico!$B$16*L50+Electrico!$B$17*M50)+0.3*F50</f>
        <v>5623.4746073582428</v>
      </c>
      <c r="G51" s="18">
        <f>0.7*(-Electrico!$B$16*I50-Electrico!$B$17*H50-Electrico!$B$10*K50-Electrico!$B$11*J50-Electrico!$B$16*M50-Electrico!$B$17*L50)+0.3*G50</f>
        <v>-401.2866288345823</v>
      </c>
      <c r="H51" s="18">
        <f>J51+(Parametros!$E$33*1000*B51+Parametros!$E$34*1000*C51)/(3*(B51^2+C51^2))</f>
        <v>9.8053953559996092</v>
      </c>
      <c r="I51" s="18">
        <f>K51+(Parametros!$E$33*1000*C51-Parametros!$E$34*1000*B51)/(3*(B51^2+C51^2))</f>
        <v>-5.9066780175931406</v>
      </c>
      <c r="J51" s="18">
        <f>L51+(Parametros!$E$33*1000*D51+Parametros!$E$34*1000*E51)/(3*(D51^2+E51^2))</f>
        <v>9.7847389011361461</v>
      </c>
      <c r="K51" s="18">
        <f>M51+(Parametros!$E$33*1000*E51-Parametros!$E$34*1000*D51)/(3*(D51^2+E51^2))</f>
        <v>-5.7641236957587072</v>
      </c>
      <c r="L51" s="18">
        <f>(Demanda!$G$21*1000*F51+Demanda!$G$24*1000*G51)/(3*(F51^2+G51^2))</f>
        <v>9.7638638522525589</v>
      </c>
      <c r="M51" s="18">
        <f>(Demanda!$G$21*1000*G51-Demanda!$G$24*1000*F51)/(3*(F51^2+G51^2))</f>
        <v>-5.619822329251666</v>
      </c>
      <c r="N51" s="18">
        <f>SQRT(F51^2+G51^2)*SQRT(3)*Parametros!$E$29/(Parametros!$E$27*1000)</f>
        <v>371.06662970623142</v>
      </c>
      <c r="O51" s="18">
        <f t="shared" si="2"/>
        <v>11.356330276256235</v>
      </c>
      <c r="P51" s="18">
        <f>3*O51^2*Electrico!$B$10/1000</f>
        <v>2.1018539745635891</v>
      </c>
      <c r="Q51" s="18">
        <f t="shared" si="3"/>
        <v>0</v>
      </c>
    </row>
    <row r="52" spans="1:17" ht="21" customHeight="1">
      <c r="A52" s="1">
        <v>45</v>
      </c>
      <c r="B52" s="18">
        <f>0.7*(Electrico!$B$18-Electrico!$B$16*H51+Electrico!$B$17*I51)+0.3*B51</f>
        <v>5874.8431973816569</v>
      </c>
      <c r="C52" s="18">
        <f>0.7*(-Electrico!$B$16*I51-Electrico!$B$17*H51)+0.3*C51</f>
        <v>-200.9519339345629</v>
      </c>
      <c r="D52" s="18">
        <f>0.7*(Electrico!$B$18-Electrico!$B$16*H51+Electrico!$B$17*I51-Electrico!$B$10*J51+Electrico!$B$11*K51)+0.3*D51</f>
        <v>5803.8673311192733</v>
      </c>
      <c r="E52" s="18">
        <f>0.7*(-Electrico!$B$16*I51-Electrico!$B$17*H51-Electrico!$B$10*K51-Electrico!$B$11*J51)+0.3*E51</f>
        <v>-199.88712821807059</v>
      </c>
      <c r="F52" s="18">
        <f>0.7*(Electrico!$B$18-Electrico!$B$16*H51+Electrico!$B$17*I51-Electrico!$B$10*J51+Electrico!$B$11*K51-Electrico!$B$16*L51+Electrico!$B$17*M51)+0.3*F51</f>
        <v>5623.4746073582428</v>
      </c>
      <c r="G52" s="18">
        <f>0.7*(-Electrico!$B$16*I51-Electrico!$B$17*H51-Electrico!$B$10*K51-Electrico!$B$11*J51-Electrico!$B$16*M51-Electrico!$B$17*L51)+0.3*G51</f>
        <v>-401.2866288345823</v>
      </c>
      <c r="H52" s="18">
        <f>J52+(Parametros!$E$33*1000*B52+Parametros!$E$34*1000*C52)/(3*(B52^2+C52^2))</f>
        <v>9.8053953559996092</v>
      </c>
      <c r="I52" s="18">
        <f>K52+(Parametros!$E$33*1000*C52-Parametros!$E$34*1000*B52)/(3*(B52^2+C52^2))</f>
        <v>-5.9066780175931406</v>
      </c>
      <c r="J52" s="18">
        <f>L52+(Parametros!$E$33*1000*D52+Parametros!$E$34*1000*E52)/(3*(D52^2+E52^2))</f>
        <v>9.7847389011361461</v>
      </c>
      <c r="K52" s="18">
        <f>M52+(Parametros!$E$33*1000*E52-Parametros!$E$34*1000*D52)/(3*(D52^2+E52^2))</f>
        <v>-5.7641236957587072</v>
      </c>
      <c r="L52" s="18">
        <f>(Demanda!$G$21*1000*F52+Demanda!$G$24*1000*G52)/(3*(F52^2+G52^2))</f>
        <v>9.7638638522525589</v>
      </c>
      <c r="M52" s="18">
        <f>(Demanda!$G$21*1000*G52-Demanda!$G$24*1000*F52)/(3*(F52^2+G52^2))</f>
        <v>-5.619822329251666</v>
      </c>
      <c r="N52" s="18">
        <f>SQRT(F52^2+G52^2)*SQRT(3)*Parametros!$E$29/(Parametros!$E$27*1000)</f>
        <v>371.06662970623142</v>
      </c>
      <c r="O52" s="18">
        <f t="shared" si="2"/>
        <v>11.356330276256235</v>
      </c>
      <c r="P52" s="18">
        <f>3*O52^2*Electrico!$B$10/1000</f>
        <v>2.1018539745635891</v>
      </c>
      <c r="Q52" s="18">
        <f t="shared" si="3"/>
        <v>0</v>
      </c>
    </row>
    <row r="53" spans="1:17" ht="21" customHeight="1">
      <c r="A53" s="1">
        <v>46</v>
      </c>
      <c r="B53" s="18">
        <f>0.7*(Electrico!$B$18-Electrico!$B$16*H52+Electrico!$B$17*I52)+0.3*B52</f>
        <v>5874.8431973816569</v>
      </c>
      <c r="C53" s="18">
        <f>0.7*(-Electrico!$B$16*I52-Electrico!$B$17*H52)+0.3*C52</f>
        <v>-200.9519339345629</v>
      </c>
      <c r="D53" s="18">
        <f>0.7*(Electrico!$B$18-Electrico!$B$16*H52+Electrico!$B$17*I52-Electrico!$B$10*J52+Electrico!$B$11*K52)+0.3*D52</f>
        <v>5803.8673311192733</v>
      </c>
      <c r="E53" s="18">
        <f>0.7*(-Electrico!$B$16*I52-Electrico!$B$17*H52-Electrico!$B$10*K52-Electrico!$B$11*J52)+0.3*E52</f>
        <v>-199.88712821807059</v>
      </c>
      <c r="F53" s="18">
        <f>0.7*(Electrico!$B$18-Electrico!$B$16*H52+Electrico!$B$17*I52-Electrico!$B$10*J52+Electrico!$B$11*K52-Electrico!$B$16*L52+Electrico!$B$17*M52)+0.3*F52</f>
        <v>5623.4746073582428</v>
      </c>
      <c r="G53" s="18">
        <f>0.7*(-Electrico!$B$16*I52-Electrico!$B$17*H52-Electrico!$B$10*K52-Electrico!$B$11*J52-Electrico!$B$16*M52-Electrico!$B$17*L52)+0.3*G52</f>
        <v>-401.2866288345823</v>
      </c>
      <c r="H53" s="18">
        <f>J53+(Parametros!$E$33*1000*B53+Parametros!$E$34*1000*C53)/(3*(B53^2+C53^2))</f>
        <v>9.8053953559996092</v>
      </c>
      <c r="I53" s="18">
        <f>K53+(Parametros!$E$33*1000*C53-Parametros!$E$34*1000*B53)/(3*(B53^2+C53^2))</f>
        <v>-5.9066780175931406</v>
      </c>
      <c r="J53" s="18">
        <f>L53+(Parametros!$E$33*1000*D53+Parametros!$E$34*1000*E53)/(3*(D53^2+E53^2))</f>
        <v>9.7847389011361461</v>
      </c>
      <c r="K53" s="18">
        <f>M53+(Parametros!$E$33*1000*E53-Parametros!$E$34*1000*D53)/(3*(D53^2+E53^2))</f>
        <v>-5.7641236957587072</v>
      </c>
      <c r="L53" s="18">
        <f>(Demanda!$G$21*1000*F53+Demanda!$G$24*1000*G53)/(3*(F53^2+G53^2))</f>
        <v>9.7638638522525589</v>
      </c>
      <c r="M53" s="18">
        <f>(Demanda!$G$21*1000*G53-Demanda!$G$24*1000*F53)/(3*(F53^2+G53^2))</f>
        <v>-5.619822329251666</v>
      </c>
      <c r="N53" s="18">
        <f>SQRT(F53^2+G53^2)*SQRT(3)*Parametros!$E$29/(Parametros!$E$27*1000)</f>
        <v>371.06662970623142</v>
      </c>
      <c r="O53" s="18">
        <f t="shared" si="2"/>
        <v>11.356330276256235</v>
      </c>
      <c r="P53" s="18">
        <f>3*O53^2*Electrico!$B$10/1000</f>
        <v>2.1018539745635891</v>
      </c>
      <c r="Q53" s="18">
        <f t="shared" si="3"/>
        <v>0</v>
      </c>
    </row>
    <row r="54" spans="1:17" ht="21" customHeight="1">
      <c r="A54" s="1">
        <v>47</v>
      </c>
      <c r="B54" s="18">
        <f>0.7*(Electrico!$B$18-Electrico!$B$16*H53+Electrico!$B$17*I53)+0.3*B53</f>
        <v>5874.8431973816569</v>
      </c>
      <c r="C54" s="18">
        <f>0.7*(-Electrico!$B$16*I53-Electrico!$B$17*H53)+0.3*C53</f>
        <v>-200.9519339345629</v>
      </c>
      <c r="D54" s="18">
        <f>0.7*(Electrico!$B$18-Electrico!$B$16*H53+Electrico!$B$17*I53-Electrico!$B$10*J53+Electrico!$B$11*K53)+0.3*D53</f>
        <v>5803.8673311192733</v>
      </c>
      <c r="E54" s="18">
        <f>0.7*(-Electrico!$B$16*I53-Electrico!$B$17*H53-Electrico!$B$10*K53-Electrico!$B$11*J53)+0.3*E53</f>
        <v>-199.88712821807059</v>
      </c>
      <c r="F54" s="18">
        <f>0.7*(Electrico!$B$18-Electrico!$B$16*H53+Electrico!$B$17*I53-Electrico!$B$10*J53+Electrico!$B$11*K53-Electrico!$B$16*L53+Electrico!$B$17*M53)+0.3*F53</f>
        <v>5623.4746073582428</v>
      </c>
      <c r="G54" s="18">
        <f>0.7*(-Electrico!$B$16*I53-Electrico!$B$17*H53-Electrico!$B$10*K53-Electrico!$B$11*J53-Electrico!$B$16*M53-Electrico!$B$17*L53)+0.3*G53</f>
        <v>-401.2866288345823</v>
      </c>
      <c r="H54" s="18">
        <f>J54+(Parametros!$E$33*1000*B54+Parametros!$E$34*1000*C54)/(3*(B54^2+C54^2))</f>
        <v>9.8053953559996092</v>
      </c>
      <c r="I54" s="18">
        <f>K54+(Parametros!$E$33*1000*C54-Parametros!$E$34*1000*B54)/(3*(B54^2+C54^2))</f>
        <v>-5.9066780175931406</v>
      </c>
      <c r="J54" s="18">
        <f>L54+(Parametros!$E$33*1000*D54+Parametros!$E$34*1000*E54)/(3*(D54^2+E54^2))</f>
        <v>9.7847389011361461</v>
      </c>
      <c r="K54" s="18">
        <f>M54+(Parametros!$E$33*1000*E54-Parametros!$E$34*1000*D54)/(3*(D54^2+E54^2))</f>
        <v>-5.7641236957587072</v>
      </c>
      <c r="L54" s="18">
        <f>(Demanda!$G$21*1000*F54+Demanda!$G$24*1000*G54)/(3*(F54^2+G54^2))</f>
        <v>9.7638638522525589</v>
      </c>
      <c r="M54" s="18">
        <f>(Demanda!$G$21*1000*G54-Demanda!$G$24*1000*F54)/(3*(F54^2+G54^2))</f>
        <v>-5.619822329251666</v>
      </c>
      <c r="N54" s="18">
        <f>SQRT(F54^2+G54^2)*SQRT(3)*Parametros!$E$29/(Parametros!$E$27*1000)</f>
        <v>371.06662970623142</v>
      </c>
      <c r="O54" s="18">
        <f t="shared" si="2"/>
        <v>11.356330276256235</v>
      </c>
      <c r="P54" s="18">
        <f>3*O54^2*Electrico!$B$10/1000</f>
        <v>2.1018539745635891</v>
      </c>
      <c r="Q54" s="18">
        <f t="shared" si="3"/>
        <v>0</v>
      </c>
    </row>
    <row r="55" spans="1:17" ht="21" customHeight="1">
      <c r="A55" s="1">
        <v>48</v>
      </c>
      <c r="B55" s="18">
        <f>0.7*(Electrico!$B$18-Electrico!$B$16*H54+Electrico!$B$17*I54)+0.3*B54</f>
        <v>5874.8431973816569</v>
      </c>
      <c r="C55" s="18">
        <f>0.7*(-Electrico!$B$16*I54-Electrico!$B$17*H54)+0.3*C54</f>
        <v>-200.9519339345629</v>
      </c>
      <c r="D55" s="18">
        <f>0.7*(Electrico!$B$18-Electrico!$B$16*H54+Electrico!$B$17*I54-Electrico!$B$10*J54+Electrico!$B$11*K54)+0.3*D54</f>
        <v>5803.8673311192733</v>
      </c>
      <c r="E55" s="18">
        <f>0.7*(-Electrico!$B$16*I54-Electrico!$B$17*H54-Electrico!$B$10*K54-Electrico!$B$11*J54)+0.3*E54</f>
        <v>-199.88712821807059</v>
      </c>
      <c r="F55" s="18">
        <f>0.7*(Electrico!$B$18-Electrico!$B$16*H54+Electrico!$B$17*I54-Electrico!$B$10*J54+Electrico!$B$11*K54-Electrico!$B$16*L54+Electrico!$B$17*M54)+0.3*F54</f>
        <v>5623.4746073582428</v>
      </c>
      <c r="G55" s="18">
        <f>0.7*(-Electrico!$B$16*I54-Electrico!$B$17*H54-Electrico!$B$10*K54-Electrico!$B$11*J54-Electrico!$B$16*M54-Electrico!$B$17*L54)+0.3*G54</f>
        <v>-401.2866288345823</v>
      </c>
      <c r="H55" s="18">
        <f>J55+(Parametros!$E$33*1000*B55+Parametros!$E$34*1000*C55)/(3*(B55^2+C55^2))</f>
        <v>9.8053953559996092</v>
      </c>
      <c r="I55" s="18">
        <f>K55+(Parametros!$E$33*1000*C55-Parametros!$E$34*1000*B55)/(3*(B55^2+C55^2))</f>
        <v>-5.9066780175931406</v>
      </c>
      <c r="J55" s="18">
        <f>L55+(Parametros!$E$33*1000*D55+Parametros!$E$34*1000*E55)/(3*(D55^2+E55^2))</f>
        <v>9.7847389011361461</v>
      </c>
      <c r="K55" s="18">
        <f>M55+(Parametros!$E$33*1000*E55-Parametros!$E$34*1000*D55)/(3*(D55^2+E55^2))</f>
        <v>-5.7641236957587072</v>
      </c>
      <c r="L55" s="18">
        <f>(Demanda!$G$21*1000*F55+Demanda!$G$24*1000*G55)/(3*(F55^2+G55^2))</f>
        <v>9.7638638522525589</v>
      </c>
      <c r="M55" s="18">
        <f>(Demanda!$G$21*1000*G55-Demanda!$G$24*1000*F55)/(3*(F55^2+G55^2))</f>
        <v>-5.619822329251666</v>
      </c>
      <c r="N55" s="18">
        <f>SQRT(F55^2+G55^2)*SQRT(3)*Parametros!$E$29/(Parametros!$E$27*1000)</f>
        <v>371.06662970623142</v>
      </c>
      <c r="O55" s="18">
        <f t="shared" si="2"/>
        <v>11.356330276256235</v>
      </c>
      <c r="P55" s="18">
        <f>3*O55^2*Electrico!$B$10/1000</f>
        <v>2.1018539745635891</v>
      </c>
      <c r="Q55" s="18">
        <f t="shared" si="3"/>
        <v>0</v>
      </c>
    </row>
    <row r="56" spans="1:17" ht="21" customHeight="1">
      <c r="A56" s="1">
        <v>49</v>
      </c>
      <c r="B56" s="18">
        <f>0.7*(Electrico!$B$18-Electrico!$B$16*H55+Electrico!$B$17*I55)+0.3*B55</f>
        <v>5874.8431973816569</v>
      </c>
      <c r="C56" s="18">
        <f>0.7*(-Electrico!$B$16*I55-Electrico!$B$17*H55)+0.3*C55</f>
        <v>-200.9519339345629</v>
      </c>
      <c r="D56" s="18">
        <f>0.7*(Electrico!$B$18-Electrico!$B$16*H55+Electrico!$B$17*I55-Electrico!$B$10*J55+Electrico!$B$11*K55)+0.3*D55</f>
        <v>5803.8673311192733</v>
      </c>
      <c r="E56" s="18">
        <f>0.7*(-Electrico!$B$16*I55-Electrico!$B$17*H55-Electrico!$B$10*K55-Electrico!$B$11*J55)+0.3*E55</f>
        <v>-199.88712821807059</v>
      </c>
      <c r="F56" s="18">
        <f>0.7*(Electrico!$B$18-Electrico!$B$16*H55+Electrico!$B$17*I55-Electrico!$B$10*J55+Electrico!$B$11*K55-Electrico!$B$16*L55+Electrico!$B$17*M55)+0.3*F55</f>
        <v>5623.4746073582428</v>
      </c>
      <c r="G56" s="18">
        <f>0.7*(-Electrico!$B$16*I55-Electrico!$B$17*H55-Electrico!$B$10*K55-Electrico!$B$11*J55-Electrico!$B$16*M55-Electrico!$B$17*L55)+0.3*G55</f>
        <v>-401.2866288345823</v>
      </c>
      <c r="H56" s="18">
        <f>J56+(Parametros!$E$33*1000*B56+Parametros!$E$34*1000*C56)/(3*(B56^2+C56^2))</f>
        <v>9.8053953559996092</v>
      </c>
      <c r="I56" s="18">
        <f>K56+(Parametros!$E$33*1000*C56-Parametros!$E$34*1000*B56)/(3*(B56^2+C56^2))</f>
        <v>-5.9066780175931406</v>
      </c>
      <c r="J56" s="18">
        <f>L56+(Parametros!$E$33*1000*D56+Parametros!$E$34*1000*E56)/(3*(D56^2+E56^2))</f>
        <v>9.7847389011361461</v>
      </c>
      <c r="K56" s="18">
        <f>M56+(Parametros!$E$33*1000*E56-Parametros!$E$34*1000*D56)/(3*(D56^2+E56^2))</f>
        <v>-5.7641236957587072</v>
      </c>
      <c r="L56" s="18">
        <f>(Demanda!$G$21*1000*F56+Demanda!$G$24*1000*G56)/(3*(F56^2+G56^2))</f>
        <v>9.7638638522525589</v>
      </c>
      <c r="M56" s="18">
        <f>(Demanda!$G$21*1000*G56-Demanda!$G$24*1000*F56)/(3*(F56^2+G56^2))</f>
        <v>-5.619822329251666</v>
      </c>
      <c r="N56" s="18">
        <f>SQRT(F56^2+G56^2)*SQRT(3)*Parametros!$E$29/(Parametros!$E$27*1000)</f>
        <v>371.06662970623142</v>
      </c>
      <c r="O56" s="18">
        <f t="shared" si="2"/>
        <v>11.356330276256235</v>
      </c>
      <c r="P56" s="18">
        <f>3*O56^2*Electrico!$B$10/1000</f>
        <v>2.1018539745635891</v>
      </c>
      <c r="Q56" s="18">
        <f t="shared" si="3"/>
        <v>0</v>
      </c>
    </row>
    <row r="57" spans="1:17" ht="21" customHeight="1">
      <c r="A57" s="1">
        <v>50</v>
      </c>
      <c r="B57" s="18">
        <f>0.7*(Electrico!$B$18-Electrico!$B$16*H56+Electrico!$B$17*I56)+0.3*B56</f>
        <v>5874.8431973816569</v>
      </c>
      <c r="C57" s="18">
        <f>0.7*(-Electrico!$B$16*I56-Electrico!$B$17*H56)+0.3*C56</f>
        <v>-200.9519339345629</v>
      </c>
      <c r="D57" s="18">
        <f>0.7*(Electrico!$B$18-Electrico!$B$16*H56+Electrico!$B$17*I56-Electrico!$B$10*J56+Electrico!$B$11*K56)+0.3*D56</f>
        <v>5803.8673311192733</v>
      </c>
      <c r="E57" s="18">
        <f>0.7*(-Electrico!$B$16*I56-Electrico!$B$17*H56-Electrico!$B$10*K56-Electrico!$B$11*J56)+0.3*E56</f>
        <v>-199.88712821807059</v>
      </c>
      <c r="F57" s="18">
        <f>0.7*(Electrico!$B$18-Electrico!$B$16*H56+Electrico!$B$17*I56-Electrico!$B$10*J56+Electrico!$B$11*K56-Electrico!$B$16*L56+Electrico!$B$17*M56)+0.3*F56</f>
        <v>5623.4746073582428</v>
      </c>
      <c r="G57" s="18">
        <f>0.7*(-Electrico!$B$16*I56-Electrico!$B$17*H56-Electrico!$B$10*K56-Electrico!$B$11*J56-Electrico!$B$16*M56-Electrico!$B$17*L56)+0.3*G56</f>
        <v>-401.2866288345823</v>
      </c>
      <c r="H57" s="18">
        <f>J57+(Parametros!$E$33*1000*B57+Parametros!$E$34*1000*C57)/(3*(B57^2+C57^2))</f>
        <v>9.8053953559996092</v>
      </c>
      <c r="I57" s="18">
        <f>K57+(Parametros!$E$33*1000*C57-Parametros!$E$34*1000*B57)/(3*(B57^2+C57^2))</f>
        <v>-5.9066780175931406</v>
      </c>
      <c r="J57" s="18">
        <f>L57+(Parametros!$E$33*1000*D57+Parametros!$E$34*1000*E57)/(3*(D57^2+E57^2))</f>
        <v>9.7847389011361461</v>
      </c>
      <c r="K57" s="18">
        <f>M57+(Parametros!$E$33*1000*E57-Parametros!$E$34*1000*D57)/(3*(D57^2+E57^2))</f>
        <v>-5.7641236957587072</v>
      </c>
      <c r="L57" s="18">
        <f>(Demanda!$G$21*1000*F57+Demanda!$G$24*1000*G57)/(3*(F57^2+G57^2))</f>
        <v>9.7638638522525589</v>
      </c>
      <c r="M57" s="18">
        <f>(Demanda!$G$21*1000*G57-Demanda!$G$24*1000*F57)/(3*(F57^2+G57^2))</f>
        <v>-5.619822329251666</v>
      </c>
      <c r="N57" s="18">
        <f>SQRT(F57^2+G57^2)*SQRT(3)*Parametros!$E$29/(Parametros!$E$27*1000)</f>
        <v>371.06662970623142</v>
      </c>
      <c r="O57" s="18">
        <f t="shared" si="2"/>
        <v>11.356330276256235</v>
      </c>
      <c r="P57" s="18">
        <f>3*O57^2*Electrico!$B$10/1000</f>
        <v>2.1018539745635891</v>
      </c>
      <c r="Q57" s="18">
        <f t="shared" si="3"/>
        <v>0</v>
      </c>
    </row>
    <row r="58" spans="1:17" ht="21" customHeight="1">
      <c r="A58" s="1">
        <v>51</v>
      </c>
      <c r="B58" s="18">
        <f>0.7*(Electrico!$B$18-Electrico!$B$16*H57+Electrico!$B$17*I57)+0.3*B57</f>
        <v>5874.8431973816569</v>
      </c>
      <c r="C58" s="18">
        <f>0.7*(-Electrico!$B$16*I57-Electrico!$B$17*H57)+0.3*C57</f>
        <v>-200.9519339345629</v>
      </c>
      <c r="D58" s="18">
        <f>0.7*(Electrico!$B$18-Electrico!$B$16*H57+Electrico!$B$17*I57-Electrico!$B$10*J57+Electrico!$B$11*K57)+0.3*D57</f>
        <v>5803.8673311192733</v>
      </c>
      <c r="E58" s="18">
        <f>0.7*(-Electrico!$B$16*I57-Electrico!$B$17*H57-Electrico!$B$10*K57-Electrico!$B$11*J57)+0.3*E57</f>
        <v>-199.88712821807059</v>
      </c>
      <c r="F58" s="18">
        <f>0.7*(Electrico!$B$18-Electrico!$B$16*H57+Electrico!$B$17*I57-Electrico!$B$10*J57+Electrico!$B$11*K57-Electrico!$B$16*L57+Electrico!$B$17*M57)+0.3*F57</f>
        <v>5623.4746073582428</v>
      </c>
      <c r="G58" s="18">
        <f>0.7*(-Electrico!$B$16*I57-Electrico!$B$17*H57-Electrico!$B$10*K57-Electrico!$B$11*J57-Electrico!$B$16*M57-Electrico!$B$17*L57)+0.3*G57</f>
        <v>-401.2866288345823</v>
      </c>
      <c r="H58" s="18">
        <f>J58+(Parametros!$E$33*1000*B58+Parametros!$E$34*1000*C58)/(3*(B58^2+C58^2))</f>
        <v>9.8053953559996092</v>
      </c>
      <c r="I58" s="18">
        <f>K58+(Parametros!$E$33*1000*C58-Parametros!$E$34*1000*B58)/(3*(B58^2+C58^2))</f>
        <v>-5.9066780175931406</v>
      </c>
      <c r="J58" s="18">
        <f>L58+(Parametros!$E$33*1000*D58+Parametros!$E$34*1000*E58)/(3*(D58^2+E58^2))</f>
        <v>9.7847389011361461</v>
      </c>
      <c r="K58" s="18">
        <f>M58+(Parametros!$E$33*1000*E58-Parametros!$E$34*1000*D58)/(3*(D58^2+E58^2))</f>
        <v>-5.7641236957587072</v>
      </c>
      <c r="L58" s="18">
        <f>(Demanda!$G$21*1000*F58+Demanda!$G$24*1000*G58)/(3*(F58^2+G58^2))</f>
        <v>9.7638638522525589</v>
      </c>
      <c r="M58" s="18">
        <f>(Demanda!$G$21*1000*G58-Demanda!$G$24*1000*F58)/(3*(F58^2+G58^2))</f>
        <v>-5.619822329251666</v>
      </c>
      <c r="N58" s="18">
        <f>SQRT(F58^2+G58^2)*SQRT(3)*Parametros!$E$29/(Parametros!$E$27*1000)</f>
        <v>371.06662970623142</v>
      </c>
      <c r="O58" s="18">
        <f t="shared" si="2"/>
        <v>11.356330276256235</v>
      </c>
      <c r="P58" s="18">
        <f>3*O58^2*Electrico!$B$10/1000</f>
        <v>2.1018539745635891</v>
      </c>
      <c r="Q58" s="18">
        <f t="shared" si="3"/>
        <v>0</v>
      </c>
    </row>
    <row r="59" spans="1:17" ht="21" customHeight="1">
      <c r="A59" s="1">
        <v>52</v>
      </c>
      <c r="B59" s="18">
        <f>0.7*(Electrico!$B$18-Electrico!$B$16*H58+Electrico!$B$17*I58)+0.3*B58</f>
        <v>5874.8431973816569</v>
      </c>
      <c r="C59" s="18">
        <f>0.7*(-Electrico!$B$16*I58-Electrico!$B$17*H58)+0.3*C58</f>
        <v>-200.9519339345629</v>
      </c>
      <c r="D59" s="18">
        <f>0.7*(Electrico!$B$18-Electrico!$B$16*H58+Electrico!$B$17*I58-Electrico!$B$10*J58+Electrico!$B$11*K58)+0.3*D58</f>
        <v>5803.8673311192733</v>
      </c>
      <c r="E59" s="18">
        <f>0.7*(-Electrico!$B$16*I58-Electrico!$B$17*H58-Electrico!$B$10*K58-Electrico!$B$11*J58)+0.3*E58</f>
        <v>-199.88712821807059</v>
      </c>
      <c r="F59" s="18">
        <f>0.7*(Electrico!$B$18-Electrico!$B$16*H58+Electrico!$B$17*I58-Electrico!$B$10*J58+Electrico!$B$11*K58-Electrico!$B$16*L58+Electrico!$B$17*M58)+0.3*F58</f>
        <v>5623.4746073582428</v>
      </c>
      <c r="G59" s="18">
        <f>0.7*(-Electrico!$B$16*I58-Electrico!$B$17*H58-Electrico!$B$10*K58-Electrico!$B$11*J58-Electrico!$B$16*M58-Electrico!$B$17*L58)+0.3*G58</f>
        <v>-401.2866288345823</v>
      </c>
      <c r="H59" s="18">
        <f>J59+(Parametros!$E$33*1000*B59+Parametros!$E$34*1000*C59)/(3*(B59^2+C59^2))</f>
        <v>9.8053953559996092</v>
      </c>
      <c r="I59" s="18">
        <f>K59+(Parametros!$E$33*1000*C59-Parametros!$E$34*1000*B59)/(3*(B59^2+C59^2))</f>
        <v>-5.9066780175931406</v>
      </c>
      <c r="J59" s="18">
        <f>L59+(Parametros!$E$33*1000*D59+Parametros!$E$34*1000*E59)/(3*(D59^2+E59^2))</f>
        <v>9.7847389011361461</v>
      </c>
      <c r="K59" s="18">
        <f>M59+(Parametros!$E$33*1000*E59-Parametros!$E$34*1000*D59)/(3*(D59^2+E59^2))</f>
        <v>-5.7641236957587072</v>
      </c>
      <c r="L59" s="18">
        <f>(Demanda!$G$21*1000*F59+Demanda!$G$24*1000*G59)/(3*(F59^2+G59^2))</f>
        <v>9.7638638522525589</v>
      </c>
      <c r="M59" s="18">
        <f>(Demanda!$G$21*1000*G59-Demanda!$G$24*1000*F59)/(3*(F59^2+G59^2))</f>
        <v>-5.619822329251666</v>
      </c>
      <c r="N59" s="18">
        <f>SQRT(F59^2+G59^2)*SQRT(3)*Parametros!$E$29/(Parametros!$E$27*1000)</f>
        <v>371.06662970623142</v>
      </c>
      <c r="O59" s="18">
        <f t="shared" si="2"/>
        <v>11.356330276256235</v>
      </c>
      <c r="P59" s="18">
        <f>3*O59^2*Electrico!$B$10/1000</f>
        <v>2.1018539745635891</v>
      </c>
      <c r="Q59" s="18">
        <f t="shared" si="3"/>
        <v>0</v>
      </c>
    </row>
    <row r="60" spans="1:17" ht="21" customHeight="1">
      <c r="A60" s="1">
        <v>53</v>
      </c>
      <c r="B60" s="18">
        <f>0.7*(Electrico!$B$18-Electrico!$B$16*H59+Electrico!$B$17*I59)+0.3*B59</f>
        <v>5874.8431973816569</v>
      </c>
      <c r="C60" s="18">
        <f>0.7*(-Electrico!$B$16*I59-Electrico!$B$17*H59)+0.3*C59</f>
        <v>-200.9519339345629</v>
      </c>
      <c r="D60" s="18">
        <f>0.7*(Electrico!$B$18-Electrico!$B$16*H59+Electrico!$B$17*I59-Electrico!$B$10*J59+Electrico!$B$11*K59)+0.3*D59</f>
        <v>5803.8673311192733</v>
      </c>
      <c r="E60" s="18">
        <f>0.7*(-Electrico!$B$16*I59-Electrico!$B$17*H59-Electrico!$B$10*K59-Electrico!$B$11*J59)+0.3*E59</f>
        <v>-199.88712821807059</v>
      </c>
      <c r="F60" s="18">
        <f>0.7*(Electrico!$B$18-Electrico!$B$16*H59+Electrico!$B$17*I59-Electrico!$B$10*J59+Electrico!$B$11*K59-Electrico!$B$16*L59+Electrico!$B$17*M59)+0.3*F59</f>
        <v>5623.4746073582428</v>
      </c>
      <c r="G60" s="18">
        <f>0.7*(-Electrico!$B$16*I59-Electrico!$B$17*H59-Electrico!$B$10*K59-Electrico!$B$11*J59-Electrico!$B$16*M59-Electrico!$B$17*L59)+0.3*G59</f>
        <v>-401.2866288345823</v>
      </c>
      <c r="H60" s="18">
        <f>J60+(Parametros!$E$33*1000*B60+Parametros!$E$34*1000*C60)/(3*(B60^2+C60^2))</f>
        <v>9.8053953559996092</v>
      </c>
      <c r="I60" s="18">
        <f>K60+(Parametros!$E$33*1000*C60-Parametros!$E$34*1000*B60)/(3*(B60^2+C60^2))</f>
        <v>-5.9066780175931406</v>
      </c>
      <c r="J60" s="18">
        <f>L60+(Parametros!$E$33*1000*D60+Parametros!$E$34*1000*E60)/(3*(D60^2+E60^2))</f>
        <v>9.7847389011361461</v>
      </c>
      <c r="K60" s="18">
        <f>M60+(Parametros!$E$33*1000*E60-Parametros!$E$34*1000*D60)/(3*(D60^2+E60^2))</f>
        <v>-5.7641236957587072</v>
      </c>
      <c r="L60" s="18">
        <f>(Demanda!$G$21*1000*F60+Demanda!$G$24*1000*G60)/(3*(F60^2+G60^2))</f>
        <v>9.7638638522525589</v>
      </c>
      <c r="M60" s="18">
        <f>(Demanda!$G$21*1000*G60-Demanda!$G$24*1000*F60)/(3*(F60^2+G60^2))</f>
        <v>-5.619822329251666</v>
      </c>
      <c r="N60" s="18">
        <f>SQRT(F60^2+G60^2)*SQRT(3)*Parametros!$E$29/(Parametros!$E$27*1000)</f>
        <v>371.06662970623142</v>
      </c>
      <c r="O60" s="18">
        <f t="shared" si="2"/>
        <v>11.356330276256235</v>
      </c>
      <c r="P60" s="18">
        <f>3*O60^2*Electrico!$B$10/1000</f>
        <v>2.1018539745635891</v>
      </c>
      <c r="Q60" s="18">
        <f t="shared" si="3"/>
        <v>0</v>
      </c>
    </row>
    <row r="61" spans="1:17" ht="21" customHeight="1">
      <c r="A61" s="1">
        <v>54</v>
      </c>
      <c r="B61" s="18">
        <f>0.7*(Electrico!$B$18-Electrico!$B$16*H60+Electrico!$B$17*I60)+0.3*B60</f>
        <v>5874.8431973816569</v>
      </c>
      <c r="C61" s="18">
        <f>0.7*(-Electrico!$B$16*I60-Electrico!$B$17*H60)+0.3*C60</f>
        <v>-200.9519339345629</v>
      </c>
      <c r="D61" s="18">
        <f>0.7*(Electrico!$B$18-Electrico!$B$16*H60+Electrico!$B$17*I60-Electrico!$B$10*J60+Electrico!$B$11*K60)+0.3*D60</f>
        <v>5803.8673311192733</v>
      </c>
      <c r="E61" s="18">
        <f>0.7*(-Electrico!$B$16*I60-Electrico!$B$17*H60-Electrico!$B$10*K60-Electrico!$B$11*J60)+0.3*E60</f>
        <v>-199.88712821807059</v>
      </c>
      <c r="F61" s="18">
        <f>0.7*(Electrico!$B$18-Electrico!$B$16*H60+Electrico!$B$17*I60-Electrico!$B$10*J60+Electrico!$B$11*K60-Electrico!$B$16*L60+Electrico!$B$17*M60)+0.3*F60</f>
        <v>5623.4746073582428</v>
      </c>
      <c r="G61" s="18">
        <f>0.7*(-Electrico!$B$16*I60-Electrico!$B$17*H60-Electrico!$B$10*K60-Electrico!$B$11*J60-Electrico!$B$16*M60-Electrico!$B$17*L60)+0.3*G60</f>
        <v>-401.2866288345823</v>
      </c>
      <c r="H61" s="18">
        <f>J61+(Parametros!$E$33*1000*B61+Parametros!$E$34*1000*C61)/(3*(B61^2+C61^2))</f>
        <v>9.8053953559996092</v>
      </c>
      <c r="I61" s="18">
        <f>K61+(Parametros!$E$33*1000*C61-Parametros!$E$34*1000*B61)/(3*(B61^2+C61^2))</f>
        <v>-5.9066780175931406</v>
      </c>
      <c r="J61" s="18">
        <f>L61+(Parametros!$E$33*1000*D61+Parametros!$E$34*1000*E61)/(3*(D61^2+E61^2))</f>
        <v>9.7847389011361461</v>
      </c>
      <c r="K61" s="18">
        <f>M61+(Parametros!$E$33*1000*E61-Parametros!$E$34*1000*D61)/(3*(D61^2+E61^2))</f>
        <v>-5.7641236957587072</v>
      </c>
      <c r="L61" s="18">
        <f>(Demanda!$G$21*1000*F61+Demanda!$G$24*1000*G61)/(3*(F61^2+G61^2))</f>
        <v>9.7638638522525589</v>
      </c>
      <c r="M61" s="18">
        <f>(Demanda!$G$21*1000*G61-Demanda!$G$24*1000*F61)/(3*(F61^2+G61^2))</f>
        <v>-5.619822329251666</v>
      </c>
      <c r="N61" s="18">
        <f>SQRT(F61^2+G61^2)*SQRT(3)*Parametros!$E$29/(Parametros!$E$27*1000)</f>
        <v>371.06662970623142</v>
      </c>
      <c r="O61" s="18">
        <f t="shared" si="2"/>
        <v>11.356330276256235</v>
      </c>
      <c r="P61" s="18">
        <f>3*O61^2*Electrico!$B$10/1000</f>
        <v>2.1018539745635891</v>
      </c>
      <c r="Q61" s="18">
        <f t="shared" si="3"/>
        <v>0</v>
      </c>
    </row>
    <row r="62" spans="1:17" ht="21" customHeight="1">
      <c r="A62" s="1">
        <v>55</v>
      </c>
      <c r="B62" s="18">
        <f>0.7*(Electrico!$B$18-Electrico!$B$16*H61+Electrico!$B$17*I61)+0.3*B61</f>
        <v>5874.8431973816569</v>
      </c>
      <c r="C62" s="18">
        <f>0.7*(-Electrico!$B$16*I61-Electrico!$B$17*H61)+0.3*C61</f>
        <v>-200.9519339345629</v>
      </c>
      <c r="D62" s="18">
        <f>0.7*(Electrico!$B$18-Electrico!$B$16*H61+Electrico!$B$17*I61-Electrico!$B$10*J61+Electrico!$B$11*K61)+0.3*D61</f>
        <v>5803.8673311192733</v>
      </c>
      <c r="E62" s="18">
        <f>0.7*(-Electrico!$B$16*I61-Electrico!$B$17*H61-Electrico!$B$10*K61-Electrico!$B$11*J61)+0.3*E61</f>
        <v>-199.88712821807059</v>
      </c>
      <c r="F62" s="18">
        <f>0.7*(Electrico!$B$18-Electrico!$B$16*H61+Electrico!$B$17*I61-Electrico!$B$10*J61+Electrico!$B$11*K61-Electrico!$B$16*L61+Electrico!$B$17*M61)+0.3*F61</f>
        <v>5623.4746073582428</v>
      </c>
      <c r="G62" s="18">
        <f>0.7*(-Electrico!$B$16*I61-Electrico!$B$17*H61-Electrico!$B$10*K61-Electrico!$B$11*J61-Electrico!$B$16*M61-Electrico!$B$17*L61)+0.3*G61</f>
        <v>-401.2866288345823</v>
      </c>
      <c r="H62" s="18">
        <f>J62+(Parametros!$E$33*1000*B62+Parametros!$E$34*1000*C62)/(3*(B62^2+C62^2))</f>
        <v>9.8053953559996092</v>
      </c>
      <c r="I62" s="18">
        <f>K62+(Parametros!$E$33*1000*C62-Parametros!$E$34*1000*B62)/(3*(B62^2+C62^2))</f>
        <v>-5.9066780175931406</v>
      </c>
      <c r="J62" s="18">
        <f>L62+(Parametros!$E$33*1000*D62+Parametros!$E$34*1000*E62)/(3*(D62^2+E62^2))</f>
        <v>9.7847389011361461</v>
      </c>
      <c r="K62" s="18">
        <f>M62+(Parametros!$E$33*1000*E62-Parametros!$E$34*1000*D62)/(3*(D62^2+E62^2))</f>
        <v>-5.7641236957587072</v>
      </c>
      <c r="L62" s="18">
        <f>(Demanda!$G$21*1000*F62+Demanda!$G$24*1000*G62)/(3*(F62^2+G62^2))</f>
        <v>9.7638638522525589</v>
      </c>
      <c r="M62" s="18">
        <f>(Demanda!$G$21*1000*G62-Demanda!$G$24*1000*F62)/(3*(F62^2+G62^2))</f>
        <v>-5.619822329251666</v>
      </c>
      <c r="N62" s="18">
        <f>SQRT(F62^2+G62^2)*SQRT(3)*Parametros!$E$29/(Parametros!$E$27*1000)</f>
        <v>371.06662970623142</v>
      </c>
      <c r="O62" s="18">
        <f t="shared" si="2"/>
        <v>11.356330276256235</v>
      </c>
      <c r="P62" s="18">
        <f>3*O62^2*Electrico!$B$10/1000</f>
        <v>2.1018539745635891</v>
      </c>
      <c r="Q62" s="18">
        <f t="shared" si="3"/>
        <v>0</v>
      </c>
    </row>
    <row r="63" spans="1:17" ht="21" customHeight="1">
      <c r="A63" s="1">
        <v>56</v>
      </c>
      <c r="B63" s="18">
        <f>0.7*(Electrico!$B$18-Electrico!$B$16*H62+Electrico!$B$17*I62)+0.3*B62</f>
        <v>5874.8431973816569</v>
      </c>
      <c r="C63" s="18">
        <f>0.7*(-Electrico!$B$16*I62-Electrico!$B$17*H62)+0.3*C62</f>
        <v>-200.9519339345629</v>
      </c>
      <c r="D63" s="18">
        <f>0.7*(Electrico!$B$18-Electrico!$B$16*H62+Electrico!$B$17*I62-Electrico!$B$10*J62+Electrico!$B$11*K62)+0.3*D62</f>
        <v>5803.8673311192733</v>
      </c>
      <c r="E63" s="18">
        <f>0.7*(-Electrico!$B$16*I62-Electrico!$B$17*H62-Electrico!$B$10*K62-Electrico!$B$11*J62)+0.3*E62</f>
        <v>-199.88712821807059</v>
      </c>
      <c r="F63" s="18">
        <f>0.7*(Electrico!$B$18-Electrico!$B$16*H62+Electrico!$B$17*I62-Electrico!$B$10*J62+Electrico!$B$11*K62-Electrico!$B$16*L62+Electrico!$B$17*M62)+0.3*F62</f>
        <v>5623.4746073582428</v>
      </c>
      <c r="G63" s="18">
        <f>0.7*(-Electrico!$B$16*I62-Electrico!$B$17*H62-Electrico!$B$10*K62-Electrico!$B$11*J62-Electrico!$B$16*M62-Electrico!$B$17*L62)+0.3*G62</f>
        <v>-401.2866288345823</v>
      </c>
      <c r="H63" s="18">
        <f>J63+(Parametros!$E$33*1000*B63+Parametros!$E$34*1000*C63)/(3*(B63^2+C63^2))</f>
        <v>9.8053953559996092</v>
      </c>
      <c r="I63" s="18">
        <f>K63+(Parametros!$E$33*1000*C63-Parametros!$E$34*1000*B63)/(3*(B63^2+C63^2))</f>
        <v>-5.9066780175931406</v>
      </c>
      <c r="J63" s="18">
        <f>L63+(Parametros!$E$33*1000*D63+Parametros!$E$34*1000*E63)/(3*(D63^2+E63^2))</f>
        <v>9.7847389011361461</v>
      </c>
      <c r="K63" s="18">
        <f>M63+(Parametros!$E$33*1000*E63-Parametros!$E$34*1000*D63)/(3*(D63^2+E63^2))</f>
        <v>-5.7641236957587072</v>
      </c>
      <c r="L63" s="18">
        <f>(Demanda!$G$21*1000*F63+Demanda!$G$24*1000*G63)/(3*(F63^2+G63^2))</f>
        <v>9.7638638522525589</v>
      </c>
      <c r="M63" s="18">
        <f>(Demanda!$G$21*1000*G63-Demanda!$G$24*1000*F63)/(3*(F63^2+G63^2))</f>
        <v>-5.619822329251666</v>
      </c>
      <c r="N63" s="18">
        <f>SQRT(F63^2+G63^2)*SQRT(3)*Parametros!$E$29/(Parametros!$E$27*1000)</f>
        <v>371.06662970623142</v>
      </c>
      <c r="O63" s="18">
        <f t="shared" si="2"/>
        <v>11.356330276256235</v>
      </c>
      <c r="P63" s="18">
        <f>3*O63^2*Electrico!$B$10/1000</f>
        <v>2.1018539745635891</v>
      </c>
      <c r="Q63" s="18">
        <f t="shared" si="3"/>
        <v>0</v>
      </c>
    </row>
    <row r="64" spans="1:17" ht="21" customHeight="1">
      <c r="A64" s="1">
        <v>57</v>
      </c>
      <c r="B64" s="18">
        <f>0.7*(Electrico!$B$18-Electrico!$B$16*H63+Electrico!$B$17*I63)+0.3*B63</f>
        <v>5874.8431973816569</v>
      </c>
      <c r="C64" s="18">
        <f>0.7*(-Electrico!$B$16*I63-Electrico!$B$17*H63)+0.3*C63</f>
        <v>-200.9519339345629</v>
      </c>
      <c r="D64" s="18">
        <f>0.7*(Electrico!$B$18-Electrico!$B$16*H63+Electrico!$B$17*I63-Electrico!$B$10*J63+Electrico!$B$11*K63)+0.3*D63</f>
        <v>5803.8673311192733</v>
      </c>
      <c r="E64" s="18">
        <f>0.7*(-Electrico!$B$16*I63-Electrico!$B$17*H63-Electrico!$B$10*K63-Electrico!$B$11*J63)+0.3*E63</f>
        <v>-199.88712821807059</v>
      </c>
      <c r="F64" s="18">
        <f>0.7*(Electrico!$B$18-Electrico!$B$16*H63+Electrico!$B$17*I63-Electrico!$B$10*J63+Electrico!$B$11*K63-Electrico!$B$16*L63+Electrico!$B$17*M63)+0.3*F63</f>
        <v>5623.4746073582428</v>
      </c>
      <c r="G64" s="18">
        <f>0.7*(-Electrico!$B$16*I63-Electrico!$B$17*H63-Electrico!$B$10*K63-Electrico!$B$11*J63-Electrico!$B$16*M63-Electrico!$B$17*L63)+0.3*G63</f>
        <v>-401.2866288345823</v>
      </c>
      <c r="H64" s="18">
        <f>J64+(Parametros!$E$33*1000*B64+Parametros!$E$34*1000*C64)/(3*(B64^2+C64^2))</f>
        <v>9.8053953559996092</v>
      </c>
      <c r="I64" s="18">
        <f>K64+(Parametros!$E$33*1000*C64-Parametros!$E$34*1000*B64)/(3*(B64^2+C64^2))</f>
        <v>-5.9066780175931406</v>
      </c>
      <c r="J64" s="18">
        <f>L64+(Parametros!$E$33*1000*D64+Parametros!$E$34*1000*E64)/(3*(D64^2+E64^2))</f>
        <v>9.7847389011361461</v>
      </c>
      <c r="K64" s="18">
        <f>M64+(Parametros!$E$33*1000*E64-Parametros!$E$34*1000*D64)/(3*(D64^2+E64^2))</f>
        <v>-5.7641236957587072</v>
      </c>
      <c r="L64" s="18">
        <f>(Demanda!$G$21*1000*F64+Demanda!$G$24*1000*G64)/(3*(F64^2+G64^2))</f>
        <v>9.7638638522525589</v>
      </c>
      <c r="M64" s="18">
        <f>(Demanda!$G$21*1000*G64-Demanda!$G$24*1000*F64)/(3*(F64^2+G64^2))</f>
        <v>-5.619822329251666</v>
      </c>
      <c r="N64" s="18">
        <f>SQRT(F64^2+G64^2)*SQRT(3)*Parametros!$E$29/(Parametros!$E$27*1000)</f>
        <v>371.06662970623142</v>
      </c>
      <c r="O64" s="18">
        <f t="shared" si="2"/>
        <v>11.356330276256235</v>
      </c>
      <c r="P64" s="18">
        <f>3*O64^2*Electrico!$B$10/1000</f>
        <v>2.1018539745635891</v>
      </c>
      <c r="Q64" s="18">
        <f t="shared" si="3"/>
        <v>0</v>
      </c>
    </row>
    <row r="65" spans="1:17" ht="21" customHeight="1">
      <c r="A65" s="1">
        <v>58</v>
      </c>
      <c r="B65" s="18">
        <f>0.7*(Electrico!$B$18-Electrico!$B$16*H64+Electrico!$B$17*I64)+0.3*B64</f>
        <v>5874.8431973816569</v>
      </c>
      <c r="C65" s="18">
        <f>0.7*(-Electrico!$B$16*I64-Electrico!$B$17*H64)+0.3*C64</f>
        <v>-200.9519339345629</v>
      </c>
      <c r="D65" s="18">
        <f>0.7*(Electrico!$B$18-Electrico!$B$16*H64+Electrico!$B$17*I64-Electrico!$B$10*J64+Electrico!$B$11*K64)+0.3*D64</f>
        <v>5803.8673311192733</v>
      </c>
      <c r="E65" s="18">
        <f>0.7*(-Electrico!$B$16*I64-Electrico!$B$17*H64-Electrico!$B$10*K64-Electrico!$B$11*J64)+0.3*E64</f>
        <v>-199.88712821807059</v>
      </c>
      <c r="F65" s="18">
        <f>0.7*(Electrico!$B$18-Electrico!$B$16*H64+Electrico!$B$17*I64-Electrico!$B$10*J64+Electrico!$B$11*K64-Electrico!$B$16*L64+Electrico!$B$17*M64)+0.3*F64</f>
        <v>5623.4746073582428</v>
      </c>
      <c r="G65" s="18">
        <f>0.7*(-Electrico!$B$16*I64-Electrico!$B$17*H64-Electrico!$B$10*K64-Electrico!$B$11*J64-Electrico!$B$16*M64-Electrico!$B$17*L64)+0.3*G64</f>
        <v>-401.2866288345823</v>
      </c>
      <c r="H65" s="18">
        <f>J65+(Parametros!$E$33*1000*B65+Parametros!$E$34*1000*C65)/(3*(B65^2+C65^2))</f>
        <v>9.8053953559996092</v>
      </c>
      <c r="I65" s="18">
        <f>K65+(Parametros!$E$33*1000*C65-Parametros!$E$34*1000*B65)/(3*(B65^2+C65^2))</f>
        <v>-5.9066780175931406</v>
      </c>
      <c r="J65" s="18">
        <f>L65+(Parametros!$E$33*1000*D65+Parametros!$E$34*1000*E65)/(3*(D65^2+E65^2))</f>
        <v>9.7847389011361461</v>
      </c>
      <c r="K65" s="18">
        <f>M65+(Parametros!$E$33*1000*E65-Parametros!$E$34*1000*D65)/(3*(D65^2+E65^2))</f>
        <v>-5.7641236957587072</v>
      </c>
      <c r="L65" s="18">
        <f>(Demanda!$G$21*1000*F65+Demanda!$G$24*1000*G65)/(3*(F65^2+G65^2))</f>
        <v>9.7638638522525589</v>
      </c>
      <c r="M65" s="18">
        <f>(Demanda!$G$21*1000*G65-Demanda!$G$24*1000*F65)/(3*(F65^2+G65^2))</f>
        <v>-5.619822329251666</v>
      </c>
      <c r="N65" s="18">
        <f>SQRT(F65^2+G65^2)*SQRT(3)*Parametros!$E$29/(Parametros!$E$27*1000)</f>
        <v>371.06662970623142</v>
      </c>
      <c r="O65" s="18">
        <f t="shared" si="2"/>
        <v>11.356330276256235</v>
      </c>
      <c r="P65" s="18">
        <f>3*O65^2*Electrico!$B$10/1000</f>
        <v>2.1018539745635891</v>
      </c>
      <c r="Q65" s="18">
        <f t="shared" si="3"/>
        <v>0</v>
      </c>
    </row>
    <row r="66" spans="1:17" ht="21" customHeight="1">
      <c r="A66" s="7">
        <v>59</v>
      </c>
      <c r="B66" s="19">
        <f>0.7*(Electrico!$B$18-Electrico!$B$16*H65+Electrico!$B$17*I65)+0.3*B65</f>
        <v>5874.8431973816569</v>
      </c>
      <c r="C66" s="19">
        <f>0.7*(-Electrico!$B$16*I65-Electrico!$B$17*H65)+0.3*C65</f>
        <v>-200.9519339345629</v>
      </c>
      <c r="D66" s="19">
        <f>0.7*(Electrico!$B$18-Electrico!$B$16*H65+Electrico!$B$17*I65-Electrico!$B$10*J65+Electrico!$B$11*K65)+0.3*D65</f>
        <v>5803.8673311192733</v>
      </c>
      <c r="E66" s="19">
        <f>0.7*(-Electrico!$B$16*I65-Electrico!$B$17*H65-Electrico!$B$10*K65-Electrico!$B$11*J65)+0.3*E65</f>
        <v>-199.88712821807059</v>
      </c>
      <c r="F66" s="19">
        <f>0.7*(Electrico!$B$18-Electrico!$B$16*H65+Electrico!$B$17*I65-Electrico!$B$10*J65+Electrico!$B$11*K65-Electrico!$B$16*L65+Electrico!$B$17*M65)+0.3*F65</f>
        <v>5623.4746073582428</v>
      </c>
      <c r="G66" s="19">
        <f>0.7*(-Electrico!$B$16*I65-Electrico!$B$17*H65-Electrico!$B$10*K65-Electrico!$B$11*J65-Electrico!$B$16*M65-Electrico!$B$17*L65)+0.3*G65</f>
        <v>-401.2866288345823</v>
      </c>
      <c r="H66" s="19">
        <f>J66+(Parametros!$E$33*1000*B66+Parametros!$E$34*1000*C66)/(3*(B66^2+C66^2))</f>
        <v>9.8053953559996092</v>
      </c>
      <c r="I66" s="19">
        <f>K66+(Parametros!$E$33*1000*C66-Parametros!$E$34*1000*B66)/(3*(B66^2+C66^2))</f>
        <v>-5.9066780175931406</v>
      </c>
      <c r="J66" s="19">
        <f>L66+(Parametros!$E$33*1000*D66+Parametros!$E$34*1000*E66)/(3*(D66^2+E66^2))</f>
        <v>9.7847389011361461</v>
      </c>
      <c r="K66" s="19">
        <f>M66+(Parametros!$E$33*1000*E66-Parametros!$E$34*1000*D66)/(3*(D66^2+E66^2))</f>
        <v>-5.7641236957587072</v>
      </c>
      <c r="L66" s="19">
        <f>(Demanda!$G$21*1000*F66+Demanda!$G$24*1000*G66)/(3*(F66^2+G66^2))</f>
        <v>9.7638638522525589</v>
      </c>
      <c r="M66" s="19">
        <f>(Demanda!$G$21*1000*G66-Demanda!$G$24*1000*F66)/(3*(F66^2+G66^2))</f>
        <v>-5.619822329251666</v>
      </c>
      <c r="N66" s="19">
        <f>SQRT(F66^2+G66^2)*SQRT(3)*Parametros!$E$29/(Parametros!$E$27*1000)</f>
        <v>371.06662970623142</v>
      </c>
      <c r="O66" s="19">
        <f t="shared" si="2"/>
        <v>11.356330276256235</v>
      </c>
      <c r="P66" s="19">
        <f>3*O66^2*Electrico!$B$10/1000</f>
        <v>2.1018539745635891</v>
      </c>
      <c r="Q66" s="19">
        <f t="shared" si="3"/>
        <v>0</v>
      </c>
    </row>
    <row r="67" spans="1:17" ht="2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2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2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2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pageMargins left="0.39370078740157477" right="0.39370078740157477" top="0.55118110236220463" bottom="0.55118110236220463" header="0.3" footer="0.3"/>
  <pageSetup paperSize="8" scale="72" fitToHeight="0" orientation="landscape" r:id="rId1"/>
  <headerFooter>
    <oddFooter>&amp;CInstalaciones Eléctricas II | Aquiles Taylor Ramos Yapo | 227368&amp;RHoja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8"/>
  <sheetViews>
    <sheetView showGridLines="0" zoomScale="85" zoomScaleNormal="85" workbookViewId="0"/>
  </sheetViews>
  <sheetFormatPr baseColWidth="10" defaultColWidth="9" defaultRowHeight="14.25"/>
  <cols>
    <col min="1" max="1" width="18" customWidth="1"/>
    <col min="2" max="2" width="20" customWidth="1"/>
    <col min="3" max="3" width="19" customWidth="1"/>
    <col min="4" max="4" width="15" customWidth="1"/>
    <col min="5" max="6" width="16" customWidth="1"/>
    <col min="7" max="7" width="18" customWidth="1"/>
    <col min="8" max="8" width="19" customWidth="1"/>
  </cols>
  <sheetData>
    <row r="1" spans="1:8" ht="21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2" t="s">
        <v>158</v>
      </c>
      <c r="B2" s="2"/>
      <c r="C2" s="2"/>
      <c r="D2" s="2"/>
      <c r="E2" s="2"/>
      <c r="F2" s="2"/>
      <c r="G2" s="2"/>
      <c r="H2" s="2"/>
    </row>
    <row r="3" spans="1:8" ht="21" customHeight="1">
      <c r="A3" s="1"/>
      <c r="B3" s="1"/>
      <c r="C3" s="1"/>
      <c r="D3" s="1"/>
      <c r="E3" s="1"/>
      <c r="F3" s="1"/>
      <c r="G3" s="1"/>
      <c r="H3" s="1"/>
    </row>
    <row r="4" spans="1:8" ht="21" customHeight="1">
      <c r="A4" s="3"/>
      <c r="B4" s="3"/>
      <c r="C4" s="3"/>
      <c r="D4" s="3"/>
      <c r="E4" s="3"/>
      <c r="F4" s="3"/>
      <c r="G4" s="3"/>
      <c r="H4" s="3"/>
    </row>
    <row r="5" spans="1:8" ht="21" customHeight="1">
      <c r="A5" s="1"/>
      <c r="B5" s="1"/>
      <c r="C5" s="1"/>
      <c r="D5" s="1"/>
      <c r="E5" s="1"/>
      <c r="F5" s="1"/>
      <c r="G5" s="1"/>
      <c r="H5" s="1"/>
    </row>
    <row r="6" spans="1:8" ht="36" customHeight="1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163</v>
      </c>
      <c r="F6" s="4" t="s">
        <v>164</v>
      </c>
      <c r="G6" s="4" t="s">
        <v>165</v>
      </c>
      <c r="H6" s="4" t="s">
        <v>166</v>
      </c>
    </row>
    <row r="7" spans="1:8" ht="21" customHeight="1">
      <c r="A7" s="1" t="s">
        <v>167</v>
      </c>
      <c r="B7" s="1" t="s">
        <v>168</v>
      </c>
      <c r="C7" s="14">
        <f>Parametros!$E$38</f>
        <v>0.2</v>
      </c>
      <c r="D7" s="14">
        <f>Parametros!$E$27*1000</f>
        <v>10000</v>
      </c>
      <c r="E7" s="14">
        <f>Parametros!$E$37*Electrico!$B$15+1*Electrico!$B$16+0*Electrico!$B$10</f>
        <v>12.96</v>
      </c>
      <c r="F7" s="14">
        <f>C7*Electrico!$B$15+1*Electrico!$B$17+0*Electrico!$B$11</f>
        <v>103.48187386049078</v>
      </c>
      <c r="G7" s="14">
        <f t="shared" ref="G7:G15" si="0">SQRT(E7^2+F7^2)</f>
        <v>104.29026712823458</v>
      </c>
      <c r="H7" s="14">
        <f>D7/SQRT(3)/G7</f>
        <v>55.359937709213071</v>
      </c>
    </row>
    <row r="8" spans="1:8" ht="21" customHeight="1">
      <c r="A8" s="1" t="s">
        <v>167</v>
      </c>
      <c r="B8" s="1" t="s">
        <v>169</v>
      </c>
      <c r="C8" s="14">
        <f>Parametros!$E$38</f>
        <v>0.2</v>
      </c>
      <c r="D8" s="14">
        <f>Parametros!$E$27*1000</f>
        <v>10000</v>
      </c>
      <c r="E8" s="14">
        <f>Parametros!$E$37*Electrico!$B$15+1*Electrico!$B$16+1*Electrico!$B$10</f>
        <v>18.392569065774758</v>
      </c>
      <c r="F8" s="14">
        <f>C8*Electrico!$B$15+1*Electrico!$B$17+1*Electrico!$B$11</f>
        <v>106.57334054856697</v>
      </c>
      <c r="G8" s="14">
        <f t="shared" si="0"/>
        <v>108.14880264025176</v>
      </c>
      <c r="H8" s="14">
        <f>D8/SQRT(3)/G8</f>
        <v>53.384804555824324</v>
      </c>
    </row>
    <row r="9" spans="1:8" ht="21" customHeight="1">
      <c r="A9" s="1" t="s">
        <v>167</v>
      </c>
      <c r="B9" s="1" t="s">
        <v>170</v>
      </c>
      <c r="C9" s="14">
        <f>Parametros!$E$38</f>
        <v>0.2</v>
      </c>
      <c r="D9" s="14">
        <f>Parametros!$E$27*1000</f>
        <v>10000</v>
      </c>
      <c r="E9" s="14">
        <f>Parametros!$E$37*Electrico!$B$15+2*Electrico!$B$16+1*Electrico!$B$10</f>
        <v>23.352569065774759</v>
      </c>
      <c r="F9" s="14">
        <f>C9*Electrico!$B$15+2*Electrico!$B$17+1*Electrico!$B$11</f>
        <v>130.05521440905775</v>
      </c>
      <c r="G9" s="14">
        <f t="shared" si="0"/>
        <v>132.13516290888569</v>
      </c>
      <c r="H9" s="14">
        <f>D9/SQRT(3)/G9*D9/Parametros!$E$29</f>
        <v>1149.8398913728804</v>
      </c>
    </row>
    <row r="10" spans="1:8" ht="21" customHeight="1">
      <c r="A10" s="1" t="s">
        <v>171</v>
      </c>
      <c r="B10" s="1" t="s">
        <v>168</v>
      </c>
      <c r="C10" s="14">
        <f>Parametros!$E$39</f>
        <v>0.3</v>
      </c>
      <c r="D10" s="14">
        <f>Parametros!$E$27*1000</f>
        <v>10000</v>
      </c>
      <c r="E10" s="14">
        <f>Parametros!$E$37*Electrico!$B$15+1*Electrico!$B$16+0*Electrico!$B$10</f>
        <v>12.96</v>
      </c>
      <c r="F10" s="14">
        <f>C10*Electrico!$B$15+1*Electrico!$B$17+0*Electrico!$B$11</f>
        <v>143.48187386049077</v>
      </c>
      <c r="G10" s="14">
        <f t="shared" si="0"/>
        <v>144.06599087403586</v>
      </c>
      <c r="H10" s="14">
        <f>D10/SQRT(3)/G10</f>
        <v>40.075403340295082</v>
      </c>
    </row>
    <row r="11" spans="1:8" ht="21" customHeight="1">
      <c r="A11" s="1" t="s">
        <v>171</v>
      </c>
      <c r="B11" s="1" t="s">
        <v>169</v>
      </c>
      <c r="C11" s="14">
        <f>Parametros!$E$39</f>
        <v>0.3</v>
      </c>
      <c r="D11" s="14">
        <f>Parametros!$E$27*1000</f>
        <v>10000</v>
      </c>
      <c r="E11" s="14">
        <f>Parametros!$E$37*Electrico!$B$15+1*Electrico!$B$16+1*Electrico!$B$10</f>
        <v>18.392569065774758</v>
      </c>
      <c r="F11" s="14">
        <f>C11*Electrico!$B$15+1*Electrico!$B$17+1*Electrico!$B$11</f>
        <v>146.57334054856696</v>
      </c>
      <c r="G11" s="14">
        <f t="shared" si="0"/>
        <v>147.72281731812956</v>
      </c>
      <c r="H11" s="14">
        <f>D11/SQRT(3)/G11</f>
        <v>39.083350810069433</v>
      </c>
    </row>
    <row r="12" spans="1:8" ht="21" customHeight="1">
      <c r="A12" s="1" t="s">
        <v>171</v>
      </c>
      <c r="B12" s="1" t="s">
        <v>170</v>
      </c>
      <c r="C12" s="14">
        <f>Parametros!$E$39</f>
        <v>0.3</v>
      </c>
      <c r="D12" s="14">
        <f>Parametros!$E$27*1000</f>
        <v>10000</v>
      </c>
      <c r="E12" s="14">
        <f>Parametros!$E$37*Electrico!$B$15+2*Electrico!$B$16+1*Electrico!$B$10</f>
        <v>23.352569065774759</v>
      </c>
      <c r="F12" s="14">
        <f>C12*Electrico!$B$15+2*Electrico!$B$17+1*Electrico!$B$11</f>
        <v>170.05521440905775</v>
      </c>
      <c r="G12" s="14">
        <f t="shared" si="0"/>
        <v>171.65115330134657</v>
      </c>
      <c r="H12" s="14">
        <f>D12/SQRT(3)/G12*D12/Parametros!$E$29</f>
        <v>885.13405499209716</v>
      </c>
    </row>
    <row r="13" spans="1:8" ht="21" customHeight="1">
      <c r="A13" s="1" t="s">
        <v>172</v>
      </c>
      <c r="B13" s="1" t="s">
        <v>168</v>
      </c>
      <c r="C13" s="14">
        <f>Parametros!$E$40</f>
        <v>1.8</v>
      </c>
      <c r="D13" s="14">
        <f>Parametros!$E$27*1000</f>
        <v>10000</v>
      </c>
      <c r="E13" s="14">
        <f>Parametros!$E$37*Electrico!$B$15+1*Electrico!$B$16+0*Electrico!$B$10</f>
        <v>12.96</v>
      </c>
      <c r="F13" s="14">
        <f>C13*Electrico!$B$15+1*Electrico!$B$17+0*Electrico!$B$11</f>
        <v>743.48187386049074</v>
      </c>
      <c r="G13" s="14">
        <f t="shared" si="0"/>
        <v>743.59482136383031</v>
      </c>
      <c r="H13" s="14">
        <f>D13/SQRT(3)/G13</f>
        <v>7.764312668701824</v>
      </c>
    </row>
    <row r="14" spans="1:8" ht="21" customHeight="1">
      <c r="A14" s="1" t="s">
        <v>172</v>
      </c>
      <c r="B14" s="1" t="s">
        <v>169</v>
      </c>
      <c r="C14" s="14">
        <f>Parametros!$E$40</f>
        <v>1.8</v>
      </c>
      <c r="D14" s="14">
        <f>Parametros!$E$27*1000</f>
        <v>10000</v>
      </c>
      <c r="E14" s="14">
        <f>Parametros!$E$37*Electrico!$B$15+1*Electrico!$B$16+1*Electrico!$B$10</f>
        <v>18.392569065774758</v>
      </c>
      <c r="F14" s="14">
        <f>C14*Electrico!$B$15+1*Electrico!$B$17+1*Electrico!$B$11</f>
        <v>746.57334054856699</v>
      </c>
      <c r="G14" s="14">
        <f t="shared" si="0"/>
        <v>746.79986570344659</v>
      </c>
      <c r="H14" s="14">
        <f>D14/SQRT(3)/G14</f>
        <v>7.7309905331302096</v>
      </c>
    </row>
    <row r="15" spans="1:8" ht="21" customHeight="1">
      <c r="A15" s="1" t="s">
        <v>172</v>
      </c>
      <c r="B15" s="1" t="s">
        <v>170</v>
      </c>
      <c r="C15" s="14">
        <f>Parametros!$E$40</f>
        <v>1.8</v>
      </c>
      <c r="D15" s="14">
        <f>Parametros!$E$27*1000</f>
        <v>10000</v>
      </c>
      <c r="E15" s="14">
        <f>Parametros!$E$37*Electrico!$B$15+2*Electrico!$B$16+1*Electrico!$B$10</f>
        <v>23.352569065774759</v>
      </c>
      <c r="F15" s="14">
        <f>C15*Electrico!$B$15+2*Electrico!$B$17+1*Electrico!$B$11</f>
        <v>770.05521440905784</v>
      </c>
      <c r="G15" s="14">
        <f t="shared" si="0"/>
        <v>770.40922613929786</v>
      </c>
      <c r="H15" s="14">
        <f>D15/SQRT(3)/G15*D15/Parametros!$E$29</f>
        <v>197.21243750814028</v>
      </c>
    </row>
    <row r="16" spans="1:8" ht="21" customHeight="1">
      <c r="A16" s="1"/>
      <c r="B16" s="1"/>
      <c r="C16" s="1"/>
      <c r="D16" s="1"/>
      <c r="E16" s="1"/>
      <c r="F16" s="1"/>
      <c r="G16" s="1"/>
      <c r="H16" s="1"/>
    </row>
    <row r="17" spans="1:8" ht="21" customHeight="1">
      <c r="A17" s="1"/>
      <c r="B17" s="1"/>
      <c r="C17" s="1"/>
      <c r="D17" s="1"/>
      <c r="E17" s="1"/>
      <c r="F17" s="1"/>
      <c r="G17" s="1"/>
      <c r="H17" s="1"/>
    </row>
    <row r="18" spans="1:8" ht="21" customHeight="1">
      <c r="A18" s="1"/>
      <c r="B18" s="1"/>
      <c r="C18" s="1"/>
      <c r="D18" s="1"/>
      <c r="E18" s="1"/>
      <c r="F18" s="1"/>
      <c r="G18" s="1"/>
      <c r="H18" s="1"/>
    </row>
    <row r="19" spans="1:8" ht="21" customHeight="1">
      <c r="A19" s="1" t="s">
        <v>173</v>
      </c>
      <c r="B19" s="1"/>
      <c r="C19" s="1"/>
      <c r="D19" s="1"/>
      <c r="E19" s="1"/>
      <c r="F19" s="1"/>
      <c r="G19" s="1"/>
      <c r="H19" s="1"/>
    </row>
    <row r="20" spans="1:8" ht="21" customHeight="1">
      <c r="A20" s="1"/>
      <c r="B20" s="1"/>
      <c r="C20" s="1"/>
      <c r="D20" s="1"/>
      <c r="E20" s="1"/>
      <c r="F20" s="1"/>
      <c r="G20" s="1"/>
      <c r="H20" s="1"/>
    </row>
    <row r="21" spans="1:8" ht="21" customHeight="1">
      <c r="A21" s="1" t="s">
        <v>174</v>
      </c>
      <c r="B21" s="1"/>
      <c r="C21" s="1"/>
      <c r="D21" s="1"/>
      <c r="E21" s="1"/>
      <c r="F21" s="1"/>
      <c r="G21" s="1"/>
      <c r="H21" s="1"/>
    </row>
    <row r="22" spans="1:8" ht="21" customHeight="1">
      <c r="A22" s="1"/>
      <c r="B22" s="1"/>
      <c r="C22" s="1"/>
      <c r="D22" s="1"/>
      <c r="E22" s="1"/>
      <c r="F22" s="1"/>
      <c r="G22" s="1"/>
      <c r="H22" s="1"/>
    </row>
    <row r="23" spans="1:8" ht="21" customHeight="1">
      <c r="A23" s="1"/>
      <c r="B23" s="1"/>
      <c r="C23" s="1"/>
      <c r="D23" s="1"/>
      <c r="E23" s="1"/>
      <c r="F23" s="1"/>
      <c r="G23" s="1"/>
      <c r="H23" s="1"/>
    </row>
    <row r="24" spans="1:8" ht="21" customHeight="1">
      <c r="A24" s="1"/>
      <c r="B24" s="1"/>
      <c r="C24" s="1"/>
      <c r="D24" s="1"/>
      <c r="E24" s="1"/>
      <c r="F24" s="1"/>
      <c r="G24" s="1"/>
      <c r="H24" s="1"/>
    </row>
    <row r="25" spans="1:8" ht="21" customHeight="1">
      <c r="A25" s="1"/>
      <c r="B25" s="1"/>
      <c r="C25" s="1"/>
      <c r="D25" s="1"/>
      <c r="E25" s="1"/>
      <c r="F25" s="1"/>
      <c r="G25" s="1"/>
      <c r="H25" s="1"/>
    </row>
    <row r="26" spans="1:8" ht="21" customHeight="1">
      <c r="A26" s="1"/>
      <c r="B26" s="1"/>
      <c r="C26" s="1"/>
      <c r="D26" s="1"/>
      <c r="E26" s="1"/>
      <c r="F26" s="1"/>
      <c r="G26" s="1"/>
      <c r="H26" s="1"/>
    </row>
    <row r="27" spans="1:8" ht="21" customHeight="1">
      <c r="A27" s="1"/>
      <c r="B27" s="1"/>
      <c r="C27" s="1"/>
      <c r="D27" s="1"/>
      <c r="E27" s="1"/>
      <c r="F27" s="1"/>
      <c r="G27" s="1"/>
      <c r="H27" s="1"/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24"/>
  <sheetViews>
    <sheetView showGridLines="0" zoomScale="85" zoomScaleNormal="85" workbookViewId="0">
      <pane ySplit="6" topLeftCell="A7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12" customWidth="1"/>
    <col min="3" max="3" width="14" customWidth="1"/>
    <col min="4" max="4" width="17" customWidth="1"/>
    <col min="5" max="6" width="18" customWidth="1"/>
    <col min="7" max="7" width="17" customWidth="1"/>
    <col min="8" max="8" width="14" customWidth="1"/>
    <col min="9" max="10" width="16" customWidth="1"/>
    <col min="11" max="11" width="18" customWidth="1"/>
    <col min="12" max="12" width="16" customWidth="1"/>
  </cols>
  <sheetData>
    <row r="1" spans="1:12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6" customHeight="1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182</v>
      </c>
      <c r="H6" s="4" t="s">
        <v>183</v>
      </c>
      <c r="I6" s="4" t="s">
        <v>184</v>
      </c>
      <c r="J6" s="4" t="s">
        <v>185</v>
      </c>
      <c r="K6" s="4" t="s">
        <v>186</v>
      </c>
      <c r="L6" s="4" t="s">
        <v>187</v>
      </c>
    </row>
    <row r="7" spans="1:12" ht="21" customHeight="1">
      <c r="A7" s="1" t="s">
        <v>188</v>
      </c>
      <c r="B7" s="14">
        <f>Postes!E7</f>
        <v>13</v>
      </c>
      <c r="C7" s="14">
        <f>Postes!F7</f>
        <v>1.9</v>
      </c>
      <c r="D7" s="14">
        <v>20.571388101421256</v>
      </c>
      <c r="E7" s="14">
        <f>Parametros!$E$14*Parametros!$E$12*10*Parametros!$E$13*(B7-C7-Parametros!$E$15)/1000</f>
        <v>85.41</v>
      </c>
      <c r="F7" s="14">
        <f t="shared" ref="F7:F38" si="0">D7/E7</f>
        <v>0.24085456154339371</v>
      </c>
      <c r="G7" s="14">
        <v>-4.6649958118689119</v>
      </c>
      <c r="H7" s="14">
        <f>Postes!J7</f>
        <v>1</v>
      </c>
      <c r="I7" s="14">
        <v>24.50662298233901</v>
      </c>
      <c r="J7" s="14">
        <f>IF(H7=0,0,ROUNDUP(MAX(Parametros!$E$16,I7/Parametros!$E$17)/10,0)*10)</f>
        <v>60</v>
      </c>
      <c r="K7" s="14">
        <f>J7*Parametros!$E$17</f>
        <v>54</v>
      </c>
      <c r="L7" s="14">
        <f t="shared" ref="L7:L38" si="1">IF(H7=0,0,I7/K7)</f>
        <v>0.4538263515247965</v>
      </c>
    </row>
    <row r="8" spans="1:12" ht="21" customHeight="1">
      <c r="A8" s="1" t="s">
        <v>189</v>
      </c>
      <c r="B8" s="14">
        <f>Postes!E8</f>
        <v>13</v>
      </c>
      <c r="C8" s="14">
        <f>Postes!F8</f>
        <v>1.9</v>
      </c>
      <c r="D8" s="14">
        <v>27.257459359777172</v>
      </c>
      <c r="E8" s="14">
        <f>Parametros!$E$14*Parametros!$E$12*10*Parametros!$E$13*(B8-C8-Parametros!$E$15)/1000</f>
        <v>85.41</v>
      </c>
      <c r="F8" s="14">
        <f t="shared" si="0"/>
        <v>0.31913662755856659</v>
      </c>
      <c r="G8" s="14">
        <v>0.78112393418976622</v>
      </c>
      <c r="H8" s="14">
        <f>Postes!J8</f>
        <v>0</v>
      </c>
      <c r="I8" s="14">
        <v>0</v>
      </c>
      <c r="J8" s="14">
        <f>IF(H8=0,0,ROUNDUP(MAX(Parametros!$E$16,I8/Parametros!$E$17)/10,0)*10)</f>
        <v>0</v>
      </c>
      <c r="K8" s="14">
        <f>J8*Parametros!$E$17</f>
        <v>0</v>
      </c>
      <c r="L8" s="14">
        <f t="shared" si="1"/>
        <v>0</v>
      </c>
    </row>
    <row r="9" spans="1:12" ht="21" customHeight="1">
      <c r="A9" s="1" t="s">
        <v>190</v>
      </c>
      <c r="B9" s="14">
        <f>Postes!E9</f>
        <v>15</v>
      </c>
      <c r="C9" s="14">
        <f>Postes!F9</f>
        <v>2.1</v>
      </c>
      <c r="D9" s="14">
        <v>30.918950585133668</v>
      </c>
      <c r="E9" s="14">
        <f>Parametros!$E$14*Parametros!$E$12*10*Parametros!$E$13*(B9-C9-Parametros!$E$15)/1000</f>
        <v>99.45</v>
      </c>
      <c r="F9" s="14">
        <f t="shared" si="0"/>
        <v>0.31089945284196752</v>
      </c>
      <c r="G9" s="14">
        <v>1.3298383752692957</v>
      </c>
      <c r="H9" s="14">
        <f>Postes!J9</f>
        <v>2</v>
      </c>
      <c r="I9" s="14">
        <v>26.35202770750362</v>
      </c>
      <c r="J9" s="14">
        <f>IF(H9=0,0,ROUNDUP(MAX(Parametros!$E$16,I9/Parametros!$E$17)/10,0)*10)</f>
        <v>60</v>
      </c>
      <c r="K9" s="14">
        <f>J9*Parametros!$E$17</f>
        <v>54</v>
      </c>
      <c r="L9" s="14">
        <f t="shared" si="1"/>
        <v>0.48800051310191889</v>
      </c>
    </row>
    <row r="10" spans="1:12" ht="21" customHeight="1">
      <c r="A10" s="1" t="s">
        <v>191</v>
      </c>
      <c r="B10" s="14">
        <f>Postes!E10</f>
        <v>15</v>
      </c>
      <c r="C10" s="14">
        <f>Postes!F10</f>
        <v>2.1</v>
      </c>
      <c r="D10" s="14">
        <v>42.715339784609888</v>
      </c>
      <c r="E10" s="14">
        <f>Parametros!$E$14*Parametros!$E$12*10*Parametros!$E$13*(B10-C10-Parametros!$E$15)/1000</f>
        <v>99.45</v>
      </c>
      <c r="F10" s="14">
        <f t="shared" si="0"/>
        <v>0.42951573438521756</v>
      </c>
      <c r="G10" s="14">
        <v>0.9383008718738306</v>
      </c>
      <c r="H10" s="14">
        <f>Postes!J10</f>
        <v>0</v>
      </c>
      <c r="I10" s="14">
        <v>0</v>
      </c>
      <c r="J10" s="14">
        <f>IF(H10=0,0,ROUNDUP(MAX(Parametros!$E$16,I10/Parametros!$E$17)/10,0)*10)</f>
        <v>0</v>
      </c>
      <c r="K10" s="14">
        <f>J10*Parametros!$E$17</f>
        <v>0</v>
      </c>
      <c r="L10" s="14">
        <f t="shared" si="1"/>
        <v>0</v>
      </c>
    </row>
    <row r="11" spans="1:12" ht="21" customHeight="1">
      <c r="A11" s="1" t="s">
        <v>192</v>
      </c>
      <c r="B11" s="14">
        <f>Postes!E11</f>
        <v>15</v>
      </c>
      <c r="C11" s="14">
        <f>Postes!F11</f>
        <v>2.1</v>
      </c>
      <c r="D11" s="14">
        <v>41.956840758133744</v>
      </c>
      <c r="E11" s="14">
        <f>Parametros!$E$14*Parametros!$E$12*10*Parametros!$E$13*(B11-C11-Parametros!$E$15)/1000</f>
        <v>99.45</v>
      </c>
      <c r="F11" s="14">
        <f t="shared" si="0"/>
        <v>0.42188879595911255</v>
      </c>
      <c r="G11" s="14">
        <v>-1.1249486439614704</v>
      </c>
      <c r="H11" s="14">
        <f>Postes!J11</f>
        <v>2</v>
      </c>
      <c r="I11" s="14">
        <v>26.35093938075179</v>
      </c>
      <c r="J11" s="14">
        <f>IF(H11=0,0,ROUNDUP(MAX(Parametros!$E$16,I11/Parametros!$E$17)/10,0)*10)</f>
        <v>60</v>
      </c>
      <c r="K11" s="14">
        <f>J11*Parametros!$E$17</f>
        <v>54</v>
      </c>
      <c r="L11" s="14">
        <f t="shared" si="1"/>
        <v>0.48798035890281094</v>
      </c>
    </row>
    <row r="12" spans="1:12" ht="21" customHeight="1">
      <c r="A12" s="1" t="s">
        <v>193</v>
      </c>
      <c r="B12" s="14">
        <f>Postes!E12</f>
        <v>17</v>
      </c>
      <c r="C12" s="14">
        <f>Postes!F12</f>
        <v>2.1</v>
      </c>
      <c r="D12" s="14">
        <v>51.085756135946305</v>
      </c>
      <c r="E12" s="14">
        <f>Parametros!$E$14*Parametros!$E$12*10*Parametros!$E$13*(B12-C12-Parametros!$E$15)/1000</f>
        <v>115.05</v>
      </c>
      <c r="F12" s="14">
        <f t="shared" si="0"/>
        <v>0.44403090948236684</v>
      </c>
      <c r="G12" s="14">
        <v>1.055559417787918</v>
      </c>
      <c r="H12" s="14">
        <f>Postes!J12</f>
        <v>0</v>
      </c>
      <c r="I12" s="14">
        <v>0</v>
      </c>
      <c r="J12" s="14">
        <f>IF(H12=0,0,ROUNDUP(MAX(Parametros!$E$16,I12/Parametros!$E$17)/10,0)*10)</f>
        <v>0</v>
      </c>
      <c r="K12" s="14">
        <f>J12*Parametros!$E$17</f>
        <v>0</v>
      </c>
      <c r="L12" s="14">
        <f t="shared" si="1"/>
        <v>0</v>
      </c>
    </row>
    <row r="13" spans="1:12" ht="21" customHeight="1">
      <c r="A13" s="1" t="s">
        <v>194</v>
      </c>
      <c r="B13" s="14">
        <f>Postes!E13</f>
        <v>15</v>
      </c>
      <c r="C13" s="14">
        <f>Postes!F13</f>
        <v>2.1</v>
      </c>
      <c r="D13" s="14">
        <v>39.155608072161378</v>
      </c>
      <c r="E13" s="14">
        <f>Parametros!$E$14*Parametros!$E$12*10*Parametros!$E$13*(B13-C13-Parametros!$E$15)/1000</f>
        <v>99.45</v>
      </c>
      <c r="F13" s="14">
        <f t="shared" si="0"/>
        <v>0.39372154924244723</v>
      </c>
      <c r="G13" s="14">
        <v>0.98969134798713132</v>
      </c>
      <c r="H13" s="14">
        <f>Postes!J13</f>
        <v>2</v>
      </c>
      <c r="I13" s="14">
        <v>26.044122389344796</v>
      </c>
      <c r="J13" s="14">
        <f>IF(H13=0,0,ROUNDUP(MAX(Parametros!$E$16,I13/Parametros!$E$17)/10,0)*10)</f>
        <v>60</v>
      </c>
      <c r="K13" s="14">
        <f>J13*Parametros!$E$17</f>
        <v>54</v>
      </c>
      <c r="L13" s="14">
        <f t="shared" si="1"/>
        <v>0.48229856276564437</v>
      </c>
    </row>
    <row r="14" spans="1:12" ht="21" customHeight="1">
      <c r="A14" s="1" t="s">
        <v>195</v>
      </c>
      <c r="B14" s="14">
        <f>Postes!E14</f>
        <v>13</v>
      </c>
      <c r="C14" s="14">
        <f>Postes!F14</f>
        <v>1.9</v>
      </c>
      <c r="D14" s="14">
        <v>30.96106367887079</v>
      </c>
      <c r="E14" s="14">
        <f>Parametros!$E$14*Parametros!$E$12*10*Parametros!$E$13*(B14-C14-Parametros!$E$15)/1000</f>
        <v>85.41</v>
      </c>
      <c r="F14" s="14">
        <f t="shared" si="0"/>
        <v>0.36249928203806103</v>
      </c>
      <c r="G14" s="14">
        <v>-8.1600516723269609E-2</v>
      </c>
      <c r="H14" s="14">
        <f>Postes!J14</f>
        <v>2</v>
      </c>
      <c r="I14" s="14">
        <v>25.988112388292826</v>
      </c>
      <c r="J14" s="14">
        <f>IF(H14=0,0,ROUNDUP(MAX(Parametros!$E$16,I14/Parametros!$E$17)/10,0)*10)</f>
        <v>60</v>
      </c>
      <c r="K14" s="14">
        <f>J14*Parametros!$E$17</f>
        <v>54</v>
      </c>
      <c r="L14" s="14">
        <f t="shared" si="1"/>
        <v>0.48126134052394121</v>
      </c>
    </row>
    <row r="15" spans="1:12" ht="21" customHeight="1">
      <c r="A15" s="1" t="s">
        <v>196</v>
      </c>
      <c r="B15" s="14">
        <f>Postes!E15</f>
        <v>13</v>
      </c>
      <c r="C15" s="14">
        <f>Postes!F15</f>
        <v>1.9</v>
      </c>
      <c r="D15" s="14">
        <v>33.094100585170921</v>
      </c>
      <c r="E15" s="14">
        <f>Parametros!$E$14*Parametros!$E$12*10*Parametros!$E$13*(B15-C15-Parametros!$E$15)/1000</f>
        <v>85.41</v>
      </c>
      <c r="F15" s="14">
        <f t="shared" si="0"/>
        <v>0.38747337062604992</v>
      </c>
      <c r="G15" s="14">
        <v>-0.22040642748678102</v>
      </c>
      <c r="H15" s="14">
        <f>Postes!J15</f>
        <v>2</v>
      </c>
      <c r="I15" s="14">
        <v>25.988112388292826</v>
      </c>
      <c r="J15" s="14">
        <f>IF(H15=0,0,ROUNDUP(MAX(Parametros!$E$16,I15/Parametros!$E$17)/10,0)*10)</f>
        <v>60</v>
      </c>
      <c r="K15" s="14">
        <f>J15*Parametros!$E$17</f>
        <v>54</v>
      </c>
      <c r="L15" s="14">
        <f t="shared" si="1"/>
        <v>0.48126134052394121</v>
      </c>
    </row>
    <row r="16" spans="1:12" ht="21" customHeight="1">
      <c r="A16" s="1" t="s">
        <v>197</v>
      </c>
      <c r="B16" s="14">
        <f>Postes!E16</f>
        <v>13</v>
      </c>
      <c r="C16" s="14">
        <f>Postes!F16</f>
        <v>1.9</v>
      </c>
      <c r="D16" s="14">
        <v>29.918060634503576</v>
      </c>
      <c r="E16" s="14">
        <f>Parametros!$E$14*Parametros!$E$12*10*Parametros!$E$13*(B16-C16-Parametros!$E$15)/1000</f>
        <v>85.41</v>
      </c>
      <c r="F16" s="14">
        <f t="shared" si="0"/>
        <v>0.35028756157948221</v>
      </c>
      <c r="G16" s="14">
        <v>-1.2796621948123188</v>
      </c>
      <c r="H16" s="14">
        <f>Postes!J16</f>
        <v>2</v>
      </c>
      <c r="I16" s="14">
        <v>25.942882629609958</v>
      </c>
      <c r="J16" s="14">
        <f>IF(H16=0,0,ROUNDUP(MAX(Parametros!$E$16,I16/Parametros!$E$17)/10,0)*10)</f>
        <v>60</v>
      </c>
      <c r="K16" s="14">
        <f>J16*Parametros!$E$17</f>
        <v>54</v>
      </c>
      <c r="L16" s="14">
        <f t="shared" si="1"/>
        <v>0.48042375240018442</v>
      </c>
    </row>
    <row r="17" spans="1:12" ht="21" customHeight="1">
      <c r="A17" s="1" t="s">
        <v>198</v>
      </c>
      <c r="B17" s="14">
        <f>Postes!E17</f>
        <v>13</v>
      </c>
      <c r="C17" s="14">
        <f>Postes!F17</f>
        <v>1.9</v>
      </c>
      <c r="D17" s="14">
        <v>25.660443559451803</v>
      </c>
      <c r="E17" s="14">
        <f>Parametros!$E$14*Parametros!$E$12*10*Parametros!$E$13*(B17-C17-Parametros!$E$15)/1000</f>
        <v>85.41</v>
      </c>
      <c r="F17" s="14">
        <f t="shared" si="0"/>
        <v>0.30043839783926712</v>
      </c>
      <c r="G17" s="14">
        <v>1.0460695193805583</v>
      </c>
      <c r="H17" s="14">
        <f>Postes!J17</f>
        <v>2</v>
      </c>
      <c r="I17" s="14">
        <v>25.373042433554559</v>
      </c>
      <c r="J17" s="14">
        <f>IF(H17=0,0,ROUNDUP(MAX(Parametros!$E$16,I17/Parametros!$E$17)/10,0)*10)</f>
        <v>60</v>
      </c>
      <c r="K17" s="14">
        <f>J17*Parametros!$E$17</f>
        <v>54</v>
      </c>
      <c r="L17" s="14">
        <f t="shared" si="1"/>
        <v>0.46987115617693626</v>
      </c>
    </row>
    <row r="18" spans="1:12" ht="21" customHeight="1">
      <c r="A18" s="1" t="s">
        <v>199</v>
      </c>
      <c r="B18" s="14">
        <f>Postes!E18</f>
        <v>13</v>
      </c>
      <c r="C18" s="14">
        <f>Postes!F18</f>
        <v>1.9</v>
      </c>
      <c r="D18" s="14">
        <v>28.859965974007515</v>
      </c>
      <c r="E18" s="14">
        <f>Parametros!$E$14*Parametros!$E$12*10*Parametros!$E$13*(B18-C18-Parametros!$E$15)/1000</f>
        <v>85.41</v>
      </c>
      <c r="F18" s="14">
        <f t="shared" si="0"/>
        <v>0.33789914499481932</v>
      </c>
      <c r="G18" s="14">
        <v>0.68548094958192407</v>
      </c>
      <c r="H18" s="14">
        <f>Postes!J18</f>
        <v>2</v>
      </c>
      <c r="I18" s="14">
        <v>25.373042433554559</v>
      </c>
      <c r="J18" s="14">
        <f>IF(H18=0,0,ROUNDUP(MAX(Parametros!$E$16,I18/Parametros!$E$17)/10,0)*10)</f>
        <v>60</v>
      </c>
      <c r="K18" s="14">
        <f>J18*Parametros!$E$17</f>
        <v>54</v>
      </c>
      <c r="L18" s="14">
        <f t="shared" si="1"/>
        <v>0.46987115617693626</v>
      </c>
    </row>
    <row r="19" spans="1:12" ht="21" customHeight="1">
      <c r="A19" s="1" t="s">
        <v>200</v>
      </c>
      <c r="B19" s="14">
        <f>Postes!E19</f>
        <v>13</v>
      </c>
      <c r="C19" s="14">
        <f>Postes!F19</f>
        <v>1.9</v>
      </c>
      <c r="D19" s="14">
        <v>22.96629353572953</v>
      </c>
      <c r="E19" s="14">
        <f>Parametros!$E$14*Parametros!$E$12*10*Parametros!$E$13*(B19-C19-Parametros!$E$15)/1000</f>
        <v>85.41</v>
      </c>
      <c r="F19" s="14">
        <f t="shared" si="0"/>
        <v>0.2688946673191609</v>
      </c>
      <c r="G19" s="14">
        <v>-3.2677848003612899</v>
      </c>
      <c r="H19" s="14">
        <f>Postes!J19</f>
        <v>2</v>
      </c>
      <c r="I19" s="14">
        <v>24.94630616345782</v>
      </c>
      <c r="J19" s="14">
        <f>IF(H19=0,0,ROUNDUP(MAX(Parametros!$E$16,I19/Parametros!$E$17)/10,0)*10)</f>
        <v>60</v>
      </c>
      <c r="K19" s="14">
        <f>J19*Parametros!$E$17</f>
        <v>54</v>
      </c>
      <c r="L19" s="14">
        <f t="shared" si="1"/>
        <v>0.4619686326566263</v>
      </c>
    </row>
    <row r="20" spans="1:12" ht="21" customHeight="1">
      <c r="A20" s="1" t="s">
        <v>201</v>
      </c>
      <c r="B20" s="14">
        <f>Postes!E20</f>
        <v>13</v>
      </c>
      <c r="C20" s="14">
        <f>Postes!F20</f>
        <v>1.9</v>
      </c>
      <c r="D20" s="14">
        <v>26.559157616663608</v>
      </c>
      <c r="E20" s="14">
        <f>Parametros!$E$14*Parametros!$E$12*10*Parametros!$E$13*(B20-C20-Parametros!$E$15)/1000</f>
        <v>85.41</v>
      </c>
      <c r="F20" s="14">
        <f t="shared" si="0"/>
        <v>0.31096074952187813</v>
      </c>
      <c r="G20" s="14">
        <v>0.77707623758392197</v>
      </c>
      <c r="H20" s="14">
        <f>Postes!J20</f>
        <v>2</v>
      </c>
      <c r="I20" s="14">
        <v>25.919668448261419</v>
      </c>
      <c r="J20" s="14">
        <f>IF(H20=0,0,ROUNDUP(MAX(Parametros!$E$16,I20/Parametros!$E$17)/10,0)*10)</f>
        <v>60</v>
      </c>
      <c r="K20" s="14">
        <f>J20*Parametros!$E$17</f>
        <v>54</v>
      </c>
      <c r="L20" s="14">
        <f t="shared" si="1"/>
        <v>0.47999386015298923</v>
      </c>
    </row>
    <row r="21" spans="1:12" ht="21" customHeight="1">
      <c r="A21" s="1" t="s">
        <v>202</v>
      </c>
      <c r="B21" s="14">
        <f>Postes!E21</f>
        <v>15</v>
      </c>
      <c r="C21" s="14">
        <f>Postes!F21</f>
        <v>2.1</v>
      </c>
      <c r="D21" s="14">
        <v>41.91369511908961</v>
      </c>
      <c r="E21" s="14">
        <f>Parametros!$E$14*Parametros!$E$12*10*Parametros!$E$13*(B21-C21-Parametros!$E$15)/1000</f>
        <v>99.45</v>
      </c>
      <c r="F21" s="14">
        <f t="shared" si="0"/>
        <v>0.42145495343478739</v>
      </c>
      <c r="G21" s="14">
        <v>0.92753422011156439</v>
      </c>
      <c r="H21" s="14">
        <f>Postes!J21</f>
        <v>0</v>
      </c>
      <c r="I21" s="14">
        <v>0</v>
      </c>
      <c r="J21" s="14">
        <f>IF(H21=0,0,ROUNDUP(MAX(Parametros!$E$16,I21/Parametros!$E$17)/10,0)*10)</f>
        <v>0</v>
      </c>
      <c r="K21" s="14">
        <f>J21*Parametros!$E$17</f>
        <v>0</v>
      </c>
      <c r="L21" s="14">
        <f t="shared" si="1"/>
        <v>0</v>
      </c>
    </row>
    <row r="22" spans="1:12" ht="21" customHeight="1">
      <c r="A22" s="1" t="s">
        <v>203</v>
      </c>
      <c r="B22" s="14">
        <f>Postes!E22</f>
        <v>15</v>
      </c>
      <c r="C22" s="14">
        <f>Postes!F22</f>
        <v>2.1</v>
      </c>
      <c r="D22" s="14">
        <v>41.793231444079922</v>
      </c>
      <c r="E22" s="14">
        <f>Parametros!$E$14*Parametros!$E$12*10*Parametros!$E$13*(B22-C22-Parametros!$E$15)/1000</f>
        <v>99.45</v>
      </c>
      <c r="F22" s="14">
        <f t="shared" si="0"/>
        <v>0.42024365454077345</v>
      </c>
      <c r="G22" s="14">
        <v>1.0992583797802635</v>
      </c>
      <c r="H22" s="14">
        <f>Postes!J22</f>
        <v>0</v>
      </c>
      <c r="I22" s="14">
        <v>0</v>
      </c>
      <c r="J22" s="14">
        <f>IF(H22=0,0,ROUNDUP(MAX(Parametros!$E$16,I22/Parametros!$E$17)/10,0)*10)</f>
        <v>0</v>
      </c>
      <c r="K22" s="14">
        <f>J22*Parametros!$E$17</f>
        <v>0</v>
      </c>
      <c r="L22" s="14">
        <f t="shared" si="1"/>
        <v>0</v>
      </c>
    </row>
    <row r="23" spans="1:12" ht="21" customHeight="1">
      <c r="A23" s="1" t="s">
        <v>204</v>
      </c>
      <c r="B23" s="14">
        <f>Postes!E23</f>
        <v>13</v>
      </c>
      <c r="C23" s="14">
        <f>Postes!F23</f>
        <v>1.9</v>
      </c>
      <c r="D23" s="14">
        <v>29.497214347517858</v>
      </c>
      <c r="E23" s="14">
        <f>Parametros!$E$14*Parametros!$E$12*10*Parametros!$E$13*(B23-C23-Parametros!$E$15)/1000</f>
        <v>85.41</v>
      </c>
      <c r="F23" s="14">
        <f t="shared" si="0"/>
        <v>0.34536019608380586</v>
      </c>
      <c r="G23" s="14">
        <v>0.92373117099412294</v>
      </c>
      <c r="H23" s="14">
        <f>Postes!J23</f>
        <v>2</v>
      </c>
      <c r="I23" s="14">
        <v>26.068853093529039</v>
      </c>
      <c r="J23" s="14">
        <f>IF(H23=0,0,ROUNDUP(MAX(Parametros!$E$16,I23/Parametros!$E$17)/10,0)*10)</f>
        <v>60</v>
      </c>
      <c r="K23" s="14">
        <f>J23*Parametros!$E$17</f>
        <v>54</v>
      </c>
      <c r="L23" s="14">
        <f t="shared" si="1"/>
        <v>0.48275653876905628</v>
      </c>
    </row>
    <row r="24" spans="1:12" ht="21" customHeight="1">
      <c r="A24" s="1" t="s">
        <v>205</v>
      </c>
      <c r="B24" s="14">
        <f>Postes!E24</f>
        <v>13</v>
      </c>
      <c r="C24" s="14">
        <f>Postes!F24</f>
        <v>1.9</v>
      </c>
      <c r="D24" s="14">
        <v>28.657290504304985</v>
      </c>
      <c r="E24" s="14">
        <f>Parametros!$E$14*Parametros!$E$12*10*Parametros!$E$13*(B24-C24-Parametros!$E$15)/1000</f>
        <v>85.41</v>
      </c>
      <c r="F24" s="14">
        <f t="shared" si="0"/>
        <v>0.33552617380055011</v>
      </c>
      <c r="G24" s="14">
        <v>9.8025594739898456E-2</v>
      </c>
      <c r="H24" s="14">
        <f>Postes!J24</f>
        <v>0</v>
      </c>
      <c r="I24" s="14">
        <v>0</v>
      </c>
      <c r="J24" s="14">
        <f>IF(H24=0,0,ROUNDUP(MAX(Parametros!$E$16,I24/Parametros!$E$17)/10,0)*10)</f>
        <v>0</v>
      </c>
      <c r="K24" s="14">
        <f>J24*Parametros!$E$17</f>
        <v>0</v>
      </c>
      <c r="L24" s="14">
        <f t="shared" si="1"/>
        <v>0</v>
      </c>
    </row>
    <row r="25" spans="1:12" ht="21" customHeight="1">
      <c r="A25" s="1" t="s">
        <v>206</v>
      </c>
      <c r="B25" s="14">
        <f>Postes!E25</f>
        <v>13</v>
      </c>
      <c r="C25" s="14">
        <f>Postes!F25</f>
        <v>1.9</v>
      </c>
      <c r="D25" s="14">
        <v>23.543647768405844</v>
      </c>
      <c r="E25" s="14">
        <f>Parametros!$E$14*Parametros!$E$12*10*Parametros!$E$13*(B25-C25-Parametros!$E$15)/1000</f>
        <v>85.41</v>
      </c>
      <c r="F25" s="14">
        <f t="shared" si="0"/>
        <v>0.27565446397852528</v>
      </c>
      <c r="G25" s="14">
        <v>-1.0996513084584694</v>
      </c>
      <c r="H25" s="14">
        <f>Postes!J25</f>
        <v>2</v>
      </c>
      <c r="I25" s="14">
        <v>25.019145351616714</v>
      </c>
      <c r="J25" s="14">
        <f>IF(H25=0,0,ROUNDUP(MAX(Parametros!$E$16,I25/Parametros!$E$17)/10,0)*10)</f>
        <v>60</v>
      </c>
      <c r="K25" s="14">
        <f>J25*Parametros!$E$17</f>
        <v>54</v>
      </c>
      <c r="L25" s="14">
        <f t="shared" si="1"/>
        <v>0.46331750651142062</v>
      </c>
    </row>
    <row r="26" spans="1:12" ht="21" customHeight="1">
      <c r="A26" s="1" t="s">
        <v>207</v>
      </c>
      <c r="B26" s="14">
        <f>Postes!E26</f>
        <v>13</v>
      </c>
      <c r="C26" s="14">
        <f>Postes!F26</f>
        <v>1.9</v>
      </c>
      <c r="D26" s="14">
        <v>21.015498817796093</v>
      </c>
      <c r="E26" s="14">
        <f>Parametros!$E$14*Parametros!$E$12*10*Parametros!$E$13*(B26-C26-Parametros!$E$15)/1000</f>
        <v>85.41</v>
      </c>
      <c r="F26" s="14">
        <f t="shared" si="0"/>
        <v>0.24605431234979622</v>
      </c>
      <c r="G26" s="14">
        <v>0.68316731224391269</v>
      </c>
      <c r="H26" s="14">
        <f>Postes!J26</f>
        <v>2</v>
      </c>
      <c r="I26" s="14">
        <v>25.115505445552404</v>
      </c>
      <c r="J26" s="14">
        <f>IF(H26=0,0,ROUNDUP(MAX(Parametros!$E$16,I26/Parametros!$E$17)/10,0)*10)</f>
        <v>60</v>
      </c>
      <c r="K26" s="14">
        <f>J26*Parametros!$E$17</f>
        <v>54</v>
      </c>
      <c r="L26" s="14">
        <f t="shared" si="1"/>
        <v>0.46510195269541488</v>
      </c>
    </row>
    <row r="27" spans="1:12" ht="21" customHeight="1">
      <c r="A27" s="1" t="s">
        <v>208</v>
      </c>
      <c r="B27" s="14">
        <f>Postes!E27</f>
        <v>13</v>
      </c>
      <c r="C27" s="14">
        <f>Postes!F27</f>
        <v>1.9</v>
      </c>
      <c r="D27" s="14">
        <v>25.952235993744914</v>
      </c>
      <c r="E27" s="14">
        <f>Parametros!$E$14*Parametros!$E$12*10*Parametros!$E$13*(B27-C27-Parametros!$E$15)/1000</f>
        <v>85.41</v>
      </c>
      <c r="F27" s="14">
        <f t="shared" si="0"/>
        <v>0.30385477103085018</v>
      </c>
      <c r="G27" s="14">
        <v>-0.58080057269784657</v>
      </c>
      <c r="H27" s="14">
        <f>Postes!J27</f>
        <v>2</v>
      </c>
      <c r="I27" s="14">
        <v>25.236909954111709</v>
      </c>
      <c r="J27" s="14">
        <f>IF(H27=0,0,ROUNDUP(MAX(Parametros!$E$16,I27/Parametros!$E$17)/10,0)*10)</f>
        <v>60</v>
      </c>
      <c r="K27" s="14">
        <f>J27*Parametros!$E$17</f>
        <v>54</v>
      </c>
      <c r="L27" s="14">
        <f t="shared" si="1"/>
        <v>0.46735018433540204</v>
      </c>
    </row>
    <row r="28" spans="1:12" ht="21" customHeight="1">
      <c r="A28" s="1" t="s">
        <v>209</v>
      </c>
      <c r="B28" s="14">
        <f>Postes!E28</f>
        <v>13</v>
      </c>
      <c r="C28" s="14">
        <f>Postes!F28</f>
        <v>1.9</v>
      </c>
      <c r="D28" s="14">
        <v>30.899634729806365</v>
      </c>
      <c r="E28" s="14">
        <f>Parametros!$E$14*Parametros!$E$12*10*Parametros!$E$13*(B28-C28-Parametros!$E$15)/1000</f>
        <v>85.41</v>
      </c>
      <c r="F28" s="14">
        <f t="shared" si="0"/>
        <v>0.36178005771931115</v>
      </c>
      <c r="G28" s="14">
        <v>0.89403193415917759</v>
      </c>
      <c r="H28" s="14">
        <f>Postes!J28</f>
        <v>0</v>
      </c>
      <c r="I28" s="14">
        <v>0</v>
      </c>
      <c r="J28" s="14">
        <f>IF(H28=0,0,ROUNDUP(MAX(Parametros!$E$16,I28/Parametros!$E$17)/10,0)*10)</f>
        <v>0</v>
      </c>
      <c r="K28" s="14">
        <f>J28*Parametros!$E$17</f>
        <v>0</v>
      </c>
      <c r="L28" s="14">
        <f t="shared" si="1"/>
        <v>0</v>
      </c>
    </row>
    <row r="29" spans="1:12" ht="21" customHeight="1">
      <c r="A29" s="1" t="s">
        <v>210</v>
      </c>
      <c r="B29" s="14">
        <f>Postes!E29</f>
        <v>15</v>
      </c>
      <c r="C29" s="14">
        <f>Postes!F29</f>
        <v>2.1</v>
      </c>
      <c r="D29" s="14">
        <v>38.676335598983684</v>
      </c>
      <c r="E29" s="14">
        <f>Parametros!$E$14*Parametros!$E$12*10*Parametros!$E$13*(B29-C29-Parametros!$E$15)/1000</f>
        <v>99.45</v>
      </c>
      <c r="F29" s="14">
        <f t="shared" si="0"/>
        <v>0.38890231874292291</v>
      </c>
      <c r="G29" s="14">
        <v>0.35989145323978755</v>
      </c>
      <c r="H29" s="14">
        <f>Postes!J29</f>
        <v>0</v>
      </c>
      <c r="I29" s="14">
        <v>0</v>
      </c>
      <c r="J29" s="14">
        <f>IF(H29=0,0,ROUNDUP(MAX(Parametros!$E$16,I29/Parametros!$E$17)/10,0)*10)</f>
        <v>0</v>
      </c>
      <c r="K29" s="14">
        <f>J29*Parametros!$E$17</f>
        <v>0</v>
      </c>
      <c r="L29" s="14">
        <f t="shared" si="1"/>
        <v>0</v>
      </c>
    </row>
    <row r="30" spans="1:12" ht="21" customHeight="1">
      <c r="A30" s="1" t="s">
        <v>211</v>
      </c>
      <c r="B30" s="14">
        <f>Postes!E30</f>
        <v>17</v>
      </c>
      <c r="C30" s="14">
        <f>Postes!F30</f>
        <v>2.1</v>
      </c>
      <c r="D30" s="14">
        <v>68.765378483552368</v>
      </c>
      <c r="E30" s="14">
        <f>Parametros!$E$14*Parametros!$E$12*10*Parametros!$E$13*(B30-C30-Parametros!$E$15)/1000</f>
        <v>115.05</v>
      </c>
      <c r="F30" s="14">
        <f t="shared" si="0"/>
        <v>0.59769994335986409</v>
      </c>
      <c r="G30" s="14">
        <v>1.3392249965734542</v>
      </c>
      <c r="H30" s="14">
        <f>Postes!J30</f>
        <v>0</v>
      </c>
      <c r="I30" s="14">
        <v>0</v>
      </c>
      <c r="J30" s="14">
        <f>IF(H30=0,0,ROUNDUP(MAX(Parametros!$E$16,I30/Parametros!$E$17)/10,0)*10)</f>
        <v>0</v>
      </c>
      <c r="K30" s="14">
        <f>J30*Parametros!$E$17</f>
        <v>0</v>
      </c>
      <c r="L30" s="14">
        <f t="shared" si="1"/>
        <v>0</v>
      </c>
    </row>
    <row r="31" spans="1:12" ht="21" customHeight="1">
      <c r="A31" s="1" t="s">
        <v>212</v>
      </c>
      <c r="B31" s="14">
        <f>Postes!E31</f>
        <v>17</v>
      </c>
      <c r="C31" s="14">
        <f>Postes!F31</f>
        <v>2.1</v>
      </c>
      <c r="D31" s="14">
        <v>51.931784638783519</v>
      </c>
      <c r="E31" s="14">
        <f>Parametros!$E$14*Parametros!$E$12*10*Parametros!$E$13*(B31-C31-Parametros!$E$15)/1000</f>
        <v>115.05</v>
      </c>
      <c r="F31" s="14">
        <f t="shared" si="0"/>
        <v>0.45138448186687108</v>
      </c>
      <c r="G31" s="14">
        <v>3.8072714524330253E-2</v>
      </c>
      <c r="H31" s="14">
        <f>Postes!J31</f>
        <v>0</v>
      </c>
      <c r="I31" s="14">
        <v>0</v>
      </c>
      <c r="J31" s="14">
        <f>IF(H31=0,0,ROUNDUP(MAX(Parametros!$E$16,I31/Parametros!$E$17)/10,0)*10)</f>
        <v>0</v>
      </c>
      <c r="K31" s="14">
        <f>J31*Parametros!$E$17</f>
        <v>0</v>
      </c>
      <c r="L31" s="14">
        <f t="shared" si="1"/>
        <v>0</v>
      </c>
    </row>
    <row r="32" spans="1:12" ht="21" customHeight="1">
      <c r="A32" s="1" t="s">
        <v>213</v>
      </c>
      <c r="B32" s="14">
        <f>Postes!E32</f>
        <v>15</v>
      </c>
      <c r="C32" s="14">
        <f>Postes!F32</f>
        <v>2.1</v>
      </c>
      <c r="D32" s="14">
        <v>42.197295897621011</v>
      </c>
      <c r="E32" s="14">
        <f>Parametros!$E$14*Parametros!$E$12*10*Parametros!$E$13*(B32-C32-Parametros!$E$15)/1000</f>
        <v>99.45</v>
      </c>
      <c r="F32" s="14">
        <f t="shared" si="0"/>
        <v>0.42430664552660641</v>
      </c>
      <c r="G32" s="14">
        <v>-0.36664205424469015</v>
      </c>
      <c r="H32" s="14">
        <f>Postes!J32</f>
        <v>2</v>
      </c>
      <c r="I32" s="14">
        <v>26.187293577561572</v>
      </c>
      <c r="J32" s="14">
        <f>IF(H32=0,0,ROUNDUP(MAX(Parametros!$E$16,I32/Parametros!$E$17)/10,0)*10)</f>
        <v>60</v>
      </c>
      <c r="K32" s="14">
        <f>J32*Parametros!$E$17</f>
        <v>54</v>
      </c>
      <c r="L32" s="14">
        <f t="shared" si="1"/>
        <v>0.48494988106595505</v>
      </c>
    </row>
    <row r="33" spans="1:12" ht="21" customHeight="1">
      <c r="A33" s="1" t="s">
        <v>214</v>
      </c>
      <c r="B33" s="14">
        <f>Postes!E33</f>
        <v>15</v>
      </c>
      <c r="C33" s="14">
        <f>Postes!F33</f>
        <v>2.1</v>
      </c>
      <c r="D33" s="14">
        <v>42.27275628621733</v>
      </c>
      <c r="E33" s="14">
        <f>Parametros!$E$14*Parametros!$E$12*10*Parametros!$E$13*(B33-C33-Parametros!$E$15)/1000</f>
        <v>99.45</v>
      </c>
      <c r="F33" s="14">
        <f t="shared" si="0"/>
        <v>0.42506542268695152</v>
      </c>
      <c r="G33" s="14">
        <v>0.57242208231150815</v>
      </c>
      <c r="H33" s="14">
        <f>Postes!J33</f>
        <v>0</v>
      </c>
      <c r="I33" s="14">
        <v>0</v>
      </c>
      <c r="J33" s="14">
        <f>IF(H33=0,0,ROUNDUP(MAX(Parametros!$E$16,I33/Parametros!$E$17)/10,0)*10)</f>
        <v>0</v>
      </c>
      <c r="K33" s="14">
        <f>J33*Parametros!$E$17</f>
        <v>0</v>
      </c>
      <c r="L33" s="14">
        <f t="shared" si="1"/>
        <v>0</v>
      </c>
    </row>
    <row r="34" spans="1:12" ht="21" customHeight="1">
      <c r="A34" s="1" t="s">
        <v>215</v>
      </c>
      <c r="B34" s="14">
        <f>Postes!E34</f>
        <v>15</v>
      </c>
      <c r="C34" s="14">
        <f>Postes!F34</f>
        <v>2.1</v>
      </c>
      <c r="D34" s="14">
        <v>39.629016524783403</v>
      </c>
      <c r="E34" s="14">
        <f>Parametros!$E$14*Parametros!$E$12*10*Parametros!$E$13*(B34-C34-Parametros!$E$15)/1000</f>
        <v>99.45</v>
      </c>
      <c r="F34" s="14">
        <f t="shared" si="0"/>
        <v>0.39848181523160786</v>
      </c>
      <c r="G34" s="14">
        <v>0.94857662794455688</v>
      </c>
      <c r="H34" s="14">
        <f>Postes!J34</f>
        <v>2</v>
      </c>
      <c r="I34" s="14">
        <v>26.111696220964827</v>
      </c>
      <c r="J34" s="14">
        <f>IF(H34=0,0,ROUNDUP(MAX(Parametros!$E$16,I34/Parametros!$E$17)/10,0)*10)</f>
        <v>60</v>
      </c>
      <c r="K34" s="14">
        <f>J34*Parametros!$E$17</f>
        <v>54</v>
      </c>
      <c r="L34" s="14">
        <f t="shared" si="1"/>
        <v>0.48354993001786717</v>
      </c>
    </row>
    <row r="35" spans="1:12" ht="21" customHeight="1">
      <c r="A35" s="1" t="s">
        <v>216</v>
      </c>
      <c r="B35" s="14">
        <f>Postes!E35</f>
        <v>13</v>
      </c>
      <c r="C35" s="14">
        <f>Postes!F35</f>
        <v>1.9</v>
      </c>
      <c r="D35" s="14">
        <v>23.942003085300769</v>
      </c>
      <c r="E35" s="14">
        <f>Parametros!$E$14*Parametros!$E$12*10*Parametros!$E$13*(B35-C35-Parametros!$E$15)/1000</f>
        <v>85.41</v>
      </c>
      <c r="F35" s="14">
        <f t="shared" si="0"/>
        <v>0.28031850000352149</v>
      </c>
      <c r="G35" s="14">
        <v>-1.9513661125631483</v>
      </c>
      <c r="H35" s="14">
        <f>Postes!J35</f>
        <v>2</v>
      </c>
      <c r="I35" s="14">
        <v>25.222564189341607</v>
      </c>
      <c r="J35" s="14">
        <f>IF(H35=0,0,ROUNDUP(MAX(Parametros!$E$16,I35/Parametros!$E$17)/10,0)*10)</f>
        <v>60</v>
      </c>
      <c r="K35" s="14">
        <f>J35*Parametros!$E$17</f>
        <v>54</v>
      </c>
      <c r="L35" s="14">
        <f t="shared" si="1"/>
        <v>0.46708452202484457</v>
      </c>
    </row>
    <row r="36" spans="1:12" ht="21" customHeight="1">
      <c r="A36" s="1" t="s">
        <v>217</v>
      </c>
      <c r="B36" s="14">
        <f>Postes!E36</f>
        <v>15</v>
      </c>
      <c r="C36" s="14">
        <f>Postes!F36</f>
        <v>2.1</v>
      </c>
      <c r="D36" s="14">
        <v>34.227835436485861</v>
      </c>
      <c r="E36" s="14">
        <f>Parametros!$E$14*Parametros!$E$12*10*Parametros!$E$13*(B36-C36-Parametros!$E$15)/1000</f>
        <v>99.45</v>
      </c>
      <c r="F36" s="14">
        <f t="shared" si="0"/>
        <v>0.34417129649558431</v>
      </c>
      <c r="G36" s="14">
        <v>0.57472293429562393</v>
      </c>
      <c r="H36" s="14">
        <f>Postes!J36</f>
        <v>2</v>
      </c>
      <c r="I36" s="14">
        <v>26.705835176194867</v>
      </c>
      <c r="J36" s="14">
        <f>IF(H36=0,0,ROUNDUP(MAX(Parametros!$E$16,I36/Parametros!$E$17)/10,0)*10)</f>
        <v>60</v>
      </c>
      <c r="K36" s="14">
        <f>J36*Parametros!$E$17</f>
        <v>54</v>
      </c>
      <c r="L36" s="14">
        <f t="shared" si="1"/>
        <v>0.49455250326286793</v>
      </c>
    </row>
    <row r="37" spans="1:12" ht="21" customHeight="1">
      <c r="A37" s="1" t="s">
        <v>218</v>
      </c>
      <c r="B37" s="14">
        <f>Postes!E37</f>
        <v>17</v>
      </c>
      <c r="C37" s="14">
        <f>Postes!F37</f>
        <v>2.1</v>
      </c>
      <c r="D37" s="14">
        <v>55.284807527953582</v>
      </c>
      <c r="E37" s="14">
        <f>Parametros!$E$14*Parametros!$E$12*10*Parametros!$E$13*(B37-C37-Parametros!$E$15)/1000</f>
        <v>115.05</v>
      </c>
      <c r="F37" s="14">
        <f t="shared" si="0"/>
        <v>0.48052853131641532</v>
      </c>
      <c r="G37" s="14">
        <v>1.0793932378952589</v>
      </c>
      <c r="H37" s="14">
        <f>Postes!J37</f>
        <v>0</v>
      </c>
      <c r="I37" s="14">
        <v>0</v>
      </c>
      <c r="J37" s="14">
        <f>IF(H37=0,0,ROUNDUP(MAX(Parametros!$E$16,I37/Parametros!$E$17)/10,0)*10)</f>
        <v>0</v>
      </c>
      <c r="K37" s="14">
        <f>J37*Parametros!$E$17</f>
        <v>0</v>
      </c>
      <c r="L37" s="14">
        <f t="shared" si="1"/>
        <v>0</v>
      </c>
    </row>
    <row r="38" spans="1:12" ht="21" customHeight="1">
      <c r="A38" s="1" t="s">
        <v>219</v>
      </c>
      <c r="B38" s="14">
        <f>Postes!E38</f>
        <v>15</v>
      </c>
      <c r="C38" s="14">
        <f>Postes!F38</f>
        <v>2.1</v>
      </c>
      <c r="D38" s="14">
        <v>43.648387338188215</v>
      </c>
      <c r="E38" s="14">
        <f>Parametros!$E$14*Parametros!$E$12*10*Parametros!$E$13*(B38-C38-Parametros!$E$15)/1000</f>
        <v>99.45</v>
      </c>
      <c r="F38" s="14">
        <f t="shared" si="0"/>
        <v>0.43889781134427563</v>
      </c>
      <c r="G38" s="14">
        <v>0.72435996376508316</v>
      </c>
      <c r="H38" s="14">
        <f>Postes!J38</f>
        <v>2</v>
      </c>
      <c r="I38" s="14">
        <v>26.751791291205908</v>
      </c>
      <c r="J38" s="14">
        <f>IF(H38=0,0,ROUNDUP(MAX(Parametros!$E$16,I38/Parametros!$E$17)/10,0)*10)</f>
        <v>60</v>
      </c>
      <c r="K38" s="14">
        <f>J38*Parametros!$E$17</f>
        <v>54</v>
      </c>
      <c r="L38" s="14">
        <f t="shared" si="1"/>
        <v>0.49540354242973905</v>
      </c>
    </row>
    <row r="39" spans="1:12" ht="21" customHeight="1">
      <c r="A39" s="1" t="s">
        <v>220</v>
      </c>
      <c r="B39" s="14">
        <f>Postes!E39</f>
        <v>15</v>
      </c>
      <c r="C39" s="14">
        <f>Postes!F39</f>
        <v>2.1</v>
      </c>
      <c r="D39" s="14">
        <v>42.341581541400913</v>
      </c>
      <c r="E39" s="14">
        <f>Parametros!$E$14*Parametros!$E$12*10*Parametros!$E$13*(B39-C39-Parametros!$E$15)/1000</f>
        <v>99.45</v>
      </c>
      <c r="F39" s="14">
        <f t="shared" ref="F39:F70" si="2">D39/E39</f>
        <v>0.42575748156260346</v>
      </c>
      <c r="G39" s="14">
        <v>0.18873906763865353</v>
      </c>
      <c r="H39" s="14">
        <f>Postes!J39</f>
        <v>0</v>
      </c>
      <c r="I39" s="14">
        <v>0</v>
      </c>
      <c r="J39" s="14">
        <f>IF(H39=0,0,ROUNDUP(MAX(Parametros!$E$16,I39/Parametros!$E$17)/10,0)*10)</f>
        <v>0</v>
      </c>
      <c r="K39" s="14">
        <f>J39*Parametros!$E$17</f>
        <v>0</v>
      </c>
      <c r="L39" s="14">
        <f t="shared" ref="L39:L70" si="3">IF(H39=0,0,I39/K39)</f>
        <v>0</v>
      </c>
    </row>
    <row r="40" spans="1:12" ht="21" customHeight="1">
      <c r="A40" s="1" t="s">
        <v>221</v>
      </c>
      <c r="B40" s="14">
        <f>Postes!E40</f>
        <v>15</v>
      </c>
      <c r="C40" s="14">
        <f>Postes!F40</f>
        <v>2.1</v>
      </c>
      <c r="D40" s="14">
        <v>42.328242483353158</v>
      </c>
      <c r="E40" s="14">
        <f>Parametros!$E$14*Parametros!$E$12*10*Parametros!$E$13*(B40-C40-Parametros!$E$15)/1000</f>
        <v>99.45</v>
      </c>
      <c r="F40" s="14">
        <f t="shared" si="2"/>
        <v>0.4256233532765526</v>
      </c>
      <c r="G40" s="14">
        <v>1.1711920003303873</v>
      </c>
      <c r="H40" s="14">
        <f>Postes!J40</f>
        <v>0</v>
      </c>
      <c r="I40" s="14">
        <v>0</v>
      </c>
      <c r="J40" s="14">
        <f>IF(H40=0,0,ROUNDUP(MAX(Parametros!$E$16,I40/Parametros!$E$17)/10,0)*10)</f>
        <v>0</v>
      </c>
      <c r="K40" s="14">
        <f>J40*Parametros!$E$17</f>
        <v>0</v>
      </c>
      <c r="L40" s="14">
        <f t="shared" si="3"/>
        <v>0</v>
      </c>
    </row>
    <row r="41" spans="1:12" ht="21" customHeight="1">
      <c r="A41" s="1" t="s">
        <v>222</v>
      </c>
      <c r="B41" s="14">
        <f>Postes!E41</f>
        <v>13</v>
      </c>
      <c r="C41" s="14">
        <f>Postes!F41</f>
        <v>1.9</v>
      </c>
      <c r="D41" s="14">
        <v>26.846343572164248</v>
      </c>
      <c r="E41" s="14">
        <f>Parametros!$E$14*Parametros!$E$12*10*Parametros!$E$13*(B41-C41-Parametros!$E$15)/1000</f>
        <v>85.41</v>
      </c>
      <c r="F41" s="14">
        <f t="shared" si="2"/>
        <v>0.31432318899618605</v>
      </c>
      <c r="G41" s="14">
        <v>-4.4525886950104203</v>
      </c>
      <c r="H41" s="14">
        <f>Postes!J41</f>
        <v>2</v>
      </c>
      <c r="I41" s="14">
        <v>26.21300527605937</v>
      </c>
      <c r="J41" s="14">
        <f>IF(H41=0,0,ROUNDUP(MAX(Parametros!$E$16,I41/Parametros!$E$17)/10,0)*10)</f>
        <v>60</v>
      </c>
      <c r="K41" s="14">
        <f>J41*Parametros!$E$17</f>
        <v>54</v>
      </c>
      <c r="L41" s="14">
        <f t="shared" si="3"/>
        <v>0.48542602363072906</v>
      </c>
    </row>
    <row r="42" spans="1:12" ht="21" customHeight="1">
      <c r="A42" s="1" t="s">
        <v>223</v>
      </c>
      <c r="B42" s="14">
        <f>Postes!E42</f>
        <v>13</v>
      </c>
      <c r="C42" s="14">
        <f>Postes!F42</f>
        <v>1.9</v>
      </c>
      <c r="D42" s="14">
        <v>19.35606540519322</v>
      </c>
      <c r="E42" s="14">
        <f>Parametros!$E$14*Parametros!$E$12*10*Parametros!$E$13*(B42-C42-Parametros!$E$15)/1000</f>
        <v>85.41</v>
      </c>
      <c r="F42" s="14">
        <f t="shared" si="2"/>
        <v>0.22662528281457933</v>
      </c>
      <c r="G42" s="14">
        <v>-4.7360016712824056</v>
      </c>
      <c r="H42" s="14">
        <f>Postes!J42</f>
        <v>2</v>
      </c>
      <c r="I42" s="14">
        <v>24.789744755932855</v>
      </c>
      <c r="J42" s="14">
        <f>IF(H42=0,0,ROUNDUP(MAX(Parametros!$E$16,I42/Parametros!$E$17)/10,0)*10)</f>
        <v>60</v>
      </c>
      <c r="K42" s="14">
        <f>J42*Parametros!$E$17</f>
        <v>54</v>
      </c>
      <c r="L42" s="14">
        <f t="shared" si="3"/>
        <v>0.45906934733208993</v>
      </c>
    </row>
    <row r="43" spans="1:12" ht="21" customHeight="1">
      <c r="A43" s="1" t="s">
        <v>224</v>
      </c>
      <c r="B43" s="14">
        <f>Postes!E43</f>
        <v>13</v>
      </c>
      <c r="C43" s="14">
        <f>Postes!F43</f>
        <v>1.9</v>
      </c>
      <c r="D43" s="14">
        <v>20.764970943038723</v>
      </c>
      <c r="E43" s="14">
        <f>Parametros!$E$14*Parametros!$E$12*10*Parametros!$E$13*(B43-C43-Parametros!$E$15)/1000</f>
        <v>85.41</v>
      </c>
      <c r="F43" s="14">
        <f t="shared" si="2"/>
        <v>0.24312107414867959</v>
      </c>
      <c r="G43" s="14">
        <v>-0.37210146405398153</v>
      </c>
      <c r="H43" s="14">
        <f>Postes!J43</f>
        <v>2</v>
      </c>
      <c r="I43" s="14">
        <v>23.746814695759788</v>
      </c>
      <c r="J43" s="14">
        <f>IF(H43=0,0,ROUNDUP(MAX(Parametros!$E$16,I43/Parametros!$E$17)/10,0)*10)</f>
        <v>60</v>
      </c>
      <c r="K43" s="14">
        <f>J43*Parametros!$E$17</f>
        <v>54</v>
      </c>
      <c r="L43" s="14">
        <f t="shared" si="3"/>
        <v>0.43975582769925531</v>
      </c>
    </row>
    <row r="44" spans="1:12" ht="21" customHeight="1">
      <c r="A44" s="1" t="s">
        <v>225</v>
      </c>
      <c r="B44" s="14">
        <f>Postes!E44</f>
        <v>13</v>
      </c>
      <c r="C44" s="14">
        <f>Postes!F44</f>
        <v>1.9</v>
      </c>
      <c r="D44" s="14">
        <v>27.538249816668309</v>
      </c>
      <c r="E44" s="14">
        <f>Parametros!$E$14*Parametros!$E$12*10*Parametros!$E$13*(B44-C44-Parametros!$E$15)/1000</f>
        <v>85.41</v>
      </c>
      <c r="F44" s="14">
        <f t="shared" si="2"/>
        <v>0.32242418705852138</v>
      </c>
      <c r="G44" s="14">
        <v>1.4729791360114328</v>
      </c>
      <c r="H44" s="14">
        <f>Postes!J44</f>
        <v>2</v>
      </c>
      <c r="I44" s="14">
        <v>26.360156660487906</v>
      </c>
      <c r="J44" s="14">
        <f>IF(H44=0,0,ROUNDUP(MAX(Parametros!$E$16,I44/Parametros!$E$17)/10,0)*10)</f>
        <v>60</v>
      </c>
      <c r="K44" s="14">
        <f>J44*Parametros!$E$17</f>
        <v>54</v>
      </c>
      <c r="L44" s="14">
        <f t="shared" si="3"/>
        <v>0.48815104926829456</v>
      </c>
    </row>
    <row r="45" spans="1:12" ht="21" customHeight="1">
      <c r="A45" s="1" t="s">
        <v>226</v>
      </c>
      <c r="B45" s="14">
        <f>Postes!E45</f>
        <v>17</v>
      </c>
      <c r="C45" s="14">
        <f>Postes!F45</f>
        <v>2.1</v>
      </c>
      <c r="D45" s="14">
        <v>53.94772423628725</v>
      </c>
      <c r="E45" s="14">
        <f>Parametros!$E$14*Parametros!$E$12*10*Parametros!$E$13*(B45-C45-Parametros!$E$15)/1000</f>
        <v>115.05</v>
      </c>
      <c r="F45" s="14">
        <f t="shared" si="2"/>
        <v>0.46890677302292266</v>
      </c>
      <c r="G45" s="14">
        <v>-0.4469621728258994</v>
      </c>
      <c r="H45" s="14">
        <f>Postes!J45</f>
        <v>2</v>
      </c>
      <c r="I45" s="14">
        <v>26.739115976174471</v>
      </c>
      <c r="J45" s="14">
        <f>IF(H45=0,0,ROUNDUP(MAX(Parametros!$E$16,I45/Parametros!$E$17)/10,0)*10)</f>
        <v>60</v>
      </c>
      <c r="K45" s="14">
        <f>J45*Parametros!$E$17</f>
        <v>54</v>
      </c>
      <c r="L45" s="14">
        <f t="shared" si="3"/>
        <v>0.49516881437360133</v>
      </c>
    </row>
    <row r="46" spans="1:12" ht="21" customHeight="1">
      <c r="A46" s="1" t="s">
        <v>227</v>
      </c>
      <c r="B46" s="14">
        <f>Postes!E46</f>
        <v>17</v>
      </c>
      <c r="C46" s="14">
        <f>Postes!F46</f>
        <v>2.1</v>
      </c>
      <c r="D46" s="14">
        <v>55.982608847195046</v>
      </c>
      <c r="E46" s="14">
        <f>Parametros!$E$14*Parametros!$E$12*10*Parametros!$E$13*(B46-C46-Parametros!$E$15)/1000</f>
        <v>115.05</v>
      </c>
      <c r="F46" s="14">
        <f t="shared" si="2"/>
        <v>0.48659373183133459</v>
      </c>
      <c r="G46" s="14">
        <v>-2.1479591918109495</v>
      </c>
      <c r="H46" s="14">
        <f>Postes!J46</f>
        <v>2</v>
      </c>
      <c r="I46" s="14">
        <v>26.739115976174471</v>
      </c>
      <c r="J46" s="14">
        <f>IF(H46=0,0,ROUNDUP(MAX(Parametros!$E$16,I46/Parametros!$E$17)/10,0)*10)</f>
        <v>60</v>
      </c>
      <c r="K46" s="14">
        <f>J46*Parametros!$E$17</f>
        <v>54</v>
      </c>
      <c r="L46" s="14">
        <f t="shared" si="3"/>
        <v>0.49516881437360133</v>
      </c>
    </row>
    <row r="47" spans="1:12" ht="21" customHeight="1">
      <c r="A47" s="1" t="s">
        <v>228</v>
      </c>
      <c r="B47" s="14">
        <f>Postes!E47</f>
        <v>17</v>
      </c>
      <c r="C47" s="14">
        <f>Postes!F47</f>
        <v>2.1</v>
      </c>
      <c r="D47" s="14">
        <v>51.215429438540767</v>
      </c>
      <c r="E47" s="14">
        <f>Parametros!$E$14*Parametros!$E$12*10*Parametros!$E$13*(B47-C47-Parametros!$E$15)/1000</f>
        <v>115.05</v>
      </c>
      <c r="F47" s="14">
        <f t="shared" si="2"/>
        <v>0.44515801337280109</v>
      </c>
      <c r="G47" s="14">
        <v>1.9117325365810158</v>
      </c>
      <c r="H47" s="14">
        <f>Postes!J47</f>
        <v>2</v>
      </c>
      <c r="I47" s="14">
        <v>26.322614326708045</v>
      </c>
      <c r="J47" s="14">
        <f>IF(H47=0,0,ROUNDUP(MAX(Parametros!$E$16,I47/Parametros!$E$17)/10,0)*10)</f>
        <v>60</v>
      </c>
      <c r="K47" s="14">
        <f>J47*Parametros!$E$17</f>
        <v>54</v>
      </c>
      <c r="L47" s="14">
        <f t="shared" si="3"/>
        <v>0.48745582086496381</v>
      </c>
    </row>
    <row r="48" spans="1:12" ht="21" customHeight="1">
      <c r="A48" s="1" t="s">
        <v>229</v>
      </c>
      <c r="B48" s="14">
        <f>Postes!E48</f>
        <v>17</v>
      </c>
      <c r="C48" s="14">
        <f>Postes!F48</f>
        <v>2.1</v>
      </c>
      <c r="D48" s="14">
        <v>44.459026464648325</v>
      </c>
      <c r="E48" s="14">
        <f>Parametros!$E$14*Parametros!$E$12*10*Parametros!$E$13*(B48-C48-Parametros!$E$15)/1000</f>
        <v>115.05</v>
      </c>
      <c r="F48" s="14">
        <f t="shared" si="2"/>
        <v>0.38643221612036788</v>
      </c>
      <c r="G48" s="14">
        <v>-2.749877174287207</v>
      </c>
      <c r="H48" s="14">
        <f>Postes!J48</f>
        <v>2</v>
      </c>
      <c r="I48" s="14">
        <v>25.489658984284699</v>
      </c>
      <c r="J48" s="14">
        <f>IF(H48=0,0,ROUNDUP(MAX(Parametros!$E$16,I48/Parametros!$E$17)/10,0)*10)</f>
        <v>60</v>
      </c>
      <c r="K48" s="14">
        <f>J48*Parametros!$E$17</f>
        <v>54</v>
      </c>
      <c r="L48" s="14">
        <f t="shared" si="3"/>
        <v>0.47203072193119811</v>
      </c>
    </row>
    <row r="49" spans="1:12" ht="21" customHeight="1">
      <c r="A49" s="1" t="s">
        <v>230</v>
      </c>
      <c r="B49" s="14">
        <f>Postes!E49</f>
        <v>15</v>
      </c>
      <c r="C49" s="14">
        <f>Postes!F49</f>
        <v>2.1</v>
      </c>
      <c r="D49" s="14">
        <v>38.748501923634869</v>
      </c>
      <c r="E49" s="14">
        <f>Parametros!$E$14*Parametros!$E$12*10*Parametros!$E$13*(B49-C49-Parametros!$E$15)/1000</f>
        <v>99.45</v>
      </c>
      <c r="F49" s="14">
        <f t="shared" si="2"/>
        <v>0.38962797308833452</v>
      </c>
      <c r="G49" s="14">
        <v>0.94237788374639808</v>
      </c>
      <c r="H49" s="14">
        <f>Postes!J49</f>
        <v>2</v>
      </c>
      <c r="I49" s="14">
        <v>26.633040169777679</v>
      </c>
      <c r="J49" s="14">
        <f>IF(H49=0,0,ROUNDUP(MAX(Parametros!$E$16,I49/Parametros!$E$17)/10,0)*10)</f>
        <v>60</v>
      </c>
      <c r="K49" s="14">
        <f>J49*Parametros!$E$17</f>
        <v>54</v>
      </c>
      <c r="L49" s="14">
        <f t="shared" si="3"/>
        <v>0.49320444758847554</v>
      </c>
    </row>
    <row r="50" spans="1:12" ht="21" customHeight="1">
      <c r="A50" s="1" t="s">
        <v>231</v>
      </c>
      <c r="B50" s="14">
        <f>Postes!E50</f>
        <v>15</v>
      </c>
      <c r="C50" s="14">
        <f>Postes!F50</f>
        <v>2.1</v>
      </c>
      <c r="D50" s="14">
        <v>44.484177609759037</v>
      </c>
      <c r="E50" s="14">
        <f>Parametros!$E$14*Parametros!$E$12*10*Parametros!$E$13*(B50-C50-Parametros!$E$15)/1000</f>
        <v>99.45</v>
      </c>
      <c r="F50" s="14">
        <f t="shared" si="2"/>
        <v>0.4473019367497138</v>
      </c>
      <c r="G50" s="14">
        <v>-0.11214943650445763</v>
      </c>
      <c r="H50" s="14">
        <f>Postes!J50</f>
        <v>2</v>
      </c>
      <c r="I50" s="14">
        <v>26.633040169777679</v>
      </c>
      <c r="J50" s="14">
        <f>IF(H50=0,0,ROUNDUP(MAX(Parametros!$E$16,I50/Parametros!$E$17)/10,0)*10)</f>
        <v>60</v>
      </c>
      <c r="K50" s="14">
        <f>J50*Parametros!$E$17</f>
        <v>54</v>
      </c>
      <c r="L50" s="14">
        <f t="shared" si="3"/>
        <v>0.49320444758847554</v>
      </c>
    </row>
    <row r="51" spans="1:12" ht="21" customHeight="1">
      <c r="A51" s="1" t="s">
        <v>232</v>
      </c>
      <c r="B51" s="14">
        <f>Postes!E51</f>
        <v>13</v>
      </c>
      <c r="C51" s="14">
        <f>Postes!F51</f>
        <v>1.9</v>
      </c>
      <c r="D51" s="14">
        <v>31.924357895338467</v>
      </c>
      <c r="E51" s="14">
        <f>Parametros!$E$14*Parametros!$E$12*10*Parametros!$E$13*(B51-C51-Parametros!$E$15)/1000</f>
        <v>85.41</v>
      </c>
      <c r="F51" s="14">
        <f t="shared" si="2"/>
        <v>0.3737777531359146</v>
      </c>
      <c r="G51" s="14">
        <v>1.2306787043480598</v>
      </c>
      <c r="H51" s="14">
        <f>Postes!J51</f>
        <v>2</v>
      </c>
      <c r="I51" s="14">
        <v>26.575073002079371</v>
      </c>
      <c r="J51" s="14">
        <f>IF(H51=0,0,ROUNDUP(MAX(Parametros!$E$16,I51/Parametros!$E$17)/10,0)*10)</f>
        <v>60</v>
      </c>
      <c r="K51" s="14">
        <f>J51*Parametros!$E$17</f>
        <v>54</v>
      </c>
      <c r="L51" s="14">
        <f t="shared" si="3"/>
        <v>0.49213098151998835</v>
      </c>
    </row>
    <row r="52" spans="1:12" ht="21" customHeight="1">
      <c r="A52" s="1" t="s">
        <v>233</v>
      </c>
      <c r="B52" s="14">
        <f>Postes!E52</f>
        <v>13</v>
      </c>
      <c r="C52" s="14">
        <f>Postes!F52</f>
        <v>1.9</v>
      </c>
      <c r="D52" s="14">
        <v>30.702769342186063</v>
      </c>
      <c r="E52" s="14">
        <f>Parametros!$E$14*Parametros!$E$12*10*Parametros!$E$13*(B52-C52-Parametros!$E$15)/1000</f>
        <v>85.41</v>
      </c>
      <c r="F52" s="14">
        <f t="shared" si="2"/>
        <v>0.35947511230752915</v>
      </c>
      <c r="G52" s="14">
        <v>7.5717045057976287E-2</v>
      </c>
      <c r="H52" s="14">
        <f>Postes!J52</f>
        <v>0</v>
      </c>
      <c r="I52" s="14">
        <v>0</v>
      </c>
      <c r="J52" s="14">
        <f>IF(H52=0,0,ROUNDUP(MAX(Parametros!$E$16,I52/Parametros!$E$17)/10,0)*10)</f>
        <v>0</v>
      </c>
      <c r="K52" s="14">
        <f>J52*Parametros!$E$17</f>
        <v>0</v>
      </c>
      <c r="L52" s="14">
        <f t="shared" si="3"/>
        <v>0</v>
      </c>
    </row>
    <row r="53" spans="1:12" ht="21" customHeight="1">
      <c r="A53" s="1" t="s">
        <v>234</v>
      </c>
      <c r="B53" s="14">
        <f>Postes!E53</f>
        <v>13</v>
      </c>
      <c r="C53" s="14">
        <f>Postes!F53</f>
        <v>1.9</v>
      </c>
      <c r="D53" s="14">
        <v>30.723350352867723</v>
      </c>
      <c r="E53" s="14">
        <f>Parametros!$E$14*Parametros!$E$12*10*Parametros!$E$13*(B53-C53-Parametros!$E$15)/1000</f>
        <v>85.41</v>
      </c>
      <c r="F53" s="14">
        <f t="shared" si="2"/>
        <v>0.35971607953246371</v>
      </c>
      <c r="G53" s="14">
        <v>-6.1285402671363273E-2</v>
      </c>
      <c r="H53" s="14">
        <f>Postes!J53</f>
        <v>2</v>
      </c>
      <c r="I53" s="14">
        <v>25.421587971223076</v>
      </c>
      <c r="J53" s="14">
        <f>IF(H53=0,0,ROUNDUP(MAX(Parametros!$E$16,I53/Parametros!$E$17)/10,0)*10)</f>
        <v>60</v>
      </c>
      <c r="K53" s="14">
        <f>J53*Parametros!$E$17</f>
        <v>54</v>
      </c>
      <c r="L53" s="14">
        <f t="shared" si="3"/>
        <v>0.47077014761524216</v>
      </c>
    </row>
    <row r="54" spans="1:12" ht="21" customHeight="1">
      <c r="A54" s="1" t="s">
        <v>235</v>
      </c>
      <c r="B54" s="14">
        <f>Postes!E54</f>
        <v>13</v>
      </c>
      <c r="C54" s="14">
        <f>Postes!F54</f>
        <v>1.9</v>
      </c>
      <c r="D54" s="14">
        <v>22.953491981017525</v>
      </c>
      <c r="E54" s="14">
        <f>Parametros!$E$14*Parametros!$E$12*10*Parametros!$E$13*(B54-C54-Parametros!$E$15)/1000</f>
        <v>85.41</v>
      </c>
      <c r="F54" s="14">
        <f t="shared" si="2"/>
        <v>0.26874478376088895</v>
      </c>
      <c r="G54" s="14">
        <v>-2.4885593931098562</v>
      </c>
      <c r="H54" s="14">
        <f>Postes!J54</f>
        <v>2</v>
      </c>
      <c r="I54" s="14">
        <v>25.393374389725803</v>
      </c>
      <c r="J54" s="14">
        <f>IF(H54=0,0,ROUNDUP(MAX(Parametros!$E$16,I54/Parametros!$E$17)/10,0)*10)</f>
        <v>60</v>
      </c>
      <c r="K54" s="14">
        <f>J54*Parametros!$E$17</f>
        <v>54</v>
      </c>
      <c r="L54" s="14">
        <f t="shared" si="3"/>
        <v>0.47024767388381117</v>
      </c>
    </row>
    <row r="55" spans="1:12" ht="21" customHeight="1">
      <c r="A55" s="1" t="s">
        <v>236</v>
      </c>
      <c r="B55" s="14">
        <f>Postes!E55</f>
        <v>13</v>
      </c>
      <c r="C55" s="14">
        <f>Postes!F55</f>
        <v>1.9</v>
      </c>
      <c r="D55" s="14">
        <v>26.289630175481168</v>
      </c>
      <c r="E55" s="14">
        <f>Parametros!$E$14*Parametros!$E$12*10*Parametros!$E$13*(B55-C55-Parametros!$E$15)/1000</f>
        <v>85.41</v>
      </c>
      <c r="F55" s="14">
        <f t="shared" si="2"/>
        <v>0.30780506001031693</v>
      </c>
      <c r="G55" s="14">
        <v>0.8832647997886186</v>
      </c>
      <c r="H55" s="14">
        <f>Postes!J55</f>
        <v>2</v>
      </c>
      <c r="I55" s="14">
        <v>26.551141340877166</v>
      </c>
      <c r="J55" s="14">
        <f>IF(H55=0,0,ROUNDUP(MAX(Parametros!$E$16,I55/Parametros!$E$17)/10,0)*10)</f>
        <v>60</v>
      </c>
      <c r="K55" s="14">
        <f>J55*Parametros!$E$17</f>
        <v>54</v>
      </c>
      <c r="L55" s="14">
        <f t="shared" si="3"/>
        <v>0.49168780260883643</v>
      </c>
    </row>
    <row r="56" spans="1:12" ht="21" customHeight="1">
      <c r="A56" s="1" t="s">
        <v>237</v>
      </c>
      <c r="B56" s="14">
        <f>Postes!E56</f>
        <v>13</v>
      </c>
      <c r="C56" s="14">
        <f>Postes!F56</f>
        <v>1.9</v>
      </c>
      <c r="D56" s="14">
        <v>32.254746249608274</v>
      </c>
      <c r="E56" s="14">
        <f>Parametros!$E$14*Parametros!$E$12*10*Parametros!$E$13*(B56-C56-Parametros!$E$15)/1000</f>
        <v>85.41</v>
      </c>
      <c r="F56" s="14">
        <f t="shared" si="2"/>
        <v>0.37764601626985456</v>
      </c>
      <c r="G56" s="14">
        <v>1.1799252365332327</v>
      </c>
      <c r="H56" s="14">
        <f>Postes!J56</f>
        <v>2</v>
      </c>
      <c r="I56" s="14">
        <v>26.551141340877166</v>
      </c>
      <c r="J56" s="14">
        <f>IF(H56=0,0,ROUNDUP(MAX(Parametros!$E$16,I56/Parametros!$E$17)/10,0)*10)</f>
        <v>60</v>
      </c>
      <c r="K56" s="14">
        <f>J56*Parametros!$E$17</f>
        <v>54</v>
      </c>
      <c r="L56" s="14">
        <f t="shared" si="3"/>
        <v>0.49168780260883643</v>
      </c>
    </row>
    <row r="57" spans="1:12" ht="21" customHeight="1">
      <c r="A57" s="1" t="s">
        <v>238</v>
      </c>
      <c r="B57" s="14">
        <f>Postes!E57</f>
        <v>13</v>
      </c>
      <c r="C57" s="14">
        <f>Postes!F57</f>
        <v>1.9</v>
      </c>
      <c r="D57" s="14">
        <v>29.592034179177819</v>
      </c>
      <c r="E57" s="14">
        <f>Parametros!$E$14*Parametros!$E$12*10*Parametros!$E$13*(B57-C57-Parametros!$E$15)/1000</f>
        <v>85.41</v>
      </c>
      <c r="F57" s="14">
        <f t="shared" si="2"/>
        <v>0.34647036856548202</v>
      </c>
      <c r="G57" s="14">
        <v>-0.20357571110955427</v>
      </c>
      <c r="H57" s="14">
        <f>Postes!J57</f>
        <v>2</v>
      </c>
      <c r="I57" s="14">
        <v>25.194662289135795</v>
      </c>
      <c r="J57" s="14">
        <f>IF(H57=0,0,ROUNDUP(MAX(Parametros!$E$16,I57/Parametros!$E$17)/10,0)*10)</f>
        <v>60</v>
      </c>
      <c r="K57" s="14">
        <f>J57*Parametros!$E$17</f>
        <v>54</v>
      </c>
      <c r="L57" s="14">
        <f t="shared" si="3"/>
        <v>0.46656782016918141</v>
      </c>
    </row>
    <row r="58" spans="1:12" ht="21" customHeight="1">
      <c r="A58" s="1" t="s">
        <v>239</v>
      </c>
      <c r="B58" s="14">
        <f>Postes!E58</f>
        <v>13</v>
      </c>
      <c r="C58" s="14">
        <f>Postes!F58</f>
        <v>1.9</v>
      </c>
      <c r="D58" s="14">
        <v>31.066656438434521</v>
      </c>
      <c r="E58" s="14">
        <f>Parametros!$E$14*Parametros!$E$12*10*Parametros!$E$13*(B58-C58-Parametros!$E$15)/1000</f>
        <v>85.41</v>
      </c>
      <c r="F58" s="14">
        <f t="shared" si="2"/>
        <v>0.36373558644695614</v>
      </c>
      <c r="G58" s="14">
        <v>-2.823337106831199</v>
      </c>
      <c r="H58" s="14">
        <f>Postes!J58</f>
        <v>2</v>
      </c>
      <c r="I58" s="14">
        <v>26.395026459478309</v>
      </c>
      <c r="J58" s="14">
        <f>IF(H58=0,0,ROUNDUP(MAX(Parametros!$E$16,I58/Parametros!$E$17)/10,0)*10)</f>
        <v>60</v>
      </c>
      <c r="K58" s="14">
        <f>J58*Parametros!$E$17</f>
        <v>54</v>
      </c>
      <c r="L58" s="14">
        <f t="shared" si="3"/>
        <v>0.48879678628663537</v>
      </c>
    </row>
    <row r="59" spans="1:12" ht="21" customHeight="1">
      <c r="A59" s="1" t="s">
        <v>240</v>
      </c>
      <c r="B59" s="14">
        <f>Postes!E59</f>
        <v>13</v>
      </c>
      <c r="C59" s="14">
        <f>Postes!F59</f>
        <v>1.9</v>
      </c>
      <c r="D59" s="14">
        <v>31.107211728466133</v>
      </c>
      <c r="E59" s="14">
        <f>Parametros!$E$14*Parametros!$E$12*10*Parametros!$E$13*(B59-C59-Parametros!$E$15)/1000</f>
        <v>85.41</v>
      </c>
      <c r="F59" s="14">
        <f t="shared" si="2"/>
        <v>0.36421041714630764</v>
      </c>
      <c r="G59" s="14">
        <v>1.554353006159757</v>
      </c>
      <c r="H59" s="14">
        <f>Postes!J59</f>
        <v>2</v>
      </c>
      <c r="I59" s="14">
        <v>26.395026459478309</v>
      </c>
      <c r="J59" s="14">
        <f>IF(H59=0,0,ROUNDUP(MAX(Parametros!$E$16,I59/Parametros!$E$17)/10,0)*10)</f>
        <v>60</v>
      </c>
      <c r="K59" s="14">
        <f>J59*Parametros!$E$17</f>
        <v>54</v>
      </c>
      <c r="L59" s="14">
        <f t="shared" si="3"/>
        <v>0.48879678628663537</v>
      </c>
    </row>
    <row r="60" spans="1:12" ht="21" customHeight="1">
      <c r="A60" s="1" t="s">
        <v>241</v>
      </c>
      <c r="B60" s="14">
        <f>Postes!E60</f>
        <v>13</v>
      </c>
      <c r="C60" s="14">
        <f>Postes!F60</f>
        <v>1.9</v>
      </c>
      <c r="D60" s="14">
        <v>26.878148263820673</v>
      </c>
      <c r="E60" s="14">
        <f>Parametros!$E$14*Parametros!$E$12*10*Parametros!$E$13*(B60-C60-Parametros!$E$15)/1000</f>
        <v>85.41</v>
      </c>
      <c r="F60" s="14">
        <f t="shared" si="2"/>
        <v>0.31469556566936746</v>
      </c>
      <c r="G60" s="14">
        <v>0.86161362275344699</v>
      </c>
      <c r="H60" s="14">
        <f>Postes!J60</f>
        <v>0</v>
      </c>
      <c r="I60" s="14">
        <v>0</v>
      </c>
      <c r="J60" s="14">
        <f>IF(H60=0,0,ROUNDUP(MAX(Parametros!$E$16,I60/Parametros!$E$17)/10,0)*10)</f>
        <v>0</v>
      </c>
      <c r="K60" s="14">
        <f>J60*Parametros!$E$17</f>
        <v>0</v>
      </c>
      <c r="L60" s="14">
        <f t="shared" si="3"/>
        <v>0</v>
      </c>
    </row>
    <row r="61" spans="1:12" ht="21" customHeight="1">
      <c r="A61" s="1" t="s">
        <v>242</v>
      </c>
      <c r="B61" s="14">
        <f>Postes!E61</f>
        <v>13</v>
      </c>
      <c r="C61" s="14">
        <f>Postes!F61</f>
        <v>1.9</v>
      </c>
      <c r="D61" s="14">
        <v>30.163483079110033</v>
      </c>
      <c r="E61" s="14">
        <f>Parametros!$E$14*Parametros!$E$12*10*Parametros!$E$13*(B61-C61-Parametros!$E$15)/1000</f>
        <v>85.41</v>
      </c>
      <c r="F61" s="14">
        <f t="shared" si="2"/>
        <v>0.35316102422561801</v>
      </c>
      <c r="G61" s="14">
        <v>-2.0792322082460588</v>
      </c>
      <c r="H61" s="14">
        <f>Postes!J61</f>
        <v>2</v>
      </c>
      <c r="I61" s="14">
        <v>26.153589831194129</v>
      </c>
      <c r="J61" s="14">
        <f>IF(H61=0,0,ROUNDUP(MAX(Parametros!$E$16,I61/Parametros!$E$17)/10,0)*10)</f>
        <v>60</v>
      </c>
      <c r="K61" s="14">
        <f>J61*Parametros!$E$17</f>
        <v>54</v>
      </c>
      <c r="L61" s="14">
        <f t="shared" si="3"/>
        <v>0.4843257376147061</v>
      </c>
    </row>
    <row r="62" spans="1:12" ht="21" customHeight="1">
      <c r="A62" s="1" t="s">
        <v>243</v>
      </c>
      <c r="B62" s="14">
        <f>Postes!E62</f>
        <v>13</v>
      </c>
      <c r="C62" s="14">
        <f>Postes!F62</f>
        <v>1.9</v>
      </c>
      <c r="D62" s="14">
        <v>30.160908624798523</v>
      </c>
      <c r="E62" s="14">
        <f>Parametros!$E$14*Parametros!$E$12*10*Parametros!$E$13*(B62-C62-Parametros!$E$15)/1000</f>
        <v>85.41</v>
      </c>
      <c r="F62" s="14">
        <f t="shared" si="2"/>
        <v>0.35313088192013259</v>
      </c>
      <c r="G62" s="14">
        <v>1.6664998476827946</v>
      </c>
      <c r="H62" s="14">
        <f>Postes!J62</f>
        <v>2</v>
      </c>
      <c r="I62" s="14">
        <v>26.682247971604319</v>
      </c>
      <c r="J62" s="14">
        <f>IF(H62=0,0,ROUNDUP(MAX(Parametros!$E$16,I62/Parametros!$E$17)/10,0)*10)</f>
        <v>60</v>
      </c>
      <c r="K62" s="14">
        <f>J62*Parametros!$E$17</f>
        <v>54</v>
      </c>
      <c r="L62" s="14">
        <f t="shared" si="3"/>
        <v>0.49411570317785775</v>
      </c>
    </row>
    <row r="63" spans="1:12" ht="21" customHeight="1">
      <c r="A63" s="1" t="s">
        <v>244</v>
      </c>
      <c r="B63" s="14">
        <f>Postes!E63</f>
        <v>13</v>
      </c>
      <c r="C63" s="14">
        <f>Postes!F63</f>
        <v>1.9</v>
      </c>
      <c r="D63" s="14">
        <v>25.829450104750563</v>
      </c>
      <c r="E63" s="14">
        <f>Parametros!$E$14*Parametros!$E$12*10*Parametros!$E$13*(B63-C63-Parametros!$E$15)/1000</f>
        <v>85.41</v>
      </c>
      <c r="F63" s="14">
        <f t="shared" si="2"/>
        <v>0.30241716549292313</v>
      </c>
      <c r="G63" s="14">
        <v>-4.0915294494741694</v>
      </c>
      <c r="H63" s="14">
        <f>Postes!J63</f>
        <v>2</v>
      </c>
      <c r="I63" s="14">
        <v>26.682247971604319</v>
      </c>
      <c r="J63" s="14">
        <f>IF(H63=0,0,ROUNDUP(MAX(Parametros!$E$16,I63/Parametros!$E$17)/10,0)*10)</f>
        <v>60</v>
      </c>
      <c r="K63" s="14">
        <f>J63*Parametros!$E$17</f>
        <v>54</v>
      </c>
      <c r="L63" s="14">
        <f t="shared" si="3"/>
        <v>0.49411570317785775</v>
      </c>
    </row>
    <row r="64" spans="1:12" ht="21" customHeight="1">
      <c r="A64" s="1" t="s">
        <v>245</v>
      </c>
      <c r="B64" s="14">
        <f>Postes!E64</f>
        <v>13</v>
      </c>
      <c r="C64" s="14">
        <f>Postes!F64</f>
        <v>1.9</v>
      </c>
      <c r="D64" s="14">
        <v>27.225134507823181</v>
      </c>
      <c r="E64" s="14">
        <f>Parametros!$E$14*Parametros!$E$12*10*Parametros!$E$13*(B64-C64-Parametros!$E$15)/1000</f>
        <v>85.41</v>
      </c>
      <c r="F64" s="14">
        <f t="shared" si="2"/>
        <v>0.31875816072852337</v>
      </c>
      <c r="G64" s="14">
        <v>-2.0790566121385292</v>
      </c>
      <c r="H64" s="14">
        <f>Postes!J64</f>
        <v>2</v>
      </c>
      <c r="I64" s="14">
        <v>24.750995610538926</v>
      </c>
      <c r="J64" s="14">
        <f>IF(H64=0,0,ROUNDUP(MAX(Parametros!$E$16,I64/Parametros!$E$17)/10,0)*10)</f>
        <v>60</v>
      </c>
      <c r="K64" s="14">
        <f>J64*Parametros!$E$17</f>
        <v>54</v>
      </c>
      <c r="L64" s="14">
        <f t="shared" si="3"/>
        <v>0.45835177056553567</v>
      </c>
    </row>
    <row r="65" spans="1:12" ht="21" customHeight="1">
      <c r="A65" s="1" t="s">
        <v>246</v>
      </c>
      <c r="B65" s="14">
        <f>Postes!E65</f>
        <v>13</v>
      </c>
      <c r="C65" s="14">
        <f>Postes!F65</f>
        <v>1.9</v>
      </c>
      <c r="D65" s="14">
        <v>25.807100673584383</v>
      </c>
      <c r="E65" s="14">
        <f>Parametros!$E$14*Parametros!$E$12*10*Parametros!$E$13*(B65-C65-Parametros!$E$15)/1000</f>
        <v>85.41</v>
      </c>
      <c r="F65" s="14">
        <f t="shared" si="2"/>
        <v>0.30215549319265173</v>
      </c>
      <c r="G65" s="14">
        <v>0.9183561105571062</v>
      </c>
      <c r="H65" s="14">
        <f>Postes!J65</f>
        <v>2</v>
      </c>
      <c r="I65" s="14">
        <v>24.716045886109782</v>
      </c>
      <c r="J65" s="14">
        <f>IF(H65=0,0,ROUNDUP(MAX(Parametros!$E$16,I65/Parametros!$E$17)/10,0)*10)</f>
        <v>60</v>
      </c>
      <c r="K65" s="14">
        <f>J65*Parametros!$E$17</f>
        <v>54</v>
      </c>
      <c r="L65" s="14">
        <f t="shared" si="3"/>
        <v>0.45770455344647742</v>
      </c>
    </row>
    <row r="66" spans="1:12" ht="21" customHeight="1">
      <c r="A66" s="1" t="s">
        <v>247</v>
      </c>
      <c r="B66" s="14">
        <f>Postes!E66</f>
        <v>15</v>
      </c>
      <c r="C66" s="14">
        <f>Postes!F66</f>
        <v>2.1</v>
      </c>
      <c r="D66" s="14">
        <v>35.44852138971622</v>
      </c>
      <c r="E66" s="14">
        <f>Parametros!$E$14*Parametros!$E$12*10*Parametros!$E$13*(B66-C66-Parametros!$E$15)/1000</f>
        <v>99.45</v>
      </c>
      <c r="F66" s="14">
        <f t="shared" si="2"/>
        <v>0.3564456650549645</v>
      </c>
      <c r="G66" s="14">
        <v>1.0687323186939353</v>
      </c>
      <c r="H66" s="14">
        <f>Postes!J66</f>
        <v>2</v>
      </c>
      <c r="I66" s="14">
        <v>25.853777900363252</v>
      </c>
      <c r="J66" s="14">
        <f>IF(H66=0,0,ROUNDUP(MAX(Parametros!$E$16,I66/Parametros!$E$17)/10,0)*10)</f>
        <v>60</v>
      </c>
      <c r="K66" s="14">
        <f>J66*Parametros!$E$17</f>
        <v>54</v>
      </c>
      <c r="L66" s="14">
        <f t="shared" si="3"/>
        <v>0.47877366482154171</v>
      </c>
    </row>
    <row r="67" spans="1:12" ht="21" customHeight="1">
      <c r="A67" s="1" t="s">
        <v>248</v>
      </c>
      <c r="B67" s="14">
        <f>Postes!E67</f>
        <v>15</v>
      </c>
      <c r="C67" s="14">
        <f>Postes!F67</f>
        <v>2.1</v>
      </c>
      <c r="D67" s="14">
        <v>40.76154412586601</v>
      </c>
      <c r="E67" s="14">
        <f>Parametros!$E$14*Parametros!$E$12*10*Parametros!$E$13*(B67-C67-Parametros!$E$15)/1000</f>
        <v>99.45</v>
      </c>
      <c r="F67" s="14">
        <f t="shared" si="2"/>
        <v>0.40986972474475625</v>
      </c>
      <c r="G67" s="14">
        <v>1.3742208708147905</v>
      </c>
      <c r="H67" s="14">
        <f>Postes!J67</f>
        <v>0</v>
      </c>
      <c r="I67" s="14">
        <v>0</v>
      </c>
      <c r="J67" s="14">
        <f>IF(H67=0,0,ROUNDUP(MAX(Parametros!$E$16,I67/Parametros!$E$17)/10,0)*10)</f>
        <v>0</v>
      </c>
      <c r="K67" s="14">
        <f>J67*Parametros!$E$17</f>
        <v>0</v>
      </c>
      <c r="L67" s="14">
        <f t="shared" si="3"/>
        <v>0</v>
      </c>
    </row>
    <row r="68" spans="1:12" ht="21" customHeight="1">
      <c r="A68" s="1" t="s">
        <v>249</v>
      </c>
      <c r="B68" s="14">
        <f>Postes!E68</f>
        <v>13</v>
      </c>
      <c r="C68" s="14">
        <f>Postes!F68</f>
        <v>1.9</v>
      </c>
      <c r="D68" s="14">
        <v>32.796707583127059</v>
      </c>
      <c r="E68" s="14">
        <f>Parametros!$E$14*Parametros!$E$12*10*Parametros!$E$13*(B68-C68-Parametros!$E$15)/1000</f>
        <v>85.41</v>
      </c>
      <c r="F68" s="14">
        <f t="shared" si="2"/>
        <v>0.3839914246941466</v>
      </c>
      <c r="G68" s="14">
        <v>-5.124987062191761</v>
      </c>
      <c r="H68" s="14">
        <f>Postes!J68</f>
        <v>2</v>
      </c>
      <c r="I68" s="14">
        <v>25.708861556761484</v>
      </c>
      <c r="J68" s="14">
        <f>IF(H68=0,0,ROUNDUP(MAX(Parametros!$E$16,I68/Parametros!$E$17)/10,0)*10)</f>
        <v>60</v>
      </c>
      <c r="K68" s="14">
        <f>J68*Parametros!$E$17</f>
        <v>54</v>
      </c>
      <c r="L68" s="14">
        <f t="shared" si="3"/>
        <v>0.47609002882891638</v>
      </c>
    </row>
    <row r="69" spans="1:12" ht="21" customHeight="1">
      <c r="A69" s="1" t="s">
        <v>250</v>
      </c>
      <c r="B69" s="14">
        <f>Postes!E69</f>
        <v>13</v>
      </c>
      <c r="C69" s="14">
        <f>Postes!F69</f>
        <v>1.9</v>
      </c>
      <c r="D69" s="14">
        <v>32.730982890471203</v>
      </c>
      <c r="E69" s="14">
        <f>Parametros!$E$14*Parametros!$E$12*10*Parametros!$E$13*(B69-C69-Parametros!$E$15)/1000</f>
        <v>85.41</v>
      </c>
      <c r="F69" s="14">
        <f t="shared" si="2"/>
        <v>0.38322190481759988</v>
      </c>
      <c r="G69" s="14">
        <v>1.4968611699115928</v>
      </c>
      <c r="H69" s="14">
        <f>Postes!J69</f>
        <v>0</v>
      </c>
      <c r="I69" s="14">
        <v>0</v>
      </c>
      <c r="J69" s="14">
        <f>IF(H69=0,0,ROUNDUP(MAX(Parametros!$E$16,I69/Parametros!$E$17)/10,0)*10)</f>
        <v>0</v>
      </c>
      <c r="K69" s="14">
        <f>J69*Parametros!$E$17</f>
        <v>0</v>
      </c>
      <c r="L69" s="14">
        <f t="shared" si="3"/>
        <v>0</v>
      </c>
    </row>
    <row r="70" spans="1:12" ht="21" customHeight="1">
      <c r="A70" s="1" t="s">
        <v>251</v>
      </c>
      <c r="B70" s="14">
        <f>Postes!E70</f>
        <v>13</v>
      </c>
      <c r="C70" s="14">
        <f>Postes!F70</f>
        <v>1.9</v>
      </c>
      <c r="D70" s="14">
        <v>28.466221630755115</v>
      </c>
      <c r="E70" s="14">
        <f>Parametros!$E$14*Parametros!$E$12*10*Parametros!$E$13*(B70-C70-Parametros!$E$15)/1000</f>
        <v>85.41</v>
      </c>
      <c r="F70" s="14">
        <f t="shared" si="2"/>
        <v>0.33328909531384049</v>
      </c>
      <c r="G70" s="14">
        <v>-3.7678095608709152</v>
      </c>
      <c r="H70" s="14">
        <f>Postes!J70</f>
        <v>2</v>
      </c>
      <c r="I70" s="14">
        <v>25.84131573942528</v>
      </c>
      <c r="J70" s="14">
        <f>IF(H70=0,0,ROUNDUP(MAX(Parametros!$E$16,I70/Parametros!$E$17)/10,0)*10)</f>
        <v>60</v>
      </c>
      <c r="K70" s="14">
        <f>J70*Parametros!$E$17</f>
        <v>54</v>
      </c>
      <c r="L70" s="14">
        <f t="shared" si="3"/>
        <v>0.4785428840634311</v>
      </c>
    </row>
    <row r="71" spans="1:12" ht="21" customHeight="1">
      <c r="A71" s="1" t="s">
        <v>252</v>
      </c>
      <c r="B71" s="14">
        <f>Postes!E71</f>
        <v>15</v>
      </c>
      <c r="C71" s="14">
        <f>Postes!F71</f>
        <v>2.1</v>
      </c>
      <c r="D71" s="14">
        <v>38.219838244074559</v>
      </c>
      <c r="E71" s="14">
        <f>Parametros!$E$14*Parametros!$E$12*10*Parametros!$E$13*(B71-C71-Parametros!$E$15)/1000</f>
        <v>99.45</v>
      </c>
      <c r="F71" s="14">
        <f t="shared" ref="F71:F102" si="4">D71/E71</f>
        <v>0.384312098985164</v>
      </c>
      <c r="G71" s="14">
        <v>0.8134095934106399</v>
      </c>
      <c r="H71" s="14">
        <f>Postes!J71</f>
        <v>2</v>
      </c>
      <c r="I71" s="14">
        <v>25.787263219580691</v>
      </c>
      <c r="J71" s="14">
        <f>IF(H71=0,0,ROUNDUP(MAX(Parametros!$E$16,I71/Parametros!$E$17)/10,0)*10)</f>
        <v>60</v>
      </c>
      <c r="K71" s="14">
        <f>J71*Parametros!$E$17</f>
        <v>54</v>
      </c>
      <c r="L71" s="14">
        <f t="shared" ref="L71:L102" si="5">IF(H71=0,0,I71/K71)</f>
        <v>0.4775419114737165</v>
      </c>
    </row>
    <row r="72" spans="1:12" ht="21" customHeight="1">
      <c r="A72" s="1" t="s">
        <v>253</v>
      </c>
      <c r="B72" s="14">
        <f>Postes!E72</f>
        <v>15</v>
      </c>
      <c r="C72" s="14">
        <f>Postes!F72</f>
        <v>2.1</v>
      </c>
      <c r="D72" s="14">
        <v>41.217783020390463</v>
      </c>
      <c r="E72" s="14">
        <f>Parametros!$E$14*Parametros!$E$12*10*Parametros!$E$13*(B72-C72-Parametros!$E$15)/1000</f>
        <v>99.45</v>
      </c>
      <c r="F72" s="14">
        <f t="shared" si="4"/>
        <v>0.41445734560473063</v>
      </c>
      <c r="G72" s="14">
        <v>1.196258148258291</v>
      </c>
      <c r="H72" s="14">
        <f>Postes!J72</f>
        <v>0</v>
      </c>
      <c r="I72" s="14">
        <v>0</v>
      </c>
      <c r="J72" s="14">
        <f>IF(H72=0,0,ROUNDUP(MAX(Parametros!$E$16,I72/Parametros!$E$17)/10,0)*10)</f>
        <v>0</v>
      </c>
      <c r="K72" s="14">
        <f>J72*Parametros!$E$17</f>
        <v>0</v>
      </c>
      <c r="L72" s="14">
        <f t="shared" si="5"/>
        <v>0</v>
      </c>
    </row>
    <row r="73" spans="1:12" ht="21" customHeight="1">
      <c r="A73" s="1" t="s">
        <v>254</v>
      </c>
      <c r="B73" s="14">
        <f>Postes!E73</f>
        <v>15</v>
      </c>
      <c r="C73" s="14">
        <f>Postes!F73</f>
        <v>2.1</v>
      </c>
      <c r="D73" s="14">
        <v>38.659545069972452</v>
      </c>
      <c r="E73" s="14">
        <f>Parametros!$E$14*Parametros!$E$12*10*Parametros!$E$13*(B73-C73-Parametros!$E$15)/1000</f>
        <v>99.45</v>
      </c>
      <c r="F73" s="14">
        <f t="shared" si="4"/>
        <v>0.38873348486649023</v>
      </c>
      <c r="G73" s="14">
        <v>-1.9178840721920847</v>
      </c>
      <c r="H73" s="14">
        <f>Postes!J73</f>
        <v>2</v>
      </c>
      <c r="I73" s="14">
        <v>25.956371392211327</v>
      </c>
      <c r="J73" s="14">
        <f>IF(H73=0,0,ROUNDUP(MAX(Parametros!$E$16,I73/Parametros!$E$17)/10,0)*10)</f>
        <v>60</v>
      </c>
      <c r="K73" s="14">
        <f>J73*Parametros!$E$17</f>
        <v>54</v>
      </c>
      <c r="L73" s="14">
        <f t="shared" si="5"/>
        <v>0.48067354430020975</v>
      </c>
    </row>
    <row r="74" spans="1:12" ht="21" customHeight="1">
      <c r="A74" s="1" t="s">
        <v>255</v>
      </c>
      <c r="B74" s="14">
        <f>Postes!E74</f>
        <v>15</v>
      </c>
      <c r="C74" s="14">
        <f>Postes!F74</f>
        <v>2.1</v>
      </c>
      <c r="D74" s="14">
        <v>37.239970058279383</v>
      </c>
      <c r="E74" s="14">
        <f>Parametros!$E$14*Parametros!$E$12*10*Parametros!$E$13*(B74-C74-Parametros!$E$15)/1000</f>
        <v>99.45</v>
      </c>
      <c r="F74" s="14">
        <f t="shared" si="4"/>
        <v>0.3744592263275956</v>
      </c>
      <c r="G74" s="14">
        <v>0.87361984206798649</v>
      </c>
      <c r="H74" s="14">
        <f>Postes!J74</f>
        <v>0</v>
      </c>
      <c r="I74" s="14">
        <v>0</v>
      </c>
      <c r="J74" s="14">
        <f>IF(H74=0,0,ROUNDUP(MAX(Parametros!$E$16,I74/Parametros!$E$17)/10,0)*10)</f>
        <v>0</v>
      </c>
      <c r="K74" s="14">
        <f>J74*Parametros!$E$17</f>
        <v>0</v>
      </c>
      <c r="L74" s="14">
        <f t="shared" si="5"/>
        <v>0</v>
      </c>
    </row>
    <row r="75" spans="1:12" ht="21" customHeight="1">
      <c r="A75" s="1" t="s">
        <v>256</v>
      </c>
      <c r="B75" s="14">
        <f>Postes!E75</f>
        <v>13</v>
      </c>
      <c r="C75" s="14">
        <f>Postes!F75</f>
        <v>1.9</v>
      </c>
      <c r="D75" s="14">
        <v>30.88716166207184</v>
      </c>
      <c r="E75" s="14">
        <f>Parametros!$E$14*Parametros!$E$12*10*Parametros!$E$13*(B75-C75-Parametros!$E$15)/1000</f>
        <v>85.41</v>
      </c>
      <c r="F75" s="14">
        <f t="shared" si="4"/>
        <v>0.36163402016241469</v>
      </c>
      <c r="G75" s="14">
        <v>1.3096549237130808</v>
      </c>
      <c r="H75" s="14">
        <f>Postes!J75</f>
        <v>2</v>
      </c>
      <c r="I75" s="14">
        <v>25.851883065127041</v>
      </c>
      <c r="J75" s="14">
        <f>IF(H75=0,0,ROUNDUP(MAX(Parametros!$E$16,I75/Parametros!$E$17)/10,0)*10)</f>
        <v>60</v>
      </c>
      <c r="K75" s="14">
        <f>J75*Parametros!$E$17</f>
        <v>54</v>
      </c>
      <c r="L75" s="14">
        <f t="shared" si="5"/>
        <v>0.47873857528013036</v>
      </c>
    </row>
    <row r="76" spans="1:12" ht="21" customHeight="1">
      <c r="A76" s="1" t="s">
        <v>257</v>
      </c>
      <c r="B76" s="14">
        <f>Postes!E76</f>
        <v>13</v>
      </c>
      <c r="C76" s="14">
        <f>Postes!F76</f>
        <v>1.9</v>
      </c>
      <c r="D76" s="14">
        <v>32.53266348097862</v>
      </c>
      <c r="E76" s="14">
        <f>Parametros!$E$14*Parametros!$E$12*10*Parametros!$E$13*(B76-C76-Parametros!$E$15)/1000</f>
        <v>85.41</v>
      </c>
      <c r="F76" s="14">
        <f t="shared" si="4"/>
        <v>0.38089993538202344</v>
      </c>
      <c r="G76" s="14">
        <v>-0.33089598693092137</v>
      </c>
      <c r="H76" s="14">
        <f>Postes!J76</f>
        <v>2</v>
      </c>
      <c r="I76" s="14">
        <v>25.859118436951373</v>
      </c>
      <c r="J76" s="14">
        <f>IF(H76=0,0,ROUNDUP(MAX(Parametros!$E$16,I76/Parametros!$E$17)/10,0)*10)</f>
        <v>60</v>
      </c>
      <c r="K76" s="14">
        <f>J76*Parametros!$E$17</f>
        <v>54</v>
      </c>
      <c r="L76" s="14">
        <f t="shared" si="5"/>
        <v>0.47887256364724767</v>
      </c>
    </row>
    <row r="77" spans="1:12" ht="21" customHeight="1">
      <c r="A77" s="1" t="s">
        <v>258</v>
      </c>
      <c r="B77" s="14">
        <f>Postes!E77</f>
        <v>13</v>
      </c>
      <c r="C77" s="14">
        <f>Postes!F77</f>
        <v>1.9</v>
      </c>
      <c r="D77" s="14">
        <v>30.98604814968451</v>
      </c>
      <c r="E77" s="14">
        <f>Parametros!$E$14*Parametros!$E$12*10*Parametros!$E$13*(B77-C77-Parametros!$E$15)/1000</f>
        <v>85.41</v>
      </c>
      <c r="F77" s="14">
        <f t="shared" si="4"/>
        <v>0.36279180599092042</v>
      </c>
      <c r="G77" s="14">
        <v>0.92132851396006499</v>
      </c>
      <c r="H77" s="14">
        <f>Postes!J77</f>
        <v>2</v>
      </c>
      <c r="I77" s="14">
        <v>25.859118436951373</v>
      </c>
      <c r="J77" s="14">
        <f>IF(H77=0,0,ROUNDUP(MAX(Parametros!$E$16,I77/Parametros!$E$17)/10,0)*10)</f>
        <v>60</v>
      </c>
      <c r="K77" s="14">
        <f>J77*Parametros!$E$17</f>
        <v>54</v>
      </c>
      <c r="L77" s="14">
        <f t="shared" si="5"/>
        <v>0.47887256364724767</v>
      </c>
    </row>
    <row r="78" spans="1:12" ht="21" customHeight="1">
      <c r="A78" s="1" t="s">
        <v>259</v>
      </c>
      <c r="B78" s="14">
        <f>Postes!E78</f>
        <v>13</v>
      </c>
      <c r="C78" s="14">
        <f>Postes!F78</f>
        <v>1.9</v>
      </c>
      <c r="D78" s="14">
        <v>30.022056481067786</v>
      </c>
      <c r="E78" s="14">
        <f>Parametros!$E$14*Parametros!$E$12*10*Parametros!$E$13*(B78-C78-Parametros!$E$15)/1000</f>
        <v>85.41</v>
      </c>
      <c r="F78" s="14">
        <f t="shared" si="4"/>
        <v>0.35150516896227357</v>
      </c>
      <c r="G78" s="14">
        <v>-2.7776052321053029</v>
      </c>
      <c r="H78" s="14">
        <f>Postes!J78</f>
        <v>2</v>
      </c>
      <c r="I78" s="14">
        <v>25.246642628732857</v>
      </c>
      <c r="J78" s="14">
        <f>IF(H78=0,0,ROUNDUP(MAX(Parametros!$E$16,I78/Parametros!$E$17)/10,0)*10)</f>
        <v>60</v>
      </c>
      <c r="K78" s="14">
        <f>J78*Parametros!$E$17</f>
        <v>54</v>
      </c>
      <c r="L78" s="14">
        <f t="shared" si="5"/>
        <v>0.46753041905060849</v>
      </c>
    </row>
    <row r="79" spans="1:12" ht="21" customHeight="1">
      <c r="A79" s="1" t="s">
        <v>260</v>
      </c>
      <c r="B79" s="14">
        <f>Postes!E79</f>
        <v>15</v>
      </c>
      <c r="C79" s="14">
        <f>Postes!F79</f>
        <v>2.1</v>
      </c>
      <c r="D79" s="14">
        <v>39.686673715327316</v>
      </c>
      <c r="E79" s="14">
        <f>Parametros!$E$14*Parametros!$E$12*10*Parametros!$E$13*(B79-C79-Parametros!$E$15)/1000</f>
        <v>99.45</v>
      </c>
      <c r="F79" s="14">
        <f t="shared" si="4"/>
        <v>0.39906157582028473</v>
      </c>
      <c r="G79" s="14">
        <v>0.88103624283016713</v>
      </c>
      <c r="H79" s="14">
        <f>Postes!J79</f>
        <v>2</v>
      </c>
      <c r="I79" s="14">
        <v>25.963167807855523</v>
      </c>
      <c r="J79" s="14">
        <f>IF(H79=0,0,ROUNDUP(MAX(Parametros!$E$16,I79/Parametros!$E$17)/10,0)*10)</f>
        <v>60</v>
      </c>
      <c r="K79" s="14">
        <f>J79*Parametros!$E$17</f>
        <v>54</v>
      </c>
      <c r="L79" s="14">
        <f t="shared" si="5"/>
        <v>0.48079940384917635</v>
      </c>
    </row>
    <row r="80" spans="1:12" ht="21" customHeight="1">
      <c r="A80" s="1" t="s">
        <v>261</v>
      </c>
      <c r="B80" s="14">
        <f>Postes!E80</f>
        <v>17</v>
      </c>
      <c r="C80" s="14">
        <f>Postes!F80</f>
        <v>2.1</v>
      </c>
      <c r="D80" s="14">
        <v>51.644371258112706</v>
      </c>
      <c r="E80" s="14">
        <f>Parametros!$E$14*Parametros!$E$12*10*Parametros!$E$13*(B80-C80-Parametros!$E$15)/1000</f>
        <v>115.05</v>
      </c>
      <c r="F80" s="14">
        <f t="shared" si="4"/>
        <v>0.44888632123522559</v>
      </c>
      <c r="G80" s="14">
        <v>1.4709387021335123</v>
      </c>
      <c r="H80" s="14">
        <f>Postes!J80</f>
        <v>0</v>
      </c>
      <c r="I80" s="14">
        <v>0</v>
      </c>
      <c r="J80" s="14">
        <f>IF(H80=0,0,ROUNDUP(MAX(Parametros!$E$16,I80/Parametros!$E$17)/10,0)*10)</f>
        <v>0</v>
      </c>
      <c r="K80" s="14">
        <f>J80*Parametros!$E$17</f>
        <v>0</v>
      </c>
      <c r="L80" s="14">
        <f t="shared" si="5"/>
        <v>0</v>
      </c>
    </row>
    <row r="81" spans="1:12" ht="21" customHeight="1">
      <c r="A81" s="1" t="s">
        <v>262</v>
      </c>
      <c r="B81" s="14">
        <f>Postes!E81</f>
        <v>15</v>
      </c>
      <c r="C81" s="14">
        <f>Postes!F81</f>
        <v>2.1</v>
      </c>
      <c r="D81" s="14">
        <v>37.553668448211482</v>
      </c>
      <c r="E81" s="14">
        <f>Parametros!$E$14*Parametros!$E$12*10*Parametros!$E$13*(B81-C81-Parametros!$E$15)/1000</f>
        <v>99.45</v>
      </c>
      <c r="F81" s="14">
        <f t="shared" si="4"/>
        <v>0.37761355905692789</v>
      </c>
      <c r="G81" s="14">
        <v>-1.6616822060548897</v>
      </c>
      <c r="H81" s="14">
        <f>Postes!J81</f>
        <v>2</v>
      </c>
      <c r="I81" s="14">
        <v>26.068351747098912</v>
      </c>
      <c r="J81" s="14">
        <f>IF(H81=0,0,ROUNDUP(MAX(Parametros!$E$16,I81/Parametros!$E$17)/10,0)*10)</f>
        <v>60</v>
      </c>
      <c r="K81" s="14">
        <f>J81*Parametros!$E$17</f>
        <v>54</v>
      </c>
      <c r="L81" s="14">
        <f t="shared" si="5"/>
        <v>0.48274725457590578</v>
      </c>
    </row>
    <row r="82" spans="1:12" ht="21" customHeight="1">
      <c r="A82" s="1" t="s">
        <v>263</v>
      </c>
      <c r="B82" s="14">
        <f>Postes!E82</f>
        <v>13</v>
      </c>
      <c r="C82" s="14">
        <f>Postes!F82</f>
        <v>1.9</v>
      </c>
      <c r="D82" s="14">
        <v>27.187097733555191</v>
      </c>
      <c r="E82" s="14">
        <f>Parametros!$E$14*Parametros!$E$12*10*Parametros!$E$13*(B82-C82-Parametros!$E$15)/1000</f>
        <v>85.41</v>
      </c>
      <c r="F82" s="14">
        <f t="shared" si="4"/>
        <v>0.3183128173932232</v>
      </c>
      <c r="G82" s="14">
        <v>0.92620182816567154</v>
      </c>
      <c r="H82" s="14">
        <f>Postes!J82</f>
        <v>2</v>
      </c>
      <c r="I82" s="14">
        <v>24.891140412274094</v>
      </c>
      <c r="J82" s="14">
        <f>IF(H82=0,0,ROUNDUP(MAX(Parametros!$E$16,I82/Parametros!$E$17)/10,0)*10)</f>
        <v>60</v>
      </c>
      <c r="K82" s="14">
        <f>J82*Parametros!$E$17</f>
        <v>54</v>
      </c>
      <c r="L82" s="14">
        <f t="shared" si="5"/>
        <v>0.46094704467174247</v>
      </c>
    </row>
    <row r="83" spans="1:12" ht="21" customHeight="1">
      <c r="A83" s="1" t="s">
        <v>264</v>
      </c>
      <c r="B83" s="14">
        <f>Postes!E83</f>
        <v>13</v>
      </c>
      <c r="C83" s="14">
        <f>Postes!F83</f>
        <v>1.9</v>
      </c>
      <c r="D83" s="14">
        <v>28.441224851015704</v>
      </c>
      <c r="E83" s="14">
        <f>Parametros!$E$14*Parametros!$E$12*10*Parametros!$E$13*(B83-C83-Parametros!$E$15)/1000</f>
        <v>85.41</v>
      </c>
      <c r="F83" s="14">
        <f t="shared" si="4"/>
        <v>0.33299642724523715</v>
      </c>
      <c r="G83" s="14">
        <v>-1.5356163532823432</v>
      </c>
      <c r="H83" s="14">
        <f>Postes!J83</f>
        <v>2</v>
      </c>
      <c r="I83" s="14">
        <v>24.891140412274094</v>
      </c>
      <c r="J83" s="14">
        <f>IF(H83=0,0,ROUNDUP(MAX(Parametros!$E$16,I83/Parametros!$E$17)/10,0)*10)</f>
        <v>60</v>
      </c>
      <c r="K83" s="14">
        <f>J83*Parametros!$E$17</f>
        <v>54</v>
      </c>
      <c r="L83" s="14">
        <f t="shared" si="5"/>
        <v>0.46094704467174247</v>
      </c>
    </row>
    <row r="84" spans="1:12" ht="21" customHeight="1">
      <c r="A84" s="1" t="s">
        <v>265</v>
      </c>
      <c r="B84" s="14">
        <f>Postes!E84</f>
        <v>13</v>
      </c>
      <c r="C84" s="14">
        <f>Postes!F84</f>
        <v>1.9</v>
      </c>
      <c r="D84" s="14">
        <v>30.709833504013972</v>
      </c>
      <c r="E84" s="14">
        <f>Parametros!$E$14*Parametros!$E$12*10*Parametros!$E$13*(B84-C84-Parametros!$E$15)/1000</f>
        <v>85.41</v>
      </c>
      <c r="F84" s="14">
        <f t="shared" si="4"/>
        <v>0.35955782114522855</v>
      </c>
      <c r="G84" s="14">
        <v>1.0913242190492003</v>
      </c>
      <c r="H84" s="14">
        <f>Postes!J84</f>
        <v>2</v>
      </c>
      <c r="I84" s="14">
        <v>26.100602213960087</v>
      </c>
      <c r="J84" s="14">
        <f>IF(H84=0,0,ROUNDUP(MAX(Parametros!$E$16,I84/Parametros!$E$17)/10,0)*10)</f>
        <v>60</v>
      </c>
      <c r="K84" s="14">
        <f>J84*Parametros!$E$17</f>
        <v>54</v>
      </c>
      <c r="L84" s="14">
        <f t="shared" si="5"/>
        <v>0.48334448544370534</v>
      </c>
    </row>
    <row r="85" spans="1:12" ht="21" customHeight="1">
      <c r="A85" s="1" t="s">
        <v>266</v>
      </c>
      <c r="B85" s="14">
        <f>Postes!E85</f>
        <v>13</v>
      </c>
      <c r="C85" s="14">
        <f>Postes!F85</f>
        <v>1.9</v>
      </c>
      <c r="D85" s="14">
        <v>32.427003871136989</v>
      </c>
      <c r="E85" s="14">
        <f>Parametros!$E$14*Parametros!$E$12*10*Parametros!$E$13*(B85-C85-Parametros!$E$15)/1000</f>
        <v>85.41</v>
      </c>
      <c r="F85" s="14">
        <f t="shared" si="4"/>
        <v>0.37966284827463986</v>
      </c>
      <c r="G85" s="14">
        <v>-0.24578582866981186</v>
      </c>
      <c r="H85" s="14">
        <f>Postes!J85</f>
        <v>2</v>
      </c>
      <c r="I85" s="14">
        <v>26.100602213960087</v>
      </c>
      <c r="J85" s="14">
        <f>IF(H85=0,0,ROUNDUP(MAX(Parametros!$E$16,I85/Parametros!$E$17)/10,0)*10)</f>
        <v>60</v>
      </c>
      <c r="K85" s="14">
        <f>J85*Parametros!$E$17</f>
        <v>54</v>
      </c>
      <c r="L85" s="14">
        <f t="shared" si="5"/>
        <v>0.48334448544370534</v>
      </c>
    </row>
    <row r="86" spans="1:12" ht="21" customHeight="1">
      <c r="A86" s="1" t="s">
        <v>267</v>
      </c>
      <c r="B86" s="14">
        <f>Postes!E86</f>
        <v>13</v>
      </c>
      <c r="C86" s="14">
        <f>Postes!F86</f>
        <v>1.9</v>
      </c>
      <c r="D86" s="14">
        <v>33.513492624566013</v>
      </c>
      <c r="E86" s="14">
        <f>Parametros!$E$14*Parametros!$E$12*10*Parametros!$E$13*(B86-C86-Parametros!$E$15)/1000</f>
        <v>85.41</v>
      </c>
      <c r="F86" s="14">
        <f t="shared" si="4"/>
        <v>0.39238370945516937</v>
      </c>
      <c r="G86" s="14">
        <v>-0.4665288197057928</v>
      </c>
      <c r="H86" s="14">
        <f>Postes!J86</f>
        <v>2</v>
      </c>
      <c r="I86" s="14">
        <v>26.54012794170005</v>
      </c>
      <c r="J86" s="14">
        <f>IF(H86=0,0,ROUNDUP(MAX(Parametros!$E$16,I86/Parametros!$E$17)/10,0)*10)</f>
        <v>60</v>
      </c>
      <c r="K86" s="14">
        <f>J86*Parametros!$E$17</f>
        <v>54</v>
      </c>
      <c r="L86" s="14">
        <f t="shared" si="5"/>
        <v>0.49148385077222312</v>
      </c>
    </row>
    <row r="87" spans="1:12" ht="21" customHeight="1">
      <c r="A87" s="1" t="s">
        <v>268</v>
      </c>
      <c r="B87" s="14">
        <f>Postes!E87</f>
        <v>13</v>
      </c>
      <c r="C87" s="14">
        <f>Postes!F87</f>
        <v>1.9</v>
      </c>
      <c r="D87" s="14">
        <v>35.738195753621049</v>
      </c>
      <c r="E87" s="14">
        <f>Parametros!$E$14*Parametros!$E$12*10*Parametros!$E$13*(B87-C87-Parametros!$E$15)/1000</f>
        <v>85.41</v>
      </c>
      <c r="F87" s="14">
        <f t="shared" si="4"/>
        <v>0.41843104734364889</v>
      </c>
      <c r="G87" s="14">
        <v>1.148890115486719</v>
      </c>
      <c r="H87" s="14">
        <f>Postes!J87</f>
        <v>0</v>
      </c>
      <c r="I87" s="14">
        <v>0</v>
      </c>
      <c r="J87" s="14">
        <f>IF(H87=0,0,ROUNDUP(MAX(Parametros!$E$16,I87/Parametros!$E$17)/10,0)*10)</f>
        <v>0</v>
      </c>
      <c r="K87" s="14">
        <f>J87*Parametros!$E$17</f>
        <v>0</v>
      </c>
      <c r="L87" s="14">
        <f t="shared" si="5"/>
        <v>0</v>
      </c>
    </row>
    <row r="88" spans="1:12" ht="21" customHeight="1">
      <c r="A88" s="1" t="s">
        <v>269</v>
      </c>
      <c r="B88" s="14">
        <f>Postes!E88</f>
        <v>13</v>
      </c>
      <c r="C88" s="14">
        <f>Postes!F88</f>
        <v>1.9</v>
      </c>
      <c r="D88" s="14">
        <v>35.724687670007135</v>
      </c>
      <c r="E88" s="14">
        <f>Parametros!$E$14*Parametros!$E$12*10*Parametros!$E$13*(B88-C88-Parametros!$E$15)/1000</f>
        <v>85.41</v>
      </c>
      <c r="F88" s="14">
        <f t="shared" si="4"/>
        <v>0.41827289158186554</v>
      </c>
      <c r="G88" s="14">
        <v>-0.41474048767567184</v>
      </c>
      <c r="H88" s="14">
        <f>Postes!J88</f>
        <v>2</v>
      </c>
      <c r="I88" s="14">
        <v>26.626920487162909</v>
      </c>
      <c r="J88" s="14">
        <f>IF(H88=0,0,ROUNDUP(MAX(Parametros!$E$16,I88/Parametros!$E$17)/10,0)*10)</f>
        <v>60</v>
      </c>
      <c r="K88" s="14">
        <f>J88*Parametros!$E$17</f>
        <v>54</v>
      </c>
      <c r="L88" s="14">
        <f t="shared" si="5"/>
        <v>0.49309112013264644</v>
      </c>
    </row>
    <row r="89" spans="1:12" ht="21" customHeight="1">
      <c r="A89" s="1" t="s">
        <v>270</v>
      </c>
      <c r="B89" s="14">
        <f>Postes!E89</f>
        <v>13</v>
      </c>
      <c r="C89" s="14">
        <f>Postes!F89</f>
        <v>1.9</v>
      </c>
      <c r="D89" s="14">
        <v>34.87437418124383</v>
      </c>
      <c r="E89" s="14">
        <f>Parametros!$E$14*Parametros!$E$12*10*Parametros!$E$13*(B89-C89-Parametros!$E$15)/1000</f>
        <v>85.41</v>
      </c>
      <c r="F89" s="14">
        <f t="shared" si="4"/>
        <v>0.40831722492967837</v>
      </c>
      <c r="G89" s="14">
        <v>0.98651690806369596</v>
      </c>
      <c r="H89" s="14">
        <f>Postes!J89</f>
        <v>2</v>
      </c>
      <c r="I89" s="14">
        <v>26.534729463960293</v>
      </c>
      <c r="J89" s="14">
        <f>IF(H89=0,0,ROUNDUP(MAX(Parametros!$E$16,I89/Parametros!$E$17)/10,0)*10)</f>
        <v>60</v>
      </c>
      <c r="K89" s="14">
        <f>J89*Parametros!$E$17</f>
        <v>54</v>
      </c>
      <c r="L89" s="14">
        <f t="shared" si="5"/>
        <v>0.49138387896222763</v>
      </c>
    </row>
    <row r="90" spans="1:12" ht="21" customHeight="1">
      <c r="A90" s="1" t="s">
        <v>271</v>
      </c>
      <c r="B90" s="14">
        <f>Postes!E90</f>
        <v>13</v>
      </c>
      <c r="C90" s="14">
        <f>Postes!F90</f>
        <v>1.9</v>
      </c>
      <c r="D90" s="14">
        <v>34.277644875842668</v>
      </c>
      <c r="E90" s="14">
        <f>Parametros!$E$14*Parametros!$E$12*10*Parametros!$E$13*(B90-C90-Parametros!$E$15)/1000</f>
        <v>85.41</v>
      </c>
      <c r="F90" s="14">
        <f t="shared" si="4"/>
        <v>0.40133058044541237</v>
      </c>
      <c r="G90" s="14">
        <v>0.93580793741526824</v>
      </c>
      <c r="H90" s="14">
        <f>Postes!J90</f>
        <v>0</v>
      </c>
      <c r="I90" s="14">
        <v>0</v>
      </c>
      <c r="J90" s="14">
        <f>IF(H90=0,0,ROUNDUP(MAX(Parametros!$E$16,I90/Parametros!$E$17)/10,0)*10)</f>
        <v>0</v>
      </c>
      <c r="K90" s="14">
        <f>J90*Parametros!$E$17</f>
        <v>0</v>
      </c>
      <c r="L90" s="14">
        <f t="shared" si="5"/>
        <v>0</v>
      </c>
    </row>
    <row r="91" spans="1:12" ht="21" customHeight="1">
      <c r="A91" s="1" t="s">
        <v>272</v>
      </c>
      <c r="B91" s="14">
        <f>Postes!E91</f>
        <v>13</v>
      </c>
      <c r="C91" s="14">
        <f>Postes!F91</f>
        <v>1.9</v>
      </c>
      <c r="D91" s="14">
        <v>34.344754557242716</v>
      </c>
      <c r="E91" s="14">
        <f>Parametros!$E$14*Parametros!$E$12*10*Parametros!$E$13*(B91-C91-Parametros!$E$15)/1000</f>
        <v>85.41</v>
      </c>
      <c r="F91" s="14">
        <f t="shared" si="4"/>
        <v>0.40211631608995102</v>
      </c>
      <c r="G91" s="14">
        <v>-0.23444642316978614</v>
      </c>
      <c r="H91" s="14">
        <f>Postes!J91</f>
        <v>2</v>
      </c>
      <c r="I91" s="14">
        <v>26.204817379670043</v>
      </c>
      <c r="J91" s="14">
        <f>IF(H91=0,0,ROUNDUP(MAX(Parametros!$E$16,I91/Parametros!$E$17)/10,0)*10)</f>
        <v>60</v>
      </c>
      <c r="K91" s="14">
        <f>J91*Parametros!$E$17</f>
        <v>54</v>
      </c>
      <c r="L91" s="14">
        <f t="shared" si="5"/>
        <v>0.48527439591981564</v>
      </c>
    </row>
    <row r="92" spans="1:12" ht="21" customHeight="1">
      <c r="A92" s="1" t="s">
        <v>273</v>
      </c>
      <c r="B92" s="14">
        <f>Postes!E92</f>
        <v>13</v>
      </c>
      <c r="C92" s="14">
        <f>Postes!F92</f>
        <v>1.9</v>
      </c>
      <c r="D92" s="14">
        <v>28.484905215316772</v>
      </c>
      <c r="E92" s="14">
        <f>Parametros!$E$14*Parametros!$E$12*10*Parametros!$E$13*(B92-C92-Parametros!$E$15)/1000</f>
        <v>85.41</v>
      </c>
      <c r="F92" s="14">
        <f t="shared" si="4"/>
        <v>0.33350784703567232</v>
      </c>
      <c r="G92" s="14">
        <v>1.3945359788152196</v>
      </c>
      <c r="H92" s="14">
        <f>Postes!J92</f>
        <v>2</v>
      </c>
      <c r="I92" s="14">
        <v>26.096693168467713</v>
      </c>
      <c r="J92" s="14">
        <f>IF(H92=0,0,ROUNDUP(MAX(Parametros!$E$16,I92/Parametros!$E$17)/10,0)*10)</f>
        <v>60</v>
      </c>
      <c r="K92" s="14">
        <f>J92*Parametros!$E$17</f>
        <v>54</v>
      </c>
      <c r="L92" s="14">
        <f t="shared" si="5"/>
        <v>0.48327209571236507</v>
      </c>
    </row>
    <row r="93" spans="1:12" ht="21" customHeight="1">
      <c r="A93" s="1" t="s">
        <v>274</v>
      </c>
      <c r="B93" s="14">
        <f>Postes!E93</f>
        <v>13</v>
      </c>
      <c r="C93" s="14">
        <f>Postes!F93</f>
        <v>1.9</v>
      </c>
      <c r="D93" s="14">
        <v>28.132644213771737</v>
      </c>
      <c r="E93" s="14">
        <f>Parametros!$E$14*Parametros!$E$12*10*Parametros!$E$13*(B93-C93-Parametros!$E$15)/1000</f>
        <v>85.41</v>
      </c>
      <c r="F93" s="14">
        <f t="shared" si="4"/>
        <v>0.32938349389733917</v>
      </c>
      <c r="G93" s="14">
        <v>-0.57137342340899311</v>
      </c>
      <c r="H93" s="14">
        <f>Postes!J93</f>
        <v>2</v>
      </c>
      <c r="I93" s="14">
        <v>26.025813371035412</v>
      </c>
      <c r="J93" s="14">
        <f>IF(H93=0,0,ROUNDUP(MAX(Parametros!$E$16,I93/Parametros!$E$17)/10,0)*10)</f>
        <v>60</v>
      </c>
      <c r="K93" s="14">
        <f>J93*Parametros!$E$17</f>
        <v>54</v>
      </c>
      <c r="L93" s="14">
        <f t="shared" si="5"/>
        <v>0.48195950687102612</v>
      </c>
    </row>
    <row r="94" spans="1:12" ht="21" customHeight="1">
      <c r="A94" s="1" t="s">
        <v>275</v>
      </c>
      <c r="B94" s="14">
        <f>Postes!E94</f>
        <v>13</v>
      </c>
      <c r="C94" s="14">
        <f>Postes!F94</f>
        <v>1.9</v>
      </c>
      <c r="D94" s="14">
        <v>29.294290708176682</v>
      </c>
      <c r="E94" s="14">
        <f>Parametros!$E$14*Parametros!$E$12*10*Parametros!$E$13*(B94-C94-Parametros!$E$15)/1000</f>
        <v>85.41</v>
      </c>
      <c r="F94" s="14">
        <f t="shared" si="4"/>
        <v>0.34298431926210843</v>
      </c>
      <c r="G94" s="14">
        <v>-2.2282740845428592</v>
      </c>
      <c r="H94" s="14">
        <f>Postes!J94</f>
        <v>2</v>
      </c>
      <c r="I94" s="14">
        <v>26.025813371035412</v>
      </c>
      <c r="J94" s="14">
        <f>IF(H94=0,0,ROUNDUP(MAX(Parametros!$E$16,I94/Parametros!$E$17)/10,0)*10)</f>
        <v>60</v>
      </c>
      <c r="K94" s="14">
        <f>J94*Parametros!$E$17</f>
        <v>54</v>
      </c>
      <c r="L94" s="14">
        <f t="shared" si="5"/>
        <v>0.48195950687102612</v>
      </c>
    </row>
    <row r="95" spans="1:12" ht="21" customHeight="1">
      <c r="A95" s="1" t="s">
        <v>276</v>
      </c>
      <c r="B95" s="14">
        <f>Postes!E95</f>
        <v>13</v>
      </c>
      <c r="C95" s="14">
        <f>Postes!F95</f>
        <v>1.9</v>
      </c>
      <c r="D95" s="14">
        <v>29.219960283502822</v>
      </c>
      <c r="E95" s="14">
        <f>Parametros!$E$14*Parametros!$E$12*10*Parametros!$E$13*(B95-C95-Parametros!$E$15)/1000</f>
        <v>85.41</v>
      </c>
      <c r="F95" s="14">
        <f t="shared" si="4"/>
        <v>0.34211404148814917</v>
      </c>
      <c r="G95" s="14">
        <v>0.60588733222979951</v>
      </c>
      <c r="H95" s="14">
        <f>Postes!J95</f>
        <v>0</v>
      </c>
      <c r="I95" s="14">
        <v>0</v>
      </c>
      <c r="J95" s="14">
        <f>IF(H95=0,0,ROUNDUP(MAX(Parametros!$E$16,I95/Parametros!$E$17)/10,0)*10)</f>
        <v>0</v>
      </c>
      <c r="K95" s="14">
        <f>J95*Parametros!$E$17</f>
        <v>0</v>
      </c>
      <c r="L95" s="14">
        <f t="shared" si="5"/>
        <v>0</v>
      </c>
    </row>
    <row r="96" spans="1:12" ht="21" customHeight="1">
      <c r="A96" s="1" t="s">
        <v>277</v>
      </c>
      <c r="B96" s="14">
        <f>Postes!E96</f>
        <v>15</v>
      </c>
      <c r="C96" s="14">
        <f>Postes!F96</f>
        <v>2.1</v>
      </c>
      <c r="D96" s="14">
        <v>36.848452965408491</v>
      </c>
      <c r="E96" s="14">
        <f>Parametros!$E$14*Parametros!$E$12*10*Parametros!$E$13*(B96-C96-Parametros!$E$15)/1000</f>
        <v>99.45</v>
      </c>
      <c r="F96" s="14">
        <f t="shared" si="4"/>
        <v>0.37052240286986921</v>
      </c>
      <c r="G96" s="14">
        <v>1.003752390055767</v>
      </c>
      <c r="H96" s="14">
        <f>Postes!J96</f>
        <v>2</v>
      </c>
      <c r="I96" s="14">
        <v>25.521015571537681</v>
      </c>
      <c r="J96" s="14">
        <f>IF(H96=0,0,ROUNDUP(MAX(Parametros!$E$16,I96/Parametros!$E$17)/10,0)*10)</f>
        <v>60</v>
      </c>
      <c r="K96" s="14">
        <f>J96*Parametros!$E$17</f>
        <v>54</v>
      </c>
      <c r="L96" s="14">
        <f t="shared" si="5"/>
        <v>0.47261139947292002</v>
      </c>
    </row>
    <row r="97" spans="1:12" ht="21" customHeight="1">
      <c r="A97" s="1" t="s">
        <v>278</v>
      </c>
      <c r="B97" s="14">
        <f>Postes!E97</f>
        <v>15</v>
      </c>
      <c r="C97" s="14">
        <f>Postes!F97</f>
        <v>2.1</v>
      </c>
      <c r="D97" s="14">
        <v>34.743902188465938</v>
      </c>
      <c r="E97" s="14">
        <f>Parametros!$E$14*Parametros!$E$12*10*Parametros!$E$13*(B97-C97-Parametros!$E$15)/1000</f>
        <v>99.45</v>
      </c>
      <c r="F97" s="14">
        <f t="shared" si="4"/>
        <v>0.34936050466029095</v>
      </c>
      <c r="G97" s="14">
        <v>1.0814455885351251</v>
      </c>
      <c r="H97" s="14">
        <f>Postes!J97</f>
        <v>2</v>
      </c>
      <c r="I97" s="14">
        <v>25.521015571537681</v>
      </c>
      <c r="J97" s="14">
        <f>IF(H97=0,0,ROUNDUP(MAX(Parametros!$E$16,I97/Parametros!$E$17)/10,0)*10)</f>
        <v>60</v>
      </c>
      <c r="K97" s="14">
        <f>J97*Parametros!$E$17</f>
        <v>54</v>
      </c>
      <c r="L97" s="14">
        <f t="shared" si="5"/>
        <v>0.47261139947292002</v>
      </c>
    </row>
    <row r="98" spans="1:12" ht="21" customHeight="1">
      <c r="A98" s="1" t="s">
        <v>279</v>
      </c>
      <c r="B98" s="14">
        <f>Postes!E98</f>
        <v>13</v>
      </c>
      <c r="C98" s="14">
        <f>Postes!F98</f>
        <v>1.9</v>
      </c>
      <c r="D98" s="14">
        <v>25.485919008973131</v>
      </c>
      <c r="E98" s="14">
        <f>Parametros!$E$14*Parametros!$E$12*10*Parametros!$E$13*(B98-C98-Parametros!$E$15)/1000</f>
        <v>85.41</v>
      </c>
      <c r="F98" s="14">
        <f t="shared" si="4"/>
        <v>0.2983950241069328</v>
      </c>
      <c r="G98" s="14">
        <v>-1.3989435623613602</v>
      </c>
      <c r="H98" s="14">
        <f>Postes!J98</f>
        <v>2</v>
      </c>
      <c r="I98" s="14">
        <v>24.870102806888056</v>
      </c>
      <c r="J98" s="14">
        <f>IF(H98=0,0,ROUNDUP(MAX(Parametros!$E$16,I98/Parametros!$E$17)/10,0)*10)</f>
        <v>60</v>
      </c>
      <c r="K98" s="14">
        <f>J98*Parametros!$E$17</f>
        <v>54</v>
      </c>
      <c r="L98" s="14">
        <f t="shared" si="5"/>
        <v>0.46055745938681586</v>
      </c>
    </row>
    <row r="99" spans="1:12" ht="21" customHeight="1">
      <c r="A99" s="1" t="s">
        <v>280</v>
      </c>
      <c r="B99" s="14">
        <f>Postes!E99</f>
        <v>13</v>
      </c>
      <c r="C99" s="14">
        <f>Postes!F99</f>
        <v>1.9</v>
      </c>
      <c r="D99" s="14">
        <v>23.069722678619922</v>
      </c>
      <c r="E99" s="14">
        <f>Parametros!$E$14*Parametros!$E$12*10*Parametros!$E$13*(B99-C99-Parametros!$E$15)/1000</f>
        <v>85.41</v>
      </c>
      <c r="F99" s="14">
        <f t="shared" si="4"/>
        <v>0.27010563960449507</v>
      </c>
      <c r="G99" s="14">
        <v>-1.640847261346557</v>
      </c>
      <c r="H99" s="14">
        <f>Postes!J99</f>
        <v>2</v>
      </c>
      <c r="I99" s="14">
        <v>24.846057242900375</v>
      </c>
      <c r="J99" s="14">
        <f>IF(H99=0,0,ROUNDUP(MAX(Parametros!$E$16,I99/Parametros!$E$17)/10,0)*10)</f>
        <v>60</v>
      </c>
      <c r="K99" s="14">
        <f>J99*Parametros!$E$17</f>
        <v>54</v>
      </c>
      <c r="L99" s="14">
        <f t="shared" si="5"/>
        <v>0.46011217116482178</v>
      </c>
    </row>
    <row r="100" spans="1:12" ht="21" customHeight="1">
      <c r="A100" s="1" t="s">
        <v>281</v>
      </c>
      <c r="B100" s="14">
        <f>Postes!E100</f>
        <v>13</v>
      </c>
      <c r="C100" s="14">
        <f>Postes!F100</f>
        <v>1.9</v>
      </c>
      <c r="D100" s="14">
        <v>26.035053072114255</v>
      </c>
      <c r="E100" s="14">
        <f>Parametros!$E$14*Parametros!$E$12*10*Parametros!$E$13*(B100-C100-Parametros!$E$15)/1000</f>
        <v>85.41</v>
      </c>
      <c r="F100" s="14">
        <f t="shared" si="4"/>
        <v>0.30482441250572834</v>
      </c>
      <c r="G100" s="14">
        <v>0.77726778702871124</v>
      </c>
      <c r="H100" s="14">
        <f>Postes!J100</f>
        <v>2</v>
      </c>
      <c r="I100" s="14">
        <v>24.74638530754661</v>
      </c>
      <c r="J100" s="14">
        <f>IF(H100=0,0,ROUNDUP(MAX(Parametros!$E$16,I100/Parametros!$E$17)/10,0)*10)</f>
        <v>60</v>
      </c>
      <c r="K100" s="14">
        <f>J100*Parametros!$E$17</f>
        <v>54</v>
      </c>
      <c r="L100" s="14">
        <f t="shared" si="5"/>
        <v>0.45826639458419649</v>
      </c>
    </row>
    <row r="101" spans="1:12" ht="21" customHeight="1">
      <c r="A101" s="1" t="s">
        <v>282</v>
      </c>
      <c r="B101" s="14">
        <f>Postes!E101</f>
        <v>13</v>
      </c>
      <c r="C101" s="14">
        <f>Postes!F101</f>
        <v>1.9</v>
      </c>
      <c r="D101" s="14">
        <v>30.017477279467904</v>
      </c>
      <c r="E101" s="14">
        <f>Parametros!$E$14*Parametros!$E$12*10*Parametros!$E$13*(B101-C101-Parametros!$E$15)/1000</f>
        <v>85.41</v>
      </c>
      <c r="F101" s="14">
        <f t="shared" si="4"/>
        <v>0.35145155461266719</v>
      </c>
      <c r="G101" s="14">
        <v>0.87683766536732144</v>
      </c>
      <c r="H101" s="14">
        <f>Postes!J101</f>
        <v>2</v>
      </c>
      <c r="I101" s="14">
        <v>26.062864333879727</v>
      </c>
      <c r="J101" s="14">
        <f>IF(H101=0,0,ROUNDUP(MAX(Parametros!$E$16,I101/Parametros!$E$17)/10,0)*10)</f>
        <v>60</v>
      </c>
      <c r="K101" s="14">
        <f>J101*Parametros!$E$17</f>
        <v>54</v>
      </c>
      <c r="L101" s="14">
        <f t="shared" si="5"/>
        <v>0.48264563581258751</v>
      </c>
    </row>
    <row r="102" spans="1:12" ht="21" customHeight="1">
      <c r="A102" s="1" t="s">
        <v>283</v>
      </c>
      <c r="B102" s="14">
        <f>Postes!E102</f>
        <v>15</v>
      </c>
      <c r="C102" s="14">
        <f>Postes!F102</f>
        <v>2.1</v>
      </c>
      <c r="D102" s="14">
        <v>41.542150856739113</v>
      </c>
      <c r="E102" s="14">
        <f>Parametros!$E$14*Parametros!$E$12*10*Parametros!$E$13*(B102-C102-Parametros!$E$15)/1000</f>
        <v>99.45</v>
      </c>
      <c r="F102" s="14">
        <f t="shared" si="4"/>
        <v>0.41771896286313837</v>
      </c>
      <c r="G102" s="14">
        <v>1.1693809089512723</v>
      </c>
      <c r="H102" s="14">
        <f>Postes!J102</f>
        <v>0</v>
      </c>
      <c r="I102" s="14">
        <v>0</v>
      </c>
      <c r="J102" s="14">
        <f>IF(H102=0,0,ROUNDUP(MAX(Parametros!$E$16,I102/Parametros!$E$17)/10,0)*10)</f>
        <v>0</v>
      </c>
      <c r="K102" s="14">
        <f>J102*Parametros!$E$17</f>
        <v>0</v>
      </c>
      <c r="L102" s="14">
        <f t="shared" si="5"/>
        <v>0</v>
      </c>
    </row>
    <row r="103" spans="1:12" ht="21" customHeight="1">
      <c r="A103" s="1" t="s">
        <v>284</v>
      </c>
      <c r="B103" s="14">
        <f>Postes!E103</f>
        <v>15</v>
      </c>
      <c r="C103" s="14">
        <f>Postes!F103</f>
        <v>2.1</v>
      </c>
      <c r="D103" s="14">
        <v>41.581541455200558</v>
      </c>
      <c r="E103" s="14">
        <f>Parametros!$E$14*Parametros!$E$12*10*Parametros!$E$13*(B103-C103-Parametros!$E$15)/1000</f>
        <v>99.45</v>
      </c>
      <c r="F103" s="14">
        <f t="shared" ref="F103:F134" si="6">D103/E103</f>
        <v>0.41811504731222277</v>
      </c>
      <c r="G103" s="14">
        <v>1.0969813676633093</v>
      </c>
      <c r="H103" s="14">
        <f>Postes!J103</f>
        <v>0</v>
      </c>
      <c r="I103" s="14">
        <v>0</v>
      </c>
      <c r="J103" s="14">
        <f>IF(H103=0,0,ROUNDUP(MAX(Parametros!$E$16,I103/Parametros!$E$17)/10,0)*10)</f>
        <v>0</v>
      </c>
      <c r="K103" s="14">
        <f>J103*Parametros!$E$17</f>
        <v>0</v>
      </c>
      <c r="L103" s="14">
        <f t="shared" ref="L103:L134" si="7">IF(H103=0,0,I103/K103)</f>
        <v>0</v>
      </c>
    </row>
    <row r="104" spans="1:12" ht="21" customHeight="1">
      <c r="A104" s="1" t="s">
        <v>285</v>
      </c>
      <c r="B104" s="14">
        <f>Postes!E104</f>
        <v>13</v>
      </c>
      <c r="C104" s="14">
        <f>Postes!F104</f>
        <v>1.9</v>
      </c>
      <c r="D104" s="14">
        <v>33.478042128208067</v>
      </c>
      <c r="E104" s="14">
        <f>Parametros!$E$14*Parametros!$E$12*10*Parametros!$E$13*(B104-C104-Parametros!$E$15)/1000</f>
        <v>85.41</v>
      </c>
      <c r="F104" s="14">
        <f t="shared" si="6"/>
        <v>0.39196864685877614</v>
      </c>
      <c r="G104" s="14">
        <v>-3.8226360005858004</v>
      </c>
      <c r="H104" s="14">
        <f>Postes!J104</f>
        <v>2</v>
      </c>
      <c r="I104" s="14">
        <v>26.026417661596643</v>
      </c>
      <c r="J104" s="14">
        <f>IF(H104=0,0,ROUNDUP(MAX(Parametros!$E$16,I104/Parametros!$E$17)/10,0)*10)</f>
        <v>60</v>
      </c>
      <c r="K104" s="14">
        <f>J104*Parametros!$E$17</f>
        <v>54</v>
      </c>
      <c r="L104" s="14">
        <f t="shared" si="7"/>
        <v>0.48197069743697485</v>
      </c>
    </row>
    <row r="105" spans="1:12" ht="21" customHeight="1">
      <c r="A105" s="1" t="s">
        <v>286</v>
      </c>
      <c r="B105" s="14">
        <f>Postes!E105</f>
        <v>15</v>
      </c>
      <c r="C105" s="14">
        <f>Postes!F105</f>
        <v>2.1</v>
      </c>
      <c r="D105" s="14">
        <v>41.6905372492133</v>
      </c>
      <c r="E105" s="14">
        <f>Parametros!$E$14*Parametros!$E$12*10*Parametros!$E$13*(B105-C105-Parametros!$E$15)/1000</f>
        <v>99.45</v>
      </c>
      <c r="F105" s="14">
        <f t="shared" si="6"/>
        <v>0.41921103317459324</v>
      </c>
      <c r="G105" s="14">
        <v>1.3863211151384285</v>
      </c>
      <c r="H105" s="14">
        <f>Postes!J105</f>
        <v>0</v>
      </c>
      <c r="I105" s="14">
        <v>0</v>
      </c>
      <c r="J105" s="14">
        <f>IF(H105=0,0,ROUNDUP(MAX(Parametros!$E$16,I105/Parametros!$E$17)/10,0)*10)</f>
        <v>0</v>
      </c>
      <c r="K105" s="14">
        <f>J105*Parametros!$E$17</f>
        <v>0</v>
      </c>
      <c r="L105" s="14">
        <f t="shared" si="7"/>
        <v>0</v>
      </c>
    </row>
    <row r="106" spans="1:12" ht="21" customHeight="1">
      <c r="A106" s="1" t="s">
        <v>287</v>
      </c>
      <c r="B106" s="14">
        <f>Postes!E106</f>
        <v>15</v>
      </c>
      <c r="C106" s="14">
        <f>Postes!F106</f>
        <v>2.1</v>
      </c>
      <c r="D106" s="14">
        <v>36.547942726870751</v>
      </c>
      <c r="E106" s="14">
        <f>Parametros!$E$14*Parametros!$E$12*10*Parametros!$E$13*(B106-C106-Parametros!$E$15)/1000</f>
        <v>99.45</v>
      </c>
      <c r="F106" s="14">
        <f t="shared" si="6"/>
        <v>0.36750068101428607</v>
      </c>
      <c r="G106" s="14">
        <v>-1.1674016437999151</v>
      </c>
      <c r="H106" s="14">
        <f>Postes!J106</f>
        <v>2</v>
      </c>
      <c r="I106" s="14">
        <v>26.097637548123696</v>
      </c>
      <c r="J106" s="14">
        <f>IF(H106=0,0,ROUNDUP(MAX(Parametros!$E$16,I106/Parametros!$E$17)/10,0)*10)</f>
        <v>60</v>
      </c>
      <c r="K106" s="14">
        <f>J106*Parametros!$E$17</f>
        <v>54</v>
      </c>
      <c r="L106" s="14">
        <f t="shared" si="7"/>
        <v>0.4832895842245129</v>
      </c>
    </row>
    <row r="107" spans="1:12" ht="21" customHeight="1">
      <c r="A107" s="1" t="s">
        <v>288</v>
      </c>
      <c r="B107" s="14">
        <f>Postes!E107</f>
        <v>13</v>
      </c>
      <c r="C107" s="14">
        <f>Postes!F107</f>
        <v>1.9</v>
      </c>
      <c r="D107" s="14">
        <v>26.316406364828801</v>
      </c>
      <c r="E107" s="14">
        <f>Parametros!$E$14*Parametros!$E$12*10*Parametros!$E$13*(B107-C107-Parametros!$E$15)/1000</f>
        <v>85.41</v>
      </c>
      <c r="F107" s="14">
        <f t="shared" si="6"/>
        <v>0.30811856181745467</v>
      </c>
      <c r="G107" s="14">
        <v>0.97423085178906765</v>
      </c>
      <c r="H107" s="14">
        <f>Postes!J107</f>
        <v>0</v>
      </c>
      <c r="I107" s="14">
        <v>0</v>
      </c>
      <c r="J107" s="14">
        <f>IF(H107=0,0,ROUNDUP(MAX(Parametros!$E$16,I107/Parametros!$E$17)/10,0)*10)</f>
        <v>0</v>
      </c>
      <c r="K107" s="14">
        <f>J107*Parametros!$E$17</f>
        <v>0</v>
      </c>
      <c r="L107" s="14">
        <f t="shared" si="7"/>
        <v>0</v>
      </c>
    </row>
    <row r="108" spans="1:12" ht="21" customHeight="1">
      <c r="A108" s="1" t="s">
        <v>289</v>
      </c>
      <c r="B108" s="14">
        <f>Postes!E108</f>
        <v>13</v>
      </c>
      <c r="C108" s="14">
        <f>Postes!F108</f>
        <v>1.9</v>
      </c>
      <c r="D108" s="14">
        <v>26.530787238985337</v>
      </c>
      <c r="E108" s="14">
        <f>Parametros!$E$14*Parametros!$E$12*10*Parametros!$E$13*(B108-C108-Parametros!$E$15)/1000</f>
        <v>85.41</v>
      </c>
      <c r="F108" s="14">
        <f t="shared" si="6"/>
        <v>0.31062858258968901</v>
      </c>
      <c r="G108" s="14">
        <v>-3.2267202626201654</v>
      </c>
      <c r="H108" s="14">
        <f>Postes!J108</f>
        <v>2</v>
      </c>
      <c r="I108" s="14">
        <v>24.888833867639267</v>
      </c>
      <c r="J108" s="14">
        <f>IF(H108=0,0,ROUNDUP(MAX(Parametros!$E$16,I108/Parametros!$E$17)/10,0)*10)</f>
        <v>60</v>
      </c>
      <c r="K108" s="14">
        <f>J108*Parametros!$E$17</f>
        <v>54</v>
      </c>
      <c r="L108" s="14">
        <f t="shared" si="7"/>
        <v>0.46090433088220867</v>
      </c>
    </row>
    <row r="109" spans="1:12" ht="21" customHeight="1">
      <c r="A109" s="1" t="s">
        <v>290</v>
      </c>
      <c r="B109" s="14">
        <f>Postes!E109</f>
        <v>13</v>
      </c>
      <c r="C109" s="14">
        <f>Postes!F109</f>
        <v>1.9</v>
      </c>
      <c r="D109" s="14">
        <v>27.052651196026265</v>
      </c>
      <c r="E109" s="14">
        <f>Parametros!$E$14*Parametros!$E$12*10*Parametros!$E$13*(B109-C109-Parametros!$E$15)/1000</f>
        <v>85.41</v>
      </c>
      <c r="F109" s="14">
        <f t="shared" si="6"/>
        <v>0.31673868628996915</v>
      </c>
      <c r="G109" s="14">
        <v>1.0269705640933344</v>
      </c>
      <c r="H109" s="14">
        <f>Postes!J109</f>
        <v>0</v>
      </c>
      <c r="I109" s="14">
        <v>0</v>
      </c>
      <c r="J109" s="14">
        <f>IF(H109=0,0,ROUNDUP(MAX(Parametros!$E$16,I109/Parametros!$E$17)/10,0)*10)</f>
        <v>0</v>
      </c>
      <c r="K109" s="14">
        <f>J109*Parametros!$E$17</f>
        <v>0</v>
      </c>
      <c r="L109" s="14">
        <f t="shared" si="7"/>
        <v>0</v>
      </c>
    </row>
    <row r="110" spans="1:12" ht="21" customHeight="1">
      <c r="A110" s="1" t="s">
        <v>291</v>
      </c>
      <c r="B110" s="14">
        <f>Postes!E110</f>
        <v>13</v>
      </c>
      <c r="C110" s="14">
        <f>Postes!F110</f>
        <v>1.9</v>
      </c>
      <c r="D110" s="14">
        <v>30.497219946357795</v>
      </c>
      <c r="E110" s="14">
        <f>Parametros!$E$14*Parametros!$E$12*10*Parametros!$E$13*(B110-C110-Parametros!$E$15)/1000</f>
        <v>85.41</v>
      </c>
      <c r="F110" s="14">
        <f t="shared" si="6"/>
        <v>0.35706849252262962</v>
      </c>
      <c r="G110" s="14">
        <v>1.1532009183552354</v>
      </c>
      <c r="H110" s="14">
        <f>Postes!J110</f>
        <v>2</v>
      </c>
      <c r="I110" s="14">
        <v>26.422783392082692</v>
      </c>
      <c r="J110" s="14">
        <f>IF(H110=0,0,ROUNDUP(MAX(Parametros!$E$16,I110/Parametros!$E$17)/10,0)*10)</f>
        <v>60</v>
      </c>
      <c r="K110" s="14">
        <f>J110*Parametros!$E$17</f>
        <v>54</v>
      </c>
      <c r="L110" s="14">
        <f t="shared" si="7"/>
        <v>0.48931080355708689</v>
      </c>
    </row>
    <row r="111" spans="1:12" ht="21" customHeight="1">
      <c r="A111" s="1" t="s">
        <v>292</v>
      </c>
      <c r="B111" s="14">
        <f>Postes!E111</f>
        <v>13</v>
      </c>
      <c r="C111" s="14">
        <f>Postes!F111</f>
        <v>1.9</v>
      </c>
      <c r="D111" s="14">
        <v>35.206527144285737</v>
      </c>
      <c r="E111" s="14">
        <f>Parametros!$E$14*Parametros!$E$12*10*Parametros!$E$13*(B111-C111-Parametros!$E$15)/1000</f>
        <v>85.41</v>
      </c>
      <c r="F111" s="14">
        <f t="shared" si="6"/>
        <v>0.41220614851054604</v>
      </c>
      <c r="G111" s="14">
        <v>0.32546013001115898</v>
      </c>
      <c r="H111" s="14">
        <f>Postes!J111</f>
        <v>0</v>
      </c>
      <c r="I111" s="14">
        <v>0</v>
      </c>
      <c r="J111" s="14">
        <f>IF(H111=0,0,ROUNDUP(MAX(Parametros!$E$16,I111/Parametros!$E$17)/10,0)*10)</f>
        <v>0</v>
      </c>
      <c r="K111" s="14">
        <f>J111*Parametros!$E$17</f>
        <v>0</v>
      </c>
      <c r="L111" s="14">
        <f t="shared" si="7"/>
        <v>0</v>
      </c>
    </row>
    <row r="112" spans="1:12" ht="21" customHeight="1">
      <c r="A112" s="1" t="s">
        <v>293</v>
      </c>
      <c r="B112" s="14">
        <f>Postes!E112</f>
        <v>13</v>
      </c>
      <c r="C112" s="14">
        <f>Postes!F112</f>
        <v>1.9</v>
      </c>
      <c r="D112" s="14">
        <v>31.896216326078896</v>
      </c>
      <c r="E112" s="14">
        <f>Parametros!$E$14*Parametros!$E$12*10*Parametros!$E$13*(B112-C112-Parametros!$E$15)/1000</f>
        <v>85.41</v>
      </c>
      <c r="F112" s="14">
        <f t="shared" si="6"/>
        <v>0.37344826514552037</v>
      </c>
      <c r="G112" s="14">
        <v>-0.36117514371677112</v>
      </c>
      <c r="H112" s="14">
        <f>Postes!J112</f>
        <v>2</v>
      </c>
      <c r="I112" s="14">
        <v>26.459161382776518</v>
      </c>
      <c r="J112" s="14">
        <f>IF(H112=0,0,ROUNDUP(MAX(Parametros!$E$16,I112/Parametros!$E$17)/10,0)*10)</f>
        <v>60</v>
      </c>
      <c r="K112" s="14">
        <f>J112*Parametros!$E$17</f>
        <v>54</v>
      </c>
      <c r="L112" s="14">
        <f t="shared" si="7"/>
        <v>0.48998447005141699</v>
      </c>
    </row>
    <row r="113" spans="1:12" ht="21" customHeight="1">
      <c r="A113" s="1" t="s">
        <v>294</v>
      </c>
      <c r="B113" s="14">
        <f>Postes!E113</f>
        <v>13</v>
      </c>
      <c r="C113" s="14">
        <f>Postes!F113</f>
        <v>1.9</v>
      </c>
      <c r="D113" s="14">
        <v>29.928930786118361</v>
      </c>
      <c r="E113" s="14">
        <f>Parametros!$E$14*Parametros!$E$12*10*Parametros!$E$13*(B113-C113-Parametros!$E$15)/1000</f>
        <v>85.41</v>
      </c>
      <c r="F113" s="14">
        <f t="shared" si="6"/>
        <v>0.35041483182435734</v>
      </c>
      <c r="G113" s="14">
        <v>-0.54715625639714249</v>
      </c>
      <c r="H113" s="14">
        <f>Postes!J113</f>
        <v>2</v>
      </c>
      <c r="I113" s="14">
        <v>25.24230341193368</v>
      </c>
      <c r="J113" s="14">
        <f>IF(H113=0,0,ROUNDUP(MAX(Parametros!$E$16,I113/Parametros!$E$17)/10,0)*10)</f>
        <v>60</v>
      </c>
      <c r="K113" s="14">
        <f>J113*Parametros!$E$17</f>
        <v>54</v>
      </c>
      <c r="L113" s="14">
        <f t="shared" si="7"/>
        <v>0.46745006318395704</v>
      </c>
    </row>
    <row r="114" spans="1:12" ht="21" customHeight="1">
      <c r="A114" s="1" t="s">
        <v>295</v>
      </c>
      <c r="B114" s="14">
        <f>Postes!E114</f>
        <v>13</v>
      </c>
      <c r="C114" s="14">
        <f>Postes!F114</f>
        <v>1.9</v>
      </c>
      <c r="D114" s="14">
        <v>26.710927200738453</v>
      </c>
      <c r="E114" s="14">
        <f>Parametros!$E$14*Parametros!$E$12*10*Parametros!$E$13*(B114-C114-Parametros!$E$15)/1000</f>
        <v>85.41</v>
      </c>
      <c r="F114" s="14">
        <f t="shared" si="6"/>
        <v>0.31273770285374608</v>
      </c>
      <c r="G114" s="14">
        <v>1.0998430912578943</v>
      </c>
      <c r="H114" s="14">
        <f>Postes!J114</f>
        <v>2</v>
      </c>
      <c r="I114" s="14">
        <v>25.204239975486242</v>
      </c>
      <c r="J114" s="14">
        <f>IF(H114=0,0,ROUNDUP(MAX(Parametros!$E$16,I114/Parametros!$E$17)/10,0)*10)</f>
        <v>60</v>
      </c>
      <c r="K114" s="14">
        <f>J114*Parametros!$E$17</f>
        <v>54</v>
      </c>
      <c r="L114" s="14">
        <f t="shared" si="7"/>
        <v>0.46674518473122673</v>
      </c>
    </row>
    <row r="115" spans="1:12" ht="21" customHeight="1">
      <c r="A115" s="1" t="s">
        <v>296</v>
      </c>
      <c r="B115" s="14">
        <f>Postes!E115</f>
        <v>13</v>
      </c>
      <c r="C115" s="14">
        <f>Postes!F115</f>
        <v>1.9</v>
      </c>
      <c r="D115" s="14">
        <v>23.925921528085723</v>
      </c>
      <c r="E115" s="14">
        <f>Parametros!$E$14*Parametros!$E$12*10*Parametros!$E$13*(B115-C115-Parametros!$E$15)/1000</f>
        <v>85.41</v>
      </c>
      <c r="F115" s="14">
        <f t="shared" si="6"/>
        <v>0.28013021341863625</v>
      </c>
      <c r="G115" s="14">
        <v>-1.0944017221030715</v>
      </c>
      <c r="H115" s="14">
        <f>Postes!J115</f>
        <v>2</v>
      </c>
      <c r="I115" s="14">
        <v>25.021231658431329</v>
      </c>
      <c r="J115" s="14">
        <f>IF(H115=0,0,ROUNDUP(MAX(Parametros!$E$16,I115/Parametros!$E$17)/10,0)*10)</f>
        <v>60</v>
      </c>
      <c r="K115" s="14">
        <f>J115*Parametros!$E$17</f>
        <v>54</v>
      </c>
      <c r="L115" s="14">
        <f t="shared" si="7"/>
        <v>0.46335614182280238</v>
      </c>
    </row>
    <row r="116" spans="1:12" ht="21" customHeight="1">
      <c r="A116" s="1" t="s">
        <v>297</v>
      </c>
      <c r="B116" s="14">
        <f>Postes!E116</f>
        <v>13</v>
      </c>
      <c r="C116" s="14">
        <f>Postes!F116</f>
        <v>1.9</v>
      </c>
      <c r="D116" s="14">
        <v>21.738919435024425</v>
      </c>
      <c r="E116" s="14">
        <f>Parametros!$E$14*Parametros!$E$12*10*Parametros!$E$13*(B116-C116-Parametros!$E$15)/1000</f>
        <v>85.41</v>
      </c>
      <c r="F116" s="14">
        <f t="shared" si="6"/>
        <v>0.2545242879642246</v>
      </c>
      <c r="G116" s="14">
        <v>-6.9037936846070014E-2</v>
      </c>
      <c r="H116" s="14">
        <f>Postes!J116</f>
        <v>2</v>
      </c>
      <c r="I116" s="14">
        <v>25.221515339628137</v>
      </c>
      <c r="J116" s="14">
        <f>IF(H116=0,0,ROUNDUP(MAX(Parametros!$E$16,I116/Parametros!$E$17)/10,0)*10)</f>
        <v>60</v>
      </c>
      <c r="K116" s="14">
        <f>J116*Parametros!$E$17</f>
        <v>54</v>
      </c>
      <c r="L116" s="14">
        <f t="shared" si="7"/>
        <v>0.46706509888200254</v>
      </c>
    </row>
    <row r="117" spans="1:12" ht="21" customHeight="1">
      <c r="A117" s="1" t="s">
        <v>298</v>
      </c>
      <c r="B117" s="14">
        <f>Postes!E117</f>
        <v>13</v>
      </c>
      <c r="C117" s="14">
        <f>Postes!F117</f>
        <v>1.9</v>
      </c>
      <c r="D117" s="14">
        <v>16.548625632022567</v>
      </c>
      <c r="E117" s="14">
        <f>Parametros!$E$14*Parametros!$E$12*10*Parametros!$E$13*(B117-C117-Parametros!$E$15)/1000</f>
        <v>85.41</v>
      </c>
      <c r="F117" s="14">
        <f t="shared" si="6"/>
        <v>0.19375512975087891</v>
      </c>
      <c r="G117" s="14">
        <v>0.54858743133309318</v>
      </c>
      <c r="H117" s="14">
        <f>Postes!J117</f>
        <v>1</v>
      </c>
      <c r="I117" s="14">
        <v>25.221515339628137</v>
      </c>
      <c r="J117" s="14">
        <f>IF(H117=0,0,ROUNDUP(MAX(Parametros!$E$16,I117/Parametros!$E$17)/10,0)*10)</f>
        <v>60</v>
      </c>
      <c r="K117" s="14">
        <f>J117*Parametros!$E$17</f>
        <v>54</v>
      </c>
      <c r="L117" s="14">
        <f t="shared" si="7"/>
        <v>0.46706509888200254</v>
      </c>
    </row>
    <row r="118" spans="1:12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21" customHeight="1">
      <c r="A120" s="1" t="s">
        <v>299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</sheetData>
  <pageMargins left="0.39370078740157477" right="0.39370078740157477" top="0.55118110236220463" bottom="0.55118110236220463" header="0.3" footer="0.3"/>
  <pageSetup paperSize="8" scale="99" fitToHeight="0" orientation="landscape" r:id="rId1"/>
  <headerFooter>
    <oddFooter>&amp;CInstalaciones Eléctricas II | Aquiles Taylor Ramos Yapo | 227368&amp;RHoja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672"/>
  <sheetViews>
    <sheetView showGridLines="0" zoomScale="85" zoomScaleNormal="85" workbookViewId="0">
      <pane ySplit="6" topLeftCell="A7" activePane="bottomLeft" state="frozen"/>
      <selection pane="bottomLeft"/>
    </sheetView>
  </sheetViews>
  <sheetFormatPr baseColWidth="10" defaultColWidth="9" defaultRowHeight="14.25"/>
  <cols>
    <col min="1" max="1" width="10" customWidth="1"/>
    <col min="2" max="2" width="18" customWidth="1"/>
    <col min="3" max="3" width="13" customWidth="1"/>
    <col min="4" max="4" width="14" customWidth="1"/>
    <col min="5" max="7" width="15" customWidth="1"/>
    <col min="8" max="9" width="14" customWidth="1"/>
    <col min="10" max="10" width="15" customWidth="1"/>
    <col min="11" max="11" width="14" customWidth="1"/>
    <col min="12" max="12" width="15" customWidth="1"/>
    <col min="13" max="14" width="14" customWidth="1"/>
    <col min="15" max="17" width="16" customWidth="1"/>
  </cols>
  <sheetData>
    <row r="1" spans="1:17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6" customHeight="1">
      <c r="A6" s="4" t="s">
        <v>301</v>
      </c>
      <c r="B6" s="4" t="s">
        <v>302</v>
      </c>
      <c r="C6" s="4" t="s">
        <v>303</v>
      </c>
      <c r="D6" s="4" t="s">
        <v>304</v>
      </c>
      <c r="E6" s="4" t="s">
        <v>305</v>
      </c>
      <c r="F6" s="4" t="s">
        <v>306</v>
      </c>
      <c r="G6" s="4" t="s">
        <v>307</v>
      </c>
      <c r="H6" s="4" t="s">
        <v>308</v>
      </c>
      <c r="I6" s="4" t="s">
        <v>309</v>
      </c>
      <c r="J6" s="4" t="s">
        <v>310</v>
      </c>
      <c r="K6" s="4" t="s">
        <v>311</v>
      </c>
      <c r="L6" s="4" t="s">
        <v>312</v>
      </c>
      <c r="M6" s="4" t="s">
        <v>313</v>
      </c>
      <c r="N6" s="4" t="s">
        <v>314</v>
      </c>
      <c r="O6" s="4" t="s">
        <v>315</v>
      </c>
      <c r="P6" s="4" t="s">
        <v>316</v>
      </c>
      <c r="Q6" s="4" t="s">
        <v>317</v>
      </c>
    </row>
    <row r="7" spans="1:17" ht="21" customHeight="1">
      <c r="A7" s="1" t="s">
        <v>318</v>
      </c>
      <c r="B7" s="1" t="s">
        <v>319</v>
      </c>
      <c r="C7" s="18">
        <v>47.146596570679399</v>
      </c>
      <c r="D7" s="18">
        <v>14.315386538179064</v>
      </c>
      <c r="E7" s="18">
        <v>2204.9999999955289</v>
      </c>
      <c r="F7" s="18">
        <v>1.32389775</v>
      </c>
      <c r="G7" s="18">
        <v>0</v>
      </c>
      <c r="H7" s="18">
        <f t="shared" ref="H7:H70" si="0">SQRT(F7^2+G7^2)</f>
        <v>1.32389775</v>
      </c>
      <c r="I7" s="18">
        <f t="shared" ref="I7:I70" si="1">D7*F7/H7</f>
        <v>14.315386538179066</v>
      </c>
      <c r="J7" s="18">
        <f t="shared" ref="J7:J70" si="2">SQRT(C7^2+D7^2-I7^2)</f>
        <v>47.146596570679399</v>
      </c>
      <c r="K7" s="18">
        <f t="shared" ref="K7:K70" si="3">E7/H7</f>
        <v>1665.5364811939055</v>
      </c>
      <c r="L7" s="18">
        <f t="shared" ref="L7:L70" si="4">J7/2-K7*ASINH(I7/(2*K7*SINH(J7/(2*K7))))</f>
        <v>-474.66178306890384</v>
      </c>
      <c r="M7" s="18">
        <f t="shared" ref="M7:M70" si="5">-L7/K7</f>
        <v>0.28499032499645538</v>
      </c>
      <c r="N7" s="18">
        <f t="shared" ref="N7:N70" si="6">(J7-L7)/K7</f>
        <v>0.31329747833895277</v>
      </c>
      <c r="O7" s="18">
        <f t="shared" ref="O7:O70" si="7">K7*(SINH(N7)-SINH(M7))</f>
        <v>49.2735252497326</v>
      </c>
      <c r="P7" s="18">
        <f t="shared" ref="P7:P70" si="8">E7*COSH(M7)</f>
        <v>2295.1521888365955</v>
      </c>
      <c r="Q7" s="18">
        <f t="shared" ref="Q7:Q70" si="9">E7*COSH(N7)</f>
        <v>2314.1042968648712</v>
      </c>
    </row>
    <row r="8" spans="1:17" ht="21" customHeight="1">
      <c r="A8" s="1" t="s">
        <v>318</v>
      </c>
      <c r="B8" s="1" t="s">
        <v>320</v>
      </c>
      <c r="C8" s="18">
        <v>47.146596570679399</v>
      </c>
      <c r="D8" s="18">
        <v>14.315386538179064</v>
      </c>
      <c r="E8" s="18">
        <v>3281.3244272302836</v>
      </c>
      <c r="F8" s="18">
        <v>1.32389775</v>
      </c>
      <c r="G8" s="18">
        <v>3.4438949999999999</v>
      </c>
      <c r="H8" s="18">
        <f t="shared" si="0"/>
        <v>3.6895959160157443</v>
      </c>
      <c r="I8" s="18">
        <f t="shared" si="1"/>
        <v>5.1366351382839834</v>
      </c>
      <c r="J8" s="18">
        <f t="shared" si="2"/>
        <v>49.003539049664802</v>
      </c>
      <c r="K8" s="18">
        <f t="shared" si="3"/>
        <v>889.34520254284712</v>
      </c>
      <c r="L8" s="18">
        <f t="shared" si="4"/>
        <v>-68.539317665222868</v>
      </c>
      <c r="M8" s="18">
        <f t="shared" si="5"/>
        <v>7.7067169721332998E-2</v>
      </c>
      <c r="N8" s="18">
        <f t="shared" si="6"/>
        <v>0.13216786505263087</v>
      </c>
      <c r="O8" s="18">
        <f t="shared" si="7"/>
        <v>49.278184620693281</v>
      </c>
      <c r="P8" s="18">
        <f t="shared" si="8"/>
        <v>3291.0737160680997</v>
      </c>
      <c r="Q8" s="18">
        <f t="shared" si="9"/>
        <v>3310.0258240963758</v>
      </c>
    </row>
    <row r="9" spans="1:17" ht="21" customHeight="1">
      <c r="A9" s="1" t="s">
        <v>318</v>
      </c>
      <c r="B9" s="1" t="s">
        <v>321</v>
      </c>
      <c r="C9" s="18">
        <v>47.146596570679399</v>
      </c>
      <c r="D9" s="18">
        <v>14.315386538179064</v>
      </c>
      <c r="E9" s="18">
        <v>3439.8223096873862</v>
      </c>
      <c r="F9" s="18">
        <v>3.8554321618301355</v>
      </c>
      <c r="G9" s="18">
        <v>0</v>
      </c>
      <c r="H9" s="18">
        <f t="shared" si="0"/>
        <v>3.8554321618301355</v>
      </c>
      <c r="I9" s="18">
        <f t="shared" si="1"/>
        <v>14.315386538179064</v>
      </c>
      <c r="J9" s="18">
        <f t="shared" si="2"/>
        <v>47.146596570679399</v>
      </c>
      <c r="K9" s="18">
        <f t="shared" si="3"/>
        <v>892.2014874863047</v>
      </c>
      <c r="L9" s="18">
        <f t="shared" si="4"/>
        <v>-243.30183261573652</v>
      </c>
      <c r="M9" s="18">
        <f t="shared" si="5"/>
        <v>0.27269830417030233</v>
      </c>
      <c r="N9" s="18">
        <f t="shared" si="6"/>
        <v>0.32554129673637683</v>
      </c>
      <c r="O9" s="18">
        <f t="shared" si="7"/>
        <v>49.277268092380147</v>
      </c>
      <c r="P9" s="18">
        <f t="shared" si="8"/>
        <v>3568.5169788784801</v>
      </c>
      <c r="Q9" s="18">
        <f t="shared" si="9"/>
        <v>3623.7089805468058</v>
      </c>
    </row>
    <row r="10" spans="1:17" ht="21" customHeight="1">
      <c r="A10" s="1" t="s">
        <v>318</v>
      </c>
      <c r="B10" s="1" t="s">
        <v>322</v>
      </c>
      <c r="C10" s="18">
        <v>47.146596570679399</v>
      </c>
      <c r="D10" s="18">
        <v>14.315386538179064</v>
      </c>
      <c r="E10" s="18">
        <v>3344.7188493270805</v>
      </c>
      <c r="F10" s="18">
        <v>2.3365115147320541</v>
      </c>
      <c r="G10" s="18">
        <v>1.4349562500000002</v>
      </c>
      <c r="H10" s="18">
        <f t="shared" si="0"/>
        <v>2.7419674501878282</v>
      </c>
      <c r="I10" s="18">
        <f t="shared" si="1"/>
        <v>12.198564020883758</v>
      </c>
      <c r="J10" s="18">
        <f t="shared" si="2"/>
        <v>47.738107375180647</v>
      </c>
      <c r="K10" s="18">
        <f t="shared" si="3"/>
        <v>1219.824418082703</v>
      </c>
      <c r="L10" s="18">
        <f t="shared" si="4"/>
        <v>-284.51837052514645</v>
      </c>
      <c r="M10" s="18">
        <f t="shared" si="5"/>
        <v>0.23324534769712763</v>
      </c>
      <c r="N10" s="18">
        <f t="shared" si="6"/>
        <v>0.2723805762328988</v>
      </c>
      <c r="O10" s="18">
        <f t="shared" si="7"/>
        <v>49.274970678691481</v>
      </c>
      <c r="P10" s="18">
        <f t="shared" si="8"/>
        <v>3436.1141013460742</v>
      </c>
      <c r="Q10" s="18">
        <f t="shared" si="9"/>
        <v>3469.5621668303697</v>
      </c>
    </row>
    <row r="11" spans="1:17" ht="21" customHeight="1">
      <c r="A11" s="1" t="s">
        <v>318</v>
      </c>
      <c r="B11" s="1" t="s">
        <v>323</v>
      </c>
      <c r="C11" s="18">
        <v>47.146596570679399</v>
      </c>
      <c r="D11" s="18">
        <v>14.315386538179064</v>
      </c>
      <c r="E11" s="18">
        <v>3500.76753430182</v>
      </c>
      <c r="F11" s="18">
        <v>1.32389775</v>
      </c>
      <c r="G11" s="18">
        <v>0</v>
      </c>
      <c r="H11" s="18">
        <f t="shared" si="0"/>
        <v>1.32389775</v>
      </c>
      <c r="I11" s="18">
        <f t="shared" si="1"/>
        <v>14.315386538179066</v>
      </c>
      <c r="J11" s="18">
        <f t="shared" si="2"/>
        <v>47.146596570679399</v>
      </c>
      <c r="K11" s="18">
        <f t="shared" si="3"/>
        <v>2644.288453773579</v>
      </c>
      <c r="L11" s="18">
        <f t="shared" si="4"/>
        <v>-767.46494060530392</v>
      </c>
      <c r="M11" s="18">
        <f t="shared" si="5"/>
        <v>0.29023495508218078</v>
      </c>
      <c r="N11" s="18">
        <f t="shared" si="6"/>
        <v>0.30806455173734071</v>
      </c>
      <c r="O11" s="18">
        <f t="shared" si="7"/>
        <v>49.272616586319003</v>
      </c>
      <c r="P11" s="18">
        <f t="shared" si="8"/>
        <v>3649.2513731885379</v>
      </c>
      <c r="Q11" s="18">
        <f t="shared" si="9"/>
        <v>3668.2034812168131</v>
      </c>
    </row>
    <row r="12" spans="1:17" ht="21" customHeight="1">
      <c r="A12" s="1" t="s">
        <v>318</v>
      </c>
      <c r="B12" s="1" t="s">
        <v>324</v>
      </c>
      <c r="C12" s="18">
        <v>47.146596570679399</v>
      </c>
      <c r="D12" s="18">
        <v>14.315386538179064</v>
      </c>
      <c r="E12" s="18">
        <v>363.16545285277641</v>
      </c>
      <c r="F12" s="18">
        <v>1.32389775</v>
      </c>
      <c r="G12" s="18">
        <v>0</v>
      </c>
      <c r="H12" s="18">
        <f t="shared" si="0"/>
        <v>1.32389775</v>
      </c>
      <c r="I12" s="18">
        <f t="shared" si="1"/>
        <v>14.315386538179066</v>
      </c>
      <c r="J12" s="18">
        <f t="shared" si="2"/>
        <v>47.146596570679399</v>
      </c>
      <c r="K12" s="18">
        <f t="shared" si="3"/>
        <v>274.3153335314426</v>
      </c>
      <c r="L12" s="18">
        <f t="shared" si="4"/>
        <v>-58.391107192457184</v>
      </c>
      <c r="M12" s="18">
        <f t="shared" si="5"/>
        <v>0.21286125875921649</v>
      </c>
      <c r="N12" s="18">
        <f t="shared" si="6"/>
        <v>0.38473133238481411</v>
      </c>
      <c r="O12" s="18">
        <f t="shared" si="7"/>
        <v>49.327567560183134</v>
      </c>
      <c r="P12" s="18">
        <f t="shared" si="8"/>
        <v>371.42406340039668</v>
      </c>
      <c r="Q12" s="18">
        <f t="shared" si="9"/>
        <v>390.37617142867225</v>
      </c>
    </row>
    <row r="13" spans="1:17" ht="21" customHeight="1">
      <c r="A13" s="1" t="s">
        <v>325</v>
      </c>
      <c r="B13" s="1" t="s">
        <v>319</v>
      </c>
      <c r="C13" s="18">
        <v>47.146596569210445</v>
      </c>
      <c r="D13" s="18">
        <v>13.265247224741325</v>
      </c>
      <c r="E13" s="18">
        <v>2204.9999999915426</v>
      </c>
      <c r="F13" s="18">
        <v>1.32389775</v>
      </c>
      <c r="G13" s="18">
        <v>0</v>
      </c>
      <c r="H13" s="18">
        <f t="shared" si="0"/>
        <v>1.32389775</v>
      </c>
      <c r="I13" s="18">
        <f t="shared" si="1"/>
        <v>13.265247224741326</v>
      </c>
      <c r="J13" s="18">
        <f t="shared" si="2"/>
        <v>47.146596569210445</v>
      </c>
      <c r="K13" s="18">
        <f t="shared" si="3"/>
        <v>1665.5364811908946</v>
      </c>
      <c r="L13" s="18">
        <f t="shared" si="4"/>
        <v>-439.05727109380751</v>
      </c>
      <c r="M13" s="18">
        <f t="shared" si="5"/>
        <v>0.26361312168909806</v>
      </c>
      <c r="N13" s="18">
        <f t="shared" si="6"/>
        <v>0.29192027503076468</v>
      </c>
      <c r="O13" s="18">
        <f t="shared" si="7"/>
        <v>48.978738066568553</v>
      </c>
      <c r="P13" s="18">
        <f t="shared" si="8"/>
        <v>2282.0594999107052</v>
      </c>
      <c r="Q13" s="18">
        <f t="shared" si="9"/>
        <v>2299.6213308647339</v>
      </c>
    </row>
    <row r="14" spans="1:17" ht="21" customHeight="1">
      <c r="A14" s="1" t="s">
        <v>325</v>
      </c>
      <c r="B14" s="1" t="s">
        <v>320</v>
      </c>
      <c r="C14" s="18">
        <v>47.146596569210445</v>
      </c>
      <c r="D14" s="18">
        <v>13.265247224741325</v>
      </c>
      <c r="E14" s="18">
        <v>3268.3777427486439</v>
      </c>
      <c r="F14" s="18">
        <v>1.32389775</v>
      </c>
      <c r="G14" s="18">
        <v>3.4438949999999999</v>
      </c>
      <c r="H14" s="18">
        <f t="shared" si="0"/>
        <v>3.6895959160157443</v>
      </c>
      <c r="I14" s="18">
        <f t="shared" si="1"/>
        <v>4.759825019806815</v>
      </c>
      <c r="J14" s="18">
        <f t="shared" si="2"/>
        <v>48.745383553462929</v>
      </c>
      <c r="K14" s="18">
        <f t="shared" si="3"/>
        <v>885.83623170258761</v>
      </c>
      <c r="L14" s="18">
        <f t="shared" si="4"/>
        <v>-61.978544224178243</v>
      </c>
      <c r="M14" s="18">
        <f t="shared" si="5"/>
        <v>6.9966142731659048E-2</v>
      </c>
      <c r="N14" s="18">
        <f t="shared" si="6"/>
        <v>0.12499367695180912</v>
      </c>
      <c r="O14" s="18">
        <f t="shared" si="7"/>
        <v>48.983344013318806</v>
      </c>
      <c r="P14" s="18">
        <f t="shared" si="8"/>
        <v>3276.3807879584556</v>
      </c>
      <c r="Q14" s="18">
        <f t="shared" si="9"/>
        <v>3293.9426189124842</v>
      </c>
    </row>
    <row r="15" spans="1:17" ht="21" customHeight="1">
      <c r="A15" s="1" t="s">
        <v>325</v>
      </c>
      <c r="B15" s="1" t="s">
        <v>321</v>
      </c>
      <c r="C15" s="18">
        <v>47.146596569210445</v>
      </c>
      <c r="D15" s="18">
        <v>13.265247224741325</v>
      </c>
      <c r="E15" s="18">
        <v>3448.3935827557289</v>
      </c>
      <c r="F15" s="18">
        <v>3.8554321618301355</v>
      </c>
      <c r="G15" s="18">
        <v>0</v>
      </c>
      <c r="H15" s="18">
        <f t="shared" si="0"/>
        <v>3.8554321618301355</v>
      </c>
      <c r="I15" s="18">
        <f t="shared" si="1"/>
        <v>13.265247224741325</v>
      </c>
      <c r="J15" s="18">
        <f t="shared" si="2"/>
        <v>47.146596569210445</v>
      </c>
      <c r="K15" s="18">
        <f t="shared" si="3"/>
        <v>894.42465539811508</v>
      </c>
      <c r="L15" s="18">
        <f t="shared" si="4"/>
        <v>-224.84812950529883</v>
      </c>
      <c r="M15" s="18">
        <f t="shared" si="5"/>
        <v>0.25138856375243507</v>
      </c>
      <c r="N15" s="18">
        <f t="shared" si="6"/>
        <v>0.30410021060235914</v>
      </c>
      <c r="O15" s="18">
        <f t="shared" si="7"/>
        <v>48.982477215065366</v>
      </c>
      <c r="P15" s="18">
        <f t="shared" si="8"/>
        <v>3557.9313312322888</v>
      </c>
      <c r="Q15" s="18">
        <f t="shared" si="9"/>
        <v>3609.0745920171853</v>
      </c>
    </row>
    <row r="16" spans="1:17" ht="21" customHeight="1">
      <c r="A16" s="1" t="s">
        <v>325</v>
      </c>
      <c r="B16" s="1" t="s">
        <v>322</v>
      </c>
      <c r="C16" s="18">
        <v>47.146596569210445</v>
      </c>
      <c r="D16" s="18">
        <v>13.265247224741325</v>
      </c>
      <c r="E16" s="18">
        <v>3345.3172546903188</v>
      </c>
      <c r="F16" s="18">
        <v>2.3365115147320541</v>
      </c>
      <c r="G16" s="18">
        <v>1.4349562500000002</v>
      </c>
      <c r="H16" s="18">
        <f t="shared" si="0"/>
        <v>2.7419674501878282</v>
      </c>
      <c r="I16" s="18">
        <f t="shared" si="1"/>
        <v>11.303709270601434</v>
      </c>
      <c r="J16" s="18">
        <f t="shared" si="2"/>
        <v>47.65495261480293</v>
      </c>
      <c r="K16" s="18">
        <f t="shared" si="3"/>
        <v>1220.0426574944063</v>
      </c>
      <c r="L16" s="18">
        <f t="shared" si="4"/>
        <v>-262.90036402742538</v>
      </c>
      <c r="M16" s="18">
        <f t="shared" si="5"/>
        <v>0.21548456720959427</v>
      </c>
      <c r="N16" s="18">
        <f t="shared" si="6"/>
        <v>0.25454463803750416</v>
      </c>
      <c r="O16" s="18">
        <f t="shared" si="7"/>
        <v>48.980170504481791</v>
      </c>
      <c r="P16" s="18">
        <f t="shared" si="8"/>
        <v>3423.2858117331948</v>
      </c>
      <c r="Q16" s="18">
        <f t="shared" si="9"/>
        <v>3454.28021461957</v>
      </c>
    </row>
    <row r="17" spans="1:17" ht="21" customHeight="1">
      <c r="A17" s="1" t="s">
        <v>325</v>
      </c>
      <c r="B17" s="1" t="s">
        <v>323</v>
      </c>
      <c r="C17" s="18">
        <v>47.146596569210445</v>
      </c>
      <c r="D17" s="18">
        <v>13.265247224741325</v>
      </c>
      <c r="E17" s="18">
        <v>3507.7708156920535</v>
      </c>
      <c r="F17" s="18">
        <v>1.32389775</v>
      </c>
      <c r="G17" s="18">
        <v>0</v>
      </c>
      <c r="H17" s="18">
        <f t="shared" si="0"/>
        <v>1.32389775</v>
      </c>
      <c r="I17" s="18">
        <f t="shared" si="1"/>
        <v>13.265247224741326</v>
      </c>
      <c r="J17" s="18">
        <f t="shared" si="2"/>
        <v>47.146596569210445</v>
      </c>
      <c r="K17" s="18">
        <f t="shared" si="3"/>
        <v>2649.5783497570364</v>
      </c>
      <c r="L17" s="18">
        <f t="shared" si="4"/>
        <v>-712.40582363201725</v>
      </c>
      <c r="M17" s="18">
        <f t="shared" si="5"/>
        <v>0.26887516789127752</v>
      </c>
      <c r="N17" s="18">
        <f t="shared" si="6"/>
        <v>0.28666916766997202</v>
      </c>
      <c r="O17" s="18">
        <f t="shared" si="7"/>
        <v>48.977821536104237</v>
      </c>
      <c r="P17" s="18">
        <f t="shared" si="8"/>
        <v>3635.3316736016377</v>
      </c>
      <c r="Q17" s="18">
        <f t="shared" si="9"/>
        <v>3652.8935045556664</v>
      </c>
    </row>
    <row r="18" spans="1:17" ht="21" customHeight="1">
      <c r="A18" s="1" t="s">
        <v>325</v>
      </c>
      <c r="B18" s="1" t="s">
        <v>324</v>
      </c>
      <c r="C18" s="18">
        <v>47.146596569210445</v>
      </c>
      <c r="D18" s="18">
        <v>13.265247224741325</v>
      </c>
      <c r="E18" s="18">
        <v>364.60413986825586</v>
      </c>
      <c r="F18" s="18">
        <v>1.32389775</v>
      </c>
      <c r="G18" s="18">
        <v>0</v>
      </c>
      <c r="H18" s="18">
        <f t="shared" si="0"/>
        <v>1.32389775</v>
      </c>
      <c r="I18" s="18">
        <f t="shared" si="1"/>
        <v>13.265247224741326</v>
      </c>
      <c r="J18" s="18">
        <f t="shared" si="2"/>
        <v>47.146596569210445</v>
      </c>
      <c r="K18" s="18">
        <f t="shared" si="3"/>
        <v>275.40203906854276</v>
      </c>
      <c r="L18" s="18">
        <f t="shared" si="4"/>
        <v>-52.835696607987735</v>
      </c>
      <c r="M18" s="18">
        <f t="shared" si="5"/>
        <v>0.19184932975328425</v>
      </c>
      <c r="N18" s="18">
        <f t="shared" si="6"/>
        <v>0.36304122335243255</v>
      </c>
      <c r="O18" s="18">
        <f t="shared" si="7"/>
        <v>49.032664957712804</v>
      </c>
      <c r="P18" s="18">
        <f t="shared" si="8"/>
        <v>371.33458555006843</v>
      </c>
      <c r="Q18" s="18">
        <f t="shared" si="9"/>
        <v>388.89641650409732</v>
      </c>
    </row>
    <row r="19" spans="1:17" ht="21" customHeight="1">
      <c r="A19" s="1" t="s">
        <v>326</v>
      </c>
      <c r="B19" s="1" t="s">
        <v>319</v>
      </c>
      <c r="C19" s="18">
        <v>75.564648924193847</v>
      </c>
      <c r="D19" s="18">
        <v>1.3907940794160467E-2</v>
      </c>
      <c r="E19" s="18">
        <v>2205.0000000002328</v>
      </c>
      <c r="F19" s="18">
        <v>1.32389775</v>
      </c>
      <c r="G19" s="18">
        <v>0</v>
      </c>
      <c r="H19" s="18">
        <f t="shared" si="0"/>
        <v>1.32389775</v>
      </c>
      <c r="I19" s="18">
        <f t="shared" si="1"/>
        <v>1.3907940794160465E-2</v>
      </c>
      <c r="J19" s="18">
        <f t="shared" si="2"/>
        <v>75.564648924193847</v>
      </c>
      <c r="K19" s="18">
        <f t="shared" si="3"/>
        <v>1665.5364811974587</v>
      </c>
      <c r="L19" s="18">
        <f t="shared" si="4"/>
        <v>37.475802875906716</v>
      </c>
      <c r="M19" s="18">
        <f t="shared" si="5"/>
        <v>-2.2500739730998271E-2</v>
      </c>
      <c r="N19" s="18">
        <f t="shared" si="6"/>
        <v>2.2868815230575237E-2</v>
      </c>
      <c r="O19" s="18">
        <f t="shared" si="7"/>
        <v>75.571131287833694</v>
      </c>
      <c r="P19" s="18">
        <f t="shared" si="8"/>
        <v>2205.558200875792</v>
      </c>
      <c r="Q19" s="18">
        <f t="shared" si="9"/>
        <v>2205.5766135673171</v>
      </c>
    </row>
    <row r="20" spans="1:17" ht="21" customHeight="1">
      <c r="A20" s="1" t="s">
        <v>326</v>
      </c>
      <c r="B20" s="1" t="s">
        <v>320</v>
      </c>
      <c r="C20" s="18">
        <v>75.564648924193847</v>
      </c>
      <c r="D20" s="18">
        <v>1.3907940794160467E-2</v>
      </c>
      <c r="E20" s="18">
        <v>3470.871337797721</v>
      </c>
      <c r="F20" s="18">
        <v>1.32389775</v>
      </c>
      <c r="G20" s="18">
        <v>3.4438949999999999</v>
      </c>
      <c r="H20" s="18">
        <f t="shared" si="0"/>
        <v>3.6895959160157443</v>
      </c>
      <c r="I20" s="18">
        <f t="shared" si="1"/>
        <v>4.9904357939569233E-3</v>
      </c>
      <c r="J20" s="18">
        <f t="shared" si="2"/>
        <v>75.564650039307651</v>
      </c>
      <c r="K20" s="18">
        <f t="shared" si="3"/>
        <v>940.71855476948383</v>
      </c>
      <c r="L20" s="18">
        <f t="shared" si="4"/>
        <v>37.720214844497569</v>
      </c>
      <c r="M20" s="18">
        <f t="shared" si="5"/>
        <v>-4.0097237003835468E-2</v>
      </c>
      <c r="N20" s="18">
        <f t="shared" si="6"/>
        <v>4.0229285372269052E-2</v>
      </c>
      <c r="O20" s="18">
        <f t="shared" si="7"/>
        <v>75.584967241998285</v>
      </c>
      <c r="P20" s="18">
        <f t="shared" si="8"/>
        <v>3473.6619250211766</v>
      </c>
      <c r="Q20" s="18">
        <f t="shared" si="9"/>
        <v>3473.6803377127012</v>
      </c>
    </row>
    <row r="21" spans="1:17" ht="21" customHeight="1">
      <c r="A21" s="1" t="s">
        <v>326</v>
      </c>
      <c r="B21" s="1" t="s">
        <v>321</v>
      </c>
      <c r="C21" s="18">
        <v>75.564648924193847</v>
      </c>
      <c r="D21" s="18">
        <v>1.3907940794160467E-2</v>
      </c>
      <c r="E21" s="18">
        <v>3764.3833313114365</v>
      </c>
      <c r="F21" s="18">
        <v>3.8554321618301355</v>
      </c>
      <c r="G21" s="18">
        <v>0</v>
      </c>
      <c r="H21" s="18">
        <f t="shared" si="0"/>
        <v>3.8554321618301355</v>
      </c>
      <c r="I21" s="18">
        <f t="shared" si="1"/>
        <v>1.3907940794160467E-2</v>
      </c>
      <c r="J21" s="18">
        <f t="shared" si="2"/>
        <v>75.564648924193847</v>
      </c>
      <c r="K21" s="18">
        <f t="shared" si="3"/>
        <v>976.38427374754303</v>
      </c>
      <c r="L21" s="18">
        <f t="shared" si="4"/>
        <v>37.602662326337786</v>
      </c>
      <c r="M21" s="18">
        <f t="shared" si="5"/>
        <v>-3.8512154832248402E-2</v>
      </c>
      <c r="N21" s="18">
        <f t="shared" si="6"/>
        <v>3.8880170050415656E-2</v>
      </c>
      <c r="O21" s="18">
        <f t="shared" si="7"/>
        <v>75.583509944980165</v>
      </c>
      <c r="P21" s="18">
        <f t="shared" si="8"/>
        <v>3767.1753168312539</v>
      </c>
      <c r="Q21" s="18">
        <f t="shared" si="9"/>
        <v>3767.2289379534964</v>
      </c>
    </row>
    <row r="22" spans="1:17" ht="21" customHeight="1">
      <c r="A22" s="1" t="s">
        <v>326</v>
      </c>
      <c r="B22" s="1" t="s">
        <v>322</v>
      </c>
      <c r="C22" s="18">
        <v>75.564648924193847</v>
      </c>
      <c r="D22" s="18">
        <v>1.3907940794160467E-2</v>
      </c>
      <c r="E22" s="18">
        <v>3458.288174756437</v>
      </c>
      <c r="F22" s="18">
        <v>2.3365115147320541</v>
      </c>
      <c r="G22" s="18">
        <v>1.4349562500000002</v>
      </c>
      <c r="H22" s="18">
        <f t="shared" si="0"/>
        <v>2.7419674501878282</v>
      </c>
      <c r="I22" s="18">
        <f t="shared" si="1"/>
        <v>1.1851367458625953E-2</v>
      </c>
      <c r="J22" s="18">
        <f t="shared" si="2"/>
        <v>75.564649274727515</v>
      </c>
      <c r="K22" s="18">
        <f t="shared" si="3"/>
        <v>1261.2433362473139</v>
      </c>
      <c r="L22" s="18">
        <f t="shared" si="4"/>
        <v>37.584544022476756</v>
      </c>
      <c r="M22" s="18">
        <f t="shared" si="5"/>
        <v>-2.9799597700397206E-2</v>
      </c>
      <c r="N22" s="18">
        <f t="shared" si="6"/>
        <v>3.0113225704134338E-2</v>
      </c>
      <c r="O22" s="18">
        <f t="shared" si="7"/>
        <v>75.575952495046948</v>
      </c>
      <c r="P22" s="18">
        <f t="shared" si="8"/>
        <v>3459.8237960452675</v>
      </c>
      <c r="Q22" s="18">
        <f t="shared" si="9"/>
        <v>3459.8562921090793</v>
      </c>
    </row>
    <row r="23" spans="1:17" ht="21" customHeight="1">
      <c r="A23" s="1" t="s">
        <v>326</v>
      </c>
      <c r="B23" s="1" t="s">
        <v>323</v>
      </c>
      <c r="C23" s="18">
        <v>75.564648924193847</v>
      </c>
      <c r="D23" s="18">
        <v>1.3907940794160467E-2</v>
      </c>
      <c r="E23" s="18">
        <v>3459.6808867814125</v>
      </c>
      <c r="F23" s="18">
        <v>1.32389775</v>
      </c>
      <c r="G23" s="18">
        <v>0</v>
      </c>
      <c r="H23" s="18">
        <f t="shared" si="0"/>
        <v>1.32389775</v>
      </c>
      <c r="I23" s="18">
        <f t="shared" si="1"/>
        <v>1.3907940794160465E-2</v>
      </c>
      <c r="J23" s="18">
        <f t="shared" si="2"/>
        <v>75.564648924193847</v>
      </c>
      <c r="K23" s="18">
        <f t="shared" si="3"/>
        <v>2613.25384591175</v>
      </c>
      <c r="L23" s="18">
        <f t="shared" si="4"/>
        <v>37.301362611581858</v>
      </c>
      <c r="M23" s="18">
        <f t="shared" si="5"/>
        <v>-1.4273914748059087E-2</v>
      </c>
      <c r="N23" s="18">
        <f t="shared" si="6"/>
        <v>1.4642008992915932E-2</v>
      </c>
      <c r="O23" s="18">
        <f t="shared" si="7"/>
        <v>75.567282811512982</v>
      </c>
      <c r="P23" s="18">
        <f t="shared" si="8"/>
        <v>3460.0333384877922</v>
      </c>
      <c r="Q23" s="18">
        <f t="shared" si="9"/>
        <v>3460.0517511793173</v>
      </c>
    </row>
    <row r="24" spans="1:17" ht="21" customHeight="1">
      <c r="A24" s="1" t="s">
        <v>326</v>
      </c>
      <c r="B24" s="1" t="s">
        <v>324</v>
      </c>
      <c r="C24" s="18">
        <v>75.564648924193847</v>
      </c>
      <c r="D24" s="18">
        <v>1.3907940794160467E-2</v>
      </c>
      <c r="E24" s="18">
        <v>571.38686781704928</v>
      </c>
      <c r="F24" s="18">
        <v>1.32389775</v>
      </c>
      <c r="G24" s="18">
        <v>0</v>
      </c>
      <c r="H24" s="18">
        <f t="shared" si="0"/>
        <v>1.32389775</v>
      </c>
      <c r="I24" s="18">
        <f t="shared" si="1"/>
        <v>1.3907940794160465E-2</v>
      </c>
      <c r="J24" s="18">
        <f t="shared" si="2"/>
        <v>75.564648924193847</v>
      </c>
      <c r="K24" s="18">
        <f t="shared" si="3"/>
        <v>431.59440962646039</v>
      </c>
      <c r="L24" s="18">
        <f t="shared" si="4"/>
        <v>37.702989354810576</v>
      </c>
      <c r="M24" s="18">
        <f t="shared" si="5"/>
        <v>-8.7357455318853749E-2</v>
      </c>
      <c r="N24" s="18">
        <f t="shared" si="6"/>
        <v>8.7725092644624539E-2</v>
      </c>
      <c r="O24" s="18">
        <f t="shared" si="7"/>
        <v>75.661201819664569</v>
      </c>
      <c r="P24" s="18">
        <f t="shared" si="8"/>
        <v>573.56847411118099</v>
      </c>
      <c r="Q24" s="18">
        <f t="shared" si="9"/>
        <v>573.58688680270552</v>
      </c>
    </row>
    <row r="25" spans="1:17" ht="21" customHeight="1">
      <c r="A25" s="1" t="s">
        <v>327</v>
      </c>
      <c r="B25" s="1" t="s">
        <v>319</v>
      </c>
      <c r="C25" s="18">
        <v>75.564648924147463</v>
      </c>
      <c r="D25" s="18">
        <v>-0.98642691536852034</v>
      </c>
      <c r="E25" s="18">
        <v>2204.9999999997763</v>
      </c>
      <c r="F25" s="18">
        <v>1.32389775</v>
      </c>
      <c r="G25" s="18">
        <v>0</v>
      </c>
      <c r="H25" s="18">
        <f t="shared" si="0"/>
        <v>1.32389775</v>
      </c>
      <c r="I25" s="18">
        <f t="shared" si="1"/>
        <v>-0.98642691536852034</v>
      </c>
      <c r="J25" s="18">
        <f t="shared" si="2"/>
        <v>75.564648924147463</v>
      </c>
      <c r="K25" s="18">
        <f t="shared" si="3"/>
        <v>1665.5364811971137</v>
      </c>
      <c r="L25" s="18">
        <f t="shared" si="4"/>
        <v>59.521887749196139</v>
      </c>
      <c r="M25" s="18">
        <f t="shared" si="5"/>
        <v>-3.5737366560962054E-2</v>
      </c>
      <c r="N25" s="18">
        <f t="shared" si="6"/>
        <v>9.6321884005930013E-3</v>
      </c>
      <c r="O25" s="18">
        <f t="shared" si="7"/>
        <v>75.577567629188309</v>
      </c>
      <c r="P25" s="18">
        <f t="shared" si="8"/>
        <v>2206.4082180707865</v>
      </c>
      <c r="Q25" s="18">
        <f t="shared" si="9"/>
        <v>2205.1022896969907</v>
      </c>
    </row>
    <row r="26" spans="1:17" ht="21" customHeight="1">
      <c r="A26" s="1" t="s">
        <v>327</v>
      </c>
      <c r="B26" s="1" t="s">
        <v>320</v>
      </c>
      <c r="C26" s="18">
        <v>75.564648924147463</v>
      </c>
      <c r="D26" s="18">
        <v>-0.98642691536852034</v>
      </c>
      <c r="E26" s="18">
        <v>3471.0738346623903</v>
      </c>
      <c r="F26" s="18">
        <v>1.32389775</v>
      </c>
      <c r="G26" s="18">
        <v>3.4438949999999999</v>
      </c>
      <c r="H26" s="18">
        <f t="shared" si="0"/>
        <v>3.6895959160157443</v>
      </c>
      <c r="I26" s="18">
        <f t="shared" si="1"/>
        <v>-0.35394888858345425</v>
      </c>
      <c r="J26" s="18">
        <f t="shared" si="2"/>
        <v>75.570258205680986</v>
      </c>
      <c r="K26" s="18">
        <f t="shared" si="3"/>
        <v>940.77343797872379</v>
      </c>
      <c r="L26" s="18">
        <f t="shared" si="4"/>
        <v>42.190234969986356</v>
      </c>
      <c r="M26" s="18">
        <f t="shared" si="5"/>
        <v>-4.4846328846861551E-2</v>
      </c>
      <c r="N26" s="18">
        <f t="shared" si="6"/>
        <v>3.5481468638626189E-2</v>
      </c>
      <c r="O26" s="18">
        <f t="shared" si="7"/>
        <v>75.591406065577431</v>
      </c>
      <c r="P26" s="18">
        <f t="shared" si="8"/>
        <v>3474.5649197730945</v>
      </c>
      <c r="Q26" s="18">
        <f t="shared" si="9"/>
        <v>3473.2589913992979</v>
      </c>
    </row>
    <row r="27" spans="1:17" ht="21" customHeight="1">
      <c r="A27" s="1" t="s">
        <v>327</v>
      </c>
      <c r="B27" s="1" t="s">
        <v>321</v>
      </c>
      <c r="C27" s="18">
        <v>75.564648924147463</v>
      </c>
      <c r="D27" s="18">
        <v>-0.98642691536852034</v>
      </c>
      <c r="E27" s="18">
        <v>3764.2278639929773</v>
      </c>
      <c r="F27" s="18">
        <v>3.8554321618301355</v>
      </c>
      <c r="G27" s="18">
        <v>0</v>
      </c>
      <c r="H27" s="18">
        <f t="shared" si="0"/>
        <v>3.8554321618301355</v>
      </c>
      <c r="I27" s="18">
        <f t="shared" si="1"/>
        <v>-0.98642691536852034</v>
      </c>
      <c r="J27" s="18">
        <f t="shared" si="2"/>
        <v>75.564648924147463</v>
      </c>
      <c r="K27" s="18">
        <f t="shared" si="3"/>
        <v>976.34394952137757</v>
      </c>
      <c r="L27" s="18">
        <f t="shared" si="4"/>
        <v>50.524053578789882</v>
      </c>
      <c r="M27" s="18">
        <f t="shared" si="5"/>
        <v>-5.1748211891473016E-2</v>
      </c>
      <c r="N27" s="18">
        <f t="shared" si="6"/>
        <v>2.5647309390950758E-2</v>
      </c>
      <c r="O27" s="18">
        <f t="shared" si="7"/>
        <v>75.589946790193366</v>
      </c>
      <c r="P27" s="18">
        <f t="shared" si="8"/>
        <v>3769.2690592442605</v>
      </c>
      <c r="Q27" s="18">
        <f t="shared" si="9"/>
        <v>3765.465957189454</v>
      </c>
    </row>
    <row r="28" spans="1:17" ht="21" customHeight="1">
      <c r="A28" s="1" t="s">
        <v>327</v>
      </c>
      <c r="B28" s="1" t="s">
        <v>322</v>
      </c>
      <c r="C28" s="18">
        <v>75.564648924147463</v>
      </c>
      <c r="D28" s="18">
        <v>-0.98642691536852034</v>
      </c>
      <c r="E28" s="18">
        <v>3458.2749345977081</v>
      </c>
      <c r="F28" s="18">
        <v>2.3365115147320541</v>
      </c>
      <c r="G28" s="18">
        <v>1.4349562500000002</v>
      </c>
      <c r="H28" s="18">
        <f t="shared" si="0"/>
        <v>2.7419674501878282</v>
      </c>
      <c r="I28" s="18">
        <f t="shared" si="1"/>
        <v>-0.84056353259856809</v>
      </c>
      <c r="J28" s="18">
        <f t="shared" si="2"/>
        <v>75.566412234779875</v>
      </c>
      <c r="K28" s="18">
        <f t="shared" si="3"/>
        <v>1261.2385075398367</v>
      </c>
      <c r="L28" s="18">
        <f t="shared" si="4"/>
        <v>51.810214408567077</v>
      </c>
      <c r="M28" s="18">
        <f t="shared" si="5"/>
        <v>-4.1078839647568109E-2</v>
      </c>
      <c r="N28" s="18">
        <f t="shared" si="6"/>
        <v>1.8835610936547977E-2</v>
      </c>
      <c r="O28" s="18">
        <f t="shared" si="7"/>
        <v>75.582389567074344</v>
      </c>
      <c r="P28" s="18">
        <f t="shared" si="8"/>
        <v>3461.1932143857148</v>
      </c>
      <c r="Q28" s="18">
        <f t="shared" si="9"/>
        <v>3458.8884165395148</v>
      </c>
    </row>
    <row r="29" spans="1:17" ht="21" customHeight="1">
      <c r="A29" s="1" t="s">
        <v>327</v>
      </c>
      <c r="B29" s="1" t="s">
        <v>323</v>
      </c>
      <c r="C29" s="18">
        <v>75.564648924147463</v>
      </c>
      <c r="D29" s="18">
        <v>-0.98642691536852034</v>
      </c>
      <c r="E29" s="18">
        <v>3459.6052146280326</v>
      </c>
      <c r="F29" s="18">
        <v>1.32389775</v>
      </c>
      <c r="G29" s="18">
        <v>0</v>
      </c>
      <c r="H29" s="18">
        <f t="shared" si="0"/>
        <v>1.32389775</v>
      </c>
      <c r="I29" s="18">
        <f t="shared" si="1"/>
        <v>-0.98642691536852034</v>
      </c>
      <c r="J29" s="18">
        <f t="shared" si="2"/>
        <v>75.564648924147463</v>
      </c>
      <c r="K29" s="18">
        <f t="shared" si="3"/>
        <v>2613.1966873031038</v>
      </c>
      <c r="L29" s="18">
        <f t="shared" si="4"/>
        <v>71.893043952392432</v>
      </c>
      <c r="M29" s="18">
        <f t="shared" si="5"/>
        <v>-2.7511531872707284E-2</v>
      </c>
      <c r="N29" s="18">
        <f t="shared" si="6"/>
        <v>1.4050243479928161E-3</v>
      </c>
      <c r="O29" s="18">
        <f t="shared" si="7"/>
        <v>75.573719595787466</v>
      </c>
      <c r="P29" s="18">
        <f t="shared" si="8"/>
        <v>3460.9145577943323</v>
      </c>
      <c r="Q29" s="18">
        <f t="shared" si="9"/>
        <v>3459.6086294205365</v>
      </c>
    </row>
    <row r="30" spans="1:17" ht="21" customHeight="1">
      <c r="A30" s="1" t="s">
        <v>327</v>
      </c>
      <c r="B30" s="1" t="s">
        <v>324</v>
      </c>
      <c r="C30" s="18">
        <v>75.564648924147463</v>
      </c>
      <c r="D30" s="18">
        <v>-0.98642691536852034</v>
      </c>
      <c r="E30" s="18">
        <v>571.35405424152782</v>
      </c>
      <c r="F30" s="18">
        <v>1.32389775</v>
      </c>
      <c r="G30" s="18">
        <v>0</v>
      </c>
      <c r="H30" s="18">
        <f t="shared" si="0"/>
        <v>1.32389775</v>
      </c>
      <c r="I30" s="18">
        <f t="shared" si="1"/>
        <v>-0.98642691536852034</v>
      </c>
      <c r="J30" s="18">
        <f t="shared" si="2"/>
        <v>75.564648924147463</v>
      </c>
      <c r="K30" s="18">
        <f t="shared" si="3"/>
        <v>431.56962404500484</v>
      </c>
      <c r="L30" s="18">
        <f t="shared" si="4"/>
        <v>43.408719079838754</v>
      </c>
      <c r="M30" s="18">
        <f t="shared" si="5"/>
        <v>-0.10058335124001223</v>
      </c>
      <c r="N30" s="18">
        <f t="shared" si="6"/>
        <v>7.450925193232652E-2</v>
      </c>
      <c r="O30" s="18">
        <f t="shared" si="7"/>
        <v>75.667641593342267</v>
      </c>
      <c r="P30" s="18">
        <f t="shared" si="8"/>
        <v>574.24668923960883</v>
      </c>
      <c r="Q30" s="18">
        <f t="shared" si="9"/>
        <v>572.94076086581288</v>
      </c>
    </row>
    <row r="31" spans="1:17" ht="21" customHeight="1">
      <c r="A31" s="1" t="s">
        <v>328</v>
      </c>
      <c r="B31" s="1" t="s">
        <v>319</v>
      </c>
      <c r="C31" s="18">
        <v>71.024548498671805</v>
      </c>
      <c r="D31" s="18">
        <v>7.3940342777365</v>
      </c>
      <c r="E31" s="18">
        <v>2205.0000000001201</v>
      </c>
      <c r="F31" s="18">
        <v>1.32389775</v>
      </c>
      <c r="G31" s="18">
        <v>0</v>
      </c>
      <c r="H31" s="18">
        <f t="shared" si="0"/>
        <v>1.32389775</v>
      </c>
      <c r="I31" s="18">
        <f t="shared" si="1"/>
        <v>7.3940342777365</v>
      </c>
      <c r="J31" s="18">
        <f t="shared" si="2"/>
        <v>71.024548498671805</v>
      </c>
      <c r="K31" s="18">
        <f t="shared" si="3"/>
        <v>1665.5364811973734</v>
      </c>
      <c r="L31" s="18">
        <f t="shared" si="4"/>
        <v>-137.55420697649015</v>
      </c>
      <c r="M31" s="18">
        <f t="shared" si="5"/>
        <v>8.2588528398730029E-2</v>
      </c>
      <c r="N31" s="18">
        <f t="shared" si="6"/>
        <v>0.12523217463553382</v>
      </c>
      <c r="O31" s="18">
        <f t="shared" si="7"/>
        <v>71.413743217950014</v>
      </c>
      <c r="P31" s="18">
        <f t="shared" si="8"/>
        <v>2212.5242790708544</v>
      </c>
      <c r="Q31" s="18">
        <f t="shared" si="9"/>
        <v>2222.3132244145727</v>
      </c>
    </row>
    <row r="32" spans="1:17" ht="21" customHeight="1">
      <c r="A32" s="1" t="s">
        <v>328</v>
      </c>
      <c r="B32" s="1" t="s">
        <v>320</v>
      </c>
      <c r="C32" s="18">
        <v>71.024548498671805</v>
      </c>
      <c r="D32" s="18">
        <v>7.3940342777365</v>
      </c>
      <c r="E32" s="18">
        <v>3437.6683969694814</v>
      </c>
      <c r="F32" s="18">
        <v>1.32389775</v>
      </c>
      <c r="G32" s="18">
        <v>3.4438949999999999</v>
      </c>
      <c r="H32" s="18">
        <f t="shared" si="0"/>
        <v>3.6895959160157443</v>
      </c>
      <c r="I32" s="18">
        <f t="shared" si="1"/>
        <v>2.6531212540718934</v>
      </c>
      <c r="J32" s="18">
        <f t="shared" si="2"/>
        <v>71.359086176545986</v>
      </c>
      <c r="K32" s="18">
        <f t="shared" si="3"/>
        <v>931.71948235504613</v>
      </c>
      <c r="L32" s="18">
        <f t="shared" si="4"/>
        <v>1.0547730542737028</v>
      </c>
      <c r="M32" s="18">
        <f t="shared" si="5"/>
        <v>-1.13207148100802E-3</v>
      </c>
      <c r="N32" s="18">
        <f t="shared" si="6"/>
        <v>7.5456523614348694E-2</v>
      </c>
      <c r="O32" s="18">
        <f t="shared" si="7"/>
        <v>71.425820522265226</v>
      </c>
      <c r="P32" s="18">
        <f t="shared" si="8"/>
        <v>3437.6705998032835</v>
      </c>
      <c r="Q32" s="18">
        <f t="shared" si="9"/>
        <v>3447.4595451470013</v>
      </c>
    </row>
    <row r="33" spans="1:17" ht="21" customHeight="1">
      <c r="A33" s="1" t="s">
        <v>328</v>
      </c>
      <c r="B33" s="1" t="s">
        <v>321</v>
      </c>
      <c r="C33" s="18">
        <v>71.024548498671805</v>
      </c>
      <c r="D33" s="18">
        <v>7.3940342777365</v>
      </c>
      <c r="E33" s="18">
        <v>3712.0232567901994</v>
      </c>
      <c r="F33" s="18">
        <v>3.8554321618301355</v>
      </c>
      <c r="G33" s="18">
        <v>0</v>
      </c>
      <c r="H33" s="18">
        <f t="shared" si="0"/>
        <v>3.8554321618301355</v>
      </c>
      <c r="I33" s="18">
        <f t="shared" si="1"/>
        <v>7.3940342777365</v>
      </c>
      <c r="J33" s="18">
        <f t="shared" si="2"/>
        <v>71.024548498671805</v>
      </c>
      <c r="K33" s="18">
        <f t="shared" si="3"/>
        <v>962.80341631744307</v>
      </c>
      <c r="L33" s="18">
        <f t="shared" si="4"/>
        <v>-64.517919393761048</v>
      </c>
      <c r="M33" s="18">
        <f t="shared" si="5"/>
        <v>6.7010480333078742E-2</v>
      </c>
      <c r="N33" s="18">
        <f t="shared" si="6"/>
        <v>0.1407789644233497</v>
      </c>
      <c r="O33" s="18">
        <f t="shared" si="7"/>
        <v>71.424409226537819</v>
      </c>
      <c r="P33" s="18">
        <f t="shared" si="8"/>
        <v>3720.3606188546632</v>
      </c>
      <c r="Q33" s="18">
        <f t="shared" si="9"/>
        <v>3748.8678164147227</v>
      </c>
    </row>
    <row r="34" spans="1:17" ht="21" customHeight="1">
      <c r="A34" s="1" t="s">
        <v>328</v>
      </c>
      <c r="B34" s="1" t="s">
        <v>322</v>
      </c>
      <c r="C34" s="18">
        <v>71.024548498671805</v>
      </c>
      <c r="D34" s="18">
        <v>7.3940342777365</v>
      </c>
      <c r="E34" s="18">
        <v>3439.0298416017795</v>
      </c>
      <c r="F34" s="18">
        <v>2.3365115147320541</v>
      </c>
      <c r="G34" s="18">
        <v>1.4349562500000002</v>
      </c>
      <c r="H34" s="18">
        <f t="shared" si="0"/>
        <v>2.7419674501878282</v>
      </c>
      <c r="I34" s="18">
        <f t="shared" si="1"/>
        <v>6.300675169966512</v>
      </c>
      <c r="J34" s="18">
        <f t="shared" si="2"/>
        <v>71.129879268441698</v>
      </c>
      <c r="K34" s="18">
        <f t="shared" si="3"/>
        <v>1254.2197907441248</v>
      </c>
      <c r="L34" s="18">
        <f t="shared" si="4"/>
        <v>-75.374075503059018</v>
      </c>
      <c r="M34" s="18">
        <f t="shared" si="5"/>
        <v>6.0096385066878755E-2</v>
      </c>
      <c r="N34" s="18">
        <f t="shared" si="6"/>
        <v>0.11680883673871896</v>
      </c>
      <c r="O34" s="18">
        <f t="shared" si="7"/>
        <v>71.417885997430929</v>
      </c>
      <c r="P34" s="18">
        <f t="shared" si="8"/>
        <v>3445.2418688212524</v>
      </c>
      <c r="Q34" s="18">
        <f t="shared" si="9"/>
        <v>3462.5181150515077</v>
      </c>
    </row>
    <row r="35" spans="1:17" ht="21" customHeight="1">
      <c r="A35" s="1" t="s">
        <v>328</v>
      </c>
      <c r="B35" s="1" t="s">
        <v>323</v>
      </c>
      <c r="C35" s="18">
        <v>71.024548498671805</v>
      </c>
      <c r="D35" s="18">
        <v>7.3940342777365</v>
      </c>
      <c r="E35" s="18">
        <v>3471.8443416775144</v>
      </c>
      <c r="F35" s="18">
        <v>1.32389775</v>
      </c>
      <c r="G35" s="18">
        <v>0</v>
      </c>
      <c r="H35" s="18">
        <f t="shared" si="0"/>
        <v>1.32389775</v>
      </c>
      <c r="I35" s="18">
        <f t="shared" si="1"/>
        <v>7.3940342777365</v>
      </c>
      <c r="J35" s="18">
        <f t="shared" si="2"/>
        <v>71.024548498671805</v>
      </c>
      <c r="K35" s="18">
        <f t="shared" si="3"/>
        <v>2622.4414549216617</v>
      </c>
      <c r="L35" s="18">
        <f t="shared" si="4"/>
        <v>-236.9988139275689</v>
      </c>
      <c r="M35" s="18">
        <f t="shared" si="5"/>
        <v>9.0373347890295844E-2</v>
      </c>
      <c r="N35" s="18">
        <f t="shared" si="6"/>
        <v>0.11745671646860162</v>
      </c>
      <c r="O35" s="18">
        <f t="shared" si="7"/>
        <v>71.410549555638426</v>
      </c>
      <c r="P35" s="18">
        <f t="shared" si="8"/>
        <v>3486.0318640011815</v>
      </c>
      <c r="Q35" s="18">
        <f t="shared" si="9"/>
        <v>3495.8208093449007</v>
      </c>
    </row>
    <row r="36" spans="1:17" ht="21" customHeight="1">
      <c r="A36" s="1" t="s">
        <v>328</v>
      </c>
      <c r="B36" s="1" t="s">
        <v>324</v>
      </c>
      <c r="C36" s="18">
        <v>71.024548498671805</v>
      </c>
      <c r="D36" s="18">
        <v>7.3940342777365</v>
      </c>
      <c r="E36" s="18">
        <v>539.30963274416422</v>
      </c>
      <c r="F36" s="18">
        <v>1.32389775</v>
      </c>
      <c r="G36" s="18">
        <v>0</v>
      </c>
      <c r="H36" s="18">
        <f t="shared" si="0"/>
        <v>1.32389775</v>
      </c>
      <c r="I36" s="18">
        <f t="shared" si="1"/>
        <v>7.3940342777365</v>
      </c>
      <c r="J36" s="18">
        <f t="shared" si="2"/>
        <v>71.024548498671805</v>
      </c>
      <c r="K36" s="18">
        <f t="shared" si="3"/>
        <v>407.36501949955289</v>
      </c>
      <c r="L36" s="18">
        <f t="shared" si="4"/>
        <v>-6.7669847818145428</v>
      </c>
      <c r="M36" s="18">
        <f t="shared" si="5"/>
        <v>1.6611600058659356E-2</v>
      </c>
      <c r="N36" s="18">
        <f t="shared" si="6"/>
        <v>0.19096272275919296</v>
      </c>
      <c r="O36" s="18">
        <f t="shared" si="7"/>
        <v>71.497900981147339</v>
      </c>
      <c r="P36" s="18">
        <f t="shared" si="8"/>
        <v>539.38404442274248</v>
      </c>
      <c r="Q36" s="18">
        <f t="shared" si="9"/>
        <v>549.17298976646055</v>
      </c>
    </row>
    <row r="37" spans="1:17" ht="21" customHeight="1">
      <c r="A37" s="1" t="s">
        <v>329</v>
      </c>
      <c r="B37" s="1" t="s">
        <v>319</v>
      </c>
      <c r="C37" s="18">
        <v>71.024548500087661</v>
      </c>
      <c r="D37" s="18">
        <v>2.5916616177471941</v>
      </c>
      <c r="E37" s="18">
        <v>2204.9999999995134</v>
      </c>
      <c r="F37" s="18">
        <v>1.32389775</v>
      </c>
      <c r="G37" s="18">
        <v>0</v>
      </c>
      <c r="H37" s="18">
        <f t="shared" si="0"/>
        <v>1.32389775</v>
      </c>
      <c r="I37" s="18">
        <f t="shared" si="1"/>
        <v>2.5916616177471941</v>
      </c>
      <c r="J37" s="18">
        <f t="shared" si="2"/>
        <v>71.024548500087661</v>
      </c>
      <c r="K37" s="18">
        <f t="shared" si="3"/>
        <v>1665.5364811969152</v>
      </c>
      <c r="L37" s="18">
        <f t="shared" si="4"/>
        <v>-25.244505025080109</v>
      </c>
      <c r="M37" s="18">
        <f t="shared" si="5"/>
        <v>1.5156981134954478E-2</v>
      </c>
      <c r="N37" s="18">
        <f t="shared" si="6"/>
        <v>5.7800627372620095E-2</v>
      </c>
      <c r="O37" s="18">
        <f t="shared" si="7"/>
        <v>71.077195271345957</v>
      </c>
      <c r="P37" s="18">
        <f t="shared" si="8"/>
        <v>2205.2532866685365</v>
      </c>
      <c r="Q37" s="18">
        <f t="shared" si="9"/>
        <v>2208.6843816530336</v>
      </c>
    </row>
    <row r="38" spans="1:17" ht="21" customHeight="1">
      <c r="A38" s="1" t="s">
        <v>329</v>
      </c>
      <c r="B38" s="1" t="s">
        <v>320</v>
      </c>
      <c r="C38" s="18">
        <v>71.024548500087661</v>
      </c>
      <c r="D38" s="18">
        <v>2.5916616177471941</v>
      </c>
      <c r="E38" s="18">
        <v>3426.6655926085841</v>
      </c>
      <c r="F38" s="18">
        <v>1.32389775</v>
      </c>
      <c r="G38" s="18">
        <v>3.4438949999999999</v>
      </c>
      <c r="H38" s="18">
        <f t="shared" si="0"/>
        <v>3.6895959160157443</v>
      </c>
      <c r="I38" s="18">
        <f t="shared" si="1"/>
        <v>0.9299378746608058</v>
      </c>
      <c r="J38" s="18">
        <f t="shared" si="2"/>
        <v>71.065733058426133</v>
      </c>
      <c r="K38" s="18">
        <f t="shared" si="3"/>
        <v>928.737365990179</v>
      </c>
      <c r="L38" s="18">
        <f t="shared" si="4"/>
        <v>23.383090256683456</v>
      </c>
      <c r="M38" s="18">
        <f t="shared" si="5"/>
        <v>-2.517729027920981E-2</v>
      </c>
      <c r="N38" s="18">
        <f t="shared" si="6"/>
        <v>5.1341363605959298E-2</v>
      </c>
      <c r="O38" s="18">
        <f t="shared" si="7"/>
        <v>71.089154368217564</v>
      </c>
      <c r="P38" s="18">
        <f t="shared" si="8"/>
        <v>3427.7517246947159</v>
      </c>
      <c r="Q38" s="18">
        <f t="shared" si="9"/>
        <v>3431.1828196792126</v>
      </c>
    </row>
    <row r="39" spans="1:17" ht="21" customHeight="1">
      <c r="A39" s="1" t="s">
        <v>329</v>
      </c>
      <c r="B39" s="1" t="s">
        <v>321</v>
      </c>
      <c r="C39" s="18">
        <v>71.024548500087661</v>
      </c>
      <c r="D39" s="18">
        <v>2.5916616177471941</v>
      </c>
      <c r="E39" s="18">
        <v>3720.3991013248678</v>
      </c>
      <c r="F39" s="18">
        <v>3.8554321618301355</v>
      </c>
      <c r="G39" s="18">
        <v>0</v>
      </c>
      <c r="H39" s="18">
        <f t="shared" si="0"/>
        <v>3.8554321618301355</v>
      </c>
      <c r="I39" s="18">
        <f t="shared" si="1"/>
        <v>2.5916616177471941</v>
      </c>
      <c r="J39" s="18">
        <f t="shared" si="2"/>
        <v>71.024548500087661</v>
      </c>
      <c r="K39" s="18">
        <f t="shared" si="3"/>
        <v>964.97589509105285</v>
      </c>
      <c r="L39" s="18">
        <f t="shared" si="4"/>
        <v>0.31638287463078285</v>
      </c>
      <c r="M39" s="18">
        <f t="shared" si="5"/>
        <v>-3.2786609099798259E-4</v>
      </c>
      <c r="N39" s="18">
        <f t="shared" si="6"/>
        <v>7.3274540830665008E-2</v>
      </c>
      <c r="O39" s="18">
        <f t="shared" si="7"/>
        <v>71.087839383761818</v>
      </c>
      <c r="P39" s="18">
        <f t="shared" si="8"/>
        <v>3720.3993012892038</v>
      </c>
      <c r="Q39" s="18">
        <f t="shared" si="9"/>
        <v>3730.3912768428468</v>
      </c>
    </row>
    <row r="40" spans="1:17" ht="21" customHeight="1">
      <c r="A40" s="1" t="s">
        <v>329</v>
      </c>
      <c r="B40" s="1" t="s">
        <v>322</v>
      </c>
      <c r="C40" s="18">
        <v>71.024548500087661</v>
      </c>
      <c r="D40" s="18">
        <v>2.5916616177471941</v>
      </c>
      <c r="E40" s="18">
        <v>3439.7706550833564</v>
      </c>
      <c r="F40" s="18">
        <v>2.3365115147320541</v>
      </c>
      <c r="G40" s="18">
        <v>1.4349562500000002</v>
      </c>
      <c r="H40" s="18">
        <f t="shared" si="0"/>
        <v>2.7419674501878282</v>
      </c>
      <c r="I40" s="18">
        <f t="shared" si="1"/>
        <v>2.2084314719857878</v>
      </c>
      <c r="J40" s="18">
        <f t="shared" si="2"/>
        <v>71.03749735186166</v>
      </c>
      <c r="K40" s="18">
        <f t="shared" si="3"/>
        <v>1254.4899666287897</v>
      </c>
      <c r="L40" s="18">
        <f t="shared" si="4"/>
        <v>-3.4696619094290853</v>
      </c>
      <c r="M40" s="18">
        <f t="shared" si="5"/>
        <v>2.7657948662221359E-3</v>
      </c>
      <c r="N40" s="18">
        <f t="shared" si="6"/>
        <v>5.9392391524274196E-2</v>
      </c>
      <c r="O40" s="18">
        <f t="shared" si="7"/>
        <v>71.081304111100579</v>
      </c>
      <c r="P40" s="18">
        <f t="shared" si="8"/>
        <v>3439.7838115630784</v>
      </c>
      <c r="Q40" s="18">
        <f t="shared" si="9"/>
        <v>3445.8392587752342</v>
      </c>
    </row>
    <row r="41" spans="1:17" ht="21" customHeight="1">
      <c r="A41" s="1" t="s">
        <v>329</v>
      </c>
      <c r="B41" s="1" t="s">
        <v>323</v>
      </c>
      <c r="C41" s="18">
        <v>71.024548500087661</v>
      </c>
      <c r="D41" s="18">
        <v>2.5916616177471941</v>
      </c>
      <c r="E41" s="18">
        <v>3476.3068687757514</v>
      </c>
      <c r="F41" s="18">
        <v>1.32389775</v>
      </c>
      <c r="G41" s="18">
        <v>0</v>
      </c>
      <c r="H41" s="18">
        <f t="shared" si="0"/>
        <v>1.32389775</v>
      </c>
      <c r="I41" s="18">
        <f t="shared" si="1"/>
        <v>2.5916616177471941</v>
      </c>
      <c r="J41" s="18">
        <f t="shared" si="2"/>
        <v>71.024548500087661</v>
      </c>
      <c r="K41" s="18">
        <f t="shared" si="3"/>
        <v>2625.8122039830882</v>
      </c>
      <c r="L41" s="18">
        <f t="shared" si="4"/>
        <v>-60.27855097499264</v>
      </c>
      <c r="M41" s="18">
        <f t="shared" si="5"/>
        <v>2.2956154626578493E-2</v>
      </c>
      <c r="N41" s="18">
        <f t="shared" si="6"/>
        <v>5.0004756347733832E-2</v>
      </c>
      <c r="O41" s="18">
        <f t="shared" si="7"/>
        <v>71.073980920575664</v>
      </c>
      <c r="P41" s="18">
        <f t="shared" si="8"/>
        <v>3477.2228898510134</v>
      </c>
      <c r="Q41" s="18">
        <f t="shared" si="9"/>
        <v>3480.6539848355105</v>
      </c>
    </row>
    <row r="42" spans="1:17" ht="21" customHeight="1">
      <c r="A42" s="1" t="s">
        <v>329</v>
      </c>
      <c r="B42" s="1" t="s">
        <v>324</v>
      </c>
      <c r="C42" s="18">
        <v>71.024548500087661</v>
      </c>
      <c r="D42" s="18">
        <v>2.5916616177471941</v>
      </c>
      <c r="E42" s="18">
        <v>541.03134063351581</v>
      </c>
      <c r="F42" s="18">
        <v>1.32389775</v>
      </c>
      <c r="G42" s="18">
        <v>0</v>
      </c>
      <c r="H42" s="18">
        <f t="shared" si="0"/>
        <v>1.32389775</v>
      </c>
      <c r="I42" s="18">
        <f t="shared" si="1"/>
        <v>2.5916616177471941</v>
      </c>
      <c r="J42" s="18">
        <f t="shared" si="2"/>
        <v>71.024548500087661</v>
      </c>
      <c r="K42" s="18">
        <f t="shared" si="3"/>
        <v>408.66550353568908</v>
      </c>
      <c r="L42" s="18">
        <f t="shared" si="4"/>
        <v>20.622254837923023</v>
      </c>
      <c r="M42" s="18">
        <f t="shared" si="5"/>
        <v>-5.0462431155807272E-2</v>
      </c>
      <c r="N42" s="18">
        <f t="shared" si="6"/>
        <v>0.12333385917356483</v>
      </c>
      <c r="O42" s="18">
        <f t="shared" si="7"/>
        <v>71.161179353029425</v>
      </c>
      <c r="P42" s="18">
        <f t="shared" si="8"/>
        <v>541.72034333551358</v>
      </c>
      <c r="Q42" s="18">
        <f t="shared" si="9"/>
        <v>545.15143832001036</v>
      </c>
    </row>
    <row r="43" spans="1:17" ht="21" customHeight="1">
      <c r="A43" s="1" t="s">
        <v>330</v>
      </c>
      <c r="B43" s="1" t="s">
        <v>319</v>
      </c>
      <c r="C43" s="18">
        <v>57.507391692189337</v>
      </c>
      <c r="D43" s="18">
        <v>-1.5050179164408295</v>
      </c>
      <c r="E43" s="18">
        <v>2205.0000000002283</v>
      </c>
      <c r="F43" s="18">
        <v>1.32389775</v>
      </c>
      <c r="G43" s="18">
        <v>0</v>
      </c>
      <c r="H43" s="18">
        <f t="shared" si="0"/>
        <v>1.32389775</v>
      </c>
      <c r="I43" s="18">
        <f t="shared" si="1"/>
        <v>-1.5050179164408295</v>
      </c>
      <c r="J43" s="18">
        <f t="shared" si="2"/>
        <v>57.507391692189337</v>
      </c>
      <c r="K43" s="18">
        <f t="shared" si="3"/>
        <v>1665.5364811974553</v>
      </c>
      <c r="L43" s="18">
        <f t="shared" si="4"/>
        <v>72.33507989374715</v>
      </c>
      <c r="M43" s="18">
        <f t="shared" si="5"/>
        <v>-4.3430498647343392E-2</v>
      </c>
      <c r="N43" s="18">
        <f t="shared" si="6"/>
        <v>-8.902649908272971E-3</v>
      </c>
      <c r="O43" s="18">
        <f t="shared" si="7"/>
        <v>57.529937806293098</v>
      </c>
      <c r="P43" s="18">
        <f t="shared" si="8"/>
        <v>2207.0798714465132</v>
      </c>
      <c r="Q43" s="18">
        <f t="shared" si="9"/>
        <v>2205.087381613228</v>
      </c>
    </row>
    <row r="44" spans="1:17" ht="21" customHeight="1">
      <c r="A44" s="1" t="s">
        <v>330</v>
      </c>
      <c r="B44" s="1" t="s">
        <v>320</v>
      </c>
      <c r="C44" s="18">
        <v>57.507391692189337</v>
      </c>
      <c r="D44" s="18">
        <v>-1.5050179164408295</v>
      </c>
      <c r="E44" s="18">
        <v>3289.9233262653888</v>
      </c>
      <c r="F44" s="18">
        <v>1.32389775</v>
      </c>
      <c r="G44" s="18">
        <v>3.4438949999999999</v>
      </c>
      <c r="H44" s="18">
        <f t="shared" si="0"/>
        <v>3.6895959160157443</v>
      </c>
      <c r="I44" s="18">
        <f t="shared" si="1"/>
        <v>-0.5400292819700746</v>
      </c>
      <c r="J44" s="18">
        <f t="shared" si="2"/>
        <v>57.524547338873603</v>
      </c>
      <c r="K44" s="18">
        <f t="shared" si="3"/>
        <v>891.67578270144361</v>
      </c>
      <c r="L44" s="18">
        <f t="shared" si="4"/>
        <v>37.131578469334663</v>
      </c>
      <c r="M44" s="18">
        <f t="shared" si="5"/>
        <v>-4.1642466005794042E-2</v>
      </c>
      <c r="N44" s="18">
        <f t="shared" si="6"/>
        <v>2.2870385475487382E-2</v>
      </c>
      <c r="O44" s="18">
        <f t="shared" si="7"/>
        <v>57.537057702291953</v>
      </c>
      <c r="P44" s="18">
        <f t="shared" si="8"/>
        <v>3292.7762582550758</v>
      </c>
      <c r="Q44" s="18">
        <f t="shared" si="9"/>
        <v>3290.7837684217898</v>
      </c>
    </row>
    <row r="45" spans="1:17" ht="21" customHeight="1">
      <c r="A45" s="1" t="s">
        <v>330</v>
      </c>
      <c r="B45" s="1" t="s">
        <v>321</v>
      </c>
      <c r="C45" s="18">
        <v>57.507391692189337</v>
      </c>
      <c r="D45" s="18">
        <v>-1.5050179164408295</v>
      </c>
      <c r="E45" s="18">
        <v>3595.3378176686028</v>
      </c>
      <c r="F45" s="18">
        <v>3.8554321618301355</v>
      </c>
      <c r="G45" s="18">
        <v>0</v>
      </c>
      <c r="H45" s="18">
        <f t="shared" si="0"/>
        <v>3.8554321618301355</v>
      </c>
      <c r="I45" s="18">
        <f t="shared" si="1"/>
        <v>-1.5050179164408295</v>
      </c>
      <c r="J45" s="18">
        <f t="shared" si="2"/>
        <v>57.507391692189337</v>
      </c>
      <c r="K45" s="18">
        <f t="shared" si="3"/>
        <v>932.53821277507097</v>
      </c>
      <c r="L45" s="18">
        <f t="shared" si="4"/>
        <v>53.152372740849543</v>
      </c>
      <c r="M45" s="18">
        <f t="shared" si="5"/>
        <v>-5.6997527836073716E-2</v>
      </c>
      <c r="N45" s="18">
        <f t="shared" si="6"/>
        <v>4.6700702359209686E-3</v>
      </c>
      <c r="O45" s="18">
        <f t="shared" si="7"/>
        <v>57.536191710833357</v>
      </c>
      <c r="P45" s="18">
        <f t="shared" si="8"/>
        <v>3601.1795185797869</v>
      </c>
      <c r="Q45" s="18">
        <f t="shared" si="9"/>
        <v>3595.3770241006105</v>
      </c>
    </row>
    <row r="46" spans="1:17" ht="21" customHeight="1">
      <c r="A46" s="1" t="s">
        <v>330</v>
      </c>
      <c r="B46" s="1" t="s">
        <v>322</v>
      </c>
      <c r="C46" s="18">
        <v>57.507391692189337</v>
      </c>
      <c r="D46" s="18">
        <v>-1.5050179164408295</v>
      </c>
      <c r="E46" s="18">
        <v>3387.3000828344093</v>
      </c>
      <c r="F46" s="18">
        <v>2.3365115147320541</v>
      </c>
      <c r="G46" s="18">
        <v>1.4349562500000002</v>
      </c>
      <c r="H46" s="18">
        <f t="shared" si="0"/>
        <v>2.7419674501878282</v>
      </c>
      <c r="I46" s="18">
        <f t="shared" si="1"/>
        <v>-1.28247025375927</v>
      </c>
      <c r="J46" s="18">
        <f t="shared" si="2"/>
        <v>57.512785084848026</v>
      </c>
      <c r="K46" s="18">
        <f t="shared" si="3"/>
        <v>1235.3538633736789</v>
      </c>
      <c r="L46" s="18">
        <f t="shared" si="4"/>
        <v>56.298621275488905</v>
      </c>
      <c r="M46" s="18">
        <f t="shared" si="5"/>
        <v>-4.5572870207197698E-2</v>
      </c>
      <c r="N46" s="18">
        <f t="shared" si="6"/>
        <v>9.8284697636619764E-4</v>
      </c>
      <c r="O46" s="18">
        <f t="shared" si="7"/>
        <v>57.532274945179523</v>
      </c>
      <c r="P46" s="18">
        <f t="shared" si="8"/>
        <v>3390.8182105721021</v>
      </c>
      <c r="Q46" s="18">
        <f t="shared" si="9"/>
        <v>3387.3017188804597</v>
      </c>
    </row>
    <row r="47" spans="1:17" ht="21" customHeight="1">
      <c r="A47" s="1" t="s">
        <v>330</v>
      </c>
      <c r="B47" s="1" t="s">
        <v>323</v>
      </c>
      <c r="C47" s="18">
        <v>57.507391692189337</v>
      </c>
      <c r="D47" s="18">
        <v>-1.5050179164408295</v>
      </c>
      <c r="E47" s="18">
        <v>3522.7661032875249</v>
      </c>
      <c r="F47" s="18">
        <v>1.32389775</v>
      </c>
      <c r="G47" s="18">
        <v>0</v>
      </c>
      <c r="H47" s="18">
        <f t="shared" si="0"/>
        <v>1.32389775</v>
      </c>
      <c r="I47" s="18">
        <f t="shared" si="1"/>
        <v>-1.5050179164408295</v>
      </c>
      <c r="J47" s="18">
        <f t="shared" si="2"/>
        <v>57.507391692189337</v>
      </c>
      <c r="K47" s="18">
        <f t="shared" si="3"/>
        <v>2660.9049704084209</v>
      </c>
      <c r="L47" s="18">
        <f t="shared" si="4"/>
        <v>98.382566507963759</v>
      </c>
      <c r="M47" s="18">
        <f t="shared" si="5"/>
        <v>-3.6973348391642513E-2</v>
      </c>
      <c r="N47" s="18">
        <f t="shared" si="6"/>
        <v>-1.5361380910006911E-2</v>
      </c>
      <c r="O47" s="18">
        <f t="shared" si="7"/>
        <v>57.528200934348085</v>
      </c>
      <c r="P47" s="18">
        <f t="shared" si="8"/>
        <v>3525.1742384168906</v>
      </c>
      <c r="Q47" s="18">
        <f t="shared" si="9"/>
        <v>3523.1817485836059</v>
      </c>
    </row>
    <row r="48" spans="1:17" ht="21" customHeight="1">
      <c r="A48" s="1" t="s">
        <v>330</v>
      </c>
      <c r="B48" s="1" t="s">
        <v>324</v>
      </c>
      <c r="C48" s="18">
        <v>57.507391692189337</v>
      </c>
      <c r="D48" s="18">
        <v>-1.5050179164408295</v>
      </c>
      <c r="E48" s="18">
        <v>448.33051229606872</v>
      </c>
      <c r="F48" s="18">
        <v>1.32389775</v>
      </c>
      <c r="G48" s="18">
        <v>0</v>
      </c>
      <c r="H48" s="18">
        <f t="shared" si="0"/>
        <v>1.32389775</v>
      </c>
      <c r="I48" s="18">
        <f t="shared" si="1"/>
        <v>-1.5050179164408295</v>
      </c>
      <c r="J48" s="18">
        <f t="shared" si="2"/>
        <v>57.507391692189337</v>
      </c>
      <c r="K48" s="18">
        <f t="shared" si="3"/>
        <v>338.64436456370498</v>
      </c>
      <c r="L48" s="18">
        <f t="shared" si="4"/>
        <v>37.604662392208098</v>
      </c>
      <c r="M48" s="18">
        <f t="shared" si="5"/>
        <v>-0.11104470154303718</v>
      </c>
      <c r="N48" s="18">
        <f t="shared" si="6"/>
        <v>5.8771771754191363E-2</v>
      </c>
      <c r="O48" s="18">
        <f t="shared" si="7"/>
        <v>57.596182456912118</v>
      </c>
      <c r="P48" s="18">
        <f t="shared" si="8"/>
        <v>451.09751898394973</v>
      </c>
      <c r="Q48" s="18">
        <f t="shared" si="9"/>
        <v>449.10502915066405</v>
      </c>
    </row>
    <row r="49" spans="1:17" ht="21" customHeight="1">
      <c r="A49" s="1" t="s">
        <v>331</v>
      </c>
      <c r="B49" s="1" t="s">
        <v>319</v>
      </c>
      <c r="C49" s="18">
        <v>70.11431978175483</v>
      </c>
      <c r="D49" s="18">
        <v>1.8540141571751523</v>
      </c>
      <c r="E49" s="18">
        <v>2205.0000000005775</v>
      </c>
      <c r="F49" s="18">
        <v>1.32389775</v>
      </c>
      <c r="G49" s="18">
        <v>0</v>
      </c>
      <c r="H49" s="18">
        <f t="shared" si="0"/>
        <v>1.32389775</v>
      </c>
      <c r="I49" s="18">
        <f t="shared" si="1"/>
        <v>1.8540141571751523</v>
      </c>
      <c r="J49" s="18">
        <f t="shared" si="2"/>
        <v>70.11431978175483</v>
      </c>
      <c r="K49" s="18">
        <f t="shared" si="3"/>
        <v>1665.536481197719</v>
      </c>
      <c r="L49" s="18">
        <f t="shared" si="4"/>
        <v>-8.9757931495264742</v>
      </c>
      <c r="M49" s="18">
        <f t="shared" si="5"/>
        <v>5.3891303197824945E-3</v>
      </c>
      <c r="N49" s="18">
        <f t="shared" si="6"/>
        <v>4.7486268733306941E-2</v>
      </c>
      <c r="O49" s="18">
        <f t="shared" si="7"/>
        <v>70.144003671505303</v>
      </c>
      <c r="P49" s="18">
        <f t="shared" si="8"/>
        <v>2205.0320196830503</v>
      </c>
      <c r="Q49" s="18">
        <f t="shared" si="9"/>
        <v>2207.4865448542027</v>
      </c>
    </row>
    <row r="50" spans="1:17" ht="21" customHeight="1">
      <c r="A50" s="1" t="s">
        <v>331</v>
      </c>
      <c r="B50" s="1" t="s">
        <v>320</v>
      </c>
      <c r="C50" s="18">
        <v>70.11431978175483</v>
      </c>
      <c r="D50" s="18">
        <v>1.8540141571751523</v>
      </c>
      <c r="E50" s="18">
        <v>3416.7420076008339</v>
      </c>
      <c r="F50" s="18">
        <v>1.32389775</v>
      </c>
      <c r="G50" s="18">
        <v>3.4438949999999999</v>
      </c>
      <c r="H50" s="18">
        <f t="shared" si="0"/>
        <v>3.6895959160157443</v>
      </c>
      <c r="I50" s="18">
        <f t="shared" si="1"/>
        <v>0.66525582395019556</v>
      </c>
      <c r="J50" s="18">
        <f t="shared" si="2"/>
        <v>70.135673103221038</v>
      </c>
      <c r="K50" s="18">
        <f t="shared" si="3"/>
        <v>926.04775302614837</v>
      </c>
      <c r="L50" s="18">
        <f t="shared" si="4"/>
        <v>26.286253816540313</v>
      </c>
      <c r="M50" s="18">
        <f t="shared" si="5"/>
        <v>-2.8385419359468044E-2</v>
      </c>
      <c r="N50" s="18">
        <f t="shared" si="6"/>
        <v>4.7351142685017208E-2</v>
      </c>
      <c r="O50" s="18">
        <f t="shared" si="7"/>
        <v>70.155591050255168</v>
      </c>
      <c r="P50" s="18">
        <f t="shared" si="8"/>
        <v>3418.118589267438</v>
      </c>
      <c r="Q50" s="18">
        <f t="shared" si="9"/>
        <v>3420.5731144385904</v>
      </c>
    </row>
    <row r="51" spans="1:17" ht="21" customHeight="1">
      <c r="A51" s="1" t="s">
        <v>331</v>
      </c>
      <c r="B51" s="1" t="s">
        <v>321</v>
      </c>
      <c r="C51" s="18">
        <v>70.11431978175483</v>
      </c>
      <c r="D51" s="18">
        <v>1.8540141571751523</v>
      </c>
      <c r="E51" s="18">
        <v>3712.3980808080778</v>
      </c>
      <c r="F51" s="18">
        <v>3.8554321618301355</v>
      </c>
      <c r="G51" s="18">
        <v>0</v>
      </c>
      <c r="H51" s="18">
        <f t="shared" si="0"/>
        <v>3.8554321618301355</v>
      </c>
      <c r="I51" s="18">
        <f t="shared" si="1"/>
        <v>1.8540141571751523</v>
      </c>
      <c r="J51" s="18">
        <f t="shared" si="2"/>
        <v>70.11431978175483</v>
      </c>
      <c r="K51" s="18">
        <f t="shared" si="3"/>
        <v>962.90063603293675</v>
      </c>
      <c r="L51" s="18">
        <f t="shared" si="4"/>
        <v>9.6040250763938317</v>
      </c>
      <c r="M51" s="18">
        <f t="shared" si="5"/>
        <v>-9.9740562182631266E-3</v>
      </c>
      <c r="N51" s="18">
        <f t="shared" si="6"/>
        <v>6.2841681104976649E-2</v>
      </c>
      <c r="O51" s="18">
        <f t="shared" si="7"/>
        <v>70.15431351916645</v>
      </c>
      <c r="P51" s="18">
        <f t="shared" si="8"/>
        <v>3712.5827403558806</v>
      </c>
      <c r="Q51" s="18">
        <f t="shared" si="9"/>
        <v>3719.730766165942</v>
      </c>
    </row>
    <row r="52" spans="1:17" ht="21" customHeight="1">
      <c r="A52" s="1" t="s">
        <v>331</v>
      </c>
      <c r="B52" s="1" t="s">
        <v>322</v>
      </c>
      <c r="C52" s="18">
        <v>70.11431978175483</v>
      </c>
      <c r="D52" s="18">
        <v>1.8540141571751523</v>
      </c>
      <c r="E52" s="18">
        <v>3436.1665287924989</v>
      </c>
      <c r="F52" s="18">
        <v>2.3365115147320541</v>
      </c>
      <c r="G52" s="18">
        <v>1.4349562500000002</v>
      </c>
      <c r="H52" s="18">
        <f t="shared" si="0"/>
        <v>2.7419674501878282</v>
      </c>
      <c r="I52" s="18">
        <f t="shared" si="1"/>
        <v>1.5798602665466528</v>
      </c>
      <c r="J52" s="18">
        <f t="shared" si="2"/>
        <v>70.1210328538547</v>
      </c>
      <c r="K52" s="18">
        <f t="shared" si="3"/>
        <v>1253.175535893804</v>
      </c>
      <c r="L52" s="18">
        <f t="shared" si="4"/>
        <v>6.831945053727182</v>
      </c>
      <c r="M52" s="18">
        <f t="shared" si="5"/>
        <v>-5.4517063715694269E-3</v>
      </c>
      <c r="N52" s="18">
        <f t="shared" si="6"/>
        <v>5.0502971042271236E-2</v>
      </c>
      <c r="O52" s="18">
        <f t="shared" si="7"/>
        <v>70.147973791928777</v>
      </c>
      <c r="P52" s="18">
        <f t="shared" si="8"/>
        <v>3436.2175922475376</v>
      </c>
      <c r="Q52" s="18">
        <f t="shared" si="9"/>
        <v>3440.5495176742534</v>
      </c>
    </row>
    <row r="53" spans="1:17" ht="21" customHeight="1">
      <c r="A53" s="1" t="s">
        <v>331</v>
      </c>
      <c r="B53" s="1" t="s">
        <v>323</v>
      </c>
      <c r="C53" s="18">
        <v>70.11431978175483</v>
      </c>
      <c r="D53" s="18">
        <v>1.8540141571751523</v>
      </c>
      <c r="E53" s="18">
        <v>3479.9603358721442</v>
      </c>
      <c r="F53" s="18">
        <v>1.32389775</v>
      </c>
      <c r="G53" s="18">
        <v>0</v>
      </c>
      <c r="H53" s="18">
        <f t="shared" si="0"/>
        <v>1.32389775</v>
      </c>
      <c r="I53" s="18">
        <f t="shared" si="1"/>
        <v>1.8540141571751523</v>
      </c>
      <c r="J53" s="18">
        <f t="shared" si="2"/>
        <v>70.11431978175483</v>
      </c>
      <c r="K53" s="18">
        <f t="shared" si="3"/>
        <v>2628.5718333399573</v>
      </c>
      <c r="L53" s="18">
        <f t="shared" si="4"/>
        <v>-34.43930294608441</v>
      </c>
      <c r="M53" s="18">
        <f t="shared" si="5"/>
        <v>1.3101906711951867E-2</v>
      </c>
      <c r="N53" s="18">
        <f t="shared" si="6"/>
        <v>3.9775828608415727E-2</v>
      </c>
      <c r="O53" s="18">
        <f t="shared" si="7"/>
        <v>70.140905982048764</v>
      </c>
      <c r="P53" s="18">
        <f t="shared" si="8"/>
        <v>3480.2590250699945</v>
      </c>
      <c r="Q53" s="18">
        <f t="shared" si="9"/>
        <v>3482.713550241147</v>
      </c>
    </row>
    <row r="54" spans="1:17" ht="21" customHeight="1">
      <c r="A54" s="1" t="s">
        <v>331</v>
      </c>
      <c r="B54" s="1" t="s">
        <v>324</v>
      </c>
      <c r="C54" s="18">
        <v>70.11431978175483</v>
      </c>
      <c r="D54" s="18">
        <v>1.8540141571751523</v>
      </c>
      <c r="E54" s="18">
        <v>535.04660486650414</v>
      </c>
      <c r="F54" s="18">
        <v>1.32389775</v>
      </c>
      <c r="G54" s="18">
        <v>0</v>
      </c>
      <c r="H54" s="18">
        <f t="shared" si="0"/>
        <v>1.32389775</v>
      </c>
      <c r="I54" s="18">
        <f t="shared" si="1"/>
        <v>1.8540141571751523</v>
      </c>
      <c r="J54" s="18">
        <f t="shared" si="2"/>
        <v>70.11431978175483</v>
      </c>
      <c r="K54" s="18">
        <f t="shared" si="3"/>
        <v>404.14496124531081</v>
      </c>
      <c r="L54" s="18">
        <f t="shared" si="4"/>
        <v>24.385093672107939</v>
      </c>
      <c r="M54" s="18">
        <f t="shared" si="5"/>
        <v>-6.033749275747248E-2</v>
      </c>
      <c r="N54" s="18">
        <f t="shared" si="6"/>
        <v>0.11315055362496486</v>
      </c>
      <c r="O54" s="18">
        <f t="shared" si="7"/>
        <v>70.226759985902447</v>
      </c>
      <c r="P54" s="18">
        <f t="shared" si="8"/>
        <v>536.02084920453308</v>
      </c>
      <c r="Q54" s="18">
        <f t="shared" si="9"/>
        <v>538.47537437568531</v>
      </c>
    </row>
    <row r="55" spans="1:17" ht="21" customHeight="1">
      <c r="A55" s="1" t="s">
        <v>332</v>
      </c>
      <c r="B55" s="1" t="s">
        <v>319</v>
      </c>
      <c r="C55" s="18">
        <v>70.11431978353167</v>
      </c>
      <c r="D55" s="18">
        <v>6.2928293523863434</v>
      </c>
      <c r="E55" s="18">
        <v>2205.0000000000928</v>
      </c>
      <c r="F55" s="18">
        <v>1.32389775</v>
      </c>
      <c r="G55" s="18">
        <v>0</v>
      </c>
      <c r="H55" s="18">
        <f t="shared" si="0"/>
        <v>1.32389775</v>
      </c>
      <c r="I55" s="18">
        <f t="shared" si="1"/>
        <v>6.2928293523863434</v>
      </c>
      <c r="J55" s="18">
        <f t="shared" si="2"/>
        <v>70.11431978353167</v>
      </c>
      <c r="K55" s="18">
        <f t="shared" si="3"/>
        <v>1665.5364811973529</v>
      </c>
      <c r="L55" s="18">
        <f t="shared" si="4"/>
        <v>-114.21542517413822</v>
      </c>
      <c r="M55" s="18">
        <f t="shared" si="5"/>
        <v>6.8575757099015228E-2</v>
      </c>
      <c r="N55" s="18">
        <f t="shared" si="6"/>
        <v>0.11067289551361575</v>
      </c>
      <c r="O55" s="18">
        <f t="shared" si="7"/>
        <v>70.401303852134987</v>
      </c>
      <c r="P55" s="18">
        <f t="shared" si="8"/>
        <v>2210.1866866072146</v>
      </c>
      <c r="Q55" s="18">
        <f t="shared" si="9"/>
        <v>2218.5177492279731</v>
      </c>
    </row>
    <row r="56" spans="1:17" ht="21" customHeight="1">
      <c r="A56" s="1" t="s">
        <v>332</v>
      </c>
      <c r="B56" s="1" t="s">
        <v>320</v>
      </c>
      <c r="C56" s="18">
        <v>70.11431978353167</v>
      </c>
      <c r="D56" s="18">
        <v>6.2928293523863434</v>
      </c>
      <c r="E56" s="18">
        <v>3425.2253831070657</v>
      </c>
      <c r="F56" s="18">
        <v>1.32389775</v>
      </c>
      <c r="G56" s="18">
        <v>3.4438949999999999</v>
      </c>
      <c r="H56" s="18">
        <f t="shared" si="0"/>
        <v>3.6895959160157443</v>
      </c>
      <c r="I56" s="18">
        <f t="shared" si="1"/>
        <v>2.2579878150327741</v>
      </c>
      <c r="J56" s="18">
        <f t="shared" si="2"/>
        <v>70.359924893313803</v>
      </c>
      <c r="K56" s="18">
        <f t="shared" si="3"/>
        <v>928.34702256658977</v>
      </c>
      <c r="L56" s="18">
        <f t="shared" si="4"/>
        <v>5.3997251965370126</v>
      </c>
      <c r="M56" s="18">
        <f t="shared" si="5"/>
        <v>-5.8164943337766705E-3</v>
      </c>
      <c r="N56" s="18">
        <f t="shared" si="6"/>
        <v>6.9974048623737822E-2</v>
      </c>
      <c r="O56" s="18">
        <f t="shared" si="7"/>
        <v>70.412979821521105</v>
      </c>
      <c r="P56" s="18">
        <f t="shared" si="8"/>
        <v>3425.2833237088025</v>
      </c>
      <c r="Q56" s="18">
        <f t="shared" si="9"/>
        <v>3433.6143863295606</v>
      </c>
    </row>
    <row r="57" spans="1:17" ht="21" customHeight="1">
      <c r="A57" s="1" t="s">
        <v>332</v>
      </c>
      <c r="B57" s="1" t="s">
        <v>321</v>
      </c>
      <c r="C57" s="18">
        <v>70.11431978353167</v>
      </c>
      <c r="D57" s="18">
        <v>6.2928293523863434</v>
      </c>
      <c r="E57" s="18">
        <v>3705.9370163482617</v>
      </c>
      <c r="F57" s="18">
        <v>3.8554321618301355</v>
      </c>
      <c r="G57" s="18">
        <v>0</v>
      </c>
      <c r="H57" s="18">
        <f t="shared" si="0"/>
        <v>3.8554321618301355</v>
      </c>
      <c r="I57" s="18">
        <f t="shared" si="1"/>
        <v>6.2928293523863434</v>
      </c>
      <c r="J57" s="18">
        <f t="shared" si="2"/>
        <v>70.11431978353167</v>
      </c>
      <c r="K57" s="18">
        <f t="shared" si="3"/>
        <v>961.22480199187066</v>
      </c>
      <c r="L57" s="18">
        <f t="shared" si="4"/>
        <v>-51.079263706214988</v>
      </c>
      <c r="M57" s="18">
        <f t="shared" si="5"/>
        <v>5.313976876207048E-2</v>
      </c>
      <c r="N57" s="18">
        <f t="shared" si="6"/>
        <v>0.12608245567385143</v>
      </c>
      <c r="O57" s="18">
        <f t="shared" si="7"/>
        <v>70.41162987412396</v>
      </c>
      <c r="P57" s="18">
        <f t="shared" si="8"/>
        <v>3711.1707251404841</v>
      </c>
      <c r="Q57" s="18">
        <f t="shared" si="9"/>
        <v>3735.4323018145828</v>
      </c>
    </row>
    <row r="58" spans="1:17" ht="21" customHeight="1">
      <c r="A58" s="1" t="s">
        <v>332</v>
      </c>
      <c r="B58" s="1" t="s">
        <v>322</v>
      </c>
      <c r="C58" s="18">
        <v>70.11431978353167</v>
      </c>
      <c r="D58" s="18">
        <v>6.2928293523863434</v>
      </c>
      <c r="E58" s="18">
        <v>3435.5833725669481</v>
      </c>
      <c r="F58" s="18">
        <v>2.3365115147320541</v>
      </c>
      <c r="G58" s="18">
        <v>1.4349562500000002</v>
      </c>
      <c r="H58" s="18">
        <f t="shared" si="0"/>
        <v>2.7419674501878282</v>
      </c>
      <c r="I58" s="18">
        <f t="shared" si="1"/>
        <v>5.3623059023138131</v>
      </c>
      <c r="J58" s="18">
        <f t="shared" si="2"/>
        <v>70.191617842699742</v>
      </c>
      <c r="K58" s="18">
        <f t="shared" si="3"/>
        <v>1252.9628578674799</v>
      </c>
      <c r="L58" s="18">
        <f t="shared" si="4"/>
        <v>-60.519253440055294</v>
      </c>
      <c r="M58" s="18">
        <f t="shared" si="5"/>
        <v>4.8300915753446971E-2</v>
      </c>
      <c r="N58" s="18">
        <f t="shared" si="6"/>
        <v>0.10432142538145349</v>
      </c>
      <c r="O58" s="18">
        <f t="shared" si="7"/>
        <v>70.405299315024934</v>
      </c>
      <c r="P58" s="18">
        <f t="shared" si="8"/>
        <v>3439.591722766314</v>
      </c>
      <c r="Q58" s="18">
        <f t="shared" si="9"/>
        <v>3454.2949910084089</v>
      </c>
    </row>
    <row r="59" spans="1:17" ht="21" customHeight="1">
      <c r="A59" s="1" t="s">
        <v>332</v>
      </c>
      <c r="B59" s="1" t="s">
        <v>323</v>
      </c>
      <c r="C59" s="18">
        <v>70.11431978353167</v>
      </c>
      <c r="D59" s="18">
        <v>6.2928293523863434</v>
      </c>
      <c r="E59" s="18">
        <v>3476.4618359313254</v>
      </c>
      <c r="F59" s="18">
        <v>1.32389775</v>
      </c>
      <c r="G59" s="18">
        <v>0</v>
      </c>
      <c r="H59" s="18">
        <f t="shared" si="0"/>
        <v>1.32389775</v>
      </c>
      <c r="I59" s="18">
        <f t="shared" si="1"/>
        <v>6.2928293523863434</v>
      </c>
      <c r="J59" s="18">
        <f t="shared" si="2"/>
        <v>70.11431978353167</v>
      </c>
      <c r="K59" s="18">
        <f t="shared" si="3"/>
        <v>2625.9292577023607</v>
      </c>
      <c r="L59" s="18">
        <f t="shared" si="4"/>
        <v>-200.30034007638426</v>
      </c>
      <c r="M59" s="18">
        <f t="shared" si="5"/>
        <v>7.6277888861196255E-2</v>
      </c>
      <c r="N59" s="18">
        <f t="shared" si="6"/>
        <v>0.10297865377246442</v>
      </c>
      <c r="O59" s="18">
        <f t="shared" si="7"/>
        <v>70.398221653460993</v>
      </c>
      <c r="P59" s="18">
        <f t="shared" si="8"/>
        <v>3486.5803178822553</v>
      </c>
      <c r="Q59" s="18">
        <f t="shared" si="9"/>
        <v>3494.9113805030133</v>
      </c>
    </row>
    <row r="60" spans="1:17" ht="21" customHeight="1">
      <c r="A60" s="1" t="s">
        <v>332</v>
      </c>
      <c r="B60" s="1" t="s">
        <v>324</v>
      </c>
      <c r="C60" s="18">
        <v>70.11431978353167</v>
      </c>
      <c r="D60" s="18">
        <v>6.2928293523863434</v>
      </c>
      <c r="E60" s="18">
        <v>533.72532896636858</v>
      </c>
      <c r="F60" s="18">
        <v>1.32389775</v>
      </c>
      <c r="G60" s="18">
        <v>0</v>
      </c>
      <c r="H60" s="18">
        <f t="shared" si="0"/>
        <v>1.32389775</v>
      </c>
      <c r="I60" s="18">
        <f t="shared" si="1"/>
        <v>6.2928293523863434</v>
      </c>
      <c r="J60" s="18">
        <f t="shared" si="2"/>
        <v>70.11431978353167</v>
      </c>
      <c r="K60" s="18">
        <f t="shared" si="3"/>
        <v>403.14694164739581</v>
      </c>
      <c r="L60" s="18">
        <f t="shared" si="4"/>
        <v>-1.0318950601732269</v>
      </c>
      <c r="M60" s="18">
        <f t="shared" si="5"/>
        <v>2.5596003679366932E-3</v>
      </c>
      <c r="N60" s="18">
        <f t="shared" si="6"/>
        <v>0.17647712904128013</v>
      </c>
      <c r="O60" s="18">
        <f t="shared" si="7"/>
        <v>70.484192543660043</v>
      </c>
      <c r="P60" s="18">
        <f t="shared" si="8"/>
        <v>533.72707733249172</v>
      </c>
      <c r="Q60" s="18">
        <f t="shared" si="9"/>
        <v>542.05813995324991</v>
      </c>
    </row>
    <row r="61" spans="1:17" ht="21" customHeight="1">
      <c r="A61" s="1" t="s">
        <v>333</v>
      </c>
      <c r="B61" s="1" t="s">
        <v>319</v>
      </c>
      <c r="C61" s="18">
        <v>50.214196735404776</v>
      </c>
      <c r="D61" s="18">
        <v>10.480951900385572</v>
      </c>
      <c r="E61" s="18">
        <v>2204.9999999975889</v>
      </c>
      <c r="F61" s="18">
        <v>1.32389775</v>
      </c>
      <c r="G61" s="18">
        <v>0</v>
      </c>
      <c r="H61" s="18">
        <f t="shared" si="0"/>
        <v>1.32389775</v>
      </c>
      <c r="I61" s="18">
        <f t="shared" si="1"/>
        <v>10.480951900385572</v>
      </c>
      <c r="J61" s="18">
        <f t="shared" si="2"/>
        <v>50.214196735404776</v>
      </c>
      <c r="K61" s="18">
        <f t="shared" si="3"/>
        <v>1665.5364811954616</v>
      </c>
      <c r="L61" s="18">
        <f t="shared" si="4"/>
        <v>-320.0429359211393</v>
      </c>
      <c r="M61" s="18">
        <f t="shared" si="5"/>
        <v>0.19215606474823302</v>
      </c>
      <c r="N61" s="18">
        <f t="shared" si="6"/>
        <v>0.22230502714103681</v>
      </c>
      <c r="O61" s="18">
        <f t="shared" si="7"/>
        <v>51.298215416365672</v>
      </c>
      <c r="P61" s="18">
        <f t="shared" si="8"/>
        <v>2245.8340730773275</v>
      </c>
      <c r="Q61" s="18">
        <f t="shared" si="9"/>
        <v>2259.7097817161057</v>
      </c>
    </row>
    <row r="62" spans="1:17" ht="21" customHeight="1">
      <c r="A62" s="1" t="s">
        <v>333</v>
      </c>
      <c r="B62" s="1" t="s">
        <v>320</v>
      </c>
      <c r="C62" s="18">
        <v>50.214196735404776</v>
      </c>
      <c r="D62" s="18">
        <v>10.480951900385572</v>
      </c>
      <c r="E62" s="18">
        <v>3262.6717724515465</v>
      </c>
      <c r="F62" s="18">
        <v>1.32389775</v>
      </c>
      <c r="G62" s="18">
        <v>3.4438949999999999</v>
      </c>
      <c r="H62" s="18">
        <f t="shared" si="0"/>
        <v>3.6895959160157443</v>
      </c>
      <c r="I62" s="18">
        <f t="shared" si="1"/>
        <v>3.7607664781249373</v>
      </c>
      <c r="J62" s="18">
        <f t="shared" si="2"/>
        <v>51.158308631317588</v>
      </c>
      <c r="K62" s="18">
        <f t="shared" si="3"/>
        <v>884.28972893453954</v>
      </c>
      <c r="L62" s="18">
        <f t="shared" si="4"/>
        <v>-39.359596468199868</v>
      </c>
      <c r="M62" s="18">
        <f t="shared" si="5"/>
        <v>4.4509842397042587E-2</v>
      </c>
      <c r="N62" s="18">
        <f t="shared" si="6"/>
        <v>0.10236227125308853</v>
      </c>
      <c r="O62" s="18">
        <f t="shared" si="7"/>
        <v>51.303469083107814</v>
      </c>
      <c r="P62" s="18">
        <f t="shared" si="8"/>
        <v>3265.9041881040689</v>
      </c>
      <c r="Q62" s="18">
        <f t="shared" si="9"/>
        <v>3279.779896742848</v>
      </c>
    </row>
    <row r="63" spans="1:17" ht="21" customHeight="1">
      <c r="A63" s="1" t="s">
        <v>333</v>
      </c>
      <c r="B63" s="1" t="s">
        <v>321</v>
      </c>
      <c r="C63" s="18">
        <v>50.214196735404776</v>
      </c>
      <c r="D63" s="18">
        <v>10.480951900385572</v>
      </c>
      <c r="E63" s="18">
        <v>3498.350315967682</v>
      </c>
      <c r="F63" s="18">
        <v>3.8554321618301355</v>
      </c>
      <c r="G63" s="18">
        <v>0</v>
      </c>
      <c r="H63" s="18">
        <f t="shared" si="0"/>
        <v>3.8554321618301355</v>
      </c>
      <c r="I63" s="18">
        <f t="shared" si="1"/>
        <v>10.480951900385572</v>
      </c>
      <c r="J63" s="18">
        <f t="shared" si="2"/>
        <v>50.214196735404776</v>
      </c>
      <c r="K63" s="18">
        <f t="shared" si="3"/>
        <v>907.38214786978631</v>
      </c>
      <c r="L63" s="18">
        <f t="shared" si="4"/>
        <v>-162.91356568155226</v>
      </c>
      <c r="M63" s="18">
        <f t="shared" si="5"/>
        <v>0.17954239684350848</v>
      </c>
      <c r="N63" s="18">
        <f t="shared" si="6"/>
        <v>0.23488203169668476</v>
      </c>
      <c r="O63" s="18">
        <f t="shared" si="7"/>
        <v>51.302626307243649</v>
      </c>
      <c r="P63" s="18">
        <f t="shared" si="8"/>
        <v>3554.8874338407841</v>
      </c>
      <c r="Q63" s="18">
        <f t="shared" si="9"/>
        <v>3595.2960328841259</v>
      </c>
    </row>
    <row r="64" spans="1:17" ht="21" customHeight="1">
      <c r="A64" s="1" t="s">
        <v>333</v>
      </c>
      <c r="B64" s="1" t="s">
        <v>322</v>
      </c>
      <c r="C64" s="18">
        <v>50.214196735404776</v>
      </c>
      <c r="D64" s="18">
        <v>10.480951900385572</v>
      </c>
      <c r="E64" s="18">
        <v>3357.7930120387573</v>
      </c>
      <c r="F64" s="18">
        <v>2.3365115147320541</v>
      </c>
      <c r="G64" s="18">
        <v>1.4349562500000002</v>
      </c>
      <c r="H64" s="18">
        <f t="shared" si="0"/>
        <v>2.7419674501878282</v>
      </c>
      <c r="I64" s="18">
        <f t="shared" si="1"/>
        <v>8.9311289231118245</v>
      </c>
      <c r="J64" s="18">
        <f t="shared" si="2"/>
        <v>50.512877988478216</v>
      </c>
      <c r="K64" s="18">
        <f t="shared" si="3"/>
        <v>1224.5925865417346</v>
      </c>
      <c r="L64" s="18">
        <f t="shared" si="4"/>
        <v>-190.13484221164543</v>
      </c>
      <c r="M64" s="18">
        <f t="shared" si="5"/>
        <v>0.15526375408542092</v>
      </c>
      <c r="N64" s="18">
        <f t="shared" si="6"/>
        <v>0.19651247512425005</v>
      </c>
      <c r="O64" s="18">
        <f t="shared" si="7"/>
        <v>51.299880180561665</v>
      </c>
      <c r="P64" s="18">
        <f t="shared" si="8"/>
        <v>3398.3472617322959</v>
      </c>
      <c r="Q64" s="18">
        <f t="shared" si="9"/>
        <v>3422.8361265328999</v>
      </c>
    </row>
    <row r="65" spans="1:17" ht="21" customHeight="1">
      <c r="A65" s="1" t="s">
        <v>333</v>
      </c>
      <c r="B65" s="1" t="s">
        <v>323</v>
      </c>
      <c r="C65" s="18">
        <v>50.214196735404776</v>
      </c>
      <c r="D65" s="18">
        <v>10.480951900385572</v>
      </c>
      <c r="E65" s="18">
        <v>3519.8122740351255</v>
      </c>
      <c r="F65" s="18">
        <v>1.32389775</v>
      </c>
      <c r="G65" s="18">
        <v>0</v>
      </c>
      <c r="H65" s="18">
        <f t="shared" si="0"/>
        <v>1.32389775</v>
      </c>
      <c r="I65" s="18">
        <f t="shared" si="1"/>
        <v>10.480951900385572</v>
      </c>
      <c r="J65" s="18">
        <f t="shared" si="2"/>
        <v>50.214196735404776</v>
      </c>
      <c r="K65" s="18">
        <f t="shared" si="3"/>
        <v>2658.6738092387614</v>
      </c>
      <c r="L65" s="18">
        <f t="shared" si="4"/>
        <v>-525.86382583872125</v>
      </c>
      <c r="M65" s="18">
        <f t="shared" si="5"/>
        <v>0.19779178025200767</v>
      </c>
      <c r="N65" s="18">
        <f t="shared" si="6"/>
        <v>0.2166787142417709</v>
      </c>
      <c r="O65" s="18">
        <f t="shared" si="7"/>
        <v>51.297084336196157</v>
      </c>
      <c r="P65" s="18">
        <f t="shared" si="8"/>
        <v>3588.8873515174473</v>
      </c>
      <c r="Q65" s="18">
        <f t="shared" si="9"/>
        <v>3602.7630601562264</v>
      </c>
    </row>
    <row r="66" spans="1:17" ht="21" customHeight="1">
      <c r="A66" s="1" t="s">
        <v>333</v>
      </c>
      <c r="B66" s="1" t="s">
        <v>324</v>
      </c>
      <c r="C66" s="18">
        <v>50.214196735404776</v>
      </c>
      <c r="D66" s="18">
        <v>10.480951900385572</v>
      </c>
      <c r="E66" s="18">
        <v>390.69563771469598</v>
      </c>
      <c r="F66" s="18">
        <v>1.32389775</v>
      </c>
      <c r="G66" s="18">
        <v>0</v>
      </c>
      <c r="H66" s="18">
        <f t="shared" si="0"/>
        <v>1.32389775</v>
      </c>
      <c r="I66" s="18">
        <f t="shared" si="1"/>
        <v>10.480951900385572</v>
      </c>
      <c r="J66" s="18">
        <f t="shared" si="2"/>
        <v>50.214196735404776</v>
      </c>
      <c r="K66" s="18">
        <f t="shared" si="3"/>
        <v>295.11013045735291</v>
      </c>
      <c r="L66" s="18">
        <f t="shared" si="4"/>
        <v>-35.978338466059668</v>
      </c>
      <c r="M66" s="18">
        <f t="shared" si="5"/>
        <v>0.12191495564825751</v>
      </c>
      <c r="N66" s="18">
        <f t="shared" si="6"/>
        <v>0.29206904916441129</v>
      </c>
      <c r="O66" s="18">
        <f t="shared" si="7"/>
        <v>51.355674699808162</v>
      </c>
      <c r="P66" s="18">
        <f t="shared" si="8"/>
        <v>393.60274051247137</v>
      </c>
      <c r="Q66" s="18">
        <f t="shared" si="9"/>
        <v>407.47844915125006</v>
      </c>
    </row>
    <row r="67" spans="1:17" ht="21" customHeight="1">
      <c r="A67" s="1" t="s">
        <v>334</v>
      </c>
      <c r="B67" s="1" t="s">
        <v>319</v>
      </c>
      <c r="C67" s="18">
        <v>60.968945491277559</v>
      </c>
      <c r="D67" s="18">
        <v>3.7392304385720312</v>
      </c>
      <c r="E67" s="18">
        <v>2205.000000000352</v>
      </c>
      <c r="F67" s="18">
        <v>1.32389775</v>
      </c>
      <c r="G67" s="18">
        <v>0</v>
      </c>
      <c r="H67" s="18">
        <f t="shared" si="0"/>
        <v>1.32389775</v>
      </c>
      <c r="I67" s="18">
        <f t="shared" si="1"/>
        <v>3.7392304385720312</v>
      </c>
      <c r="J67" s="18">
        <f t="shared" si="2"/>
        <v>60.968945491277559</v>
      </c>
      <c r="K67" s="18">
        <f t="shared" si="3"/>
        <v>1665.5364811975487</v>
      </c>
      <c r="L67" s="18">
        <f t="shared" si="4"/>
        <v>-71.593396421952392</v>
      </c>
      <c r="M67" s="18">
        <f t="shared" si="5"/>
        <v>4.2985186593136368E-2</v>
      </c>
      <c r="N67" s="18">
        <f t="shared" si="6"/>
        <v>7.9591376958561361E-2</v>
      </c>
      <c r="O67" s="18">
        <f t="shared" si="7"/>
        <v>61.086899331375285</v>
      </c>
      <c r="P67" s="18">
        <f t="shared" si="8"/>
        <v>2207.0374318981653</v>
      </c>
      <c r="Q67" s="18">
        <f t="shared" si="9"/>
        <v>2211.9877906625215</v>
      </c>
    </row>
    <row r="68" spans="1:17" ht="21" customHeight="1">
      <c r="A68" s="1" t="s">
        <v>334</v>
      </c>
      <c r="B68" s="1" t="s">
        <v>320</v>
      </c>
      <c r="C68" s="18">
        <v>60.968945491277559</v>
      </c>
      <c r="D68" s="18">
        <v>3.7392304385720312</v>
      </c>
      <c r="E68" s="18">
        <v>3327.9334146155516</v>
      </c>
      <c r="F68" s="18">
        <v>1.32389775</v>
      </c>
      <c r="G68" s="18">
        <v>3.4438949999999999</v>
      </c>
      <c r="H68" s="18">
        <f t="shared" si="0"/>
        <v>3.6895959160157443</v>
      </c>
      <c r="I68" s="18">
        <f t="shared" si="1"/>
        <v>1.3417075682647468</v>
      </c>
      <c r="J68" s="18">
        <f t="shared" si="2"/>
        <v>61.068764351281736</v>
      </c>
      <c r="K68" s="18">
        <f t="shared" si="3"/>
        <v>901.97774779880547</v>
      </c>
      <c r="L68" s="18">
        <f t="shared" si="4"/>
        <v>10.722912531753778</v>
      </c>
      <c r="M68" s="18">
        <f t="shared" si="5"/>
        <v>-1.1888222916720583E-2</v>
      </c>
      <c r="N68" s="18">
        <f t="shared" si="6"/>
        <v>5.5817177244552235E-2</v>
      </c>
      <c r="O68" s="18">
        <f t="shared" si="7"/>
        <v>61.095163567882601</v>
      </c>
      <c r="P68" s="18">
        <f t="shared" si="8"/>
        <v>3328.1685855406154</v>
      </c>
      <c r="Q68" s="18">
        <f t="shared" si="9"/>
        <v>3333.118944304972</v>
      </c>
    </row>
    <row r="69" spans="1:17" ht="21" customHeight="1">
      <c r="A69" s="1" t="s">
        <v>334</v>
      </c>
      <c r="B69" s="1" t="s">
        <v>321</v>
      </c>
      <c r="C69" s="18">
        <v>60.968945491277559</v>
      </c>
      <c r="D69" s="18">
        <v>3.7392304385720312</v>
      </c>
      <c r="E69" s="18">
        <v>3624.5354270910011</v>
      </c>
      <c r="F69" s="18">
        <v>3.8554321618301355</v>
      </c>
      <c r="G69" s="18">
        <v>0</v>
      </c>
      <c r="H69" s="18">
        <f t="shared" si="0"/>
        <v>3.8554321618301355</v>
      </c>
      <c r="I69" s="18">
        <f t="shared" si="1"/>
        <v>3.7392304385720312</v>
      </c>
      <c r="J69" s="18">
        <f t="shared" si="2"/>
        <v>60.968945491277559</v>
      </c>
      <c r="K69" s="18">
        <f t="shared" si="3"/>
        <v>940.11132214305906</v>
      </c>
      <c r="L69" s="18">
        <f t="shared" si="4"/>
        <v>-27.12646394297386</v>
      </c>
      <c r="M69" s="18">
        <f t="shared" si="5"/>
        <v>2.8854523186825271E-2</v>
      </c>
      <c r="N69" s="18">
        <f t="shared" si="6"/>
        <v>9.3707423109670548E-2</v>
      </c>
      <c r="O69" s="18">
        <f t="shared" si="7"/>
        <v>61.094166601851114</v>
      </c>
      <c r="P69" s="18">
        <f t="shared" si="8"/>
        <v>3626.0443959928543</v>
      </c>
      <c r="Q69" s="18">
        <f t="shared" si="9"/>
        <v>3640.4607452862197</v>
      </c>
    </row>
    <row r="70" spans="1:17" ht="21" customHeight="1">
      <c r="A70" s="1" t="s">
        <v>334</v>
      </c>
      <c r="B70" s="1" t="s">
        <v>322</v>
      </c>
      <c r="C70" s="18">
        <v>60.968945491277559</v>
      </c>
      <c r="D70" s="18">
        <v>3.7392304385720312</v>
      </c>
      <c r="E70" s="18">
        <v>3400.076717597849</v>
      </c>
      <c r="F70" s="18">
        <v>2.3365115147320541</v>
      </c>
      <c r="G70" s="18">
        <v>1.4349562500000002</v>
      </c>
      <c r="H70" s="18">
        <f t="shared" si="0"/>
        <v>2.7419674501878282</v>
      </c>
      <c r="I70" s="18">
        <f t="shared" si="1"/>
        <v>3.1863087854531829</v>
      </c>
      <c r="J70" s="18">
        <f t="shared" si="2"/>
        <v>61.000340940972301</v>
      </c>
      <c r="K70" s="18">
        <f t="shared" si="3"/>
        <v>1240.0135229048542</v>
      </c>
      <c r="L70" s="18">
        <f t="shared" si="4"/>
        <v>-34.235101558468045</v>
      </c>
      <c r="M70" s="18">
        <f t="shared" si="5"/>
        <v>2.7608651781691008E-2</v>
      </c>
      <c r="N70" s="18">
        <f t="shared" si="6"/>
        <v>7.6801938640428627E-2</v>
      </c>
      <c r="O70" s="18">
        <f t="shared" si="7"/>
        <v>61.089644153614834</v>
      </c>
      <c r="P70" s="18">
        <f t="shared" si="8"/>
        <v>3401.3726331599805</v>
      </c>
      <c r="Q70" s="18">
        <f t="shared" si="9"/>
        <v>3410.1093881359402</v>
      </c>
    </row>
    <row r="71" spans="1:17" ht="21" customHeight="1">
      <c r="A71" s="1" t="s">
        <v>334</v>
      </c>
      <c r="B71" s="1" t="s">
        <v>323</v>
      </c>
      <c r="C71" s="18">
        <v>60.968945491277559</v>
      </c>
      <c r="D71" s="18">
        <v>3.7392304385720312</v>
      </c>
      <c r="E71" s="18">
        <v>3510.0937706461709</v>
      </c>
      <c r="F71" s="18">
        <v>1.32389775</v>
      </c>
      <c r="G71" s="18">
        <v>0</v>
      </c>
      <c r="H71" s="18">
        <f t="shared" ref="H71:H134" si="10">SQRT(F71^2+G71^2)</f>
        <v>1.32389775</v>
      </c>
      <c r="I71" s="18">
        <f t="shared" ref="I71:I134" si="11">D71*F71/H71</f>
        <v>3.7392304385720312</v>
      </c>
      <c r="J71" s="18">
        <f t="shared" ref="J71:J134" si="12">SQRT(C71^2+D71^2-I71^2)</f>
        <v>60.968945491277559</v>
      </c>
      <c r="K71" s="18">
        <f t="shared" ref="K71:K134" si="13">E71/H71</f>
        <v>2651.3329829635036</v>
      </c>
      <c r="L71" s="18">
        <f t="shared" ref="L71:L134" si="14">J71/2-K71*ASINH(I71/(2*K71*SINH(J71/(2*K71))))</f>
        <v>-132.01665579964035</v>
      </c>
      <c r="M71" s="18">
        <f t="shared" ref="M71:M134" si="15">-L71/K71</f>
        <v>4.9792559685234224E-2</v>
      </c>
      <c r="N71" s="18">
        <f t="shared" ref="N71:N134" si="16">(J71-L71)/K71</f>
        <v>7.2788141863346784E-2</v>
      </c>
      <c r="O71" s="18">
        <f t="shared" ref="O71:O134" si="17">K71*(SINH(N71)-SINH(M71))</f>
        <v>61.084842355883062</v>
      </c>
      <c r="P71" s="18">
        <f t="shared" ref="P71:P134" si="18">E71*COSH(M71)</f>
        <v>3514.4459557198024</v>
      </c>
      <c r="Q71" s="18">
        <f t="shared" ref="Q71:Q134" si="19">E71*COSH(N71)</f>
        <v>3519.3963144841596</v>
      </c>
    </row>
    <row r="72" spans="1:17" ht="21" customHeight="1">
      <c r="A72" s="1" t="s">
        <v>334</v>
      </c>
      <c r="B72" s="1" t="s">
        <v>324</v>
      </c>
      <c r="C72" s="18">
        <v>60.968945491277559</v>
      </c>
      <c r="D72" s="18">
        <v>3.7392304385720312</v>
      </c>
      <c r="E72" s="18">
        <v>472.06588348373361</v>
      </c>
      <c r="F72" s="18">
        <v>1.32389775</v>
      </c>
      <c r="G72" s="18">
        <v>0</v>
      </c>
      <c r="H72" s="18">
        <f t="shared" si="10"/>
        <v>1.32389775</v>
      </c>
      <c r="I72" s="18">
        <f t="shared" si="11"/>
        <v>3.7392304385720312</v>
      </c>
      <c r="J72" s="18">
        <f t="shared" si="12"/>
        <v>60.968945491277559</v>
      </c>
      <c r="K72" s="18">
        <f t="shared" si="13"/>
        <v>356.57276665341686</v>
      </c>
      <c r="L72" s="18">
        <f t="shared" si="14"/>
        <v>8.6560891529620143</v>
      </c>
      <c r="M72" s="18">
        <f t="shared" si="15"/>
        <v>-2.4275799955793025E-2</v>
      </c>
      <c r="N72" s="18">
        <f t="shared" si="16"/>
        <v>0.14671018437356664</v>
      </c>
      <c r="O72" s="18">
        <f t="shared" si="17"/>
        <v>61.15766036563128</v>
      </c>
      <c r="P72" s="18">
        <f t="shared" si="18"/>
        <v>472.20498794131754</v>
      </c>
      <c r="Q72" s="18">
        <f t="shared" si="19"/>
        <v>477.15534670567462</v>
      </c>
    </row>
    <row r="73" spans="1:17" ht="21" customHeight="1">
      <c r="A73" s="1" t="s">
        <v>335</v>
      </c>
      <c r="B73" s="1" t="s">
        <v>319</v>
      </c>
      <c r="C73" s="18">
        <v>54.308189166692785</v>
      </c>
      <c r="D73" s="18">
        <v>3.5496813167091208</v>
      </c>
      <c r="E73" s="18">
        <v>2204.9999999995835</v>
      </c>
      <c r="F73" s="18">
        <v>1.32389775</v>
      </c>
      <c r="G73" s="18">
        <v>0</v>
      </c>
      <c r="H73" s="18">
        <f t="shared" si="10"/>
        <v>1.32389775</v>
      </c>
      <c r="I73" s="18">
        <f t="shared" si="11"/>
        <v>3.5496813167091208</v>
      </c>
      <c r="J73" s="18">
        <f t="shared" si="12"/>
        <v>54.308189166692785</v>
      </c>
      <c r="K73" s="18">
        <f t="shared" si="13"/>
        <v>1665.5364811969682</v>
      </c>
      <c r="L73" s="18">
        <f t="shared" si="14"/>
        <v>-81.626200828157195</v>
      </c>
      <c r="M73" s="18">
        <f t="shared" si="15"/>
        <v>4.9008954021526469E-2</v>
      </c>
      <c r="N73" s="18">
        <f t="shared" si="16"/>
        <v>8.161597871285188E-2</v>
      </c>
      <c r="O73" s="18">
        <f t="shared" si="17"/>
        <v>54.426473124127526</v>
      </c>
      <c r="P73" s="18">
        <f t="shared" si="18"/>
        <v>2207.6486000960026</v>
      </c>
      <c r="Q73" s="18">
        <f t="shared" si="19"/>
        <v>2212.3480152044108</v>
      </c>
    </row>
    <row r="74" spans="1:17" ht="21" customHeight="1">
      <c r="A74" s="1" t="s">
        <v>335</v>
      </c>
      <c r="B74" s="1" t="s">
        <v>320</v>
      </c>
      <c r="C74" s="18">
        <v>54.308189166692785</v>
      </c>
      <c r="D74" s="18">
        <v>3.5496813167091208</v>
      </c>
      <c r="E74" s="18">
        <v>3262.0392027672824</v>
      </c>
      <c r="F74" s="18">
        <v>1.32389775</v>
      </c>
      <c r="G74" s="18">
        <v>3.4438949999999999</v>
      </c>
      <c r="H74" s="18">
        <f t="shared" si="10"/>
        <v>3.6895959160157443</v>
      </c>
      <c r="I74" s="18">
        <f t="shared" si="11"/>
        <v>1.2736937093867351</v>
      </c>
      <c r="J74" s="18">
        <f t="shared" si="12"/>
        <v>54.409166069240115</v>
      </c>
      <c r="K74" s="18">
        <f t="shared" si="13"/>
        <v>884.1182820610436</v>
      </c>
      <c r="L74" s="18">
        <f t="shared" si="14"/>
        <v>6.5129327521894531</v>
      </c>
      <c r="M74" s="18">
        <f t="shared" si="15"/>
        <v>-7.3665853136829157E-3</v>
      </c>
      <c r="N74" s="18">
        <f t="shared" si="16"/>
        <v>5.4174010750457122E-2</v>
      </c>
      <c r="O74" s="18">
        <f t="shared" si="17"/>
        <v>54.432656244608502</v>
      </c>
      <c r="P74" s="18">
        <f t="shared" si="18"/>
        <v>3262.1277130218928</v>
      </c>
      <c r="Q74" s="18">
        <f t="shared" si="19"/>
        <v>3266.8271281303005</v>
      </c>
    </row>
    <row r="75" spans="1:17" ht="21" customHeight="1">
      <c r="A75" s="1" t="s">
        <v>335</v>
      </c>
      <c r="B75" s="1" t="s">
        <v>321</v>
      </c>
      <c r="C75" s="18">
        <v>54.308189166692785</v>
      </c>
      <c r="D75" s="18">
        <v>3.5496813167091208</v>
      </c>
      <c r="E75" s="18">
        <v>3563.5762128761207</v>
      </c>
      <c r="F75" s="18">
        <v>3.8554321618301355</v>
      </c>
      <c r="G75" s="18">
        <v>0</v>
      </c>
      <c r="H75" s="18">
        <f t="shared" si="10"/>
        <v>3.8554321618301355</v>
      </c>
      <c r="I75" s="18">
        <f t="shared" si="11"/>
        <v>3.5496813167091208</v>
      </c>
      <c r="J75" s="18">
        <f t="shared" si="12"/>
        <v>54.308189166692785</v>
      </c>
      <c r="K75" s="18">
        <f t="shared" si="13"/>
        <v>924.30006891484936</v>
      </c>
      <c r="L75" s="18">
        <f t="shared" si="14"/>
        <v>-33.208222342162045</v>
      </c>
      <c r="M75" s="18">
        <f t="shared" si="15"/>
        <v>3.5927966965478321E-2</v>
      </c>
      <c r="N75" s="18">
        <f t="shared" si="16"/>
        <v>9.4683982455612298E-2</v>
      </c>
      <c r="O75" s="18">
        <f t="shared" si="17"/>
        <v>54.431867963632115</v>
      </c>
      <c r="P75" s="18">
        <f t="shared" si="18"/>
        <v>3565.8764258937149</v>
      </c>
      <c r="Q75" s="18">
        <f t="shared" si="19"/>
        <v>3579.561981406403</v>
      </c>
    </row>
    <row r="76" spans="1:17" ht="21" customHeight="1">
      <c r="A76" s="1" t="s">
        <v>335</v>
      </c>
      <c r="B76" s="1" t="s">
        <v>322</v>
      </c>
      <c r="C76" s="18">
        <v>54.308189166692785</v>
      </c>
      <c r="D76" s="18">
        <v>3.5496813167091208</v>
      </c>
      <c r="E76" s="18">
        <v>3375.2617564585998</v>
      </c>
      <c r="F76" s="18">
        <v>2.3365115147320541</v>
      </c>
      <c r="G76" s="18">
        <v>1.4349562500000002</v>
      </c>
      <c r="H76" s="18">
        <f t="shared" si="10"/>
        <v>2.7419674501878282</v>
      </c>
      <c r="I76" s="18">
        <f t="shared" si="11"/>
        <v>3.0247883757890559</v>
      </c>
      <c r="J76" s="18">
        <f t="shared" si="12"/>
        <v>54.339951263294047</v>
      </c>
      <c r="K76" s="18">
        <f t="shared" si="13"/>
        <v>1230.9634661153218</v>
      </c>
      <c r="L76" s="18">
        <f t="shared" si="14"/>
        <v>-41.309695445761093</v>
      </c>
      <c r="M76" s="18">
        <f t="shared" si="15"/>
        <v>3.3558831421801945E-2</v>
      </c>
      <c r="N76" s="18">
        <f t="shared" si="16"/>
        <v>7.7703075145606537E-2</v>
      </c>
      <c r="O76" s="18">
        <f t="shared" si="17"/>
        <v>54.42847781912068</v>
      </c>
      <c r="P76" s="18">
        <f t="shared" si="18"/>
        <v>3377.1625365737273</v>
      </c>
      <c r="Q76" s="18">
        <f t="shared" si="19"/>
        <v>3385.456407843848</v>
      </c>
    </row>
    <row r="77" spans="1:17" ht="21" customHeight="1">
      <c r="A77" s="1" t="s">
        <v>335</v>
      </c>
      <c r="B77" s="1" t="s">
        <v>323</v>
      </c>
      <c r="C77" s="18">
        <v>54.308189166692785</v>
      </c>
      <c r="D77" s="18">
        <v>3.5496813167091208</v>
      </c>
      <c r="E77" s="18">
        <v>3530.4582294622733</v>
      </c>
      <c r="F77" s="18">
        <v>1.32389775</v>
      </c>
      <c r="G77" s="18">
        <v>0</v>
      </c>
      <c r="H77" s="18">
        <f t="shared" si="10"/>
        <v>1.32389775</v>
      </c>
      <c r="I77" s="18">
        <f t="shared" si="11"/>
        <v>3.5496813167091208</v>
      </c>
      <c r="J77" s="18">
        <f t="shared" si="12"/>
        <v>54.308189166692785</v>
      </c>
      <c r="K77" s="18">
        <f t="shared" si="13"/>
        <v>2666.7151820918748</v>
      </c>
      <c r="L77" s="18">
        <f t="shared" si="14"/>
        <v>-147.02035042545575</v>
      </c>
      <c r="M77" s="18">
        <f t="shared" si="15"/>
        <v>5.5131628384148354E-2</v>
      </c>
      <c r="N77" s="18">
        <f t="shared" si="16"/>
        <v>7.5496828811773817E-2</v>
      </c>
      <c r="O77" s="18">
        <f t="shared" si="17"/>
        <v>54.425008821625781</v>
      </c>
      <c r="P77" s="18">
        <f t="shared" si="18"/>
        <v>3535.8249962360619</v>
      </c>
      <c r="Q77" s="18">
        <f t="shared" si="19"/>
        <v>3540.524411344471</v>
      </c>
    </row>
    <row r="78" spans="1:17" ht="21" customHeight="1">
      <c r="A78" s="1" t="s">
        <v>335</v>
      </c>
      <c r="B78" s="1" t="s">
        <v>324</v>
      </c>
      <c r="C78" s="18">
        <v>54.308189166692785</v>
      </c>
      <c r="D78" s="18">
        <v>3.5496813167091208</v>
      </c>
      <c r="E78" s="18">
        <v>425.14367422730379</v>
      </c>
      <c r="F78" s="18">
        <v>1.32389775</v>
      </c>
      <c r="G78" s="18">
        <v>0</v>
      </c>
      <c r="H78" s="18">
        <f t="shared" si="10"/>
        <v>1.32389775</v>
      </c>
      <c r="I78" s="18">
        <f t="shared" si="11"/>
        <v>3.5496813167091208</v>
      </c>
      <c r="J78" s="18">
        <f t="shared" si="12"/>
        <v>54.308189166692785</v>
      </c>
      <c r="K78" s="18">
        <f t="shared" si="13"/>
        <v>321.13029441080613</v>
      </c>
      <c r="L78" s="18">
        <f t="shared" si="14"/>
        <v>6.2042939724699195</v>
      </c>
      <c r="M78" s="18">
        <f t="shared" si="15"/>
        <v>-1.9320176515433555E-2</v>
      </c>
      <c r="N78" s="18">
        <f t="shared" si="16"/>
        <v>0.14979556906171526</v>
      </c>
      <c r="O78" s="18">
        <f t="shared" si="17"/>
        <v>54.488675340491234</v>
      </c>
      <c r="P78" s="18">
        <f t="shared" si="18"/>
        <v>425.22302321942732</v>
      </c>
      <c r="Q78" s="18">
        <f t="shared" si="19"/>
        <v>429.92243832783561</v>
      </c>
    </row>
    <row r="79" spans="1:17" ht="21" customHeight="1">
      <c r="A79" s="1" t="s">
        <v>336</v>
      </c>
      <c r="B79" s="1" t="s">
        <v>319</v>
      </c>
      <c r="C79" s="18">
        <v>39.660903911063357</v>
      </c>
      <c r="D79" s="18">
        <v>11.714759849544771</v>
      </c>
      <c r="E79" s="18">
        <v>2205.0000000050732</v>
      </c>
      <c r="F79" s="18">
        <v>1.32389775</v>
      </c>
      <c r="G79" s="18">
        <v>0</v>
      </c>
      <c r="H79" s="18">
        <f t="shared" si="10"/>
        <v>1.32389775</v>
      </c>
      <c r="I79" s="18">
        <f t="shared" si="11"/>
        <v>11.714759849544771</v>
      </c>
      <c r="J79" s="18">
        <f t="shared" si="12"/>
        <v>39.660903911063357</v>
      </c>
      <c r="K79" s="18">
        <f t="shared" si="13"/>
        <v>1665.5364812011148</v>
      </c>
      <c r="L79" s="18">
        <f t="shared" si="14"/>
        <v>-465.22652522673383</v>
      </c>
      <c r="M79" s="18">
        <f t="shared" si="15"/>
        <v>0.27932532879209709</v>
      </c>
      <c r="N79" s="18">
        <f t="shared" si="16"/>
        <v>0.30313801879241553</v>
      </c>
      <c r="O79" s="18">
        <f t="shared" si="17"/>
        <v>41.35573996707631</v>
      </c>
      <c r="P79" s="18">
        <f t="shared" si="18"/>
        <v>2291.5807084734552</v>
      </c>
      <c r="Q79" s="18">
        <f t="shared" si="19"/>
        <v>2307.0898526800579</v>
      </c>
    </row>
    <row r="80" spans="1:17" ht="21" customHeight="1">
      <c r="A80" s="1" t="s">
        <v>336</v>
      </c>
      <c r="B80" s="1" t="s">
        <v>320</v>
      </c>
      <c r="C80" s="18">
        <v>39.660903911063357</v>
      </c>
      <c r="D80" s="18">
        <v>11.714759849544771</v>
      </c>
      <c r="E80" s="18">
        <v>3204.6101413700544</v>
      </c>
      <c r="F80" s="18">
        <v>1.32389775</v>
      </c>
      <c r="G80" s="18">
        <v>3.4438949999999999</v>
      </c>
      <c r="H80" s="18">
        <f t="shared" si="10"/>
        <v>3.6895959160157443</v>
      </c>
      <c r="I80" s="18">
        <f t="shared" si="11"/>
        <v>4.2034804243144333</v>
      </c>
      <c r="J80" s="18">
        <f t="shared" si="12"/>
        <v>41.140656894336438</v>
      </c>
      <c r="K80" s="18">
        <f t="shared" si="13"/>
        <v>868.5531462834532</v>
      </c>
      <c r="L80" s="18">
        <f t="shared" si="14"/>
        <v>-68.010756096967711</v>
      </c>
      <c r="M80" s="18">
        <f t="shared" si="15"/>
        <v>7.8303505534446968E-2</v>
      </c>
      <c r="N80" s="18">
        <f t="shared" si="16"/>
        <v>0.12567039041694111</v>
      </c>
      <c r="O80" s="18">
        <f t="shared" si="17"/>
        <v>41.358667474053753</v>
      </c>
      <c r="P80" s="18">
        <f t="shared" si="18"/>
        <v>3214.4395979901133</v>
      </c>
      <c r="Q80" s="18">
        <f t="shared" si="19"/>
        <v>3229.948742196716</v>
      </c>
    </row>
    <row r="81" spans="1:17" ht="21" customHeight="1">
      <c r="A81" s="1" t="s">
        <v>336</v>
      </c>
      <c r="B81" s="1" t="s">
        <v>321</v>
      </c>
      <c r="C81" s="18">
        <v>39.660903911063357</v>
      </c>
      <c r="D81" s="18">
        <v>11.714759849544771</v>
      </c>
      <c r="E81" s="18">
        <v>3385.3879458784295</v>
      </c>
      <c r="F81" s="18">
        <v>3.8554321618301355</v>
      </c>
      <c r="G81" s="18">
        <v>0</v>
      </c>
      <c r="H81" s="18">
        <f t="shared" si="10"/>
        <v>3.8554321618301355</v>
      </c>
      <c r="I81" s="18">
        <f t="shared" si="11"/>
        <v>11.714759849544771</v>
      </c>
      <c r="J81" s="18">
        <f t="shared" si="12"/>
        <v>39.660903911063357</v>
      </c>
      <c r="K81" s="18">
        <f t="shared" si="13"/>
        <v>878.08261273398193</v>
      </c>
      <c r="L81" s="18">
        <f t="shared" si="14"/>
        <v>-235.8797511443565</v>
      </c>
      <c r="M81" s="18">
        <f t="shared" si="15"/>
        <v>0.26863047704580512</v>
      </c>
      <c r="N81" s="18">
        <f t="shared" si="16"/>
        <v>0.31379809947210036</v>
      </c>
      <c r="O81" s="18">
        <f t="shared" si="17"/>
        <v>41.358074645235945</v>
      </c>
      <c r="P81" s="18">
        <f t="shared" si="18"/>
        <v>3508.2730063953195</v>
      </c>
      <c r="Q81" s="18">
        <f t="shared" si="19"/>
        <v>3553.4384682873706</v>
      </c>
    </row>
    <row r="82" spans="1:17" ht="21" customHeight="1">
      <c r="A82" s="1" t="s">
        <v>336</v>
      </c>
      <c r="B82" s="1" t="s">
        <v>322</v>
      </c>
      <c r="C82" s="18">
        <v>39.660903911063357</v>
      </c>
      <c r="D82" s="18">
        <v>11.714759849544771</v>
      </c>
      <c r="E82" s="18">
        <v>3321.3006037410223</v>
      </c>
      <c r="F82" s="18">
        <v>2.3365115147320541</v>
      </c>
      <c r="G82" s="18">
        <v>1.4349562500000002</v>
      </c>
      <c r="H82" s="18">
        <f t="shared" si="10"/>
        <v>2.7419674501878282</v>
      </c>
      <c r="I82" s="18">
        <f t="shared" si="11"/>
        <v>9.9824931469945462</v>
      </c>
      <c r="J82" s="18">
        <f t="shared" si="12"/>
        <v>40.131941492348879</v>
      </c>
      <c r="K82" s="18">
        <f t="shared" si="13"/>
        <v>1211.2837457328346</v>
      </c>
      <c r="L82" s="18">
        <f t="shared" si="14"/>
        <v>-278.19405932581526</v>
      </c>
      <c r="M82" s="18">
        <f t="shared" si="15"/>
        <v>0.22966877934740718</v>
      </c>
      <c r="N82" s="18">
        <f t="shared" si="16"/>
        <v>0.26280052212338967</v>
      </c>
      <c r="O82" s="18">
        <f t="shared" si="17"/>
        <v>41.356622584149854</v>
      </c>
      <c r="P82" s="18">
        <f t="shared" si="18"/>
        <v>3409.2818844227709</v>
      </c>
      <c r="Q82" s="18">
        <f t="shared" si="19"/>
        <v>3436.6535557035527</v>
      </c>
    </row>
    <row r="83" spans="1:17" ht="21" customHeight="1">
      <c r="A83" s="1" t="s">
        <v>336</v>
      </c>
      <c r="B83" s="1" t="s">
        <v>323</v>
      </c>
      <c r="C83" s="18">
        <v>39.660903911063357</v>
      </c>
      <c r="D83" s="18">
        <v>11.714759849544771</v>
      </c>
      <c r="E83" s="18">
        <v>3519.1176107752999</v>
      </c>
      <c r="F83" s="18">
        <v>1.32389775</v>
      </c>
      <c r="G83" s="18">
        <v>0</v>
      </c>
      <c r="H83" s="18">
        <f t="shared" si="10"/>
        <v>1.32389775</v>
      </c>
      <c r="I83" s="18">
        <f t="shared" si="11"/>
        <v>11.714759849544771</v>
      </c>
      <c r="J83" s="18">
        <f t="shared" si="12"/>
        <v>39.660903911063357</v>
      </c>
      <c r="K83" s="18">
        <f t="shared" si="13"/>
        <v>2658.1490985805362</v>
      </c>
      <c r="L83" s="18">
        <f t="shared" si="14"/>
        <v>-754.31756503610859</v>
      </c>
      <c r="M83" s="18">
        <f t="shared" si="15"/>
        <v>0.2837754907875249</v>
      </c>
      <c r="N83" s="18">
        <f t="shared" si="16"/>
        <v>0.29869598713298662</v>
      </c>
      <c r="O83" s="18">
        <f t="shared" si="17"/>
        <v>41.355194102874925</v>
      </c>
      <c r="P83" s="18">
        <f t="shared" si="18"/>
        <v>3661.7657214805254</v>
      </c>
      <c r="Q83" s="18">
        <f t="shared" si="19"/>
        <v>3677.2748656871281</v>
      </c>
    </row>
    <row r="84" spans="1:17" ht="21" customHeight="1">
      <c r="A84" s="1" t="s">
        <v>336</v>
      </c>
      <c r="B84" s="1" t="s">
        <v>324</v>
      </c>
      <c r="C84" s="18">
        <v>39.660903911063357</v>
      </c>
      <c r="D84" s="18">
        <v>11.714759849544771</v>
      </c>
      <c r="E84" s="18">
        <v>309.73578971866391</v>
      </c>
      <c r="F84" s="18">
        <v>1.32389775</v>
      </c>
      <c r="G84" s="18">
        <v>0</v>
      </c>
      <c r="H84" s="18">
        <f t="shared" si="10"/>
        <v>1.32389775</v>
      </c>
      <c r="I84" s="18">
        <f t="shared" si="11"/>
        <v>11.714759849544771</v>
      </c>
      <c r="J84" s="18">
        <f t="shared" si="12"/>
        <v>39.660903911063357</v>
      </c>
      <c r="K84" s="18">
        <f t="shared" si="13"/>
        <v>233.95748630788435</v>
      </c>
      <c r="L84" s="18">
        <f t="shared" si="14"/>
        <v>-48.227650078000529</v>
      </c>
      <c r="M84" s="18">
        <f t="shared" si="15"/>
        <v>0.20613852045979714</v>
      </c>
      <c r="N84" s="18">
        <f t="shared" si="16"/>
        <v>0.3756603619574026</v>
      </c>
      <c r="O84" s="18">
        <f t="shared" si="17"/>
        <v>41.40040464628435</v>
      </c>
      <c r="P84" s="18">
        <f t="shared" si="18"/>
        <v>316.33994135107025</v>
      </c>
      <c r="Q84" s="18">
        <f t="shared" si="19"/>
        <v>331.84908555767288</v>
      </c>
    </row>
    <row r="85" spans="1:17" ht="21" customHeight="1">
      <c r="A85" s="1" t="s">
        <v>337</v>
      </c>
      <c r="B85" s="1" t="s">
        <v>319</v>
      </c>
      <c r="C85" s="18">
        <v>71.825216136371367</v>
      </c>
      <c r="D85" s="18">
        <v>12.506880037556494</v>
      </c>
      <c r="E85" s="18">
        <v>2204.999999998543</v>
      </c>
      <c r="F85" s="18">
        <v>1.32389775</v>
      </c>
      <c r="G85" s="18">
        <v>0</v>
      </c>
      <c r="H85" s="18">
        <f t="shared" si="10"/>
        <v>1.32389775</v>
      </c>
      <c r="I85" s="18">
        <f t="shared" si="11"/>
        <v>12.506880037556494</v>
      </c>
      <c r="J85" s="18">
        <f t="shared" si="12"/>
        <v>71.825216136371367</v>
      </c>
      <c r="K85" s="18">
        <f t="shared" si="13"/>
        <v>1665.5364811961822</v>
      </c>
      <c r="L85" s="18">
        <f t="shared" si="14"/>
        <v>-252.63811258534676</v>
      </c>
      <c r="M85" s="18">
        <f t="shared" si="15"/>
        <v>0.15168572735428948</v>
      </c>
      <c r="N85" s="18">
        <f t="shared" si="16"/>
        <v>0.19481010015985345</v>
      </c>
      <c r="O85" s="18">
        <f t="shared" si="17"/>
        <v>72.911475574272558</v>
      </c>
      <c r="P85" s="18">
        <f t="shared" si="18"/>
        <v>2230.415612645857</v>
      </c>
      <c r="Q85" s="18">
        <f t="shared" si="19"/>
        <v>2246.9734429870978</v>
      </c>
    </row>
    <row r="86" spans="1:17" ht="21" customHeight="1">
      <c r="A86" s="1" t="s">
        <v>337</v>
      </c>
      <c r="B86" s="1" t="s">
        <v>320</v>
      </c>
      <c r="C86" s="18">
        <v>71.825216136371367</v>
      </c>
      <c r="D86" s="18">
        <v>12.506880037556494</v>
      </c>
      <c r="E86" s="18">
        <v>3468.2487052600072</v>
      </c>
      <c r="F86" s="18">
        <v>1.32389775</v>
      </c>
      <c r="G86" s="18">
        <v>3.4438949999999999</v>
      </c>
      <c r="H86" s="18">
        <f t="shared" si="10"/>
        <v>3.6895959160157443</v>
      </c>
      <c r="I86" s="18">
        <f t="shared" si="11"/>
        <v>4.4877083339579187</v>
      </c>
      <c r="J86" s="18">
        <f t="shared" si="12"/>
        <v>72.767741446465237</v>
      </c>
      <c r="K86" s="18">
        <f t="shared" si="13"/>
        <v>940.00773640416389</v>
      </c>
      <c r="L86" s="18">
        <f t="shared" si="14"/>
        <v>-21.536848071951098</v>
      </c>
      <c r="M86" s="18">
        <f t="shared" si="15"/>
        <v>2.2911351936672951E-2</v>
      </c>
      <c r="N86" s="18">
        <f t="shared" si="16"/>
        <v>0.10032320572079773</v>
      </c>
      <c r="O86" s="18">
        <f t="shared" si="17"/>
        <v>72.924128751561554</v>
      </c>
      <c r="P86" s="18">
        <f t="shared" si="18"/>
        <v>3469.1590390596707</v>
      </c>
      <c r="Q86" s="18">
        <f t="shared" si="19"/>
        <v>3485.7168694009119</v>
      </c>
    </row>
    <row r="87" spans="1:17" ht="21" customHeight="1">
      <c r="A87" s="1" t="s">
        <v>337</v>
      </c>
      <c r="B87" s="1" t="s">
        <v>321</v>
      </c>
      <c r="C87" s="18">
        <v>71.825216136371367</v>
      </c>
      <c r="D87" s="18">
        <v>12.506880037556494</v>
      </c>
      <c r="E87" s="18">
        <v>3702.6208739136673</v>
      </c>
      <c r="F87" s="18">
        <v>3.8554321618301355</v>
      </c>
      <c r="G87" s="18">
        <v>0</v>
      </c>
      <c r="H87" s="18">
        <f t="shared" si="10"/>
        <v>3.8554321618301355</v>
      </c>
      <c r="I87" s="18">
        <f t="shared" si="11"/>
        <v>12.506880037556494</v>
      </c>
      <c r="J87" s="18">
        <f t="shared" si="12"/>
        <v>71.825216136371367</v>
      </c>
      <c r="K87" s="18">
        <f t="shared" si="13"/>
        <v>960.36467988482775</v>
      </c>
      <c r="L87" s="18">
        <f t="shared" si="14"/>
        <v>-130.44294411240097</v>
      </c>
      <c r="M87" s="18">
        <f t="shared" si="15"/>
        <v>0.13582646971986143</v>
      </c>
      <c r="N87" s="18">
        <f t="shared" si="16"/>
        <v>0.21061599253424174</v>
      </c>
      <c r="O87" s="18">
        <f t="shared" si="17"/>
        <v>72.922485094605619</v>
      </c>
      <c r="P87" s="18">
        <f t="shared" si="18"/>
        <v>3736.8279267462613</v>
      </c>
      <c r="Q87" s="18">
        <f t="shared" si="19"/>
        <v>3785.0473542872087</v>
      </c>
    </row>
    <row r="88" spans="1:17" ht="21" customHeight="1">
      <c r="A88" s="1" t="s">
        <v>337</v>
      </c>
      <c r="B88" s="1" t="s">
        <v>322</v>
      </c>
      <c r="C88" s="18">
        <v>71.825216136371367</v>
      </c>
      <c r="D88" s="18">
        <v>12.506880037556494</v>
      </c>
      <c r="E88" s="18">
        <v>3440.8830709417498</v>
      </c>
      <c r="F88" s="18">
        <v>2.3365115147320541</v>
      </c>
      <c r="G88" s="18">
        <v>1.4349562500000002</v>
      </c>
      <c r="H88" s="18">
        <f t="shared" si="10"/>
        <v>2.7419674501878282</v>
      </c>
      <c r="I88" s="18">
        <f t="shared" si="11"/>
        <v>10.657482173656524</v>
      </c>
      <c r="J88" s="18">
        <f t="shared" si="12"/>
        <v>72.122824369463544</v>
      </c>
      <c r="K88" s="18">
        <f t="shared" si="13"/>
        <v>1254.8956665061962</v>
      </c>
      <c r="L88" s="18">
        <f t="shared" si="14"/>
        <v>-148.67910765204942</v>
      </c>
      <c r="M88" s="18">
        <f t="shared" si="15"/>
        <v>0.11847925817290668</v>
      </c>
      <c r="N88" s="18">
        <f t="shared" si="16"/>
        <v>0.17595242211351023</v>
      </c>
      <c r="O88" s="18">
        <f t="shared" si="17"/>
        <v>72.915812542483181</v>
      </c>
      <c r="P88" s="18">
        <f t="shared" si="18"/>
        <v>3465.0617483062292</v>
      </c>
      <c r="Q88" s="18">
        <f t="shared" si="19"/>
        <v>3494.2842175273522</v>
      </c>
    </row>
    <row r="89" spans="1:17" ht="21" customHeight="1">
      <c r="A89" s="1" t="s">
        <v>337</v>
      </c>
      <c r="B89" s="1" t="s">
        <v>323</v>
      </c>
      <c r="C89" s="18">
        <v>71.825216136371367</v>
      </c>
      <c r="D89" s="18">
        <v>12.506880037556494</v>
      </c>
      <c r="E89" s="18">
        <v>3459.9820325335595</v>
      </c>
      <c r="F89" s="18">
        <v>1.32389775</v>
      </c>
      <c r="G89" s="18">
        <v>0</v>
      </c>
      <c r="H89" s="18">
        <f t="shared" si="10"/>
        <v>1.32389775</v>
      </c>
      <c r="I89" s="18">
        <f t="shared" si="11"/>
        <v>12.506880037556494</v>
      </c>
      <c r="J89" s="18">
        <f t="shared" si="12"/>
        <v>71.825216136371367</v>
      </c>
      <c r="K89" s="18">
        <f t="shared" si="13"/>
        <v>2613.4813149531824</v>
      </c>
      <c r="L89" s="18">
        <f t="shared" si="14"/>
        <v>-416.88820721014946</v>
      </c>
      <c r="M89" s="18">
        <f t="shared" si="15"/>
        <v>0.15951451606900718</v>
      </c>
      <c r="N89" s="18">
        <f t="shared" si="16"/>
        <v>0.18699709867842523</v>
      </c>
      <c r="O89" s="18">
        <f t="shared" si="17"/>
        <v>72.908219245479813</v>
      </c>
      <c r="P89" s="18">
        <f t="shared" si="18"/>
        <v>3504.0948660584186</v>
      </c>
      <c r="Q89" s="18">
        <f t="shared" si="19"/>
        <v>3520.6526963996594</v>
      </c>
    </row>
    <row r="90" spans="1:17" ht="21" customHeight="1">
      <c r="A90" s="1" t="s">
        <v>337</v>
      </c>
      <c r="B90" s="1" t="s">
        <v>324</v>
      </c>
      <c r="C90" s="18">
        <v>71.825216136371367</v>
      </c>
      <c r="D90" s="18">
        <v>12.506880037556494</v>
      </c>
      <c r="E90" s="18">
        <v>541.1580867264388</v>
      </c>
      <c r="F90" s="18">
        <v>1.32389775</v>
      </c>
      <c r="G90" s="18">
        <v>0</v>
      </c>
      <c r="H90" s="18">
        <f t="shared" si="10"/>
        <v>1.32389775</v>
      </c>
      <c r="I90" s="18">
        <f t="shared" si="11"/>
        <v>12.506880037556494</v>
      </c>
      <c r="J90" s="18">
        <f t="shared" si="12"/>
        <v>71.825216136371367</v>
      </c>
      <c r="K90" s="18">
        <f t="shared" si="13"/>
        <v>408.76124060671515</v>
      </c>
      <c r="L90" s="18">
        <f t="shared" si="14"/>
        <v>-34.819726065499886</v>
      </c>
      <c r="M90" s="18">
        <f t="shared" si="15"/>
        <v>8.5183531623051506E-2</v>
      </c>
      <c r="N90" s="18">
        <f t="shared" si="16"/>
        <v>0.26089788269450537</v>
      </c>
      <c r="O90" s="18">
        <f t="shared" si="17"/>
        <v>72.997061174882205</v>
      </c>
      <c r="P90" s="18">
        <f t="shared" si="18"/>
        <v>543.12265911563145</v>
      </c>
      <c r="Q90" s="18">
        <f t="shared" si="19"/>
        <v>559.68048945687235</v>
      </c>
    </row>
    <row r="91" spans="1:17" ht="21" customHeight="1">
      <c r="A91" s="1" t="s">
        <v>338</v>
      </c>
      <c r="B91" s="1" t="s">
        <v>319</v>
      </c>
      <c r="C91" s="18">
        <v>71.825216134655349</v>
      </c>
      <c r="D91" s="18">
        <v>11.33055824912717</v>
      </c>
      <c r="E91" s="18">
        <v>2205.0000000021437</v>
      </c>
      <c r="F91" s="18">
        <v>1.32389775</v>
      </c>
      <c r="G91" s="18">
        <v>0</v>
      </c>
      <c r="H91" s="18">
        <f t="shared" si="10"/>
        <v>1.32389775</v>
      </c>
      <c r="I91" s="18">
        <f t="shared" si="11"/>
        <v>11.33055824912717</v>
      </c>
      <c r="J91" s="18">
        <f t="shared" si="12"/>
        <v>71.825216134655349</v>
      </c>
      <c r="K91" s="18">
        <f t="shared" si="13"/>
        <v>1665.536481198902</v>
      </c>
      <c r="L91" s="18">
        <f t="shared" si="14"/>
        <v>-225.73096423313885</v>
      </c>
      <c r="M91" s="18">
        <f t="shared" si="15"/>
        <v>0.13553048328947503</v>
      </c>
      <c r="N91" s="18">
        <f t="shared" si="16"/>
        <v>0.17865485609393827</v>
      </c>
      <c r="O91" s="18">
        <f t="shared" si="17"/>
        <v>72.71892994354495</v>
      </c>
      <c r="P91" s="18">
        <f t="shared" si="18"/>
        <v>2225.2823021887975</v>
      </c>
      <c r="Q91" s="18">
        <f t="shared" si="19"/>
        <v>2240.2828027610617</v>
      </c>
    </row>
    <row r="92" spans="1:17" ht="21" customHeight="1">
      <c r="A92" s="1" t="s">
        <v>338</v>
      </c>
      <c r="B92" s="1" t="s">
        <v>320</v>
      </c>
      <c r="C92" s="18">
        <v>71.825216134655349</v>
      </c>
      <c r="D92" s="18">
        <v>11.33055824912717</v>
      </c>
      <c r="E92" s="18">
        <v>3462.0103842420667</v>
      </c>
      <c r="F92" s="18">
        <v>1.32389775</v>
      </c>
      <c r="G92" s="18">
        <v>3.4438949999999999</v>
      </c>
      <c r="H92" s="18">
        <f t="shared" si="10"/>
        <v>3.6895959160157443</v>
      </c>
      <c r="I92" s="18">
        <f t="shared" si="11"/>
        <v>4.0656215243380567</v>
      </c>
      <c r="J92" s="18">
        <f t="shared" si="12"/>
        <v>72.599682813684922</v>
      </c>
      <c r="K92" s="18">
        <f t="shared" si="13"/>
        <v>938.31694934781945</v>
      </c>
      <c r="L92" s="18">
        <f t="shared" si="14"/>
        <v>-16.205905355536153</v>
      </c>
      <c r="M92" s="18">
        <f t="shared" si="15"/>
        <v>1.7271248661553142E-2</v>
      </c>
      <c r="N92" s="18">
        <f t="shared" si="16"/>
        <v>9.4643487183030964E-2</v>
      </c>
      <c r="O92" s="18">
        <f t="shared" si="17"/>
        <v>72.731514208598327</v>
      </c>
      <c r="P92" s="18">
        <f t="shared" si="18"/>
        <v>3462.5267490549622</v>
      </c>
      <c r="Q92" s="18">
        <f t="shared" si="19"/>
        <v>3477.5272496272255</v>
      </c>
    </row>
    <row r="93" spans="1:17" ht="21" customHeight="1">
      <c r="A93" s="1" t="s">
        <v>338</v>
      </c>
      <c r="B93" s="1" t="s">
        <v>321</v>
      </c>
      <c r="C93" s="18">
        <v>71.825216134655349</v>
      </c>
      <c r="D93" s="18">
        <v>11.33055824912717</v>
      </c>
      <c r="E93" s="18">
        <v>3707.2878241293593</v>
      </c>
      <c r="F93" s="18">
        <v>3.8554321618301355</v>
      </c>
      <c r="G93" s="18">
        <v>0</v>
      </c>
      <c r="H93" s="18">
        <f t="shared" si="10"/>
        <v>3.8554321618301355</v>
      </c>
      <c r="I93" s="18">
        <f t="shared" si="11"/>
        <v>11.33055824912717</v>
      </c>
      <c r="J93" s="18">
        <f t="shared" si="12"/>
        <v>71.825216134655349</v>
      </c>
      <c r="K93" s="18">
        <f t="shared" si="13"/>
        <v>961.57516680816047</v>
      </c>
      <c r="L93" s="18">
        <f t="shared" si="14"/>
        <v>-115.12058411926063</v>
      </c>
      <c r="M93" s="18">
        <f t="shared" si="15"/>
        <v>0.11972083732298362</v>
      </c>
      <c r="N93" s="18">
        <f t="shared" si="16"/>
        <v>0.19441621072064635</v>
      </c>
      <c r="O93" s="18">
        <f t="shared" si="17"/>
        <v>72.729926999736279</v>
      </c>
      <c r="P93" s="18">
        <f t="shared" si="18"/>
        <v>3733.8879976626713</v>
      </c>
      <c r="Q93" s="18">
        <f t="shared" si="19"/>
        <v>3777.5721963478459</v>
      </c>
    </row>
    <row r="94" spans="1:17" ht="21" customHeight="1">
      <c r="A94" s="1" t="s">
        <v>338</v>
      </c>
      <c r="B94" s="1" t="s">
        <v>322</v>
      </c>
      <c r="C94" s="18">
        <v>71.825216134655349</v>
      </c>
      <c r="D94" s="18">
        <v>11.33055824912717</v>
      </c>
      <c r="E94" s="18">
        <v>3441.2499387749986</v>
      </c>
      <c r="F94" s="18">
        <v>2.3365115147320541</v>
      </c>
      <c r="G94" s="18">
        <v>1.4349562500000002</v>
      </c>
      <c r="H94" s="18">
        <f t="shared" si="10"/>
        <v>2.7419674501878282</v>
      </c>
      <c r="I94" s="18">
        <f t="shared" si="11"/>
        <v>9.6551036065779687</v>
      </c>
      <c r="J94" s="18">
        <f t="shared" si="12"/>
        <v>72.069564986706169</v>
      </c>
      <c r="K94" s="18">
        <f t="shared" si="13"/>
        <v>1255.0294638031785</v>
      </c>
      <c r="L94" s="18">
        <f t="shared" si="14"/>
        <v>-131.57872164623208</v>
      </c>
      <c r="M94" s="18">
        <f t="shared" si="15"/>
        <v>0.10484114153583494</v>
      </c>
      <c r="N94" s="18">
        <f t="shared" si="16"/>
        <v>0.16226574156738335</v>
      </c>
      <c r="O94" s="18">
        <f t="shared" si="17"/>
        <v>72.72324725009139</v>
      </c>
      <c r="P94" s="18">
        <f t="shared" si="18"/>
        <v>3460.1798016584835</v>
      </c>
      <c r="Q94" s="18">
        <f t="shared" si="19"/>
        <v>3486.6537814759108</v>
      </c>
    </row>
    <row r="95" spans="1:17" ht="21" customHeight="1">
      <c r="A95" s="1" t="s">
        <v>338</v>
      </c>
      <c r="B95" s="1" t="s">
        <v>323</v>
      </c>
      <c r="C95" s="18">
        <v>71.825216134655349</v>
      </c>
      <c r="D95" s="18">
        <v>11.33055824912717</v>
      </c>
      <c r="E95" s="18">
        <v>3462.4574432628369</v>
      </c>
      <c r="F95" s="18">
        <v>1.32389775</v>
      </c>
      <c r="G95" s="18">
        <v>0</v>
      </c>
      <c r="H95" s="18">
        <f t="shared" si="10"/>
        <v>1.32389775</v>
      </c>
      <c r="I95" s="18">
        <f t="shared" si="11"/>
        <v>11.33055824912717</v>
      </c>
      <c r="J95" s="18">
        <f t="shared" si="12"/>
        <v>71.825216134655349</v>
      </c>
      <c r="K95" s="18">
        <f t="shared" si="13"/>
        <v>2615.3511049194221</v>
      </c>
      <c r="L95" s="18">
        <f t="shared" si="14"/>
        <v>-374.958649914842</v>
      </c>
      <c r="M95" s="18">
        <f t="shared" si="15"/>
        <v>0.14336837956844586</v>
      </c>
      <c r="N95" s="18">
        <f t="shared" si="16"/>
        <v>0.17083131408593899</v>
      </c>
      <c r="O95" s="18">
        <f t="shared" si="17"/>
        <v>72.715661800780481</v>
      </c>
      <c r="P95" s="18">
        <f t="shared" si="18"/>
        <v>3498.1029642228486</v>
      </c>
      <c r="Q95" s="18">
        <f t="shared" si="19"/>
        <v>3513.1034647951124</v>
      </c>
    </row>
    <row r="96" spans="1:17" ht="21" customHeight="1">
      <c r="A96" s="1" t="s">
        <v>338</v>
      </c>
      <c r="B96" s="1" t="s">
        <v>324</v>
      </c>
      <c r="C96" s="18">
        <v>71.825216134655349</v>
      </c>
      <c r="D96" s="18">
        <v>11.33055824912717</v>
      </c>
      <c r="E96" s="18">
        <v>542.11888517361149</v>
      </c>
      <c r="F96" s="18">
        <v>1.32389775</v>
      </c>
      <c r="G96" s="18">
        <v>0</v>
      </c>
      <c r="H96" s="18">
        <f t="shared" si="10"/>
        <v>1.32389775</v>
      </c>
      <c r="I96" s="18">
        <f t="shared" si="11"/>
        <v>11.33055824912717</v>
      </c>
      <c r="J96" s="18">
        <f t="shared" si="12"/>
        <v>71.825216134655349</v>
      </c>
      <c r="K96" s="18">
        <f t="shared" si="13"/>
        <v>409.48697523929735</v>
      </c>
      <c r="L96" s="18">
        <f t="shared" si="14"/>
        <v>-28.338012910009773</v>
      </c>
      <c r="M96" s="18">
        <f t="shared" si="15"/>
        <v>6.9203697854979415E-2</v>
      </c>
      <c r="N96" s="18">
        <f t="shared" si="16"/>
        <v>0.2446066300060738</v>
      </c>
      <c r="O96" s="18">
        <f t="shared" si="17"/>
        <v>72.80441839220336</v>
      </c>
      <c r="P96" s="18">
        <f t="shared" si="18"/>
        <v>543.41754815721151</v>
      </c>
      <c r="Q96" s="18">
        <f t="shared" si="19"/>
        <v>558.41804872947478</v>
      </c>
    </row>
    <row r="97" spans="1:17" ht="21" customHeight="1">
      <c r="A97" s="1" t="s">
        <v>339</v>
      </c>
      <c r="B97" s="1" t="s">
        <v>319</v>
      </c>
      <c r="C97" s="18">
        <v>71.825216136371367</v>
      </c>
      <c r="D97" s="18">
        <v>5.4867450671368712</v>
      </c>
      <c r="E97" s="18">
        <v>2204.99999999806</v>
      </c>
      <c r="F97" s="18">
        <v>1.32389775</v>
      </c>
      <c r="G97" s="18">
        <v>0</v>
      </c>
      <c r="H97" s="18">
        <f t="shared" si="10"/>
        <v>1.32389775</v>
      </c>
      <c r="I97" s="18">
        <f t="shared" si="11"/>
        <v>5.4867450671368712</v>
      </c>
      <c r="J97" s="18">
        <f t="shared" si="12"/>
        <v>71.825216136371367</v>
      </c>
      <c r="K97" s="18">
        <f t="shared" si="13"/>
        <v>1665.5364811958175</v>
      </c>
      <c r="L97" s="18">
        <f t="shared" si="14"/>
        <v>-91.184865790411976</v>
      </c>
      <c r="M97" s="18">
        <f t="shared" si="15"/>
        <v>5.4748044741081449E-2</v>
      </c>
      <c r="N97" s="18">
        <f t="shared" si="16"/>
        <v>9.7872417546654877E-2</v>
      </c>
      <c r="O97" s="18">
        <f t="shared" si="17"/>
        <v>72.04002771776031</v>
      </c>
      <c r="P97" s="18">
        <f t="shared" si="18"/>
        <v>2208.3054021087592</v>
      </c>
      <c r="Q97" s="18">
        <f t="shared" si="19"/>
        <v>2215.5692915579652</v>
      </c>
    </row>
    <row r="98" spans="1:17" ht="21" customHeight="1">
      <c r="A98" s="1" t="s">
        <v>339</v>
      </c>
      <c r="B98" s="1" t="s">
        <v>320</v>
      </c>
      <c r="C98" s="18">
        <v>71.825216136371367</v>
      </c>
      <c r="D98" s="18">
        <v>5.4867450671368712</v>
      </c>
      <c r="E98" s="18">
        <v>3439.9914011230685</v>
      </c>
      <c r="F98" s="18">
        <v>1.32389775</v>
      </c>
      <c r="G98" s="18">
        <v>3.4438949999999999</v>
      </c>
      <c r="H98" s="18">
        <f t="shared" si="10"/>
        <v>3.6895959160157443</v>
      </c>
      <c r="I98" s="18">
        <f t="shared" si="11"/>
        <v>1.9687493195867647</v>
      </c>
      <c r="J98" s="18">
        <f t="shared" si="12"/>
        <v>72.007569536714954</v>
      </c>
      <c r="K98" s="18">
        <f t="shared" si="13"/>
        <v>932.34909172324365</v>
      </c>
      <c r="L98" s="18">
        <f t="shared" si="14"/>
        <v>10.522059871971766</v>
      </c>
      <c r="M98" s="18">
        <f t="shared" si="15"/>
        <v>-1.1285536678674763E-2</v>
      </c>
      <c r="N98" s="18">
        <f t="shared" si="16"/>
        <v>6.5946875704142802E-2</v>
      </c>
      <c r="O98" s="18">
        <f t="shared" si="17"/>
        <v>72.05236923294909</v>
      </c>
      <c r="P98" s="18">
        <f t="shared" si="18"/>
        <v>3440.2104678421283</v>
      </c>
      <c r="Q98" s="18">
        <f t="shared" si="19"/>
        <v>3447.4743572913339</v>
      </c>
    </row>
    <row r="99" spans="1:17" ht="21" customHeight="1">
      <c r="A99" s="1" t="s">
        <v>339</v>
      </c>
      <c r="B99" s="1" t="s">
        <v>321</v>
      </c>
      <c r="C99" s="18">
        <v>71.825216136371367</v>
      </c>
      <c r="D99" s="18">
        <v>5.4867450671368712</v>
      </c>
      <c r="E99" s="18">
        <v>3723.9318788263226</v>
      </c>
      <c r="F99" s="18">
        <v>3.8554321618301355</v>
      </c>
      <c r="G99" s="18">
        <v>0</v>
      </c>
      <c r="H99" s="18">
        <f t="shared" si="10"/>
        <v>3.8554321618301355</v>
      </c>
      <c r="I99" s="18">
        <f t="shared" si="11"/>
        <v>5.4867450671368712</v>
      </c>
      <c r="J99" s="18">
        <f t="shared" si="12"/>
        <v>71.825216136371367</v>
      </c>
      <c r="K99" s="18">
        <f t="shared" si="13"/>
        <v>965.89220676589707</v>
      </c>
      <c r="L99" s="18">
        <f t="shared" si="14"/>
        <v>-37.78360199724434</v>
      </c>
      <c r="M99" s="18">
        <f t="shared" si="15"/>
        <v>3.9117824672957463E-2</v>
      </c>
      <c r="N99" s="18">
        <f t="shared" si="16"/>
        <v>0.11347934828112921</v>
      </c>
      <c r="O99" s="18">
        <f t="shared" si="17"/>
        <v>72.050979880234735</v>
      </c>
      <c r="P99" s="18">
        <f t="shared" si="18"/>
        <v>3726.7814302788738</v>
      </c>
      <c r="Q99" s="18">
        <f t="shared" si="19"/>
        <v>3747.9352036744763</v>
      </c>
    </row>
    <row r="100" spans="1:17" ht="21" customHeight="1">
      <c r="A100" s="1" t="s">
        <v>339</v>
      </c>
      <c r="B100" s="1" t="s">
        <v>322</v>
      </c>
      <c r="C100" s="18">
        <v>71.825216136371367</v>
      </c>
      <c r="D100" s="18">
        <v>5.4867450671368712</v>
      </c>
      <c r="E100" s="18">
        <v>3442.6427060546512</v>
      </c>
      <c r="F100" s="18">
        <v>2.3365115147320541</v>
      </c>
      <c r="G100" s="18">
        <v>1.4349562500000002</v>
      </c>
      <c r="H100" s="18">
        <f t="shared" si="10"/>
        <v>2.7419674501878282</v>
      </c>
      <c r="I100" s="18">
        <f t="shared" si="11"/>
        <v>4.675417655627685</v>
      </c>
      <c r="J100" s="18">
        <f t="shared" si="12"/>
        <v>71.882588393947373</v>
      </c>
      <c r="K100" s="18">
        <f t="shared" si="13"/>
        <v>1255.5374083010452</v>
      </c>
      <c r="L100" s="18">
        <f t="shared" si="14"/>
        <v>-45.653300909622132</v>
      </c>
      <c r="M100" s="18">
        <f t="shared" si="15"/>
        <v>3.6361561676922699E-2</v>
      </c>
      <c r="N100" s="18">
        <f t="shared" si="16"/>
        <v>9.3614008253736919E-2</v>
      </c>
      <c r="O100" s="18">
        <f t="shared" si="17"/>
        <v>72.04427536032739</v>
      </c>
      <c r="P100" s="18">
        <f t="shared" si="18"/>
        <v>3444.9188245139558</v>
      </c>
      <c r="Q100" s="18">
        <f t="shared" si="19"/>
        <v>3457.7386675417201</v>
      </c>
    </row>
    <row r="101" spans="1:17" ht="21" customHeight="1">
      <c r="A101" s="1" t="s">
        <v>339</v>
      </c>
      <c r="B101" s="1" t="s">
        <v>323</v>
      </c>
      <c r="C101" s="18">
        <v>71.825216136371367</v>
      </c>
      <c r="D101" s="18">
        <v>5.4867450671368712</v>
      </c>
      <c r="E101" s="18">
        <v>3471.2328873501301</v>
      </c>
      <c r="F101" s="18">
        <v>1.32389775</v>
      </c>
      <c r="G101" s="18">
        <v>0</v>
      </c>
      <c r="H101" s="18">
        <f t="shared" si="10"/>
        <v>1.32389775</v>
      </c>
      <c r="I101" s="18">
        <f t="shared" si="11"/>
        <v>5.4867450671368712</v>
      </c>
      <c r="J101" s="18">
        <f t="shared" si="12"/>
        <v>71.825216136371367</v>
      </c>
      <c r="K101" s="18">
        <f t="shared" si="13"/>
        <v>2621.9795957430474</v>
      </c>
      <c r="L101" s="18">
        <f t="shared" si="14"/>
        <v>-164.18049114325819</v>
      </c>
      <c r="M101" s="18">
        <f t="shared" si="15"/>
        <v>6.2616998015474948E-2</v>
      </c>
      <c r="N101" s="18">
        <f t="shared" si="16"/>
        <v>9.0010504911174752E-2</v>
      </c>
      <c r="O101" s="18">
        <f t="shared" si="17"/>
        <v>72.036717409724957</v>
      </c>
      <c r="P101" s="18">
        <f t="shared" si="18"/>
        <v>3478.0402696141105</v>
      </c>
      <c r="Q101" s="18">
        <f t="shared" si="19"/>
        <v>3485.3041590633165</v>
      </c>
    </row>
    <row r="102" spans="1:17" ht="21" customHeight="1">
      <c r="A102" s="1" t="s">
        <v>339</v>
      </c>
      <c r="B102" s="1" t="s">
        <v>324</v>
      </c>
      <c r="C102" s="18">
        <v>71.825216136371367</v>
      </c>
      <c r="D102" s="18">
        <v>5.4867450671368712</v>
      </c>
      <c r="E102" s="18">
        <v>545.55157347665477</v>
      </c>
      <c r="F102" s="18">
        <v>1.32389775</v>
      </c>
      <c r="G102" s="18">
        <v>0</v>
      </c>
      <c r="H102" s="18">
        <f t="shared" si="10"/>
        <v>1.32389775</v>
      </c>
      <c r="I102" s="18">
        <f t="shared" si="11"/>
        <v>5.4867450671368712</v>
      </c>
      <c r="J102" s="18">
        <f t="shared" si="12"/>
        <v>71.825216136371367</v>
      </c>
      <c r="K102" s="18">
        <f t="shared" si="13"/>
        <v>412.07984036278845</v>
      </c>
      <c r="L102" s="18">
        <f t="shared" si="14"/>
        <v>4.5039647133948186</v>
      </c>
      <c r="M102" s="18">
        <f t="shared" si="15"/>
        <v>-1.0929835124740878E-2</v>
      </c>
      <c r="N102" s="18">
        <f t="shared" si="16"/>
        <v>0.16336943676669066</v>
      </c>
      <c r="O102" s="18">
        <f t="shared" si="17"/>
        <v>72.125168266523076</v>
      </c>
      <c r="P102" s="18">
        <f t="shared" si="18"/>
        <v>545.58415995001599</v>
      </c>
      <c r="Q102" s="18">
        <f t="shared" si="19"/>
        <v>552.84804939922219</v>
      </c>
    </row>
    <row r="103" spans="1:17" ht="21" customHeight="1">
      <c r="A103" s="1" t="s">
        <v>340</v>
      </c>
      <c r="B103" s="1" t="s">
        <v>319</v>
      </c>
      <c r="C103" s="18">
        <v>48.166378315169183</v>
      </c>
      <c r="D103" s="18">
        <v>2.3357816921919952</v>
      </c>
      <c r="E103" s="18">
        <v>2204.999999998463</v>
      </c>
      <c r="F103" s="18">
        <v>1.32389775</v>
      </c>
      <c r="G103" s="18">
        <v>0</v>
      </c>
      <c r="H103" s="18">
        <f t="shared" si="10"/>
        <v>1.32389775</v>
      </c>
      <c r="I103" s="18">
        <f t="shared" si="11"/>
        <v>2.3357816921919952</v>
      </c>
      <c r="J103" s="18">
        <f t="shared" si="12"/>
        <v>48.166378315169183</v>
      </c>
      <c r="K103" s="18">
        <f t="shared" si="13"/>
        <v>1665.5364811961217</v>
      </c>
      <c r="L103" s="18">
        <f t="shared" si="14"/>
        <v>-56.650948788294393</v>
      </c>
      <c r="M103" s="18">
        <f t="shared" si="15"/>
        <v>3.4013634302149869E-2</v>
      </c>
      <c r="N103" s="18">
        <f t="shared" si="16"/>
        <v>6.2933071888156999E-2</v>
      </c>
      <c r="O103" s="18">
        <f t="shared" si="17"/>
        <v>48.224657301386429</v>
      </c>
      <c r="P103" s="18">
        <f t="shared" si="18"/>
        <v>2206.2756353447103</v>
      </c>
      <c r="Q103" s="18">
        <f t="shared" si="19"/>
        <v>2209.3679714714945</v>
      </c>
    </row>
    <row r="104" spans="1:17" ht="21" customHeight="1">
      <c r="A104" s="1" t="s">
        <v>340</v>
      </c>
      <c r="B104" s="1" t="s">
        <v>320</v>
      </c>
      <c r="C104" s="18">
        <v>48.166378315169183</v>
      </c>
      <c r="D104" s="18">
        <v>2.3357816921919952</v>
      </c>
      <c r="E104" s="18">
        <v>3200.1816271652233</v>
      </c>
      <c r="F104" s="18">
        <v>1.32389775</v>
      </c>
      <c r="G104" s="18">
        <v>3.4438949999999999</v>
      </c>
      <c r="H104" s="18">
        <f t="shared" si="10"/>
        <v>3.6895959160157443</v>
      </c>
      <c r="I104" s="18">
        <f t="shared" si="11"/>
        <v>0.83812325175258551</v>
      </c>
      <c r="J104" s="18">
        <f t="shared" si="12"/>
        <v>48.215696879008718</v>
      </c>
      <c r="K104" s="18">
        <f t="shared" si="13"/>
        <v>867.35287549347106</v>
      </c>
      <c r="L104" s="18">
        <f t="shared" si="14"/>
        <v>9.0335370155689443</v>
      </c>
      <c r="M104" s="18">
        <f t="shared" si="15"/>
        <v>-1.0415065506561457E-2</v>
      </c>
      <c r="N104" s="18">
        <f t="shared" si="16"/>
        <v>4.517441628489155E-2</v>
      </c>
      <c r="O104" s="18">
        <f t="shared" si="17"/>
        <v>48.22918824418101</v>
      </c>
      <c r="P104" s="18">
        <f t="shared" si="18"/>
        <v>3200.3551963282716</v>
      </c>
      <c r="Q104" s="18">
        <f t="shared" si="19"/>
        <v>3203.4475324550563</v>
      </c>
    </row>
    <row r="105" spans="1:17" ht="21" customHeight="1">
      <c r="A105" s="1" t="s">
        <v>340</v>
      </c>
      <c r="B105" s="1" t="s">
        <v>321</v>
      </c>
      <c r="C105" s="18">
        <v>48.166378315169183</v>
      </c>
      <c r="D105" s="18">
        <v>2.3357816921919952</v>
      </c>
      <c r="E105" s="18">
        <v>3511.0737153095606</v>
      </c>
      <c r="F105" s="18">
        <v>3.8554321618301355</v>
      </c>
      <c r="G105" s="18">
        <v>0</v>
      </c>
      <c r="H105" s="18">
        <f t="shared" si="10"/>
        <v>3.8554321618301355</v>
      </c>
      <c r="I105" s="18">
        <f t="shared" si="11"/>
        <v>2.3357816921919952</v>
      </c>
      <c r="J105" s="18">
        <f t="shared" si="12"/>
        <v>48.166378315169183</v>
      </c>
      <c r="K105" s="18">
        <f t="shared" si="13"/>
        <v>910.6822706077362</v>
      </c>
      <c r="L105" s="18">
        <f t="shared" si="14"/>
        <v>-20.057030145840997</v>
      </c>
      <c r="M105" s="18">
        <f t="shared" si="15"/>
        <v>2.2024179884885763E-2</v>
      </c>
      <c r="N105" s="18">
        <f t="shared" si="16"/>
        <v>7.4914611454422908E-2</v>
      </c>
      <c r="O105" s="18">
        <f t="shared" si="17"/>
        <v>48.228588583729596</v>
      </c>
      <c r="P105" s="18">
        <f t="shared" si="18"/>
        <v>3511.925298338841</v>
      </c>
      <c r="Q105" s="18">
        <f t="shared" si="19"/>
        <v>3520.9307461979324</v>
      </c>
    </row>
    <row r="106" spans="1:17" ht="21" customHeight="1">
      <c r="A106" s="1" t="s">
        <v>340</v>
      </c>
      <c r="B106" s="1" t="s">
        <v>322</v>
      </c>
      <c r="C106" s="18">
        <v>48.166378315169183</v>
      </c>
      <c r="D106" s="18">
        <v>2.3357816921919952</v>
      </c>
      <c r="E106" s="18">
        <v>3353.9147208765644</v>
      </c>
      <c r="F106" s="18">
        <v>2.3365115147320541</v>
      </c>
      <c r="G106" s="18">
        <v>1.4349562500000002</v>
      </c>
      <c r="H106" s="18">
        <f t="shared" si="10"/>
        <v>2.7419674501878282</v>
      </c>
      <c r="I106" s="18">
        <f t="shared" si="11"/>
        <v>1.9903886238084512</v>
      </c>
      <c r="J106" s="18">
        <f t="shared" si="12"/>
        <v>48.181886941461656</v>
      </c>
      <c r="K106" s="18">
        <f t="shared" si="13"/>
        <v>1223.178167431133</v>
      </c>
      <c r="L106" s="18">
        <f t="shared" si="14"/>
        <v>-26.420792216678485</v>
      </c>
      <c r="M106" s="18">
        <f t="shared" si="15"/>
        <v>2.1600117562731121E-2</v>
      </c>
      <c r="N106" s="18">
        <f t="shared" si="16"/>
        <v>6.0990852473125426E-2</v>
      </c>
      <c r="O106" s="18">
        <f t="shared" si="17"/>
        <v>48.226093213594602</v>
      </c>
      <c r="P106" s="18">
        <f t="shared" si="18"/>
        <v>3354.6971610403489</v>
      </c>
      <c r="Q106" s="18">
        <f t="shared" si="19"/>
        <v>3360.1547418600558</v>
      </c>
    </row>
    <row r="107" spans="1:17" ht="21" customHeight="1">
      <c r="A107" s="1" t="s">
        <v>340</v>
      </c>
      <c r="B107" s="1" t="s">
        <v>323</v>
      </c>
      <c r="C107" s="18">
        <v>48.166378315169183</v>
      </c>
      <c r="D107" s="18">
        <v>2.3357816921919952</v>
      </c>
      <c r="E107" s="18">
        <v>3548.7483634384689</v>
      </c>
      <c r="F107" s="18">
        <v>1.32389775</v>
      </c>
      <c r="G107" s="18">
        <v>0</v>
      </c>
      <c r="H107" s="18">
        <f t="shared" si="10"/>
        <v>1.32389775</v>
      </c>
      <c r="I107" s="18">
        <f t="shared" si="11"/>
        <v>2.3357816921919952</v>
      </c>
      <c r="J107" s="18">
        <f t="shared" si="12"/>
        <v>48.166378315169183</v>
      </c>
      <c r="K107" s="18">
        <f t="shared" si="13"/>
        <v>2680.5305496126639</v>
      </c>
      <c r="L107" s="18">
        <f t="shared" si="14"/>
        <v>-105.85389226536446</v>
      </c>
      <c r="M107" s="18">
        <f t="shared" si="15"/>
        <v>3.9489903325541406E-2</v>
      </c>
      <c r="N107" s="18">
        <f t="shared" si="16"/>
        <v>5.7458875297201714E-2</v>
      </c>
      <c r="O107" s="18">
        <f t="shared" si="17"/>
        <v>48.223628036642921</v>
      </c>
      <c r="P107" s="18">
        <f t="shared" si="18"/>
        <v>3551.5157752386035</v>
      </c>
      <c r="Q107" s="18">
        <f t="shared" si="19"/>
        <v>3554.6081113653881</v>
      </c>
    </row>
    <row r="108" spans="1:17" ht="21" customHeight="1">
      <c r="A108" s="1" t="s">
        <v>340</v>
      </c>
      <c r="B108" s="1" t="s">
        <v>324</v>
      </c>
      <c r="C108" s="18">
        <v>48.166378315169183</v>
      </c>
      <c r="D108" s="18">
        <v>2.3357816921919952</v>
      </c>
      <c r="E108" s="18">
        <v>381.16288781208254</v>
      </c>
      <c r="F108" s="18">
        <v>1.32389775</v>
      </c>
      <c r="G108" s="18">
        <v>0</v>
      </c>
      <c r="H108" s="18">
        <f t="shared" si="10"/>
        <v>1.32389775</v>
      </c>
      <c r="I108" s="18">
        <f t="shared" si="11"/>
        <v>2.3357816921919952</v>
      </c>
      <c r="J108" s="18">
        <f t="shared" si="12"/>
        <v>48.166378315169183</v>
      </c>
      <c r="K108" s="18">
        <f t="shared" si="13"/>
        <v>287.90961221293907</v>
      </c>
      <c r="L108" s="18">
        <f t="shared" si="14"/>
        <v>10.143008600163897</v>
      </c>
      <c r="M108" s="18">
        <f t="shared" si="15"/>
        <v>-3.5229836621995407E-2</v>
      </c>
      <c r="N108" s="18">
        <f t="shared" si="16"/>
        <v>0.13206703806360956</v>
      </c>
      <c r="O108" s="18">
        <f t="shared" si="17"/>
        <v>48.279105080779502</v>
      </c>
      <c r="P108" s="18">
        <f t="shared" si="18"/>
        <v>381.39945079580195</v>
      </c>
      <c r="Q108" s="18">
        <f t="shared" si="19"/>
        <v>384.49178692258613</v>
      </c>
    </row>
    <row r="109" spans="1:17" ht="21" customHeight="1">
      <c r="A109" s="1" t="s">
        <v>341</v>
      </c>
      <c r="B109" s="1" t="s">
        <v>319</v>
      </c>
      <c r="C109" s="18">
        <v>48.046408433492083</v>
      </c>
      <c r="D109" s="18">
        <v>4.0813237124497395</v>
      </c>
      <c r="E109" s="18">
        <v>2205.000000000502</v>
      </c>
      <c r="F109" s="18">
        <v>1.32389775</v>
      </c>
      <c r="G109" s="18">
        <v>0</v>
      </c>
      <c r="H109" s="18">
        <f t="shared" si="10"/>
        <v>1.32389775</v>
      </c>
      <c r="I109" s="18">
        <f t="shared" si="11"/>
        <v>4.0813237124497395</v>
      </c>
      <c r="J109" s="18">
        <f t="shared" si="12"/>
        <v>48.046408433492083</v>
      </c>
      <c r="K109" s="18">
        <f t="shared" si="13"/>
        <v>1665.5364811976619</v>
      </c>
      <c r="L109" s="18">
        <f t="shared" si="14"/>
        <v>-117.28205474889127</v>
      </c>
      <c r="M109" s="18">
        <f t="shared" si="15"/>
        <v>7.041698340018078E-2</v>
      </c>
      <c r="N109" s="18">
        <f t="shared" si="16"/>
        <v>9.9264390212274525E-2</v>
      </c>
      <c r="O109" s="18">
        <f t="shared" si="17"/>
        <v>48.221101784856089</v>
      </c>
      <c r="P109" s="18">
        <f t="shared" si="18"/>
        <v>2210.4690624111613</v>
      </c>
      <c r="Q109" s="18">
        <f t="shared" si="19"/>
        <v>2215.8723176910953</v>
      </c>
    </row>
    <row r="110" spans="1:17" ht="21" customHeight="1">
      <c r="A110" s="1" t="s">
        <v>341</v>
      </c>
      <c r="B110" s="1" t="s">
        <v>320</v>
      </c>
      <c r="C110" s="18">
        <v>48.046408433492083</v>
      </c>
      <c r="D110" s="18">
        <v>4.0813237124497395</v>
      </c>
      <c r="E110" s="18">
        <v>3204.0734314501678</v>
      </c>
      <c r="F110" s="18">
        <v>1.32389775</v>
      </c>
      <c r="G110" s="18">
        <v>3.4438949999999999</v>
      </c>
      <c r="H110" s="18">
        <f t="shared" si="10"/>
        <v>3.6895959160157443</v>
      </c>
      <c r="I110" s="18">
        <f t="shared" si="11"/>
        <v>1.4644571933960262</v>
      </c>
      <c r="J110" s="18">
        <f t="shared" si="12"/>
        <v>48.19719838053301</v>
      </c>
      <c r="K110" s="18">
        <f t="shared" si="13"/>
        <v>868.40768051102089</v>
      </c>
      <c r="L110" s="18">
        <f t="shared" si="14"/>
        <v>-2.2802605429316252</v>
      </c>
      <c r="M110" s="18">
        <f t="shared" si="15"/>
        <v>2.6257949971029608E-3</v>
      </c>
      <c r="N110" s="18">
        <f t="shared" si="16"/>
        <v>5.8126453803081068E-2</v>
      </c>
      <c r="O110" s="18">
        <f t="shared" si="17"/>
        <v>48.225625131596843</v>
      </c>
      <c r="P110" s="18">
        <f t="shared" si="18"/>
        <v>3204.0844771782477</v>
      </c>
      <c r="Q110" s="18">
        <f t="shared" si="19"/>
        <v>3209.4877324581817</v>
      </c>
    </row>
    <row r="111" spans="1:17" ht="21" customHeight="1">
      <c r="A111" s="1" t="s">
        <v>341</v>
      </c>
      <c r="B111" s="1" t="s">
        <v>321</v>
      </c>
      <c r="C111" s="18">
        <v>48.046408433492083</v>
      </c>
      <c r="D111" s="18">
        <v>4.0813237124497395</v>
      </c>
      <c r="E111" s="18">
        <v>3506.4131900135153</v>
      </c>
      <c r="F111" s="18">
        <v>3.8554321618301355</v>
      </c>
      <c r="G111" s="18">
        <v>0</v>
      </c>
      <c r="H111" s="18">
        <f t="shared" si="10"/>
        <v>3.8554321618301355</v>
      </c>
      <c r="I111" s="18">
        <f t="shared" si="11"/>
        <v>4.0813237124497395</v>
      </c>
      <c r="J111" s="18">
        <f t="shared" si="12"/>
        <v>48.046408433492083</v>
      </c>
      <c r="K111" s="18">
        <f t="shared" si="13"/>
        <v>909.47345014340897</v>
      </c>
      <c r="L111" s="18">
        <f t="shared" si="14"/>
        <v>-53.130866149978473</v>
      </c>
      <c r="M111" s="18">
        <f t="shared" si="15"/>
        <v>5.8419370176887087E-2</v>
      </c>
      <c r="N111" s="18">
        <f t="shared" si="16"/>
        <v>0.11124818934243388</v>
      </c>
      <c r="O111" s="18">
        <f t="shared" si="17"/>
        <v>48.225009102867908</v>
      </c>
      <c r="P111" s="18">
        <f t="shared" si="18"/>
        <v>3512.3982753540927</v>
      </c>
      <c r="Q111" s="18">
        <f t="shared" si="19"/>
        <v>3528.1335420579112</v>
      </c>
    </row>
    <row r="112" spans="1:17" ht="21" customHeight="1">
      <c r="A112" s="1" t="s">
        <v>341</v>
      </c>
      <c r="B112" s="1" t="s">
        <v>322</v>
      </c>
      <c r="C112" s="18">
        <v>48.046408433492083</v>
      </c>
      <c r="D112" s="18">
        <v>4.0813237124497395</v>
      </c>
      <c r="E112" s="18">
        <v>3353.0929018638944</v>
      </c>
      <c r="F112" s="18">
        <v>2.3365115147320541</v>
      </c>
      <c r="G112" s="18">
        <v>1.4349562500000002</v>
      </c>
      <c r="H112" s="18">
        <f t="shared" si="10"/>
        <v>2.7419674501878282</v>
      </c>
      <c r="I112" s="18">
        <f t="shared" si="11"/>
        <v>3.4778165761357087</v>
      </c>
      <c r="J112" s="18">
        <f t="shared" si="12"/>
        <v>48.093859883216894</v>
      </c>
      <c r="K112" s="18">
        <f t="shared" si="13"/>
        <v>1222.8784486971949</v>
      </c>
      <c r="L112" s="18">
        <f t="shared" si="14"/>
        <v>-64.300640975968633</v>
      </c>
      <c r="M112" s="18">
        <f t="shared" si="15"/>
        <v>5.2581383738074645E-2</v>
      </c>
      <c r="N112" s="18">
        <f t="shared" si="16"/>
        <v>9.1909789545253709E-2</v>
      </c>
      <c r="O112" s="18">
        <f t="shared" si="17"/>
        <v>48.222533274659234</v>
      </c>
      <c r="P112" s="18">
        <f t="shared" si="18"/>
        <v>3357.7292887800072</v>
      </c>
      <c r="Q112" s="18">
        <f t="shared" si="19"/>
        <v>3367.2653486294948</v>
      </c>
    </row>
    <row r="113" spans="1:17" ht="21" customHeight="1">
      <c r="A113" s="1" t="s">
        <v>341</v>
      </c>
      <c r="B113" s="1" t="s">
        <v>323</v>
      </c>
      <c r="C113" s="18">
        <v>48.046408433492083</v>
      </c>
      <c r="D113" s="18">
        <v>4.0813237124497395</v>
      </c>
      <c r="E113" s="18">
        <v>3546.1936080193864</v>
      </c>
      <c r="F113" s="18">
        <v>1.32389775</v>
      </c>
      <c r="G113" s="18">
        <v>0</v>
      </c>
      <c r="H113" s="18">
        <f t="shared" si="10"/>
        <v>1.32389775</v>
      </c>
      <c r="I113" s="18">
        <f t="shared" si="11"/>
        <v>4.0813237124497395</v>
      </c>
      <c r="J113" s="18">
        <f t="shared" si="12"/>
        <v>48.046408433492083</v>
      </c>
      <c r="K113" s="18">
        <f t="shared" si="13"/>
        <v>2678.6008270044922</v>
      </c>
      <c r="L113" s="18">
        <f t="shared" si="14"/>
        <v>-203.23595131526781</v>
      </c>
      <c r="M113" s="18">
        <f t="shared" si="15"/>
        <v>7.5873922409913072E-2</v>
      </c>
      <c r="N113" s="18">
        <f t="shared" si="16"/>
        <v>9.3811051357649139E-2</v>
      </c>
      <c r="O113" s="18">
        <f t="shared" si="17"/>
        <v>48.220083585279198</v>
      </c>
      <c r="P113" s="18">
        <f t="shared" si="18"/>
        <v>3556.405961923389</v>
      </c>
      <c r="Q113" s="18">
        <f t="shared" si="19"/>
        <v>3561.8092172033225</v>
      </c>
    </row>
    <row r="114" spans="1:17" ht="21" customHeight="1">
      <c r="A114" s="1" t="s">
        <v>341</v>
      </c>
      <c r="B114" s="1" t="s">
        <v>324</v>
      </c>
      <c r="C114" s="18">
        <v>48.046408433492083</v>
      </c>
      <c r="D114" s="18">
        <v>4.0813237124497395</v>
      </c>
      <c r="E114" s="18">
        <v>379.66621085120744</v>
      </c>
      <c r="F114" s="18">
        <v>1.32389775</v>
      </c>
      <c r="G114" s="18">
        <v>0</v>
      </c>
      <c r="H114" s="18">
        <f t="shared" si="10"/>
        <v>1.32389775</v>
      </c>
      <c r="I114" s="18">
        <f t="shared" si="11"/>
        <v>4.0813237124497395</v>
      </c>
      <c r="J114" s="18">
        <f t="shared" si="12"/>
        <v>48.046408433492083</v>
      </c>
      <c r="K114" s="18">
        <f t="shared" si="13"/>
        <v>286.77910424064657</v>
      </c>
      <c r="L114" s="18">
        <f t="shared" si="14"/>
        <v>-0.27980820874811485</v>
      </c>
      <c r="M114" s="18">
        <f t="shared" si="15"/>
        <v>9.7569245670464818E-4</v>
      </c>
      <c r="N114" s="18">
        <f t="shared" si="16"/>
        <v>0.16851373035075787</v>
      </c>
      <c r="O114" s="18">
        <f t="shared" si="17"/>
        <v>48.275452294796118</v>
      </c>
      <c r="P114" s="18">
        <f t="shared" si="18"/>
        <v>379.66639156773851</v>
      </c>
      <c r="Q114" s="18">
        <f t="shared" si="19"/>
        <v>385.06964684767235</v>
      </c>
    </row>
    <row r="115" spans="1:17" ht="21" customHeight="1">
      <c r="A115" s="1" t="s">
        <v>342</v>
      </c>
      <c r="B115" s="1" t="s">
        <v>319</v>
      </c>
      <c r="C115" s="18">
        <v>26</v>
      </c>
      <c r="D115" s="18">
        <v>4.7957238281345784</v>
      </c>
      <c r="E115" s="18">
        <v>2204.9999999983593</v>
      </c>
      <c r="F115" s="18">
        <v>1.32389775</v>
      </c>
      <c r="G115" s="18">
        <v>0</v>
      </c>
      <c r="H115" s="18">
        <f t="shared" si="10"/>
        <v>1.32389775</v>
      </c>
      <c r="I115" s="18">
        <f t="shared" si="11"/>
        <v>4.7957238281345784</v>
      </c>
      <c r="J115" s="18">
        <f t="shared" si="12"/>
        <v>26</v>
      </c>
      <c r="K115" s="18">
        <f t="shared" si="13"/>
        <v>1665.5364811960435</v>
      </c>
      <c r="L115" s="18">
        <f t="shared" si="14"/>
        <v>-292.49081591195534</v>
      </c>
      <c r="M115" s="18">
        <f t="shared" si="15"/>
        <v>0.17561357509378231</v>
      </c>
      <c r="N115" s="18">
        <f t="shared" si="16"/>
        <v>0.19122416080807964</v>
      </c>
      <c r="O115" s="18">
        <f t="shared" si="17"/>
        <v>26.43884821695179</v>
      </c>
      <c r="P115" s="18">
        <f t="shared" si="18"/>
        <v>2239.0887142818015</v>
      </c>
      <c r="Q115" s="18">
        <f t="shared" si="19"/>
        <v>2245.4377622674906</v>
      </c>
    </row>
    <row r="116" spans="1:17" ht="21" customHeight="1">
      <c r="A116" s="1" t="s">
        <v>342</v>
      </c>
      <c r="B116" s="1" t="s">
        <v>320</v>
      </c>
      <c r="C116" s="18">
        <v>26</v>
      </c>
      <c r="D116" s="18">
        <v>4.7957238281345784</v>
      </c>
      <c r="E116" s="18">
        <v>3041.1949698957906</v>
      </c>
      <c r="F116" s="18">
        <v>1.32389775</v>
      </c>
      <c r="G116" s="18">
        <v>3.4438949999999999</v>
      </c>
      <c r="H116" s="18">
        <f t="shared" si="10"/>
        <v>3.6895959160157443</v>
      </c>
      <c r="I116" s="18">
        <f t="shared" si="11"/>
        <v>1.7207976510730891</v>
      </c>
      <c r="J116" s="18">
        <f t="shared" si="12"/>
        <v>26.382528735505989</v>
      </c>
      <c r="K116" s="18">
        <f t="shared" si="13"/>
        <v>824.26234176339358</v>
      </c>
      <c r="L116" s="18">
        <f t="shared" si="14"/>
        <v>-40.530822509736083</v>
      </c>
      <c r="M116" s="18">
        <f t="shared" si="15"/>
        <v>4.9172236139074454E-2</v>
      </c>
      <c r="N116" s="18">
        <f t="shared" si="16"/>
        <v>8.1179677700779523E-2</v>
      </c>
      <c r="O116" s="18">
        <f t="shared" si="17"/>
        <v>26.43971240237547</v>
      </c>
      <c r="P116" s="18">
        <f t="shared" si="18"/>
        <v>3044.8723768264008</v>
      </c>
      <c r="Q116" s="18">
        <f t="shared" si="19"/>
        <v>3051.2214248120899</v>
      </c>
    </row>
    <row r="117" spans="1:17" ht="21" customHeight="1">
      <c r="A117" s="1" t="s">
        <v>342</v>
      </c>
      <c r="B117" s="1" t="s">
        <v>321</v>
      </c>
      <c r="C117" s="18">
        <v>26</v>
      </c>
      <c r="D117" s="18">
        <v>4.7957238281345784</v>
      </c>
      <c r="E117" s="18">
        <v>3326.1090469684459</v>
      </c>
      <c r="F117" s="18">
        <v>3.8554321618301355</v>
      </c>
      <c r="G117" s="18">
        <v>0</v>
      </c>
      <c r="H117" s="18">
        <f t="shared" si="10"/>
        <v>3.8554321618301355</v>
      </c>
      <c r="I117" s="18">
        <f t="shared" si="11"/>
        <v>4.7957238281345784</v>
      </c>
      <c r="J117" s="18">
        <f t="shared" si="12"/>
        <v>26</v>
      </c>
      <c r="K117" s="18">
        <f t="shared" si="13"/>
        <v>862.70719010383903</v>
      </c>
      <c r="L117" s="18">
        <f t="shared" si="14"/>
        <v>-145.23244299404487</v>
      </c>
      <c r="M117" s="18">
        <f t="shared" si="15"/>
        <v>0.16834500124725296</v>
      </c>
      <c r="N117" s="18">
        <f t="shared" si="16"/>
        <v>0.19848268909574596</v>
      </c>
      <c r="O117" s="18">
        <f t="shared" si="17"/>
        <v>26.439556256445979</v>
      </c>
      <c r="P117" s="18">
        <f t="shared" si="18"/>
        <v>3373.3514909046635</v>
      </c>
      <c r="Q117" s="18">
        <f t="shared" si="19"/>
        <v>3391.8410787909083</v>
      </c>
    </row>
    <row r="118" spans="1:17" ht="21" customHeight="1">
      <c r="A118" s="1" t="s">
        <v>342</v>
      </c>
      <c r="B118" s="1" t="s">
        <v>322</v>
      </c>
      <c r="C118" s="18">
        <v>26</v>
      </c>
      <c r="D118" s="18">
        <v>4.7957238281345784</v>
      </c>
      <c r="E118" s="18">
        <v>3289.1891287898725</v>
      </c>
      <c r="F118" s="18">
        <v>2.3365115147320541</v>
      </c>
      <c r="G118" s="18">
        <v>1.4349562500000002</v>
      </c>
      <c r="H118" s="18">
        <f t="shared" si="10"/>
        <v>2.7419674501878282</v>
      </c>
      <c r="I118" s="18">
        <f t="shared" si="11"/>
        <v>4.0865780318230085</v>
      </c>
      <c r="J118" s="18">
        <f t="shared" si="12"/>
        <v>26.120850809756547</v>
      </c>
      <c r="K118" s="18">
        <f t="shared" si="13"/>
        <v>1199.5726384587676</v>
      </c>
      <c r="L118" s="18">
        <f t="shared" si="14"/>
        <v>-173.85044314515409</v>
      </c>
      <c r="M118" s="18">
        <f t="shared" si="15"/>
        <v>0.14492698280324254</v>
      </c>
      <c r="N118" s="18">
        <f t="shared" si="16"/>
        <v>0.16670211335583424</v>
      </c>
      <c r="O118" s="18">
        <f t="shared" si="17"/>
        <v>26.439098455768978</v>
      </c>
      <c r="P118" s="18">
        <f t="shared" si="18"/>
        <v>3323.7924172520852</v>
      </c>
      <c r="Q118" s="18">
        <f t="shared" si="19"/>
        <v>3334.9976811979968</v>
      </c>
    </row>
    <row r="119" spans="1:17" ht="21" customHeight="1">
      <c r="A119" s="1" t="s">
        <v>342</v>
      </c>
      <c r="B119" s="1" t="s">
        <v>323</v>
      </c>
      <c r="C119" s="18">
        <v>26</v>
      </c>
      <c r="D119" s="18">
        <v>4.7957238281345784</v>
      </c>
      <c r="E119" s="18">
        <v>3573.9812803272871</v>
      </c>
      <c r="F119" s="18">
        <v>1.32389775</v>
      </c>
      <c r="G119" s="18">
        <v>0</v>
      </c>
      <c r="H119" s="18">
        <f t="shared" si="10"/>
        <v>1.32389775</v>
      </c>
      <c r="I119" s="18">
        <f t="shared" si="11"/>
        <v>4.7957238281345784</v>
      </c>
      <c r="J119" s="18">
        <f t="shared" si="12"/>
        <v>26</v>
      </c>
      <c r="K119" s="18">
        <f t="shared" si="13"/>
        <v>2699.5901158735915</v>
      </c>
      <c r="L119" s="18">
        <f t="shared" si="14"/>
        <v>-482.15884249046582</v>
      </c>
      <c r="M119" s="18">
        <f t="shared" si="15"/>
        <v>0.1786044628239567</v>
      </c>
      <c r="N119" s="18">
        <f t="shared" si="16"/>
        <v>0.18823555453936933</v>
      </c>
      <c r="O119" s="18">
        <f t="shared" si="17"/>
        <v>26.438687418537793</v>
      </c>
      <c r="P119" s="18">
        <f t="shared" si="18"/>
        <v>3631.1371802822136</v>
      </c>
      <c r="Q119" s="18">
        <f t="shared" si="19"/>
        <v>3637.4862282679028</v>
      </c>
    </row>
    <row r="120" spans="1:17" ht="21" customHeight="1">
      <c r="A120" s="1" t="s">
        <v>342</v>
      </c>
      <c r="B120" s="1" t="s">
        <v>324</v>
      </c>
      <c r="C120" s="18">
        <v>26</v>
      </c>
      <c r="D120" s="18">
        <v>4.7957238281345784</v>
      </c>
      <c r="E120" s="18">
        <v>210.97380787797971</v>
      </c>
      <c r="F120" s="18">
        <v>1.32389775</v>
      </c>
      <c r="G120" s="18">
        <v>0</v>
      </c>
      <c r="H120" s="18">
        <f t="shared" si="10"/>
        <v>1.32389775</v>
      </c>
      <c r="I120" s="18">
        <f t="shared" si="11"/>
        <v>4.7957238281345784</v>
      </c>
      <c r="J120" s="18">
        <f t="shared" si="12"/>
        <v>26</v>
      </c>
      <c r="K120" s="18">
        <f t="shared" si="13"/>
        <v>159.35808326434554</v>
      </c>
      <c r="L120" s="18">
        <f t="shared" si="14"/>
        <v>-16.1975360119398</v>
      </c>
      <c r="M120" s="18">
        <f t="shared" si="15"/>
        <v>0.10164238725858096</v>
      </c>
      <c r="N120" s="18">
        <f t="shared" si="16"/>
        <v>0.26479696007601894</v>
      </c>
      <c r="O120" s="18">
        <f t="shared" si="17"/>
        <v>26.466957864601717</v>
      </c>
      <c r="P120" s="18">
        <f t="shared" si="18"/>
        <v>212.06455010010407</v>
      </c>
      <c r="Q120" s="18">
        <f t="shared" si="19"/>
        <v>218.41359808579281</v>
      </c>
    </row>
    <row r="121" spans="1:17" ht="21" customHeight="1">
      <c r="A121" s="1" t="s">
        <v>343</v>
      </c>
      <c r="B121" s="1" t="s">
        <v>319</v>
      </c>
      <c r="C121" s="18">
        <v>26.305892875931811</v>
      </c>
      <c r="D121" s="18">
        <v>2.9029364551719485</v>
      </c>
      <c r="E121" s="18">
        <v>2204.9999999995116</v>
      </c>
      <c r="F121" s="18">
        <v>1.32389775</v>
      </c>
      <c r="G121" s="18">
        <v>0</v>
      </c>
      <c r="H121" s="18">
        <f t="shared" si="10"/>
        <v>1.32389775</v>
      </c>
      <c r="I121" s="18">
        <f t="shared" si="11"/>
        <v>2.9029364551719485</v>
      </c>
      <c r="J121" s="18">
        <f t="shared" si="12"/>
        <v>26.305892875931811</v>
      </c>
      <c r="K121" s="18">
        <f t="shared" si="13"/>
        <v>1665.5364811969139</v>
      </c>
      <c r="L121" s="18">
        <f t="shared" si="14"/>
        <v>-170.27123377342863</v>
      </c>
      <c r="M121" s="18">
        <f t="shared" si="15"/>
        <v>0.10223206498068758</v>
      </c>
      <c r="N121" s="18">
        <f t="shared" si="16"/>
        <v>0.11802631096263537</v>
      </c>
      <c r="O121" s="18">
        <f t="shared" si="17"/>
        <v>26.465853955722018</v>
      </c>
      <c r="P121" s="18">
        <f t="shared" si="18"/>
        <v>2216.532702264135</v>
      </c>
      <c r="Q121" s="18">
        <f t="shared" si="19"/>
        <v>2220.3758933055306</v>
      </c>
    </row>
    <row r="122" spans="1:17" ht="21" customHeight="1">
      <c r="A122" s="1" t="s">
        <v>343</v>
      </c>
      <c r="B122" s="1" t="s">
        <v>320</v>
      </c>
      <c r="C122" s="18">
        <v>26.305892875931811</v>
      </c>
      <c r="D122" s="18">
        <v>2.9029364551719485</v>
      </c>
      <c r="E122" s="18">
        <v>3022.7129031600907</v>
      </c>
      <c r="F122" s="18">
        <v>1.32389775</v>
      </c>
      <c r="G122" s="18">
        <v>3.4438949999999999</v>
      </c>
      <c r="H122" s="18">
        <f t="shared" si="10"/>
        <v>3.6895959160157443</v>
      </c>
      <c r="I122" s="18">
        <f t="shared" si="11"/>
        <v>1.0416292539550607</v>
      </c>
      <c r="J122" s="18">
        <f t="shared" si="12"/>
        <v>26.445076074008018</v>
      </c>
      <c r="K122" s="18">
        <f t="shared" si="13"/>
        <v>819.25310304013033</v>
      </c>
      <c r="L122" s="18">
        <f t="shared" si="14"/>
        <v>-19.036793516353768</v>
      </c>
      <c r="M122" s="18">
        <f t="shared" si="15"/>
        <v>2.3236767057348905E-2</v>
      </c>
      <c r="N122" s="18">
        <f t="shared" si="16"/>
        <v>5.5516261606559821E-2</v>
      </c>
      <c r="O122" s="18">
        <f t="shared" si="17"/>
        <v>26.466729423526008</v>
      </c>
      <c r="P122" s="18">
        <f t="shared" si="18"/>
        <v>3023.5289927803269</v>
      </c>
      <c r="Q122" s="18">
        <f t="shared" si="19"/>
        <v>3027.3721838217225</v>
      </c>
    </row>
    <row r="123" spans="1:17" ht="21" customHeight="1">
      <c r="A123" s="1" t="s">
        <v>343</v>
      </c>
      <c r="B123" s="1" t="s">
        <v>321</v>
      </c>
      <c r="C123" s="18">
        <v>26.305892875931811</v>
      </c>
      <c r="D123" s="18">
        <v>2.9029364551719485</v>
      </c>
      <c r="E123" s="18">
        <v>3340.8588508948224</v>
      </c>
      <c r="F123" s="18">
        <v>3.8554321618301355</v>
      </c>
      <c r="G123" s="18">
        <v>0</v>
      </c>
      <c r="H123" s="18">
        <f t="shared" si="10"/>
        <v>3.8554321618301355</v>
      </c>
      <c r="I123" s="18">
        <f t="shared" si="11"/>
        <v>2.9029364551719485</v>
      </c>
      <c r="J123" s="18">
        <f t="shared" si="12"/>
        <v>26.305892875931811</v>
      </c>
      <c r="K123" s="18">
        <f t="shared" si="13"/>
        <v>866.53291010285852</v>
      </c>
      <c r="L123" s="18">
        <f t="shared" si="14"/>
        <v>-82.274957552846587</v>
      </c>
      <c r="M123" s="18">
        <f t="shared" si="15"/>
        <v>9.4947296973499198E-2</v>
      </c>
      <c r="N123" s="18">
        <f t="shared" si="16"/>
        <v>0.1253049355227486</v>
      </c>
      <c r="O123" s="18">
        <f t="shared" si="17"/>
        <v>26.466586226799851</v>
      </c>
      <c r="P123" s="18">
        <f t="shared" si="18"/>
        <v>3355.9290705164931</v>
      </c>
      <c r="Q123" s="18">
        <f t="shared" si="19"/>
        <v>3367.1211450895121</v>
      </c>
    </row>
    <row r="124" spans="1:17" ht="21" customHeight="1">
      <c r="A124" s="1" t="s">
        <v>343</v>
      </c>
      <c r="B124" s="1" t="s">
        <v>322</v>
      </c>
      <c r="C124" s="18">
        <v>26.305892875931811</v>
      </c>
      <c r="D124" s="18">
        <v>2.9029364551719485</v>
      </c>
      <c r="E124" s="18">
        <v>3291.4389495846663</v>
      </c>
      <c r="F124" s="18">
        <v>2.3365115147320541</v>
      </c>
      <c r="G124" s="18">
        <v>1.4349562500000002</v>
      </c>
      <c r="H124" s="18">
        <f t="shared" si="10"/>
        <v>2.7419674501878282</v>
      </c>
      <c r="I124" s="18">
        <f t="shared" si="11"/>
        <v>2.4736779619977192</v>
      </c>
      <c r="J124" s="18">
        <f t="shared" si="12"/>
        <v>26.349724047949593</v>
      </c>
      <c r="K124" s="18">
        <f t="shared" si="13"/>
        <v>1200.3931517710755</v>
      </c>
      <c r="L124" s="18">
        <f t="shared" si="14"/>
        <v>-99.349363885464555</v>
      </c>
      <c r="M124" s="18">
        <f t="shared" si="15"/>
        <v>8.2764020886726339E-2</v>
      </c>
      <c r="N124" s="18">
        <f t="shared" si="16"/>
        <v>0.10471493256018338</v>
      </c>
      <c r="O124" s="18">
        <f t="shared" si="17"/>
        <v>26.466108883539917</v>
      </c>
      <c r="P124" s="18">
        <f t="shared" si="18"/>
        <v>3302.7183720460889</v>
      </c>
      <c r="Q124" s="18">
        <f t="shared" si="19"/>
        <v>3309.5011165001329</v>
      </c>
    </row>
    <row r="125" spans="1:17" ht="21" customHeight="1">
      <c r="A125" s="1" t="s">
        <v>343</v>
      </c>
      <c r="B125" s="1" t="s">
        <v>323</v>
      </c>
      <c r="C125" s="18">
        <v>26.305892875931811</v>
      </c>
      <c r="D125" s="18">
        <v>2.9029364551719485</v>
      </c>
      <c r="E125" s="18">
        <v>3587.7463057530849</v>
      </c>
      <c r="F125" s="18">
        <v>1.32389775</v>
      </c>
      <c r="G125" s="18">
        <v>0</v>
      </c>
      <c r="H125" s="18">
        <f t="shared" si="10"/>
        <v>1.32389775</v>
      </c>
      <c r="I125" s="18">
        <f t="shared" si="11"/>
        <v>2.9029364551719485</v>
      </c>
      <c r="J125" s="18">
        <f t="shared" si="12"/>
        <v>26.305892875931811</v>
      </c>
      <c r="K125" s="18">
        <f t="shared" si="13"/>
        <v>2709.9874637245098</v>
      </c>
      <c r="L125" s="18">
        <f t="shared" si="14"/>
        <v>-285.29769495638141</v>
      </c>
      <c r="M125" s="18">
        <f t="shared" si="15"/>
        <v>0.10527638919933544</v>
      </c>
      <c r="N125" s="18">
        <f t="shared" si="16"/>
        <v>0.11498340564426686</v>
      </c>
      <c r="O125" s="18">
        <f t="shared" si="17"/>
        <v>26.465684835062739</v>
      </c>
      <c r="P125" s="18">
        <f t="shared" si="18"/>
        <v>3607.6463831989008</v>
      </c>
      <c r="Q125" s="18">
        <f t="shared" si="19"/>
        <v>3611.4895742402955</v>
      </c>
    </row>
    <row r="126" spans="1:17" ht="21" customHeight="1">
      <c r="A126" s="1" t="s">
        <v>343</v>
      </c>
      <c r="B126" s="1" t="s">
        <v>324</v>
      </c>
      <c r="C126" s="18">
        <v>26.305892875931811</v>
      </c>
      <c r="D126" s="18">
        <v>2.9029364551719485</v>
      </c>
      <c r="E126" s="18">
        <v>214.8703816105409</v>
      </c>
      <c r="F126" s="18">
        <v>1.32389775</v>
      </c>
      <c r="G126" s="18">
        <v>0</v>
      </c>
      <c r="H126" s="18">
        <f t="shared" si="10"/>
        <v>1.32389775</v>
      </c>
      <c r="I126" s="18">
        <f t="shared" si="11"/>
        <v>2.9029364551719485</v>
      </c>
      <c r="J126" s="18">
        <f t="shared" si="12"/>
        <v>26.305892875931811</v>
      </c>
      <c r="K126" s="18">
        <f t="shared" si="13"/>
        <v>162.30134208668375</v>
      </c>
      <c r="L126" s="18">
        <f t="shared" si="14"/>
        <v>-4.7018821286136294</v>
      </c>
      <c r="M126" s="18">
        <f t="shared" si="15"/>
        <v>2.8970075466796787E-2</v>
      </c>
      <c r="N126" s="18">
        <f t="shared" si="16"/>
        <v>0.19105063831193986</v>
      </c>
      <c r="O126" s="18">
        <f t="shared" si="17"/>
        <v>26.494212138825191</v>
      </c>
      <c r="P126" s="18">
        <f t="shared" si="18"/>
        <v>214.96055454155325</v>
      </c>
      <c r="Q126" s="18">
        <f t="shared" si="19"/>
        <v>218.80374558294838</v>
      </c>
    </row>
    <row r="127" spans="1:17" ht="21" customHeight="1">
      <c r="A127" s="1" t="s">
        <v>344</v>
      </c>
      <c r="B127" s="1" t="s">
        <v>319</v>
      </c>
      <c r="C127" s="18">
        <v>61.347824375699467</v>
      </c>
      <c r="D127" s="18">
        <v>10.972472814822959</v>
      </c>
      <c r="E127" s="18">
        <v>2204.999999999578</v>
      </c>
      <c r="F127" s="18">
        <v>1.32389775</v>
      </c>
      <c r="G127" s="18">
        <v>0</v>
      </c>
      <c r="H127" s="18">
        <f t="shared" si="10"/>
        <v>1.32389775</v>
      </c>
      <c r="I127" s="18">
        <f t="shared" si="11"/>
        <v>10.972472814822959</v>
      </c>
      <c r="J127" s="18">
        <f t="shared" si="12"/>
        <v>61.347824375699467</v>
      </c>
      <c r="K127" s="18">
        <f t="shared" si="13"/>
        <v>1665.5364811969641</v>
      </c>
      <c r="L127" s="18">
        <f t="shared" si="14"/>
        <v>-265.63614966624647</v>
      </c>
      <c r="M127" s="18">
        <f t="shared" si="15"/>
        <v>0.15948984166071395</v>
      </c>
      <c r="N127" s="18">
        <f t="shared" si="16"/>
        <v>0.19632351361463649</v>
      </c>
      <c r="O127" s="18">
        <f t="shared" si="17"/>
        <v>62.324764275101593</v>
      </c>
      <c r="P127" s="18">
        <f t="shared" si="18"/>
        <v>2233.1038004376519</v>
      </c>
      <c r="Q127" s="18">
        <f t="shared" si="19"/>
        <v>2247.6302325091319</v>
      </c>
    </row>
    <row r="128" spans="1:17" ht="21" customHeight="1">
      <c r="A128" s="1" t="s">
        <v>344</v>
      </c>
      <c r="B128" s="1" t="s">
        <v>320</v>
      </c>
      <c r="C128" s="18">
        <v>61.347824375699467</v>
      </c>
      <c r="D128" s="18">
        <v>10.972472814822959</v>
      </c>
      <c r="E128" s="18">
        <v>3362.6793812538745</v>
      </c>
      <c r="F128" s="18">
        <v>1.32389775</v>
      </c>
      <c r="G128" s="18">
        <v>3.4438949999999999</v>
      </c>
      <c r="H128" s="18">
        <f t="shared" si="10"/>
        <v>3.6895959160157443</v>
      </c>
      <c r="I128" s="18">
        <f t="shared" si="11"/>
        <v>3.9371336054509811</v>
      </c>
      <c r="J128" s="18">
        <f t="shared" si="12"/>
        <v>62.196862415048905</v>
      </c>
      <c r="K128" s="18">
        <f t="shared" si="13"/>
        <v>911.39503018669461</v>
      </c>
      <c r="L128" s="18">
        <f t="shared" si="14"/>
        <v>-26.544301166732286</v>
      </c>
      <c r="M128" s="18">
        <f t="shared" si="15"/>
        <v>2.9124913223736608E-2</v>
      </c>
      <c r="N128" s="18">
        <f t="shared" si="16"/>
        <v>9.7368496253049594E-2</v>
      </c>
      <c r="O128" s="18">
        <f t="shared" si="17"/>
        <v>62.333396260793663</v>
      </c>
      <c r="P128" s="18">
        <f t="shared" si="18"/>
        <v>3364.1056962383182</v>
      </c>
      <c r="Q128" s="18">
        <f t="shared" si="19"/>
        <v>3378.6321283097982</v>
      </c>
    </row>
    <row r="129" spans="1:17" ht="21" customHeight="1">
      <c r="A129" s="1" t="s">
        <v>344</v>
      </c>
      <c r="B129" s="1" t="s">
        <v>321</v>
      </c>
      <c r="C129" s="18">
        <v>61.347824375699467</v>
      </c>
      <c r="D129" s="18">
        <v>10.972472814822959</v>
      </c>
      <c r="E129" s="18">
        <v>3605.0889221710459</v>
      </c>
      <c r="F129" s="18">
        <v>3.8554321618301355</v>
      </c>
      <c r="G129" s="18">
        <v>0</v>
      </c>
      <c r="H129" s="18">
        <f t="shared" si="10"/>
        <v>3.8554321618301355</v>
      </c>
      <c r="I129" s="18">
        <f t="shared" si="11"/>
        <v>10.972472814822959</v>
      </c>
      <c r="J129" s="18">
        <f t="shared" si="12"/>
        <v>61.347824375699467</v>
      </c>
      <c r="K129" s="18">
        <f t="shared" si="13"/>
        <v>935.06739863365817</v>
      </c>
      <c r="L129" s="18">
        <f t="shared" si="14"/>
        <v>-135.66060540794189</v>
      </c>
      <c r="M129" s="18">
        <f t="shared" si="15"/>
        <v>0.1450810985455939</v>
      </c>
      <c r="N129" s="18">
        <f t="shared" si="16"/>
        <v>0.21068901564904793</v>
      </c>
      <c r="O129" s="18">
        <f t="shared" si="17"/>
        <v>62.332181864683058</v>
      </c>
      <c r="P129" s="18">
        <f t="shared" si="18"/>
        <v>3643.0964213170382</v>
      </c>
      <c r="Q129" s="18">
        <f t="shared" si="19"/>
        <v>3685.4000459021131</v>
      </c>
    </row>
    <row r="130" spans="1:17" ht="21" customHeight="1">
      <c r="A130" s="1" t="s">
        <v>344</v>
      </c>
      <c r="B130" s="1" t="s">
        <v>322</v>
      </c>
      <c r="C130" s="18">
        <v>61.347824375699467</v>
      </c>
      <c r="D130" s="18">
        <v>10.972472814822959</v>
      </c>
      <c r="E130" s="18">
        <v>3399.3613303778366</v>
      </c>
      <c r="F130" s="18">
        <v>2.3365115147320541</v>
      </c>
      <c r="G130" s="18">
        <v>1.4349562500000002</v>
      </c>
      <c r="H130" s="18">
        <f t="shared" si="10"/>
        <v>2.7419674501878282</v>
      </c>
      <c r="I130" s="18">
        <f t="shared" si="11"/>
        <v>9.3499684232801847</v>
      </c>
      <c r="J130" s="18">
        <f t="shared" si="12"/>
        <v>61.615978494115943</v>
      </c>
      <c r="K130" s="18">
        <f t="shared" si="13"/>
        <v>1239.7526200192406</v>
      </c>
      <c r="L130" s="18">
        <f t="shared" si="14"/>
        <v>-156.58555727918903</v>
      </c>
      <c r="M130" s="18">
        <f t="shared" si="15"/>
        <v>0.12630387284582539</v>
      </c>
      <c r="N130" s="18">
        <f t="shared" si="16"/>
        <v>0.17600409327622035</v>
      </c>
      <c r="O130" s="18">
        <f t="shared" si="17"/>
        <v>62.327620420140974</v>
      </c>
      <c r="P130" s="18">
        <f t="shared" si="18"/>
        <v>3426.5118370528253</v>
      </c>
      <c r="Q130" s="18">
        <f t="shared" si="19"/>
        <v>3452.1491461297433</v>
      </c>
    </row>
    <row r="131" spans="1:17" ht="21" customHeight="1">
      <c r="A131" s="1" t="s">
        <v>344</v>
      </c>
      <c r="B131" s="1" t="s">
        <v>323</v>
      </c>
      <c r="C131" s="18">
        <v>61.347824375699467</v>
      </c>
      <c r="D131" s="18">
        <v>10.972472814822959</v>
      </c>
      <c r="E131" s="18">
        <v>3494.2497703027366</v>
      </c>
      <c r="F131" s="18">
        <v>1.32389775</v>
      </c>
      <c r="G131" s="18">
        <v>0</v>
      </c>
      <c r="H131" s="18">
        <f t="shared" si="10"/>
        <v>1.32389775</v>
      </c>
      <c r="I131" s="18">
        <f t="shared" si="11"/>
        <v>10.972472814822959</v>
      </c>
      <c r="J131" s="18">
        <f t="shared" si="12"/>
        <v>61.347824375699467</v>
      </c>
      <c r="K131" s="18">
        <f t="shared" si="13"/>
        <v>2639.3652910904461</v>
      </c>
      <c r="L131" s="18">
        <f t="shared" si="14"/>
        <v>-438.90260554519153</v>
      </c>
      <c r="M131" s="18">
        <f t="shared" si="15"/>
        <v>0.16629096663003406</v>
      </c>
      <c r="N131" s="18">
        <f t="shared" si="16"/>
        <v>0.18953436707285562</v>
      </c>
      <c r="O131" s="18">
        <f t="shared" si="17"/>
        <v>62.322709813830812</v>
      </c>
      <c r="P131" s="18">
        <f t="shared" si="18"/>
        <v>3542.6738994106345</v>
      </c>
      <c r="Q131" s="18">
        <f t="shared" si="19"/>
        <v>3557.2003314821145</v>
      </c>
    </row>
    <row r="132" spans="1:17" ht="21" customHeight="1">
      <c r="A132" s="1" t="s">
        <v>344</v>
      </c>
      <c r="B132" s="1" t="s">
        <v>324</v>
      </c>
      <c r="C132" s="18">
        <v>61.347824375699467</v>
      </c>
      <c r="D132" s="18">
        <v>10.972472814822959</v>
      </c>
      <c r="E132" s="18">
        <v>470.27769691483093</v>
      </c>
      <c r="F132" s="18">
        <v>1.32389775</v>
      </c>
      <c r="G132" s="18">
        <v>0</v>
      </c>
      <c r="H132" s="18">
        <f t="shared" si="10"/>
        <v>1.32389775</v>
      </c>
      <c r="I132" s="18">
        <f t="shared" si="11"/>
        <v>10.972472814822959</v>
      </c>
      <c r="J132" s="18">
        <f t="shared" si="12"/>
        <v>61.347824375699467</v>
      </c>
      <c r="K132" s="18">
        <f t="shared" si="13"/>
        <v>355.22206825627654</v>
      </c>
      <c r="L132" s="18">
        <f t="shared" si="14"/>
        <v>-32.448343253377161</v>
      </c>
      <c r="M132" s="18">
        <f t="shared" si="15"/>
        <v>9.1346642433169881E-2</v>
      </c>
      <c r="N132" s="18">
        <f t="shared" si="16"/>
        <v>0.2640493820935893</v>
      </c>
      <c r="O132" s="18">
        <f t="shared" si="17"/>
        <v>62.396429480445917</v>
      </c>
      <c r="P132" s="18">
        <f t="shared" si="18"/>
        <v>472.24110932097727</v>
      </c>
      <c r="Q132" s="18">
        <f t="shared" si="19"/>
        <v>486.76754139245759</v>
      </c>
    </row>
    <row r="133" spans="1:17" ht="21" customHeight="1">
      <c r="A133" s="1" t="s">
        <v>345</v>
      </c>
      <c r="B133" s="1" t="s">
        <v>319</v>
      </c>
      <c r="C133" s="18">
        <v>61.34782437383852</v>
      </c>
      <c r="D133" s="18">
        <v>9.0160885470103498</v>
      </c>
      <c r="E133" s="18">
        <v>2204.9999999974971</v>
      </c>
      <c r="F133" s="18">
        <v>1.32389775</v>
      </c>
      <c r="G133" s="18">
        <v>0</v>
      </c>
      <c r="H133" s="18">
        <f t="shared" si="10"/>
        <v>1.32389775</v>
      </c>
      <c r="I133" s="18">
        <f t="shared" si="11"/>
        <v>9.0160885470103498</v>
      </c>
      <c r="J133" s="18">
        <f t="shared" si="12"/>
        <v>61.34782437383852</v>
      </c>
      <c r="K133" s="18">
        <f t="shared" si="13"/>
        <v>1665.5364811953923</v>
      </c>
      <c r="L133" s="18">
        <f t="shared" si="14"/>
        <v>-213.21811803397119</v>
      </c>
      <c r="M133" s="18">
        <f t="shared" si="15"/>
        <v>0.128017681054299</v>
      </c>
      <c r="N133" s="18">
        <f t="shared" si="16"/>
        <v>0.16485135300713896</v>
      </c>
      <c r="O133" s="18">
        <f t="shared" si="17"/>
        <v>62.010248626610874</v>
      </c>
      <c r="P133" s="18">
        <f t="shared" si="18"/>
        <v>2223.0930402642271</v>
      </c>
      <c r="Q133" s="18">
        <f t="shared" si="19"/>
        <v>2235.0294196054147</v>
      </c>
    </row>
    <row r="134" spans="1:17" ht="21" customHeight="1">
      <c r="A134" s="1" t="s">
        <v>345</v>
      </c>
      <c r="B134" s="1" t="s">
        <v>320</v>
      </c>
      <c r="C134" s="18">
        <v>61.34782437383852</v>
      </c>
      <c r="D134" s="18">
        <v>9.0160885470103498</v>
      </c>
      <c r="E134" s="18">
        <v>3351.3466299109177</v>
      </c>
      <c r="F134" s="18">
        <v>1.32389775</v>
      </c>
      <c r="G134" s="18">
        <v>3.4438949999999999</v>
      </c>
      <c r="H134" s="18">
        <f t="shared" si="10"/>
        <v>3.6895959160157443</v>
      </c>
      <c r="I134" s="18">
        <f t="shared" si="11"/>
        <v>3.2351454232086798</v>
      </c>
      <c r="J134" s="18">
        <f t="shared" si="12"/>
        <v>61.922364636547584</v>
      </c>
      <c r="K134" s="18">
        <f t="shared" si="13"/>
        <v>908.32348750263975</v>
      </c>
      <c r="L134" s="18">
        <f t="shared" si="14"/>
        <v>-16.463608724396295</v>
      </c>
      <c r="M134" s="18">
        <f t="shared" si="15"/>
        <v>1.8125270292923532E-2</v>
      </c>
      <c r="N134" s="18">
        <f t="shared" si="16"/>
        <v>8.6297419850343879E-2</v>
      </c>
      <c r="O134" s="18">
        <f t="shared" si="17"/>
        <v>62.01879265791662</v>
      </c>
      <c r="P134" s="18">
        <f t="shared" si="18"/>
        <v>3351.8971462671484</v>
      </c>
      <c r="Q134" s="18">
        <f t="shared" si="19"/>
        <v>3363.8335256083365</v>
      </c>
    </row>
    <row r="135" spans="1:17" ht="21" customHeight="1">
      <c r="A135" s="1" t="s">
        <v>345</v>
      </c>
      <c r="B135" s="1" t="s">
        <v>321</v>
      </c>
      <c r="C135" s="18">
        <v>61.34782437383852</v>
      </c>
      <c r="D135" s="18">
        <v>9.0160885470103498</v>
      </c>
      <c r="E135" s="18">
        <v>3613.4226697193408</v>
      </c>
      <c r="F135" s="18">
        <v>3.8554321618301355</v>
      </c>
      <c r="G135" s="18">
        <v>0</v>
      </c>
      <c r="H135" s="18">
        <f t="shared" ref="H135:H198" si="20">SQRT(F135^2+G135^2)</f>
        <v>3.8554321618301355</v>
      </c>
      <c r="I135" s="18">
        <f t="shared" ref="I135:I198" si="21">D135*F135/H135</f>
        <v>9.0160885470103498</v>
      </c>
      <c r="J135" s="18">
        <f t="shared" ref="J135:J198" si="22">SQRT(C135^2+D135^2-I135^2)</f>
        <v>61.34782437383852</v>
      </c>
      <c r="K135" s="18">
        <f t="shared" ref="K135:K198" si="23">E135/H135</f>
        <v>937.22895853109367</v>
      </c>
      <c r="L135" s="18">
        <f t="shared" ref="L135:L198" si="24">J135/2-K135*ASINH(I135/(2*K135*SINH(J135/(2*K135))))</f>
        <v>-106.55213539692639</v>
      </c>
      <c r="M135" s="18">
        <f t="shared" ref="M135:M198" si="25">-L135/K135</f>
        <v>0.11368847966875044</v>
      </c>
      <c r="N135" s="18">
        <f t="shared" ref="N135:N198" si="26">(J135-L135)/K135</f>
        <v>0.17914508321841893</v>
      </c>
      <c r="O135" s="18">
        <f t="shared" ref="O135:O198" si="27">K135*(SINH(N135)-SINH(M135))</f>
        <v>62.017653673497996</v>
      </c>
      <c r="P135" s="18">
        <f t="shared" ref="P135:P198" si="28">E135*COSH(M135)</f>
        <v>3636.799703819051</v>
      </c>
      <c r="Q135" s="18">
        <f t="shared" ref="Q135:Q198" si="29">E135*COSH(N135)</f>
        <v>3671.5606215771027</v>
      </c>
    </row>
    <row r="136" spans="1:17" ht="21" customHeight="1">
      <c r="A136" s="1" t="s">
        <v>345</v>
      </c>
      <c r="B136" s="1" t="s">
        <v>322</v>
      </c>
      <c r="C136" s="18">
        <v>61.34782437383852</v>
      </c>
      <c r="D136" s="18">
        <v>9.0160885470103498</v>
      </c>
      <c r="E136" s="18">
        <v>3400.1119223291844</v>
      </c>
      <c r="F136" s="18">
        <v>2.3365115147320541</v>
      </c>
      <c r="G136" s="18">
        <v>1.4349562500000002</v>
      </c>
      <c r="H136" s="18">
        <f t="shared" si="20"/>
        <v>2.7419674501878282</v>
      </c>
      <c r="I136" s="18">
        <f t="shared" si="21"/>
        <v>7.6828755594784379</v>
      </c>
      <c r="J136" s="18">
        <f t="shared" si="22"/>
        <v>61.529008046842712</v>
      </c>
      <c r="K136" s="18">
        <f t="shared" si="23"/>
        <v>1240.0263621277752</v>
      </c>
      <c r="L136" s="18">
        <f t="shared" si="24"/>
        <v>-123.65719542780235</v>
      </c>
      <c r="M136" s="18">
        <f t="shared" si="25"/>
        <v>9.9721424644245119E-2</v>
      </c>
      <c r="N136" s="18">
        <f t="shared" si="26"/>
        <v>0.14934053753251017</v>
      </c>
      <c r="O136" s="18">
        <f t="shared" si="27"/>
        <v>62.013080986610078</v>
      </c>
      <c r="P136" s="18">
        <f t="shared" si="28"/>
        <v>3417.0319097052211</v>
      </c>
      <c r="Q136" s="18">
        <f t="shared" si="29"/>
        <v>3438.0981044131549</v>
      </c>
    </row>
    <row r="137" spans="1:17" ht="21" customHeight="1">
      <c r="A137" s="1" t="s">
        <v>345</v>
      </c>
      <c r="B137" s="1" t="s">
        <v>323</v>
      </c>
      <c r="C137" s="18">
        <v>61.34782437383852</v>
      </c>
      <c r="D137" s="18">
        <v>9.0160885470103498</v>
      </c>
      <c r="E137" s="18">
        <v>3499.5738123228175</v>
      </c>
      <c r="F137" s="18">
        <v>1.32389775</v>
      </c>
      <c r="G137" s="18">
        <v>0</v>
      </c>
      <c r="H137" s="18">
        <f t="shared" si="20"/>
        <v>1.32389775</v>
      </c>
      <c r="I137" s="18">
        <f t="shared" si="21"/>
        <v>9.0160885470103498</v>
      </c>
      <c r="J137" s="18">
        <f t="shared" si="22"/>
        <v>61.34782437383852</v>
      </c>
      <c r="K137" s="18">
        <f t="shared" si="23"/>
        <v>2643.3867814359664</v>
      </c>
      <c r="L137" s="18">
        <f t="shared" si="24"/>
        <v>-356.42225577501944</v>
      </c>
      <c r="M137" s="18">
        <f t="shared" si="25"/>
        <v>0.13483545362264399</v>
      </c>
      <c r="N137" s="18">
        <f t="shared" si="26"/>
        <v>0.15804349294729877</v>
      </c>
      <c r="O137" s="18">
        <f t="shared" si="27"/>
        <v>62.008179590659175</v>
      </c>
      <c r="P137" s="18">
        <f t="shared" si="28"/>
        <v>3531.4342136203827</v>
      </c>
      <c r="Q137" s="18">
        <f t="shared" si="29"/>
        <v>3543.3705929615699</v>
      </c>
    </row>
    <row r="138" spans="1:17" ht="21" customHeight="1">
      <c r="A138" s="1" t="s">
        <v>345</v>
      </c>
      <c r="B138" s="1" t="s">
        <v>324</v>
      </c>
      <c r="C138" s="18">
        <v>61.34782437383852</v>
      </c>
      <c r="D138" s="18">
        <v>9.0160885470103498</v>
      </c>
      <c r="E138" s="18">
        <v>471.88082421166598</v>
      </c>
      <c r="F138" s="18">
        <v>1.32389775</v>
      </c>
      <c r="G138" s="18">
        <v>0</v>
      </c>
      <c r="H138" s="18">
        <f t="shared" si="20"/>
        <v>1.32389775</v>
      </c>
      <c r="I138" s="18">
        <f t="shared" si="21"/>
        <v>9.0160885470103498</v>
      </c>
      <c r="J138" s="18">
        <f t="shared" si="22"/>
        <v>61.34782437383852</v>
      </c>
      <c r="K138" s="18">
        <f t="shared" si="23"/>
        <v>356.4329829940915</v>
      </c>
      <c r="L138" s="18">
        <f t="shared" si="24"/>
        <v>-21.459191891752596</v>
      </c>
      <c r="M138" s="18">
        <f t="shared" si="25"/>
        <v>6.0205404425516702E-2</v>
      </c>
      <c r="N138" s="18">
        <f t="shared" si="26"/>
        <v>0.23232141865772221</v>
      </c>
      <c r="O138" s="18">
        <f t="shared" si="27"/>
        <v>62.081764852580555</v>
      </c>
      <c r="P138" s="18">
        <f t="shared" si="28"/>
        <v>472.73629358854862</v>
      </c>
      <c r="Q138" s="18">
        <f t="shared" si="29"/>
        <v>484.67267292973639</v>
      </c>
    </row>
    <row r="139" spans="1:17" ht="21" customHeight="1">
      <c r="A139" s="1" t="s">
        <v>346</v>
      </c>
      <c r="B139" s="1" t="s">
        <v>319</v>
      </c>
      <c r="C139" s="18">
        <v>61.347824375699467</v>
      </c>
      <c r="D139" s="18">
        <v>10.65956417599782</v>
      </c>
      <c r="E139" s="18">
        <v>2204.9999999981783</v>
      </c>
      <c r="F139" s="18">
        <v>1.32389775</v>
      </c>
      <c r="G139" s="18">
        <v>0</v>
      </c>
      <c r="H139" s="18">
        <f t="shared" si="20"/>
        <v>1.32389775</v>
      </c>
      <c r="I139" s="18">
        <f t="shared" si="21"/>
        <v>10.65956417599782</v>
      </c>
      <c r="J139" s="18">
        <f t="shared" si="22"/>
        <v>61.347824375699467</v>
      </c>
      <c r="K139" s="18">
        <f t="shared" si="23"/>
        <v>1665.5364811959068</v>
      </c>
      <c r="L139" s="18">
        <f t="shared" si="24"/>
        <v>-257.27046878334664</v>
      </c>
      <c r="M139" s="18">
        <f t="shared" si="25"/>
        <v>0.15446702710385454</v>
      </c>
      <c r="N139" s="18">
        <f t="shared" si="26"/>
        <v>0.19130069905780048</v>
      </c>
      <c r="O139" s="18">
        <f t="shared" si="27"/>
        <v>62.270437534171599</v>
      </c>
      <c r="P139" s="18">
        <f t="shared" si="28"/>
        <v>2231.3580651549373</v>
      </c>
      <c r="Q139" s="18">
        <f t="shared" si="29"/>
        <v>2245.4702381835209</v>
      </c>
    </row>
    <row r="140" spans="1:17" ht="21" customHeight="1">
      <c r="A140" s="1" t="s">
        <v>346</v>
      </c>
      <c r="B140" s="1" t="s">
        <v>320</v>
      </c>
      <c r="C140" s="18">
        <v>61.347824375699467</v>
      </c>
      <c r="D140" s="18">
        <v>10.65956417599782</v>
      </c>
      <c r="E140" s="18">
        <v>3360.7222513528031</v>
      </c>
      <c r="F140" s="18">
        <v>1.32389775</v>
      </c>
      <c r="G140" s="18">
        <v>3.4438949999999999</v>
      </c>
      <c r="H140" s="18">
        <f t="shared" si="20"/>
        <v>3.6895959160157443</v>
      </c>
      <c r="I140" s="18">
        <f t="shared" si="21"/>
        <v>3.8248559868917362</v>
      </c>
      <c r="J140" s="18">
        <f t="shared" si="22"/>
        <v>62.149435562468469</v>
      </c>
      <c r="K140" s="18">
        <f t="shared" si="23"/>
        <v>910.86458459167</v>
      </c>
      <c r="L140" s="18">
        <f t="shared" si="24"/>
        <v>-24.936344615806256</v>
      </c>
      <c r="M140" s="18">
        <f t="shared" si="25"/>
        <v>2.7376566218111256E-2</v>
      </c>
      <c r="N140" s="18">
        <f t="shared" si="26"/>
        <v>9.5607823217008989E-2</v>
      </c>
      <c r="O140" s="18">
        <f t="shared" si="27"/>
        <v>62.279054323362331</v>
      </c>
      <c r="P140" s="18">
        <f t="shared" si="28"/>
        <v>3361.981720981777</v>
      </c>
      <c r="Q140" s="18">
        <f t="shared" si="29"/>
        <v>3376.0938940103606</v>
      </c>
    </row>
    <row r="141" spans="1:17" ht="21" customHeight="1">
      <c r="A141" s="1" t="s">
        <v>346</v>
      </c>
      <c r="B141" s="1" t="s">
        <v>321</v>
      </c>
      <c r="C141" s="18">
        <v>61.347824375699467</v>
      </c>
      <c r="D141" s="18">
        <v>10.65956417599782</v>
      </c>
      <c r="E141" s="18">
        <v>3606.5224969821911</v>
      </c>
      <c r="F141" s="18">
        <v>3.8554321618301355</v>
      </c>
      <c r="G141" s="18">
        <v>0</v>
      </c>
      <c r="H141" s="18">
        <f t="shared" si="20"/>
        <v>3.8554321618301355</v>
      </c>
      <c r="I141" s="18">
        <f t="shared" si="21"/>
        <v>10.65956417599782</v>
      </c>
      <c r="J141" s="18">
        <f t="shared" si="22"/>
        <v>61.347824375699467</v>
      </c>
      <c r="K141" s="18">
        <f t="shared" si="23"/>
        <v>935.43923109003958</v>
      </c>
      <c r="L141" s="18">
        <f t="shared" si="24"/>
        <v>-131.02879350198654</v>
      </c>
      <c r="M141" s="18">
        <f t="shared" si="25"/>
        <v>0.14007194604111545</v>
      </c>
      <c r="N141" s="18">
        <f t="shared" si="26"/>
        <v>0.20565378432280979</v>
      </c>
      <c r="O141" s="18">
        <f t="shared" si="27"/>
        <v>62.277852977132355</v>
      </c>
      <c r="P141" s="18">
        <f t="shared" si="28"/>
        <v>3641.960638296041</v>
      </c>
      <c r="Q141" s="18">
        <f t="shared" si="29"/>
        <v>3683.0578648512751</v>
      </c>
    </row>
    <row r="142" spans="1:17" ht="21" customHeight="1">
      <c r="A142" s="1" t="s">
        <v>346</v>
      </c>
      <c r="B142" s="1" t="s">
        <v>322</v>
      </c>
      <c r="C142" s="18">
        <v>61.347824375699467</v>
      </c>
      <c r="D142" s="18">
        <v>10.65956417599782</v>
      </c>
      <c r="E142" s="18">
        <v>3399.4875416529267</v>
      </c>
      <c r="F142" s="18">
        <v>2.3365115147320541</v>
      </c>
      <c r="G142" s="18">
        <v>1.4349562500000002</v>
      </c>
      <c r="H142" s="18">
        <f t="shared" si="20"/>
        <v>2.7419674501878282</v>
      </c>
      <c r="I142" s="18">
        <f t="shared" si="21"/>
        <v>9.0833297228010856</v>
      </c>
      <c r="J142" s="18">
        <f t="shared" si="22"/>
        <v>61.600933314364319</v>
      </c>
      <c r="K142" s="18">
        <f t="shared" si="23"/>
        <v>1239.7986494770598</v>
      </c>
      <c r="L142" s="18">
        <f t="shared" si="24"/>
        <v>-151.33863676970745</v>
      </c>
      <c r="M142" s="18">
        <f t="shared" si="25"/>
        <v>0.12206710890799989</v>
      </c>
      <c r="N142" s="18">
        <f t="shared" si="26"/>
        <v>0.17175334896024325</v>
      </c>
      <c r="O142" s="18">
        <f t="shared" si="27"/>
        <v>62.273289578350145</v>
      </c>
      <c r="P142" s="18">
        <f t="shared" si="28"/>
        <v>3424.8458320724726</v>
      </c>
      <c r="Q142" s="18">
        <f t="shared" si="29"/>
        <v>3449.7520265117173</v>
      </c>
    </row>
    <row r="143" spans="1:17" ht="21" customHeight="1">
      <c r="A143" s="1" t="s">
        <v>346</v>
      </c>
      <c r="B143" s="1" t="s">
        <v>323</v>
      </c>
      <c r="C143" s="18">
        <v>61.347824375699467</v>
      </c>
      <c r="D143" s="18">
        <v>10.65956417599782</v>
      </c>
      <c r="E143" s="18">
        <v>3495.1669708086329</v>
      </c>
      <c r="F143" s="18">
        <v>1.32389775</v>
      </c>
      <c r="G143" s="18">
        <v>0</v>
      </c>
      <c r="H143" s="18">
        <f t="shared" si="20"/>
        <v>1.32389775</v>
      </c>
      <c r="I143" s="18">
        <f t="shared" si="21"/>
        <v>10.65956417599782</v>
      </c>
      <c r="J143" s="18">
        <f t="shared" si="22"/>
        <v>61.347824375699467</v>
      </c>
      <c r="K143" s="18">
        <f t="shared" si="23"/>
        <v>2640.0580942211232</v>
      </c>
      <c r="L143" s="18">
        <f t="shared" si="24"/>
        <v>-425.76490959505537</v>
      </c>
      <c r="M143" s="18">
        <f t="shared" si="25"/>
        <v>0.16127103813625193</v>
      </c>
      <c r="N143" s="18">
        <f t="shared" si="26"/>
        <v>0.18450833905397984</v>
      </c>
      <c r="O143" s="18">
        <f t="shared" si="27"/>
        <v>62.268380566453935</v>
      </c>
      <c r="P143" s="18">
        <f t="shared" si="28"/>
        <v>3540.7173256766532</v>
      </c>
      <c r="Q143" s="18">
        <f t="shared" si="29"/>
        <v>3554.8294987052377</v>
      </c>
    </row>
    <row r="144" spans="1:17" ht="21" customHeight="1">
      <c r="A144" s="1" t="s">
        <v>346</v>
      </c>
      <c r="B144" s="1" t="s">
        <v>324</v>
      </c>
      <c r="C144" s="18">
        <v>61.347824375699467</v>
      </c>
      <c r="D144" s="18">
        <v>10.65956417599782</v>
      </c>
      <c r="E144" s="18">
        <v>470.55330200202604</v>
      </c>
      <c r="F144" s="18">
        <v>1.32389775</v>
      </c>
      <c r="G144" s="18">
        <v>0</v>
      </c>
      <c r="H144" s="18">
        <f t="shared" si="20"/>
        <v>1.32389775</v>
      </c>
      <c r="I144" s="18">
        <f t="shared" si="21"/>
        <v>10.65956417599782</v>
      </c>
      <c r="J144" s="18">
        <f t="shared" si="22"/>
        <v>61.347824375699467</v>
      </c>
      <c r="K144" s="18">
        <f t="shared" si="23"/>
        <v>355.43024527538176</v>
      </c>
      <c r="L144" s="18">
        <f t="shared" si="24"/>
        <v>-30.702216337461937</v>
      </c>
      <c r="M144" s="18">
        <f t="shared" si="25"/>
        <v>8.6380426948962502E-2</v>
      </c>
      <c r="N144" s="18">
        <f t="shared" si="26"/>
        <v>0.2589820138740373</v>
      </c>
      <c r="O144" s="18">
        <f t="shared" si="27"/>
        <v>62.342077157134767</v>
      </c>
      <c r="P144" s="18">
        <f t="shared" si="28"/>
        <v>472.30992898274428</v>
      </c>
      <c r="Q144" s="18">
        <f t="shared" si="29"/>
        <v>486.42210201132838</v>
      </c>
    </row>
    <row r="145" spans="1:17" ht="21" customHeight="1">
      <c r="A145" s="1" t="s">
        <v>347</v>
      </c>
      <c r="B145" s="1" t="s">
        <v>319</v>
      </c>
      <c r="C145" s="18">
        <v>73.109506905736964</v>
      </c>
      <c r="D145" s="18">
        <v>-2.1172683251672435</v>
      </c>
      <c r="E145" s="18">
        <v>2204.9999999995607</v>
      </c>
      <c r="F145" s="18">
        <v>1.32389775</v>
      </c>
      <c r="G145" s="18">
        <v>0</v>
      </c>
      <c r="H145" s="18">
        <f t="shared" si="20"/>
        <v>1.32389775</v>
      </c>
      <c r="I145" s="18">
        <f t="shared" si="21"/>
        <v>-2.1172683251672435</v>
      </c>
      <c r="J145" s="18">
        <f t="shared" si="22"/>
        <v>73.109506905736964</v>
      </c>
      <c r="K145" s="18">
        <f t="shared" si="23"/>
        <v>1665.5364811969509</v>
      </c>
      <c r="L145" s="18">
        <f t="shared" si="24"/>
        <v>84.778466981622813</v>
      </c>
      <c r="M145" s="18">
        <f t="shared" si="25"/>
        <v>-5.0901597136254917E-2</v>
      </c>
      <c r="N145" s="18">
        <f t="shared" si="26"/>
        <v>-7.0061269792780871E-3</v>
      </c>
      <c r="O145" s="18">
        <f t="shared" si="27"/>
        <v>73.146025965848807</v>
      </c>
      <c r="P145" s="18">
        <f t="shared" si="28"/>
        <v>2207.8571641040744</v>
      </c>
      <c r="Q145" s="18">
        <f t="shared" si="29"/>
        <v>2205.054117332239</v>
      </c>
    </row>
    <row r="146" spans="1:17" ht="21" customHeight="1">
      <c r="A146" s="1" t="s">
        <v>347</v>
      </c>
      <c r="B146" s="1" t="s">
        <v>320</v>
      </c>
      <c r="C146" s="18">
        <v>73.109506905736964</v>
      </c>
      <c r="D146" s="18">
        <v>-2.1172683251672435</v>
      </c>
      <c r="E146" s="18">
        <v>3447.1321130360475</v>
      </c>
      <c r="F146" s="18">
        <v>1.32389775</v>
      </c>
      <c r="G146" s="18">
        <v>3.4438949999999999</v>
      </c>
      <c r="H146" s="18">
        <f t="shared" si="20"/>
        <v>3.6895959160157443</v>
      </c>
      <c r="I146" s="18">
        <f t="shared" si="21"/>
        <v>-0.75971646642055235</v>
      </c>
      <c r="J146" s="18">
        <f t="shared" si="22"/>
        <v>73.13621302782505</v>
      </c>
      <c r="K146" s="18">
        <f t="shared" si="23"/>
        <v>934.28445594076754</v>
      </c>
      <c r="L146" s="18">
        <f t="shared" si="24"/>
        <v>46.270513921345675</v>
      </c>
      <c r="M146" s="18">
        <f t="shared" si="25"/>
        <v>-4.952508160349739E-2</v>
      </c>
      <c r="N146" s="18">
        <f t="shared" si="26"/>
        <v>2.8755374164314073E-2</v>
      </c>
      <c r="O146" s="18">
        <f t="shared" si="27"/>
        <v>73.158832789234864</v>
      </c>
      <c r="P146" s="18">
        <f t="shared" si="28"/>
        <v>3451.3604257383258</v>
      </c>
      <c r="Q146" s="18">
        <f t="shared" si="29"/>
        <v>3448.5573789664913</v>
      </c>
    </row>
    <row r="147" spans="1:17" ht="21" customHeight="1">
      <c r="A147" s="1" t="s">
        <v>347</v>
      </c>
      <c r="B147" s="1" t="s">
        <v>321</v>
      </c>
      <c r="C147" s="18">
        <v>73.109506905736964</v>
      </c>
      <c r="D147" s="18">
        <v>-2.1172683251672435</v>
      </c>
      <c r="E147" s="18">
        <v>3740.4712626154978</v>
      </c>
      <c r="F147" s="18">
        <v>3.8554321618301355</v>
      </c>
      <c r="G147" s="18">
        <v>0</v>
      </c>
      <c r="H147" s="18">
        <f t="shared" si="20"/>
        <v>3.8554321618301355</v>
      </c>
      <c r="I147" s="18">
        <f t="shared" si="21"/>
        <v>-2.1172683251672435</v>
      </c>
      <c r="J147" s="18">
        <f t="shared" si="22"/>
        <v>73.109506905736964</v>
      </c>
      <c r="K147" s="18">
        <f t="shared" si="23"/>
        <v>970.18209778068899</v>
      </c>
      <c r="L147" s="18">
        <f t="shared" si="24"/>
        <v>64.640882695920197</v>
      </c>
      <c r="M147" s="18">
        <f t="shared" si="25"/>
        <v>-6.6627577280376035E-2</v>
      </c>
      <c r="N147" s="18">
        <f t="shared" si="26"/>
        <v>8.728901748639677E-3</v>
      </c>
      <c r="O147" s="18">
        <f t="shared" si="27"/>
        <v>73.157451066774613</v>
      </c>
      <c r="P147" s="18">
        <f t="shared" si="28"/>
        <v>3748.7767481371329</v>
      </c>
      <c r="Q147" s="18">
        <f t="shared" si="29"/>
        <v>3740.6137637410579</v>
      </c>
    </row>
    <row r="148" spans="1:17" ht="21" customHeight="1">
      <c r="A148" s="1" t="s">
        <v>347</v>
      </c>
      <c r="B148" s="1" t="s">
        <v>322</v>
      </c>
      <c r="C148" s="18">
        <v>73.109506905736964</v>
      </c>
      <c r="D148" s="18">
        <v>-2.1172683251672435</v>
      </c>
      <c r="E148" s="18">
        <v>3448.2306283358093</v>
      </c>
      <c r="F148" s="18">
        <v>2.3365115147320541</v>
      </c>
      <c r="G148" s="18">
        <v>1.4349562500000002</v>
      </c>
      <c r="H148" s="18">
        <f t="shared" si="20"/>
        <v>2.7419674501878282</v>
      </c>
      <c r="I148" s="18">
        <f t="shared" si="21"/>
        <v>-1.8041869246813409</v>
      </c>
      <c r="J148" s="18">
        <f t="shared" si="22"/>
        <v>73.117902969803282</v>
      </c>
      <c r="K148" s="18">
        <f t="shared" si="23"/>
        <v>1257.5753326683732</v>
      </c>
      <c r="L148" s="18">
        <f t="shared" si="24"/>
        <v>67.582151673593245</v>
      </c>
      <c r="M148" s="18">
        <f t="shared" si="25"/>
        <v>-5.3740042379962043E-2</v>
      </c>
      <c r="N148" s="18">
        <f t="shared" si="26"/>
        <v>4.4019242047822777E-3</v>
      </c>
      <c r="O148" s="18">
        <f t="shared" si="27"/>
        <v>73.150454999009639</v>
      </c>
      <c r="P148" s="18">
        <f t="shared" si="28"/>
        <v>3453.2110582845994</v>
      </c>
      <c r="Q148" s="18">
        <f t="shared" si="29"/>
        <v>3448.2640364630688</v>
      </c>
    </row>
    <row r="149" spans="1:17" ht="21" customHeight="1">
      <c r="A149" s="1" t="s">
        <v>347</v>
      </c>
      <c r="B149" s="1" t="s">
        <v>323</v>
      </c>
      <c r="C149" s="18">
        <v>73.109506905736964</v>
      </c>
      <c r="D149" s="18">
        <v>-2.1172683251672435</v>
      </c>
      <c r="E149" s="18">
        <v>3468.7283896581448</v>
      </c>
      <c r="F149" s="18">
        <v>1.32389775</v>
      </c>
      <c r="G149" s="18">
        <v>0</v>
      </c>
      <c r="H149" s="18">
        <f t="shared" si="20"/>
        <v>1.32389775</v>
      </c>
      <c r="I149" s="18">
        <f t="shared" si="21"/>
        <v>-2.1172683251672435</v>
      </c>
      <c r="J149" s="18">
        <f t="shared" si="22"/>
        <v>73.109506905736964</v>
      </c>
      <c r="K149" s="18">
        <f t="shared" si="23"/>
        <v>2620.0878350749858</v>
      </c>
      <c r="L149" s="18">
        <f t="shared" si="24"/>
        <v>112.42004357801908</v>
      </c>
      <c r="M149" s="18">
        <f t="shared" si="25"/>
        <v>-4.2906975130015693E-2</v>
      </c>
      <c r="N149" s="18">
        <f t="shared" si="26"/>
        <v>-1.5003518640113475E-2</v>
      </c>
      <c r="O149" s="18">
        <f t="shared" si="27"/>
        <v>73.142529603937604</v>
      </c>
      <c r="P149" s="18">
        <f t="shared" si="28"/>
        <v>3471.9218587971636</v>
      </c>
      <c r="Q149" s="18">
        <f t="shared" si="29"/>
        <v>3469.1188120253291</v>
      </c>
    </row>
    <row r="150" spans="1:17" ht="21" customHeight="1">
      <c r="A150" s="1" t="s">
        <v>347</v>
      </c>
      <c r="B150" s="1" t="s">
        <v>324</v>
      </c>
      <c r="C150" s="18">
        <v>73.109506905736964</v>
      </c>
      <c r="D150" s="18">
        <v>-2.1172683251672435</v>
      </c>
      <c r="E150" s="18">
        <v>555.01245421765407</v>
      </c>
      <c r="F150" s="18">
        <v>1.32389775</v>
      </c>
      <c r="G150" s="18">
        <v>0</v>
      </c>
      <c r="H150" s="18">
        <f t="shared" si="20"/>
        <v>1.32389775</v>
      </c>
      <c r="I150" s="18">
        <f t="shared" si="21"/>
        <v>-2.1172683251672435</v>
      </c>
      <c r="J150" s="18">
        <f t="shared" si="22"/>
        <v>73.109506905736964</v>
      </c>
      <c r="K150" s="18">
        <f t="shared" si="23"/>
        <v>419.22607257067557</v>
      </c>
      <c r="L150" s="18">
        <f t="shared" si="24"/>
        <v>48.678576909815661</v>
      </c>
      <c r="M150" s="18">
        <f t="shared" si="25"/>
        <v>-0.11611533751066769</v>
      </c>
      <c r="N150" s="18">
        <f t="shared" si="26"/>
        <v>5.8276265705784785E-2</v>
      </c>
      <c r="O150" s="18">
        <f t="shared" si="27"/>
        <v>73.232798449988863</v>
      </c>
      <c r="P150" s="18">
        <f t="shared" si="28"/>
        <v>558.75821306204023</v>
      </c>
      <c r="Q150" s="18">
        <f t="shared" si="29"/>
        <v>555.95516629020506</v>
      </c>
    </row>
    <row r="151" spans="1:17" ht="21" customHeight="1">
      <c r="A151" s="1" t="s">
        <v>348</v>
      </c>
      <c r="B151" s="1" t="s">
        <v>319</v>
      </c>
      <c r="C151" s="18">
        <v>73.109506905736964</v>
      </c>
      <c r="D151" s="18">
        <v>1.4915868748210404</v>
      </c>
      <c r="E151" s="18">
        <v>2204.9999999998126</v>
      </c>
      <c r="F151" s="18">
        <v>1.32389775</v>
      </c>
      <c r="G151" s="18">
        <v>0</v>
      </c>
      <c r="H151" s="18">
        <f t="shared" si="20"/>
        <v>1.32389775</v>
      </c>
      <c r="I151" s="18">
        <f t="shared" si="21"/>
        <v>1.4915868748210404</v>
      </c>
      <c r="J151" s="18">
        <f t="shared" si="22"/>
        <v>73.109506905736964</v>
      </c>
      <c r="K151" s="18">
        <f t="shared" si="23"/>
        <v>1665.5364811971413</v>
      </c>
      <c r="L151" s="18">
        <f t="shared" si="24"/>
        <v>2.579409471087331</v>
      </c>
      <c r="M151" s="18">
        <f t="shared" si="25"/>
        <v>-1.54869587079433E-3</v>
      </c>
      <c r="N151" s="18">
        <f t="shared" si="26"/>
        <v>4.2346774286177488E-2</v>
      </c>
      <c r="O151" s="18">
        <f t="shared" si="27"/>
        <v>73.130589501528078</v>
      </c>
      <c r="P151" s="18">
        <f t="shared" si="28"/>
        <v>2205.0026443012785</v>
      </c>
      <c r="Q151" s="18">
        <f t="shared" si="29"/>
        <v>2206.977352808784</v>
      </c>
    </row>
    <row r="152" spans="1:17" ht="21" customHeight="1">
      <c r="A152" s="1" t="s">
        <v>348</v>
      </c>
      <c r="B152" s="1" t="s">
        <v>320</v>
      </c>
      <c r="C152" s="18">
        <v>73.109506905736964</v>
      </c>
      <c r="D152" s="18">
        <v>1.4915868748210404</v>
      </c>
      <c r="E152" s="18">
        <v>3446.6363995136571</v>
      </c>
      <c r="F152" s="18">
        <v>1.32389775</v>
      </c>
      <c r="G152" s="18">
        <v>3.4438949999999999</v>
      </c>
      <c r="H152" s="18">
        <f t="shared" si="20"/>
        <v>3.6895959160157443</v>
      </c>
      <c r="I152" s="18">
        <f t="shared" si="21"/>
        <v>0.53520996674278642</v>
      </c>
      <c r="J152" s="18">
        <f t="shared" si="22"/>
        <v>73.122762404716624</v>
      </c>
      <c r="K152" s="18">
        <f t="shared" si="23"/>
        <v>934.15010151993829</v>
      </c>
      <c r="L152" s="18">
        <f t="shared" si="24"/>
        <v>29.725830325135668</v>
      </c>
      <c r="M152" s="18">
        <f t="shared" si="25"/>
        <v>-3.1821256858795305E-2</v>
      </c>
      <c r="N152" s="18">
        <f t="shared" si="26"/>
        <v>4.6456058837836246E-2</v>
      </c>
      <c r="O152" s="18">
        <f t="shared" si="27"/>
        <v>73.143390661029542</v>
      </c>
      <c r="P152" s="18">
        <f t="shared" si="28"/>
        <v>3448.3815656593333</v>
      </c>
      <c r="Q152" s="18">
        <f t="shared" si="29"/>
        <v>3450.3562741668379</v>
      </c>
    </row>
    <row r="153" spans="1:17" ht="21" customHeight="1">
      <c r="A153" s="1" t="s">
        <v>348</v>
      </c>
      <c r="B153" s="1" t="s">
        <v>321</v>
      </c>
      <c r="C153" s="18">
        <v>73.109506905736964</v>
      </c>
      <c r="D153" s="18">
        <v>1.4915868748210404</v>
      </c>
      <c r="E153" s="18">
        <v>3740.851084771054</v>
      </c>
      <c r="F153" s="18">
        <v>3.8554321618301355</v>
      </c>
      <c r="G153" s="18">
        <v>0</v>
      </c>
      <c r="H153" s="18">
        <f t="shared" si="20"/>
        <v>3.8554321618301355</v>
      </c>
      <c r="I153" s="18">
        <f t="shared" si="21"/>
        <v>1.4915868748210404</v>
      </c>
      <c r="J153" s="18">
        <f t="shared" si="22"/>
        <v>73.109506905736964</v>
      </c>
      <c r="K153" s="18">
        <f t="shared" si="23"/>
        <v>970.28061388462072</v>
      </c>
      <c r="L153" s="18">
        <f t="shared" si="24"/>
        <v>16.765053447610605</v>
      </c>
      <c r="M153" s="18">
        <f t="shared" si="25"/>
        <v>-1.7278561694116453E-2</v>
      </c>
      <c r="N153" s="18">
        <f t="shared" si="26"/>
        <v>5.8070266118731777E-2</v>
      </c>
      <c r="O153" s="18">
        <f t="shared" si="27"/>
        <v>73.142013501385833</v>
      </c>
      <c r="P153" s="18">
        <f t="shared" si="28"/>
        <v>3741.4095117672937</v>
      </c>
      <c r="Q153" s="18">
        <f t="shared" si="29"/>
        <v>3747.1602237766433</v>
      </c>
    </row>
    <row r="154" spans="1:17" ht="21" customHeight="1">
      <c r="A154" s="1" t="s">
        <v>348</v>
      </c>
      <c r="B154" s="1" t="s">
        <v>322</v>
      </c>
      <c r="C154" s="18">
        <v>73.109506905736964</v>
      </c>
      <c r="D154" s="18">
        <v>1.4915868748210404</v>
      </c>
      <c r="E154" s="18">
        <v>3448.2640832284915</v>
      </c>
      <c r="F154" s="18">
        <v>2.3365115147320541</v>
      </c>
      <c r="G154" s="18">
        <v>1.4349562500000002</v>
      </c>
      <c r="H154" s="18">
        <f t="shared" si="20"/>
        <v>2.7419674501878282</v>
      </c>
      <c r="I154" s="18">
        <f t="shared" si="21"/>
        <v>1.2710252661838948</v>
      </c>
      <c r="J154" s="18">
        <f t="shared" si="22"/>
        <v>73.113674002732637</v>
      </c>
      <c r="K154" s="18">
        <f t="shared" si="23"/>
        <v>1257.5875337222844</v>
      </c>
      <c r="L154" s="18">
        <f t="shared" si="24"/>
        <v>14.698819406563747</v>
      </c>
      <c r="M154" s="18">
        <f t="shared" si="25"/>
        <v>-1.1688108391991834E-2</v>
      </c>
      <c r="N154" s="18">
        <f t="shared" si="26"/>
        <v>4.6449931340579557E-2</v>
      </c>
      <c r="O154" s="18">
        <f t="shared" si="27"/>
        <v>73.135016887425166</v>
      </c>
      <c r="P154" s="18">
        <f t="shared" si="28"/>
        <v>3448.4996228256828</v>
      </c>
      <c r="Q154" s="18">
        <f t="shared" si="29"/>
        <v>3451.9847327339253</v>
      </c>
    </row>
    <row r="155" spans="1:17" ht="21" customHeight="1">
      <c r="A155" s="1" t="s">
        <v>348</v>
      </c>
      <c r="B155" s="1" t="s">
        <v>323</v>
      </c>
      <c r="C155" s="18">
        <v>73.109506905736964</v>
      </c>
      <c r="D155" s="18">
        <v>1.4915868748210404</v>
      </c>
      <c r="E155" s="18">
        <v>3468.9223657033945</v>
      </c>
      <c r="F155" s="18">
        <v>1.32389775</v>
      </c>
      <c r="G155" s="18">
        <v>0</v>
      </c>
      <c r="H155" s="18">
        <f t="shared" si="20"/>
        <v>1.32389775</v>
      </c>
      <c r="I155" s="18">
        <f t="shared" si="21"/>
        <v>1.4915868748210404</v>
      </c>
      <c r="J155" s="18">
        <f t="shared" si="22"/>
        <v>73.109506905736964</v>
      </c>
      <c r="K155" s="18">
        <f t="shared" si="23"/>
        <v>2620.2343539774083</v>
      </c>
      <c r="L155" s="18">
        <f t="shared" si="24"/>
        <v>-16.898066880664608</v>
      </c>
      <c r="M155" s="18">
        <f t="shared" si="25"/>
        <v>6.4490669909025638E-3</v>
      </c>
      <c r="N155" s="18">
        <f t="shared" si="26"/>
        <v>3.4350963168532526E-2</v>
      </c>
      <c r="O155" s="18">
        <f t="shared" si="27"/>
        <v>73.127092136369981</v>
      </c>
      <c r="P155" s="18">
        <f t="shared" si="28"/>
        <v>3468.9945030006243</v>
      </c>
      <c r="Q155" s="18">
        <f t="shared" si="29"/>
        <v>3470.9692115081289</v>
      </c>
    </row>
    <row r="156" spans="1:17" ht="21" customHeight="1">
      <c r="A156" s="1" t="s">
        <v>348</v>
      </c>
      <c r="B156" s="1" t="s">
        <v>324</v>
      </c>
      <c r="C156" s="18">
        <v>73.109506905736964</v>
      </c>
      <c r="D156" s="18">
        <v>1.4915868748210404</v>
      </c>
      <c r="E156" s="18">
        <v>555.09153627716228</v>
      </c>
      <c r="F156" s="18">
        <v>1.32389775</v>
      </c>
      <c r="G156" s="18">
        <v>0</v>
      </c>
      <c r="H156" s="18">
        <f t="shared" si="20"/>
        <v>1.32389775</v>
      </c>
      <c r="I156" s="18">
        <f t="shared" si="21"/>
        <v>1.4915868748210404</v>
      </c>
      <c r="J156" s="18">
        <f t="shared" si="22"/>
        <v>73.109506905736964</v>
      </c>
      <c r="K156" s="18">
        <f t="shared" si="23"/>
        <v>419.2858068360357</v>
      </c>
      <c r="L156" s="18">
        <f t="shared" si="24"/>
        <v>28.011864195456141</v>
      </c>
      <c r="M156" s="18">
        <f t="shared" si="25"/>
        <v>-6.6808519961207166E-2</v>
      </c>
      <c r="N156" s="18">
        <f t="shared" si="26"/>
        <v>0.10755823825898436</v>
      </c>
      <c r="O156" s="18">
        <f t="shared" si="27"/>
        <v>73.217353870102102</v>
      </c>
      <c r="P156" s="18">
        <f t="shared" si="28"/>
        <v>556.3307888817867</v>
      </c>
      <c r="Q156" s="18">
        <f t="shared" si="29"/>
        <v>558.30549738929187</v>
      </c>
    </row>
    <row r="157" spans="1:17" ht="21" customHeight="1">
      <c r="A157" s="1" t="s">
        <v>349</v>
      </c>
      <c r="B157" s="1" t="s">
        <v>319</v>
      </c>
      <c r="C157" s="18">
        <v>73.109506905736964</v>
      </c>
      <c r="D157" s="18">
        <v>6.834527663877088</v>
      </c>
      <c r="E157" s="18">
        <v>2205.0000000001037</v>
      </c>
      <c r="F157" s="18">
        <v>1.32389775</v>
      </c>
      <c r="G157" s="18">
        <v>0</v>
      </c>
      <c r="H157" s="18">
        <f t="shared" si="20"/>
        <v>1.32389775</v>
      </c>
      <c r="I157" s="18">
        <f t="shared" si="21"/>
        <v>6.834527663877088</v>
      </c>
      <c r="J157" s="18">
        <f t="shared" si="22"/>
        <v>73.109506905736964</v>
      </c>
      <c r="K157" s="18">
        <f t="shared" si="23"/>
        <v>1665.5364811973611</v>
      </c>
      <c r="L157" s="18">
        <f t="shared" si="24"/>
        <v>-118.90697488450672</v>
      </c>
      <c r="M157" s="18">
        <f t="shared" si="25"/>
        <v>7.1392597056189375E-2</v>
      </c>
      <c r="N157" s="18">
        <f t="shared" si="26"/>
        <v>0.11528806721315539</v>
      </c>
      <c r="O157" s="18">
        <f t="shared" si="27"/>
        <v>73.434113719879321</v>
      </c>
      <c r="P157" s="18">
        <f t="shared" si="28"/>
        <v>2210.6217226360759</v>
      </c>
      <c r="Q157" s="18">
        <f t="shared" si="29"/>
        <v>2219.6699384325952</v>
      </c>
    </row>
    <row r="158" spans="1:17" ht="21" customHeight="1">
      <c r="A158" s="1" t="s">
        <v>349</v>
      </c>
      <c r="B158" s="1" t="s">
        <v>320</v>
      </c>
      <c r="C158" s="18">
        <v>73.109506905736964</v>
      </c>
      <c r="D158" s="18">
        <v>6.834527663877088</v>
      </c>
      <c r="E158" s="18">
        <v>3456.3799129930994</v>
      </c>
      <c r="F158" s="18">
        <v>1.32389775</v>
      </c>
      <c r="G158" s="18">
        <v>3.4438949999999999</v>
      </c>
      <c r="H158" s="18">
        <f t="shared" si="20"/>
        <v>3.6895959160157443</v>
      </c>
      <c r="I158" s="18">
        <f t="shared" si="21"/>
        <v>2.4523595544008678</v>
      </c>
      <c r="J158" s="18">
        <f t="shared" si="22"/>
        <v>73.387306129903976</v>
      </c>
      <c r="K158" s="18">
        <f t="shared" si="23"/>
        <v>936.79090926724405</v>
      </c>
      <c r="L158" s="18">
        <f t="shared" si="24"/>
        <v>5.403040438960609</v>
      </c>
      <c r="M158" s="18">
        <f t="shared" si="25"/>
        <v>-5.7676055409065152E-3</v>
      </c>
      <c r="N158" s="18">
        <f t="shared" si="26"/>
        <v>7.2571440455288502E-2</v>
      </c>
      <c r="O158" s="18">
        <f t="shared" si="27"/>
        <v>73.4470262822188</v>
      </c>
      <c r="P158" s="18">
        <f t="shared" si="28"/>
        <v>3456.4374018643302</v>
      </c>
      <c r="Q158" s="18">
        <f t="shared" si="29"/>
        <v>3465.4856176608505</v>
      </c>
    </row>
    <row r="159" spans="1:17" ht="21" customHeight="1">
      <c r="A159" s="1" t="s">
        <v>349</v>
      </c>
      <c r="B159" s="1" t="s">
        <v>321</v>
      </c>
      <c r="C159" s="18">
        <v>73.109506905736964</v>
      </c>
      <c r="D159" s="18">
        <v>6.834527663877088</v>
      </c>
      <c r="E159" s="18">
        <v>3733.4102524557047</v>
      </c>
      <c r="F159" s="18">
        <v>3.8554321618301355</v>
      </c>
      <c r="G159" s="18">
        <v>0</v>
      </c>
      <c r="H159" s="18">
        <f t="shared" si="20"/>
        <v>3.8554321618301355</v>
      </c>
      <c r="I159" s="18">
        <f t="shared" si="21"/>
        <v>6.834527663877088</v>
      </c>
      <c r="J159" s="18">
        <f t="shared" si="22"/>
        <v>73.109506905736964</v>
      </c>
      <c r="K159" s="18">
        <f t="shared" si="23"/>
        <v>968.3506532464811</v>
      </c>
      <c r="L159" s="18">
        <f t="shared" si="24"/>
        <v>-53.817250734869802</v>
      </c>
      <c r="M159" s="18">
        <f t="shared" si="25"/>
        <v>5.5576201197823034E-2</v>
      </c>
      <c r="N159" s="18">
        <f t="shared" si="26"/>
        <v>0.13107520216470511</v>
      </c>
      <c r="O159" s="18">
        <f t="shared" si="27"/>
        <v>73.44555922587945</v>
      </c>
      <c r="P159" s="18">
        <f t="shared" si="28"/>
        <v>3739.1774551810072</v>
      </c>
      <c r="Q159" s="18">
        <f t="shared" si="29"/>
        <v>3765.5275129472375</v>
      </c>
    </row>
    <row r="160" spans="1:17" ht="21" customHeight="1">
      <c r="A160" s="1" t="s">
        <v>349</v>
      </c>
      <c r="B160" s="1" t="s">
        <v>322</v>
      </c>
      <c r="C160" s="18">
        <v>73.109506905736964</v>
      </c>
      <c r="D160" s="18">
        <v>6.834527663877088</v>
      </c>
      <c r="E160" s="18">
        <v>3447.6204635159711</v>
      </c>
      <c r="F160" s="18">
        <v>2.3365115147320541</v>
      </c>
      <c r="G160" s="18">
        <v>1.4349562500000002</v>
      </c>
      <c r="H160" s="18">
        <f t="shared" si="20"/>
        <v>2.7419674501878282</v>
      </c>
      <c r="I160" s="18">
        <f t="shared" si="21"/>
        <v>5.823903045716202</v>
      </c>
      <c r="J160" s="18">
        <f t="shared" si="22"/>
        <v>73.196946122788489</v>
      </c>
      <c r="K160" s="18">
        <f t="shared" si="23"/>
        <v>1257.3528045636738</v>
      </c>
      <c r="L160" s="18">
        <f t="shared" si="24"/>
        <v>-63.323263274131023</v>
      </c>
      <c r="M160" s="18">
        <f t="shared" si="25"/>
        <v>5.0362366906323834E-2</v>
      </c>
      <c r="N160" s="18">
        <f t="shared" si="26"/>
        <v>0.10857748827648635</v>
      </c>
      <c r="O160" s="18">
        <f t="shared" si="27"/>
        <v>73.438573444128039</v>
      </c>
      <c r="P160" s="18">
        <f t="shared" si="28"/>
        <v>3451.9936048340087</v>
      </c>
      <c r="Q160" s="18">
        <f t="shared" si="29"/>
        <v>3467.962557418412</v>
      </c>
    </row>
    <row r="161" spans="1:17" ht="21" customHeight="1">
      <c r="A161" s="1" t="s">
        <v>349</v>
      </c>
      <c r="B161" s="1" t="s">
        <v>323</v>
      </c>
      <c r="C161" s="18">
        <v>73.109506905736964</v>
      </c>
      <c r="D161" s="18">
        <v>6.834527663877088</v>
      </c>
      <c r="E161" s="18">
        <v>3465.1143798947878</v>
      </c>
      <c r="F161" s="18">
        <v>1.32389775</v>
      </c>
      <c r="G161" s="18">
        <v>0</v>
      </c>
      <c r="H161" s="18">
        <f t="shared" si="20"/>
        <v>1.32389775</v>
      </c>
      <c r="I161" s="18">
        <f t="shared" si="21"/>
        <v>6.834527663877088</v>
      </c>
      <c r="J161" s="18">
        <f t="shared" si="22"/>
        <v>73.109506905736964</v>
      </c>
      <c r="K161" s="18">
        <f t="shared" si="23"/>
        <v>2617.3580096308706</v>
      </c>
      <c r="L161" s="18">
        <f t="shared" si="24"/>
        <v>-207.76195023272064</v>
      </c>
      <c r="M161" s="18">
        <f t="shared" si="25"/>
        <v>7.9378499031556471E-2</v>
      </c>
      <c r="N161" s="18">
        <f t="shared" si="26"/>
        <v>0.10731105798479179</v>
      </c>
      <c r="O161" s="18">
        <f t="shared" si="27"/>
        <v>73.430636003747082</v>
      </c>
      <c r="P161" s="18">
        <f t="shared" si="28"/>
        <v>3476.0368627367952</v>
      </c>
      <c r="Q161" s="18">
        <f t="shared" si="29"/>
        <v>3485.085078533315</v>
      </c>
    </row>
    <row r="162" spans="1:17" ht="21" customHeight="1">
      <c r="A162" s="1" t="s">
        <v>349</v>
      </c>
      <c r="B162" s="1" t="s">
        <v>324</v>
      </c>
      <c r="C162" s="18">
        <v>73.109506905736964</v>
      </c>
      <c r="D162" s="18">
        <v>6.834527663877088</v>
      </c>
      <c r="E162" s="18">
        <v>553.54319446279123</v>
      </c>
      <c r="F162" s="18">
        <v>1.32389775</v>
      </c>
      <c r="G162" s="18">
        <v>0</v>
      </c>
      <c r="H162" s="18">
        <f t="shared" si="20"/>
        <v>1.32389775</v>
      </c>
      <c r="I162" s="18">
        <f t="shared" si="21"/>
        <v>6.834527663877088</v>
      </c>
      <c r="J162" s="18">
        <f t="shared" si="22"/>
        <v>73.109506905736964</v>
      </c>
      <c r="K162" s="18">
        <f t="shared" si="23"/>
        <v>418.11627405726102</v>
      </c>
      <c r="L162" s="18">
        <f t="shared" si="24"/>
        <v>-2.4259490951123226</v>
      </c>
      <c r="M162" s="18">
        <f t="shared" si="25"/>
        <v>5.8020920151510029E-3</v>
      </c>
      <c r="N162" s="18">
        <f t="shared" si="26"/>
        <v>0.18065657973050983</v>
      </c>
      <c r="O162" s="18">
        <f t="shared" si="27"/>
        <v>73.521036886531647</v>
      </c>
      <c r="P162" s="18">
        <f t="shared" si="28"/>
        <v>553.55251180319215</v>
      </c>
      <c r="Q162" s="18">
        <f t="shared" si="29"/>
        <v>562.60072759971183</v>
      </c>
    </row>
    <row r="163" spans="1:17" ht="21" customHeight="1">
      <c r="A163" s="1" t="s">
        <v>350</v>
      </c>
      <c r="B163" s="1" t="s">
        <v>319</v>
      </c>
      <c r="C163" s="18">
        <v>73.109506905736964</v>
      </c>
      <c r="D163" s="18">
        <v>8.1831018882727218</v>
      </c>
      <c r="E163" s="18">
        <v>2205.000000000101</v>
      </c>
      <c r="F163" s="18">
        <v>1.32389775</v>
      </c>
      <c r="G163" s="18">
        <v>0</v>
      </c>
      <c r="H163" s="18">
        <f t="shared" si="20"/>
        <v>1.32389775</v>
      </c>
      <c r="I163" s="18">
        <f t="shared" si="21"/>
        <v>8.1831018882727218</v>
      </c>
      <c r="J163" s="18">
        <f t="shared" si="22"/>
        <v>73.109506905736964</v>
      </c>
      <c r="K163" s="18">
        <f t="shared" si="23"/>
        <v>1665.5364811973591</v>
      </c>
      <c r="L163" s="18">
        <f t="shared" si="24"/>
        <v>-149.46576408567546</v>
      </c>
      <c r="M163" s="18">
        <f t="shared" si="25"/>
        <v>8.9740312369636047E-2</v>
      </c>
      <c r="N163" s="18">
        <f t="shared" si="26"/>
        <v>0.13363578252660213</v>
      </c>
      <c r="O163" s="18">
        <f t="shared" si="27"/>
        <v>73.571879450981314</v>
      </c>
      <c r="P163" s="18">
        <f t="shared" si="28"/>
        <v>2213.8847495867003</v>
      </c>
      <c r="Q163" s="18">
        <f t="shared" si="29"/>
        <v>2224.7183397646058</v>
      </c>
    </row>
    <row r="164" spans="1:17" ht="21" customHeight="1">
      <c r="A164" s="1" t="s">
        <v>350</v>
      </c>
      <c r="B164" s="1" t="s">
        <v>320</v>
      </c>
      <c r="C164" s="18">
        <v>73.109506905736964</v>
      </c>
      <c r="D164" s="18">
        <v>8.1831018882727218</v>
      </c>
      <c r="E164" s="18">
        <v>3460.799879956814</v>
      </c>
      <c r="F164" s="18">
        <v>1.32389775</v>
      </c>
      <c r="G164" s="18">
        <v>3.4438949999999999</v>
      </c>
      <c r="H164" s="18">
        <f t="shared" si="20"/>
        <v>3.6895959160157443</v>
      </c>
      <c r="I164" s="18">
        <f t="shared" si="21"/>
        <v>2.9362538403944769</v>
      </c>
      <c r="J164" s="18">
        <f t="shared" si="22"/>
        <v>73.507425270503262</v>
      </c>
      <c r="K164" s="18">
        <f t="shared" si="23"/>
        <v>937.98886347803682</v>
      </c>
      <c r="L164" s="18">
        <f t="shared" si="24"/>
        <v>-0.69471394494568983</v>
      </c>
      <c r="M164" s="18">
        <f t="shared" si="25"/>
        <v>7.4064199693129587E-4</v>
      </c>
      <c r="N164" s="18">
        <f t="shared" si="26"/>
        <v>7.9107697441427469E-2</v>
      </c>
      <c r="O164" s="18">
        <f t="shared" si="27"/>
        <v>73.584842601966287</v>
      </c>
      <c r="P164" s="18">
        <f t="shared" si="28"/>
        <v>3460.800829168727</v>
      </c>
      <c r="Q164" s="18">
        <f t="shared" si="29"/>
        <v>3471.6344193466321</v>
      </c>
    </row>
    <row r="165" spans="1:17" ht="21" customHeight="1">
      <c r="A165" s="1" t="s">
        <v>350</v>
      </c>
      <c r="B165" s="1" t="s">
        <v>321</v>
      </c>
      <c r="C165" s="18">
        <v>73.109506905736964</v>
      </c>
      <c r="D165" s="18">
        <v>8.1831018882727218</v>
      </c>
      <c r="E165" s="18">
        <v>3730.0520133590662</v>
      </c>
      <c r="F165" s="18">
        <v>3.8554321618301355</v>
      </c>
      <c r="G165" s="18">
        <v>0</v>
      </c>
      <c r="H165" s="18">
        <f t="shared" si="20"/>
        <v>3.8554321618301355</v>
      </c>
      <c r="I165" s="18">
        <f t="shared" si="21"/>
        <v>8.1831018882727218</v>
      </c>
      <c r="J165" s="18">
        <f t="shared" si="22"/>
        <v>73.109506905736964</v>
      </c>
      <c r="K165" s="18">
        <f t="shared" si="23"/>
        <v>967.47961234738659</v>
      </c>
      <c r="L165" s="18">
        <f t="shared" si="24"/>
        <v>-71.484193463669428</v>
      </c>
      <c r="M165" s="18">
        <f t="shared" si="25"/>
        <v>7.3887028265358493E-2</v>
      </c>
      <c r="N165" s="18">
        <f t="shared" si="26"/>
        <v>0.14945400246582982</v>
      </c>
      <c r="O165" s="18">
        <f t="shared" si="27"/>
        <v>73.583334618670065</v>
      </c>
      <c r="P165" s="18">
        <f t="shared" si="28"/>
        <v>3740.2383696084303</v>
      </c>
      <c r="Q165" s="18">
        <f t="shared" si="29"/>
        <v>3771.7877638120099</v>
      </c>
    </row>
    <row r="166" spans="1:17" ht="21" customHeight="1">
      <c r="A166" s="1" t="s">
        <v>350</v>
      </c>
      <c r="B166" s="1" t="s">
        <v>322</v>
      </c>
      <c r="C166" s="18">
        <v>73.109506905736964</v>
      </c>
      <c r="D166" s="18">
        <v>8.1831018882727218</v>
      </c>
      <c r="E166" s="18">
        <v>3447.3381770955848</v>
      </c>
      <c r="F166" s="18">
        <v>2.3365115147320541</v>
      </c>
      <c r="G166" s="18">
        <v>1.4349562500000002</v>
      </c>
      <c r="H166" s="18">
        <f t="shared" si="20"/>
        <v>2.7419674501878282</v>
      </c>
      <c r="I166" s="18">
        <f t="shared" si="21"/>
        <v>6.9730630051297986</v>
      </c>
      <c r="J166" s="18">
        <f t="shared" si="22"/>
        <v>73.234824700004197</v>
      </c>
      <c r="K166" s="18">
        <f t="shared" si="23"/>
        <v>1257.2498542458766</v>
      </c>
      <c r="L166" s="18">
        <f t="shared" si="24"/>
        <v>-82.894798573111672</v>
      </c>
      <c r="M166" s="18">
        <f t="shared" si="25"/>
        <v>6.5933432637249031E-2</v>
      </c>
      <c r="N166" s="18">
        <f t="shared" si="26"/>
        <v>0.12418344909394761</v>
      </c>
      <c r="O166" s="18">
        <f t="shared" si="27"/>
        <v>73.576353817605749</v>
      </c>
      <c r="P166" s="18">
        <f t="shared" si="28"/>
        <v>3454.8340565173844</v>
      </c>
      <c r="Q166" s="18">
        <f t="shared" si="29"/>
        <v>3473.9539683055591</v>
      </c>
    </row>
    <row r="167" spans="1:17" ht="21" customHeight="1">
      <c r="A167" s="1" t="s">
        <v>350</v>
      </c>
      <c r="B167" s="1" t="s">
        <v>323</v>
      </c>
      <c r="C167" s="18">
        <v>73.109506905736964</v>
      </c>
      <c r="D167" s="18">
        <v>8.1831018882727218</v>
      </c>
      <c r="E167" s="18">
        <v>3463.3902664787984</v>
      </c>
      <c r="F167" s="18">
        <v>1.32389775</v>
      </c>
      <c r="G167" s="18">
        <v>0</v>
      </c>
      <c r="H167" s="18">
        <f t="shared" si="20"/>
        <v>1.32389775</v>
      </c>
      <c r="I167" s="18">
        <f t="shared" si="21"/>
        <v>8.1831018882727218</v>
      </c>
      <c r="J167" s="18">
        <f t="shared" si="22"/>
        <v>73.109506905736964</v>
      </c>
      <c r="K167" s="18">
        <f t="shared" si="23"/>
        <v>2616.0557085913911</v>
      </c>
      <c r="L167" s="18">
        <f t="shared" si="24"/>
        <v>-255.64129230842335</v>
      </c>
      <c r="M167" s="18">
        <f t="shared" si="25"/>
        <v>9.7720125557292814E-2</v>
      </c>
      <c r="N167" s="18">
        <f t="shared" si="26"/>
        <v>0.12566658964276239</v>
      </c>
      <c r="O167" s="18">
        <f t="shared" si="27"/>
        <v>73.568410599587096</v>
      </c>
      <c r="P167" s="18">
        <f t="shared" si="28"/>
        <v>3479.9397726597913</v>
      </c>
      <c r="Q167" s="18">
        <f t="shared" si="29"/>
        <v>3490.7733628376968</v>
      </c>
    </row>
    <row r="168" spans="1:17" ht="21" customHeight="1">
      <c r="A168" s="1" t="s">
        <v>350</v>
      </c>
      <c r="B168" s="1" t="s">
        <v>324</v>
      </c>
      <c r="C168" s="18">
        <v>73.109506905736964</v>
      </c>
      <c r="D168" s="18">
        <v>8.1831018882727218</v>
      </c>
      <c r="E168" s="18">
        <v>552.84501124936514</v>
      </c>
      <c r="F168" s="18">
        <v>1.32389775</v>
      </c>
      <c r="G168" s="18">
        <v>0</v>
      </c>
      <c r="H168" s="18">
        <f t="shared" si="20"/>
        <v>1.32389775</v>
      </c>
      <c r="I168" s="18">
        <f t="shared" si="21"/>
        <v>8.1831018882727218</v>
      </c>
      <c r="J168" s="18">
        <f t="shared" si="22"/>
        <v>73.109506905736964</v>
      </c>
      <c r="K168" s="18">
        <f t="shared" si="23"/>
        <v>417.58890461847614</v>
      </c>
      <c r="L168" s="18">
        <f t="shared" si="24"/>
        <v>-10.029393797291171</v>
      </c>
      <c r="M168" s="18">
        <f t="shared" si="25"/>
        <v>2.4017385726410465E-2</v>
      </c>
      <c r="N168" s="18">
        <f t="shared" si="26"/>
        <v>0.19909269567156421</v>
      </c>
      <c r="O168" s="18">
        <f t="shared" si="27"/>
        <v>73.658874154151732</v>
      </c>
      <c r="P168" s="18">
        <f t="shared" si="28"/>
        <v>553.00446903969407</v>
      </c>
      <c r="Q168" s="18">
        <f t="shared" si="29"/>
        <v>563.83805921759915</v>
      </c>
    </row>
    <row r="169" spans="1:17" ht="21" customHeight="1">
      <c r="A169" s="1" t="s">
        <v>351</v>
      </c>
      <c r="B169" s="1" t="s">
        <v>319</v>
      </c>
      <c r="C169" s="18">
        <v>59.012595568568976</v>
      </c>
      <c r="D169" s="18">
        <v>5.3158179466050566</v>
      </c>
      <c r="E169" s="18">
        <v>2204.9999999998972</v>
      </c>
      <c r="F169" s="18">
        <v>1.32389775</v>
      </c>
      <c r="G169" s="18">
        <v>0</v>
      </c>
      <c r="H169" s="18">
        <f t="shared" si="20"/>
        <v>1.32389775</v>
      </c>
      <c r="I169" s="18">
        <f t="shared" si="21"/>
        <v>5.3158179466050566</v>
      </c>
      <c r="J169" s="18">
        <f t="shared" si="22"/>
        <v>59.012595568568976</v>
      </c>
      <c r="K169" s="18">
        <f t="shared" si="23"/>
        <v>1665.5364811972051</v>
      </c>
      <c r="L169" s="18">
        <f t="shared" si="24"/>
        <v>-120.31421652806252</v>
      </c>
      <c r="M169" s="18">
        <f t="shared" si="25"/>
        <v>7.2237514990713014E-2</v>
      </c>
      <c r="N169" s="18">
        <f t="shared" si="26"/>
        <v>0.10766909888862326</v>
      </c>
      <c r="O169" s="18">
        <f t="shared" si="27"/>
        <v>59.254609075741506</v>
      </c>
      <c r="P169" s="18">
        <f t="shared" si="28"/>
        <v>2210.755632287463</v>
      </c>
      <c r="Q169" s="18">
        <f t="shared" si="29"/>
        <v>2217.7932317063828</v>
      </c>
    </row>
    <row r="170" spans="1:17" ht="21" customHeight="1">
      <c r="A170" s="1" t="s">
        <v>351</v>
      </c>
      <c r="B170" s="1" t="s">
        <v>320</v>
      </c>
      <c r="C170" s="18">
        <v>59.012595568568976</v>
      </c>
      <c r="D170" s="18">
        <v>5.3158179466050566</v>
      </c>
      <c r="E170" s="18">
        <v>3313.0525181836319</v>
      </c>
      <c r="F170" s="18">
        <v>1.32389775</v>
      </c>
      <c r="G170" s="18">
        <v>3.4438949999999999</v>
      </c>
      <c r="H170" s="18">
        <f t="shared" si="20"/>
        <v>3.6895959160157443</v>
      </c>
      <c r="I170" s="18">
        <f t="shared" si="21"/>
        <v>1.9074173917992876</v>
      </c>
      <c r="J170" s="18">
        <f t="shared" si="22"/>
        <v>59.22082501176758</v>
      </c>
      <c r="K170" s="18">
        <f t="shared" si="23"/>
        <v>897.94454287050291</v>
      </c>
      <c r="L170" s="18">
        <f t="shared" si="24"/>
        <v>0.69914971235576573</v>
      </c>
      <c r="M170" s="18">
        <f t="shared" si="25"/>
        <v>-7.7861123819602477E-4</v>
      </c>
      <c r="N170" s="18">
        <f t="shared" si="26"/>
        <v>6.517292828834699E-2</v>
      </c>
      <c r="O170" s="18">
        <f t="shared" si="27"/>
        <v>59.262262454229287</v>
      </c>
      <c r="P170" s="18">
        <f t="shared" si="28"/>
        <v>3313.0535224286423</v>
      </c>
      <c r="Q170" s="18">
        <f t="shared" si="29"/>
        <v>3320.0911218475617</v>
      </c>
    </row>
    <row r="171" spans="1:17" ht="21" customHeight="1">
      <c r="A171" s="1" t="s">
        <v>351</v>
      </c>
      <c r="B171" s="1" t="s">
        <v>321</v>
      </c>
      <c r="C171" s="18">
        <v>59.012595568568976</v>
      </c>
      <c r="D171" s="18">
        <v>5.3158179466050566</v>
      </c>
      <c r="E171" s="18">
        <v>3603.0396317568548</v>
      </c>
      <c r="F171" s="18">
        <v>3.8554321618301355</v>
      </c>
      <c r="G171" s="18">
        <v>0</v>
      </c>
      <c r="H171" s="18">
        <f t="shared" si="20"/>
        <v>3.8554321618301355</v>
      </c>
      <c r="I171" s="18">
        <f t="shared" si="21"/>
        <v>5.3158179466050566</v>
      </c>
      <c r="J171" s="18">
        <f t="shared" si="22"/>
        <v>59.012595568568976</v>
      </c>
      <c r="K171" s="18">
        <f t="shared" si="23"/>
        <v>934.53586537663978</v>
      </c>
      <c r="L171" s="18">
        <f t="shared" si="24"/>
        <v>-54.548750833912536</v>
      </c>
      <c r="M171" s="18">
        <f t="shared" si="25"/>
        <v>5.8369884832539964E-2</v>
      </c>
      <c r="N171" s="18">
        <f t="shared" si="26"/>
        <v>0.12151630623262773</v>
      </c>
      <c r="O171" s="18">
        <f t="shared" si="27"/>
        <v>59.261300210778785</v>
      </c>
      <c r="P171" s="18">
        <f t="shared" si="28"/>
        <v>3609.1792309151024</v>
      </c>
      <c r="Q171" s="18">
        <f t="shared" si="29"/>
        <v>3629.6740063928778</v>
      </c>
    </row>
    <row r="172" spans="1:17" ht="21" customHeight="1">
      <c r="A172" s="1" t="s">
        <v>351</v>
      </c>
      <c r="B172" s="1" t="s">
        <v>322</v>
      </c>
      <c r="C172" s="18">
        <v>59.012595568568976</v>
      </c>
      <c r="D172" s="18">
        <v>5.3158179466050566</v>
      </c>
      <c r="E172" s="18">
        <v>3392.3031218408487</v>
      </c>
      <c r="F172" s="18">
        <v>2.3365115147320541</v>
      </c>
      <c r="G172" s="18">
        <v>1.4349562500000002</v>
      </c>
      <c r="H172" s="18">
        <f t="shared" si="20"/>
        <v>2.7419674501878282</v>
      </c>
      <c r="I172" s="18">
        <f t="shared" si="21"/>
        <v>4.5297656037496727</v>
      </c>
      <c r="J172" s="18">
        <f t="shared" si="22"/>
        <v>59.078131146440484</v>
      </c>
      <c r="K172" s="18">
        <f t="shared" si="23"/>
        <v>1237.1784798570354</v>
      </c>
      <c r="L172" s="18">
        <f t="shared" si="24"/>
        <v>-65.218858955137577</v>
      </c>
      <c r="M172" s="18">
        <f t="shared" si="25"/>
        <v>5.2715804564167711E-2</v>
      </c>
      <c r="N172" s="18">
        <f t="shared" si="26"/>
        <v>0.10046811525200587</v>
      </c>
      <c r="O172" s="18">
        <f t="shared" si="27"/>
        <v>59.257131484884333</v>
      </c>
      <c r="P172" s="18">
        <f t="shared" si="28"/>
        <v>3397.0177441432165</v>
      </c>
      <c r="Q172" s="18">
        <f t="shared" si="29"/>
        <v>3409.4382139856784</v>
      </c>
    </row>
    <row r="173" spans="1:17" ht="21" customHeight="1">
      <c r="A173" s="1" t="s">
        <v>351</v>
      </c>
      <c r="B173" s="1" t="s">
        <v>323</v>
      </c>
      <c r="C173" s="18">
        <v>59.012595568568976</v>
      </c>
      <c r="D173" s="18">
        <v>5.3158179466050566</v>
      </c>
      <c r="E173" s="18">
        <v>3514.0360600874947</v>
      </c>
      <c r="F173" s="18">
        <v>1.32389775</v>
      </c>
      <c r="G173" s="18">
        <v>0</v>
      </c>
      <c r="H173" s="18">
        <f t="shared" si="20"/>
        <v>1.32389775</v>
      </c>
      <c r="I173" s="18">
        <f t="shared" si="21"/>
        <v>5.3158179466050566</v>
      </c>
      <c r="J173" s="18">
        <f t="shared" si="22"/>
        <v>59.012595568568976</v>
      </c>
      <c r="K173" s="18">
        <f t="shared" si="23"/>
        <v>2654.3107729335552</v>
      </c>
      <c r="L173" s="18">
        <f t="shared" si="24"/>
        <v>-209.2652853677786</v>
      </c>
      <c r="M173" s="18">
        <f t="shared" si="25"/>
        <v>7.8839783005701977E-2</v>
      </c>
      <c r="N173" s="18">
        <f t="shared" si="26"/>
        <v>0.10107252084873458</v>
      </c>
      <c r="O173" s="18">
        <f t="shared" si="27"/>
        <v>59.252745138154353</v>
      </c>
      <c r="P173" s="18">
        <f t="shared" si="28"/>
        <v>3524.9628351075139</v>
      </c>
      <c r="Q173" s="18">
        <f t="shared" si="29"/>
        <v>3532.0004345264342</v>
      </c>
    </row>
    <row r="174" spans="1:17" ht="21" customHeight="1">
      <c r="A174" s="1" t="s">
        <v>351</v>
      </c>
      <c r="B174" s="1" t="s">
        <v>324</v>
      </c>
      <c r="C174" s="18">
        <v>59.012595568568976</v>
      </c>
      <c r="D174" s="18">
        <v>5.3158179466050566</v>
      </c>
      <c r="E174" s="18">
        <v>457.75605747186239</v>
      </c>
      <c r="F174" s="18">
        <v>1.32389775</v>
      </c>
      <c r="G174" s="18">
        <v>0</v>
      </c>
      <c r="H174" s="18">
        <f t="shared" si="20"/>
        <v>1.32389775</v>
      </c>
      <c r="I174" s="18">
        <f t="shared" si="21"/>
        <v>5.3158179466050566</v>
      </c>
      <c r="J174" s="18">
        <f t="shared" si="22"/>
        <v>59.012595568568976</v>
      </c>
      <c r="K174" s="18">
        <f t="shared" si="23"/>
        <v>345.76390621697362</v>
      </c>
      <c r="L174" s="18">
        <f t="shared" si="24"/>
        <v>-1.5603130019090834</v>
      </c>
      <c r="M174" s="18">
        <f t="shared" si="25"/>
        <v>4.5126543686429673E-3</v>
      </c>
      <c r="N174" s="18">
        <f t="shared" si="26"/>
        <v>0.17518574808229803</v>
      </c>
      <c r="O174" s="18">
        <f t="shared" si="27"/>
        <v>59.322896951704777</v>
      </c>
      <c r="P174" s="18">
        <f t="shared" si="28"/>
        <v>457.76071836326736</v>
      </c>
      <c r="Q174" s="18">
        <f t="shared" si="29"/>
        <v>464.79831778218738</v>
      </c>
    </row>
    <row r="175" spans="1:17" ht="21" customHeight="1">
      <c r="A175" s="1" t="s">
        <v>352</v>
      </c>
      <c r="B175" s="1" t="s">
        <v>319</v>
      </c>
      <c r="C175" s="18">
        <v>14.142135623730951</v>
      </c>
      <c r="D175" s="18">
        <v>3.3493208478552337</v>
      </c>
      <c r="E175" s="18">
        <v>2205.0000000084374</v>
      </c>
      <c r="F175" s="18">
        <v>1.32389775</v>
      </c>
      <c r="G175" s="18">
        <v>0</v>
      </c>
      <c r="H175" s="18">
        <f t="shared" si="20"/>
        <v>1.32389775</v>
      </c>
      <c r="I175" s="18">
        <f t="shared" si="21"/>
        <v>3.3493208478552337</v>
      </c>
      <c r="J175" s="18">
        <f t="shared" si="22"/>
        <v>14.142135623730951</v>
      </c>
      <c r="K175" s="18">
        <f t="shared" si="23"/>
        <v>1665.536481203656</v>
      </c>
      <c r="L175" s="18">
        <f t="shared" si="24"/>
        <v>-383.78397393547982</v>
      </c>
      <c r="M175" s="18">
        <f t="shared" si="25"/>
        <v>0.23042663926407989</v>
      </c>
      <c r="N175" s="18">
        <f t="shared" si="26"/>
        <v>0.23891767850778992</v>
      </c>
      <c r="O175" s="18">
        <f t="shared" si="27"/>
        <v>14.533380603764851</v>
      </c>
      <c r="P175" s="18">
        <f t="shared" si="28"/>
        <v>2263.7982965500423</v>
      </c>
      <c r="Q175" s="18">
        <f t="shared" si="29"/>
        <v>2268.2324548845459</v>
      </c>
    </row>
    <row r="176" spans="1:17" ht="21" customHeight="1">
      <c r="A176" s="1" t="s">
        <v>352</v>
      </c>
      <c r="B176" s="1" t="s">
        <v>320</v>
      </c>
      <c r="C176" s="18">
        <v>14.142135623730951</v>
      </c>
      <c r="D176" s="18">
        <v>3.3493208478552337</v>
      </c>
      <c r="E176" s="18">
        <v>2992.757328648896</v>
      </c>
      <c r="F176" s="18">
        <v>1.32389775</v>
      </c>
      <c r="G176" s="18">
        <v>3.4438949999999999</v>
      </c>
      <c r="H176" s="18">
        <f t="shared" si="20"/>
        <v>3.6895959160157443</v>
      </c>
      <c r="I176" s="18">
        <f t="shared" si="21"/>
        <v>1.201800531937903</v>
      </c>
      <c r="J176" s="18">
        <f t="shared" si="22"/>
        <v>14.48356398209058</v>
      </c>
      <c r="K176" s="18">
        <f t="shared" si="23"/>
        <v>811.13417208046508</v>
      </c>
      <c r="L176" s="18">
        <f t="shared" si="24"/>
        <v>-59.985690013041179</v>
      </c>
      <c r="M176" s="18">
        <f t="shared" si="25"/>
        <v>7.3952857711794884E-2</v>
      </c>
      <c r="N176" s="18">
        <f t="shared" si="26"/>
        <v>9.1808798788647714E-2</v>
      </c>
      <c r="O176" s="18">
        <f t="shared" si="27"/>
        <v>14.533531015981731</v>
      </c>
      <c r="P176" s="18">
        <f t="shared" si="28"/>
        <v>3000.9447916518548</v>
      </c>
      <c r="Q176" s="18">
        <f t="shared" si="29"/>
        <v>3005.3789499863587</v>
      </c>
    </row>
    <row r="177" spans="1:17" ht="21" customHeight="1">
      <c r="A177" s="1" t="s">
        <v>352</v>
      </c>
      <c r="B177" s="1" t="s">
        <v>321</v>
      </c>
      <c r="C177" s="18">
        <v>14.142135623730951</v>
      </c>
      <c r="D177" s="18">
        <v>3.3493208478552337</v>
      </c>
      <c r="E177" s="18">
        <v>3258.9690804627526</v>
      </c>
      <c r="F177" s="18">
        <v>3.8554321618301355</v>
      </c>
      <c r="G177" s="18">
        <v>0</v>
      </c>
      <c r="H177" s="18">
        <f t="shared" si="20"/>
        <v>3.8554321618301355</v>
      </c>
      <c r="I177" s="18">
        <f t="shared" si="21"/>
        <v>3.3493208478552337</v>
      </c>
      <c r="J177" s="18">
        <f t="shared" si="22"/>
        <v>14.142135623730951</v>
      </c>
      <c r="K177" s="18">
        <f t="shared" si="23"/>
        <v>845.29280860585868</v>
      </c>
      <c r="L177" s="18">
        <f t="shared" si="24"/>
        <v>-191.29393372563896</v>
      </c>
      <c r="M177" s="18">
        <f t="shared" si="25"/>
        <v>0.22630493454823072</v>
      </c>
      <c r="N177" s="18">
        <f t="shared" si="26"/>
        <v>0.24303539230174642</v>
      </c>
      <c r="O177" s="18">
        <f t="shared" si="27"/>
        <v>14.53349976166608</v>
      </c>
      <c r="P177" s="18">
        <f t="shared" si="28"/>
        <v>3342.7781454168066</v>
      </c>
      <c r="Q177" s="18">
        <f t="shared" si="29"/>
        <v>3355.6912247339155</v>
      </c>
    </row>
    <row r="178" spans="1:17" ht="21" customHeight="1">
      <c r="A178" s="1" t="s">
        <v>352</v>
      </c>
      <c r="B178" s="1" t="s">
        <v>322</v>
      </c>
      <c r="C178" s="18">
        <v>14.142135623730951</v>
      </c>
      <c r="D178" s="18">
        <v>3.3493208478552337</v>
      </c>
      <c r="E178" s="18">
        <v>3267.9446424478019</v>
      </c>
      <c r="F178" s="18">
        <v>2.3365115147320541</v>
      </c>
      <c r="G178" s="18">
        <v>1.4349562500000002</v>
      </c>
      <c r="H178" s="18">
        <f t="shared" si="20"/>
        <v>2.7419674501878282</v>
      </c>
      <c r="I178" s="18">
        <f t="shared" si="21"/>
        <v>2.8540552977789027</v>
      </c>
      <c r="J178" s="18">
        <f t="shared" si="22"/>
        <v>14.250344504575947</v>
      </c>
      <c r="K178" s="18">
        <f t="shared" si="23"/>
        <v>1191.8247396496058</v>
      </c>
      <c r="L178" s="18">
        <f t="shared" si="24"/>
        <v>-230.00414087712505</v>
      </c>
      <c r="M178" s="18">
        <f t="shared" si="25"/>
        <v>0.19298486868526141</v>
      </c>
      <c r="N178" s="18">
        <f t="shared" si="26"/>
        <v>0.20494161369188504</v>
      </c>
      <c r="O178" s="18">
        <f t="shared" si="27"/>
        <v>14.533422497302849</v>
      </c>
      <c r="P178" s="18">
        <f t="shared" si="28"/>
        <v>3328.988036091494</v>
      </c>
      <c r="Q178" s="18">
        <f t="shared" si="29"/>
        <v>3336.8137628190402</v>
      </c>
    </row>
    <row r="179" spans="1:17" ht="21" customHeight="1">
      <c r="A179" s="1" t="s">
        <v>352</v>
      </c>
      <c r="B179" s="1" t="s">
        <v>323</v>
      </c>
      <c r="C179" s="18">
        <v>14.142135623730951</v>
      </c>
      <c r="D179" s="18">
        <v>3.3493208478552337</v>
      </c>
      <c r="E179" s="18">
        <v>3572.4752517286197</v>
      </c>
      <c r="F179" s="18">
        <v>1.32389775</v>
      </c>
      <c r="G179" s="18">
        <v>0</v>
      </c>
      <c r="H179" s="18">
        <f t="shared" si="20"/>
        <v>1.32389775</v>
      </c>
      <c r="I179" s="18">
        <f t="shared" si="21"/>
        <v>3.3493208478552337</v>
      </c>
      <c r="J179" s="18">
        <f t="shared" si="22"/>
        <v>14.142135623730951</v>
      </c>
      <c r="K179" s="18">
        <f t="shared" si="23"/>
        <v>2698.4525441852438</v>
      </c>
      <c r="L179" s="18">
        <f t="shared" si="24"/>
        <v>-626.18177285361435</v>
      </c>
      <c r="M179" s="18">
        <f t="shared" si="25"/>
        <v>0.23205217160588618</v>
      </c>
      <c r="N179" s="18">
        <f t="shared" si="26"/>
        <v>0.23729300330189101</v>
      </c>
      <c r="O179" s="18">
        <f t="shared" si="27"/>
        <v>14.533355012323925</v>
      </c>
      <c r="P179" s="18">
        <f t="shared" si="28"/>
        <v>3669.0933455928021</v>
      </c>
      <c r="Q179" s="18">
        <f t="shared" si="29"/>
        <v>3673.5275039273051</v>
      </c>
    </row>
    <row r="180" spans="1:17" ht="21" customHeight="1">
      <c r="A180" s="1" t="s">
        <v>352</v>
      </c>
      <c r="B180" s="1" t="s">
        <v>324</v>
      </c>
      <c r="C180" s="18">
        <v>14.142135623730951</v>
      </c>
      <c r="D180" s="18">
        <v>3.3493208478552337</v>
      </c>
      <c r="E180" s="18">
        <v>116.05653403253638</v>
      </c>
      <c r="F180" s="18">
        <v>1.32389775</v>
      </c>
      <c r="G180" s="18">
        <v>0</v>
      </c>
      <c r="H180" s="18">
        <f t="shared" si="20"/>
        <v>1.32389775</v>
      </c>
      <c r="I180" s="18">
        <f t="shared" si="21"/>
        <v>3.3493208478552337</v>
      </c>
      <c r="J180" s="18">
        <f t="shared" si="22"/>
        <v>14.142135623730951</v>
      </c>
      <c r="K180" s="18">
        <f t="shared" si="23"/>
        <v>87.662762500001506</v>
      </c>
      <c r="L180" s="18">
        <f t="shared" si="24"/>
        <v>-13.479110989181976</v>
      </c>
      <c r="M180" s="18">
        <f t="shared" si="25"/>
        <v>0.15376096537206141</v>
      </c>
      <c r="N180" s="18">
        <f t="shared" si="26"/>
        <v>0.31508528621730864</v>
      </c>
      <c r="O180" s="18">
        <f t="shared" si="27"/>
        <v>14.548267441590747</v>
      </c>
      <c r="P180" s="18">
        <f t="shared" si="28"/>
        <v>117.43116864351045</v>
      </c>
      <c r="Q180" s="18">
        <f t="shared" si="29"/>
        <v>121.86532697801411</v>
      </c>
    </row>
    <row r="181" spans="1:17" ht="21" customHeight="1">
      <c r="A181" s="1" t="s">
        <v>353</v>
      </c>
      <c r="B181" s="1" t="s">
        <v>319</v>
      </c>
      <c r="C181" s="18">
        <v>81.902190215339289</v>
      </c>
      <c r="D181" s="18">
        <v>8.1223595830993869</v>
      </c>
      <c r="E181" s="18">
        <v>2204.9999999993397</v>
      </c>
      <c r="F181" s="18">
        <v>1.32389775</v>
      </c>
      <c r="G181" s="18">
        <v>0</v>
      </c>
      <c r="H181" s="18">
        <f t="shared" si="20"/>
        <v>1.32389775</v>
      </c>
      <c r="I181" s="18">
        <f t="shared" si="21"/>
        <v>8.1223595830993869</v>
      </c>
      <c r="J181" s="18">
        <f t="shared" si="22"/>
        <v>81.902190215339289</v>
      </c>
      <c r="K181" s="18">
        <f t="shared" si="23"/>
        <v>1665.5364811967841</v>
      </c>
      <c r="L181" s="18">
        <f t="shared" si="24"/>
        <v>-123.93647023258454</v>
      </c>
      <c r="M181" s="18">
        <f t="shared" si="25"/>
        <v>7.4412341988167707E-2</v>
      </c>
      <c r="N181" s="18">
        <f t="shared" si="26"/>
        <v>0.12358700200911653</v>
      </c>
      <c r="O181" s="18">
        <f t="shared" si="27"/>
        <v>82.3121700249214</v>
      </c>
      <c r="P181" s="18">
        <f t="shared" si="28"/>
        <v>2211.1075767528232</v>
      </c>
      <c r="Q181" s="18">
        <f t="shared" si="29"/>
        <v>2221.8607503295793</v>
      </c>
    </row>
    <row r="182" spans="1:17" ht="21" customHeight="1">
      <c r="A182" s="1" t="s">
        <v>353</v>
      </c>
      <c r="B182" s="1" t="s">
        <v>320</v>
      </c>
      <c r="C182" s="18">
        <v>81.902190215339289</v>
      </c>
      <c r="D182" s="18">
        <v>8.1223595830993869</v>
      </c>
      <c r="E182" s="18">
        <v>3546.4009488277934</v>
      </c>
      <c r="F182" s="18">
        <v>1.32389775</v>
      </c>
      <c r="G182" s="18">
        <v>3.4438949999999999</v>
      </c>
      <c r="H182" s="18">
        <f t="shared" si="20"/>
        <v>3.6895959160157443</v>
      </c>
      <c r="I182" s="18">
        <f t="shared" si="21"/>
        <v>2.9144583367731403</v>
      </c>
      <c r="J182" s="18">
        <f t="shared" si="22"/>
        <v>82.252339905135813</v>
      </c>
      <c r="K182" s="18">
        <f t="shared" si="23"/>
        <v>961.18952577804737</v>
      </c>
      <c r="L182" s="18">
        <f t="shared" si="24"/>
        <v>7.0857164676165425</v>
      </c>
      <c r="M182" s="18">
        <f t="shared" si="25"/>
        <v>-7.3718203097156276E-3</v>
      </c>
      <c r="N182" s="18">
        <f t="shared" si="26"/>
        <v>7.8201667227568536E-2</v>
      </c>
      <c r="O182" s="18">
        <f t="shared" si="27"/>
        <v>82.329041103052049</v>
      </c>
      <c r="P182" s="18">
        <f t="shared" si="28"/>
        <v>3546.4973116002993</v>
      </c>
      <c r="Q182" s="18">
        <f t="shared" si="29"/>
        <v>3557.2504851770555</v>
      </c>
    </row>
    <row r="183" spans="1:17" ht="21" customHeight="1">
      <c r="A183" s="1" t="s">
        <v>353</v>
      </c>
      <c r="B183" s="1" t="s">
        <v>321</v>
      </c>
      <c r="C183" s="18">
        <v>81.902190215339289</v>
      </c>
      <c r="D183" s="18">
        <v>8.1223595830993869</v>
      </c>
      <c r="E183" s="18">
        <v>3814.9246768358853</v>
      </c>
      <c r="F183" s="18">
        <v>3.8554321618301355</v>
      </c>
      <c r="G183" s="18">
        <v>0</v>
      </c>
      <c r="H183" s="18">
        <f t="shared" si="20"/>
        <v>3.8554321618301355</v>
      </c>
      <c r="I183" s="18">
        <f t="shared" si="21"/>
        <v>8.1223595830993869</v>
      </c>
      <c r="J183" s="18">
        <f t="shared" si="22"/>
        <v>81.902190215339289</v>
      </c>
      <c r="K183" s="18">
        <f t="shared" si="23"/>
        <v>989.4933996257837</v>
      </c>
      <c r="L183" s="18">
        <f t="shared" si="24"/>
        <v>-56.990394759864472</v>
      </c>
      <c r="M183" s="18">
        <f t="shared" si="25"/>
        <v>5.7595527955434225E-2</v>
      </c>
      <c r="N183" s="18">
        <f t="shared" si="26"/>
        <v>0.14036736882502857</v>
      </c>
      <c r="O183" s="18">
        <f t="shared" si="27"/>
        <v>82.327226070477579</v>
      </c>
      <c r="P183" s="18">
        <f t="shared" si="28"/>
        <v>3821.2539457907878</v>
      </c>
      <c r="Q183" s="18">
        <f t="shared" si="29"/>
        <v>3852.5691521574176</v>
      </c>
    </row>
    <row r="184" spans="1:17" ht="21" customHeight="1">
      <c r="A184" s="1" t="s">
        <v>353</v>
      </c>
      <c r="B184" s="1" t="s">
        <v>322</v>
      </c>
      <c r="C184" s="18">
        <v>81.902190215339289</v>
      </c>
      <c r="D184" s="18">
        <v>8.1223595830993869</v>
      </c>
      <c r="E184" s="18">
        <v>3483.685928418663</v>
      </c>
      <c r="F184" s="18">
        <v>2.3365115147320541</v>
      </c>
      <c r="G184" s="18">
        <v>1.4349562500000002</v>
      </c>
      <c r="H184" s="18">
        <f t="shared" si="20"/>
        <v>2.7419674501878282</v>
      </c>
      <c r="I184" s="18">
        <f t="shared" si="21"/>
        <v>6.9213026913962636</v>
      </c>
      <c r="J184" s="18">
        <f t="shared" si="22"/>
        <v>82.01242013451899</v>
      </c>
      <c r="K184" s="18">
        <f t="shared" si="23"/>
        <v>1270.5059384202486</v>
      </c>
      <c r="L184" s="18">
        <f t="shared" si="24"/>
        <v>-66.070621030867557</v>
      </c>
      <c r="M184" s="18">
        <f t="shared" si="25"/>
        <v>5.2003394106933484E-2</v>
      </c>
      <c r="N184" s="18">
        <f t="shared" si="26"/>
        <v>0.11655438726206466</v>
      </c>
      <c r="O184" s="18">
        <f t="shared" si="27"/>
        <v>82.318147046480675</v>
      </c>
      <c r="P184" s="18">
        <f t="shared" si="28"/>
        <v>3488.397548342145</v>
      </c>
      <c r="Q184" s="18">
        <f t="shared" si="29"/>
        <v>3507.3755350348506</v>
      </c>
    </row>
    <row r="185" spans="1:17" ht="21" customHeight="1">
      <c r="A185" s="1" t="s">
        <v>353</v>
      </c>
      <c r="B185" s="1" t="s">
        <v>323</v>
      </c>
      <c r="C185" s="18">
        <v>81.902190215339289</v>
      </c>
      <c r="D185" s="18">
        <v>8.1223595830993869</v>
      </c>
      <c r="E185" s="18">
        <v>3430.3156420135538</v>
      </c>
      <c r="F185" s="18">
        <v>1.32389775</v>
      </c>
      <c r="G185" s="18">
        <v>0</v>
      </c>
      <c r="H185" s="18">
        <f t="shared" si="20"/>
        <v>1.32389775</v>
      </c>
      <c r="I185" s="18">
        <f t="shared" si="21"/>
        <v>8.1223595830993869</v>
      </c>
      <c r="J185" s="18">
        <f t="shared" si="22"/>
        <v>81.902190215339289</v>
      </c>
      <c r="K185" s="18">
        <f t="shared" si="23"/>
        <v>2591.0729450318604</v>
      </c>
      <c r="L185" s="18">
        <f t="shared" si="24"/>
        <v>-215.57939364746466</v>
      </c>
      <c r="M185" s="18">
        <f t="shared" si="25"/>
        <v>8.3200819977229099E-2</v>
      </c>
      <c r="N185" s="18">
        <f t="shared" si="26"/>
        <v>0.11481019260117591</v>
      </c>
      <c r="O185" s="18">
        <f t="shared" si="27"/>
        <v>82.307351005122896</v>
      </c>
      <c r="P185" s="18">
        <f t="shared" si="28"/>
        <v>3442.1954607897696</v>
      </c>
      <c r="Q185" s="18">
        <f t="shared" si="29"/>
        <v>3452.9486343665258</v>
      </c>
    </row>
    <row r="186" spans="1:17" ht="21" customHeight="1">
      <c r="A186" s="1" t="s">
        <v>353</v>
      </c>
      <c r="B186" s="1" t="s">
        <v>324</v>
      </c>
      <c r="C186" s="18">
        <v>81.902190215339289</v>
      </c>
      <c r="D186" s="18">
        <v>8.1223595830993869</v>
      </c>
      <c r="E186" s="18">
        <v>610.52257445811097</v>
      </c>
      <c r="F186" s="18">
        <v>1.32389775</v>
      </c>
      <c r="G186" s="18">
        <v>0</v>
      </c>
      <c r="H186" s="18">
        <f t="shared" si="20"/>
        <v>1.32389775</v>
      </c>
      <c r="I186" s="18">
        <f t="shared" si="21"/>
        <v>8.1223595830993869</v>
      </c>
      <c r="J186" s="18">
        <f t="shared" si="22"/>
        <v>81.902190215339289</v>
      </c>
      <c r="K186" s="18">
        <f t="shared" si="23"/>
        <v>461.15538338071121</v>
      </c>
      <c r="L186" s="18">
        <f t="shared" si="24"/>
        <v>-4.647963516458347</v>
      </c>
      <c r="M186" s="18">
        <f t="shared" si="25"/>
        <v>1.0078953177092538E-2</v>
      </c>
      <c r="N186" s="18">
        <f t="shared" si="26"/>
        <v>0.18768110890802575</v>
      </c>
      <c r="O186" s="18">
        <f t="shared" si="27"/>
        <v>82.411117127929202</v>
      </c>
      <c r="P186" s="18">
        <f t="shared" si="28"/>
        <v>610.55358477919594</v>
      </c>
      <c r="Q186" s="18">
        <f t="shared" si="29"/>
        <v>621.3067583559523</v>
      </c>
    </row>
    <row r="187" spans="1:17" ht="21" customHeight="1">
      <c r="A187" s="1" t="s">
        <v>354</v>
      </c>
      <c r="B187" s="1" t="s">
        <v>319</v>
      </c>
      <c r="C187" s="18">
        <v>81.902190215339289</v>
      </c>
      <c r="D187" s="18">
        <v>4.3465797736201228</v>
      </c>
      <c r="E187" s="18">
        <v>2205.0000000002838</v>
      </c>
      <c r="F187" s="18">
        <v>1.32389775</v>
      </c>
      <c r="G187" s="18">
        <v>0</v>
      </c>
      <c r="H187" s="18">
        <f t="shared" si="20"/>
        <v>1.32389775</v>
      </c>
      <c r="I187" s="18">
        <f t="shared" si="21"/>
        <v>4.3465797736201228</v>
      </c>
      <c r="J187" s="18">
        <f t="shared" si="22"/>
        <v>81.902190215339289</v>
      </c>
      <c r="K187" s="18">
        <f t="shared" si="23"/>
        <v>1665.5364811974971</v>
      </c>
      <c r="L187" s="18">
        <f t="shared" si="24"/>
        <v>-47.38921520182123</v>
      </c>
      <c r="M187" s="18">
        <f t="shared" si="25"/>
        <v>2.8452823301564106E-2</v>
      </c>
      <c r="N187" s="18">
        <f t="shared" si="26"/>
        <v>7.7627483322491878E-2</v>
      </c>
      <c r="O187" s="18">
        <f t="shared" si="27"/>
        <v>82.025687225056799</v>
      </c>
      <c r="P187" s="18">
        <f t="shared" si="28"/>
        <v>2205.8926035931922</v>
      </c>
      <c r="Q187" s="18">
        <f t="shared" si="29"/>
        <v>2211.6470307756836</v>
      </c>
    </row>
    <row r="188" spans="1:17" ht="21" customHeight="1">
      <c r="A188" s="1" t="s">
        <v>354</v>
      </c>
      <c r="B188" s="1" t="s">
        <v>320</v>
      </c>
      <c r="C188" s="18">
        <v>81.902190215339289</v>
      </c>
      <c r="D188" s="18">
        <v>4.3465797736201228</v>
      </c>
      <c r="E188" s="18">
        <v>3537.818999650819</v>
      </c>
      <c r="F188" s="18">
        <v>1.32389775</v>
      </c>
      <c r="G188" s="18">
        <v>3.4438949999999999</v>
      </c>
      <c r="H188" s="18">
        <f t="shared" si="20"/>
        <v>3.6895959160157443</v>
      </c>
      <c r="I188" s="18">
        <f t="shared" si="21"/>
        <v>1.5596361535181824</v>
      </c>
      <c r="J188" s="18">
        <f t="shared" si="22"/>
        <v>82.002616134283798</v>
      </c>
      <c r="K188" s="18">
        <f t="shared" si="23"/>
        <v>958.86353958001359</v>
      </c>
      <c r="L188" s="18">
        <f t="shared" si="24"/>
        <v>22.771005024859033</v>
      </c>
      <c r="M188" s="18">
        <f t="shared" si="25"/>
        <v>-2.3747909983972103E-2</v>
      </c>
      <c r="N188" s="18">
        <f t="shared" si="26"/>
        <v>6.1772722253438134E-2</v>
      </c>
      <c r="O188" s="18">
        <f t="shared" si="27"/>
        <v>82.042433730962728</v>
      </c>
      <c r="P188" s="18">
        <f t="shared" si="28"/>
        <v>3538.8166464484748</v>
      </c>
      <c r="Q188" s="18">
        <f t="shared" si="29"/>
        <v>3544.5710736309652</v>
      </c>
    </row>
    <row r="189" spans="1:17" ht="21" customHeight="1">
      <c r="A189" s="1" t="s">
        <v>354</v>
      </c>
      <c r="B189" s="1" t="s">
        <v>321</v>
      </c>
      <c r="C189" s="18">
        <v>81.902190215339289</v>
      </c>
      <c r="D189" s="18">
        <v>4.3465797736201228</v>
      </c>
      <c r="E189" s="18">
        <v>3821.4895011917024</v>
      </c>
      <c r="F189" s="18">
        <v>3.8554321618301355</v>
      </c>
      <c r="G189" s="18">
        <v>0</v>
      </c>
      <c r="H189" s="18">
        <f t="shared" si="20"/>
        <v>3.8554321618301355</v>
      </c>
      <c r="I189" s="18">
        <f t="shared" si="21"/>
        <v>4.3465797736201228</v>
      </c>
      <c r="J189" s="18">
        <f t="shared" si="22"/>
        <v>81.902190215339289</v>
      </c>
      <c r="K189" s="18">
        <f t="shared" si="23"/>
        <v>991.19614631675404</v>
      </c>
      <c r="L189" s="18">
        <f t="shared" si="24"/>
        <v>-11.612451875098607</v>
      </c>
      <c r="M189" s="18">
        <f t="shared" si="25"/>
        <v>1.1715594252711759E-2</v>
      </c>
      <c r="N189" s="18">
        <f t="shared" si="26"/>
        <v>9.4345243812674839E-2</v>
      </c>
      <c r="O189" s="18">
        <f t="shared" si="27"/>
        <v>82.040715685131474</v>
      </c>
      <c r="P189" s="18">
        <f t="shared" si="28"/>
        <v>3821.7517637462815</v>
      </c>
      <c r="Q189" s="18">
        <f t="shared" si="29"/>
        <v>3838.5097071994574</v>
      </c>
    </row>
    <row r="190" spans="1:17" ht="21" customHeight="1">
      <c r="A190" s="1" t="s">
        <v>354</v>
      </c>
      <c r="B190" s="1" t="s">
        <v>322</v>
      </c>
      <c r="C190" s="18">
        <v>81.902190215339289</v>
      </c>
      <c r="D190" s="18">
        <v>4.3465797736201228</v>
      </c>
      <c r="E190" s="18">
        <v>3484.1751885965468</v>
      </c>
      <c r="F190" s="18">
        <v>2.3365115147320541</v>
      </c>
      <c r="G190" s="18">
        <v>1.4349562500000002</v>
      </c>
      <c r="H190" s="18">
        <f t="shared" si="20"/>
        <v>2.7419674501878282</v>
      </c>
      <c r="I190" s="18">
        <f t="shared" si="21"/>
        <v>3.7038491066220258</v>
      </c>
      <c r="J190" s="18">
        <f t="shared" si="22"/>
        <v>81.933772155280622</v>
      </c>
      <c r="K190" s="18">
        <f t="shared" si="23"/>
        <v>1270.6843724048863</v>
      </c>
      <c r="L190" s="18">
        <f t="shared" si="24"/>
        <v>-16.445426096753962</v>
      </c>
      <c r="M190" s="18">
        <f t="shared" si="25"/>
        <v>1.2942180177780491E-2</v>
      </c>
      <c r="N190" s="18">
        <f t="shared" si="26"/>
        <v>7.7422214665190975E-2</v>
      </c>
      <c r="O190" s="18">
        <f t="shared" si="27"/>
        <v>82.031626598076684</v>
      </c>
      <c r="P190" s="18">
        <f t="shared" si="28"/>
        <v>3484.4669923900033</v>
      </c>
      <c r="Q190" s="18">
        <f t="shared" si="29"/>
        <v>3494.6228260807679</v>
      </c>
    </row>
    <row r="191" spans="1:17" ht="21" customHeight="1">
      <c r="A191" s="1" t="s">
        <v>354</v>
      </c>
      <c r="B191" s="1" t="s">
        <v>323</v>
      </c>
      <c r="C191" s="18">
        <v>81.902190215339289</v>
      </c>
      <c r="D191" s="18">
        <v>4.3465797736201228</v>
      </c>
      <c r="E191" s="18">
        <v>3433.1355308761713</v>
      </c>
      <c r="F191" s="18">
        <v>1.32389775</v>
      </c>
      <c r="G191" s="18">
        <v>0</v>
      </c>
      <c r="H191" s="18">
        <f t="shared" si="20"/>
        <v>1.32389775</v>
      </c>
      <c r="I191" s="18">
        <f t="shared" si="21"/>
        <v>4.3465797736201228</v>
      </c>
      <c r="J191" s="18">
        <f t="shared" si="22"/>
        <v>81.902190215339289</v>
      </c>
      <c r="K191" s="18">
        <f t="shared" si="23"/>
        <v>2593.2029349518657</v>
      </c>
      <c r="L191" s="18">
        <f t="shared" si="24"/>
        <v>-96.6009201682743</v>
      </c>
      <c r="M191" s="18">
        <f t="shared" si="25"/>
        <v>3.7251585237029428E-2</v>
      </c>
      <c r="N191" s="18">
        <f t="shared" si="26"/>
        <v>6.8834994738630792E-2</v>
      </c>
      <c r="O191" s="18">
        <f t="shared" si="27"/>
        <v>82.020845782116936</v>
      </c>
      <c r="P191" s="18">
        <f t="shared" si="28"/>
        <v>3435.5178541403093</v>
      </c>
      <c r="Q191" s="18">
        <f t="shared" si="29"/>
        <v>3441.2722813228002</v>
      </c>
    </row>
    <row r="192" spans="1:17" ht="21" customHeight="1">
      <c r="A192" s="1" t="s">
        <v>354</v>
      </c>
      <c r="B192" s="1" t="s">
        <v>324</v>
      </c>
      <c r="C192" s="18">
        <v>81.902190215339289</v>
      </c>
      <c r="D192" s="18">
        <v>4.3465797736201228</v>
      </c>
      <c r="E192" s="18">
        <v>611.95220454162745</v>
      </c>
      <c r="F192" s="18">
        <v>1.32389775</v>
      </c>
      <c r="G192" s="18">
        <v>0</v>
      </c>
      <c r="H192" s="18">
        <f t="shared" si="20"/>
        <v>1.32389775</v>
      </c>
      <c r="I192" s="18">
        <f t="shared" si="21"/>
        <v>4.3465797736201228</v>
      </c>
      <c r="J192" s="18">
        <f t="shared" si="22"/>
        <v>81.902190215339289</v>
      </c>
      <c r="K192" s="18">
        <f t="shared" si="23"/>
        <v>462.2352478064318</v>
      </c>
      <c r="L192" s="18">
        <f t="shared" si="24"/>
        <v>16.463614278577701</v>
      </c>
      <c r="M192" s="18">
        <f t="shared" si="25"/>
        <v>-3.5617392565164344E-2</v>
      </c>
      <c r="N192" s="18">
        <f t="shared" si="26"/>
        <v>0.14156985268281622</v>
      </c>
      <c r="O192" s="18">
        <f t="shared" si="27"/>
        <v>82.124477449436498</v>
      </c>
      <c r="P192" s="18">
        <f t="shared" si="28"/>
        <v>612.3404064496267</v>
      </c>
      <c r="Q192" s="18">
        <f t="shared" si="29"/>
        <v>618.09483363211791</v>
      </c>
    </row>
    <row r="193" spans="1:17" ht="21" customHeight="1">
      <c r="A193" s="1" t="s">
        <v>355</v>
      </c>
      <c r="B193" s="1" t="s">
        <v>319</v>
      </c>
      <c r="C193" s="18">
        <v>73.45981992435587</v>
      </c>
      <c r="D193" s="18">
        <v>4.6719012335839576</v>
      </c>
      <c r="E193" s="18">
        <v>2204.999999998483</v>
      </c>
      <c r="F193" s="18">
        <v>1.32389775</v>
      </c>
      <c r="G193" s="18">
        <v>0</v>
      </c>
      <c r="H193" s="18">
        <f t="shared" si="20"/>
        <v>1.32389775</v>
      </c>
      <c r="I193" s="18">
        <f t="shared" si="21"/>
        <v>4.6719012335839576</v>
      </c>
      <c r="J193" s="18">
        <f t="shared" si="22"/>
        <v>73.45981992435587</v>
      </c>
      <c r="K193" s="18">
        <f t="shared" si="23"/>
        <v>1665.5364811961369</v>
      </c>
      <c r="L193" s="18">
        <f t="shared" si="24"/>
        <v>-69.115116700973061</v>
      </c>
      <c r="M193" s="18">
        <f t="shared" si="25"/>
        <v>4.149720974669778E-2</v>
      </c>
      <c r="N193" s="18">
        <f t="shared" si="26"/>
        <v>8.560301034231084E-2</v>
      </c>
      <c r="O193" s="18">
        <f t="shared" si="27"/>
        <v>73.614174337788455</v>
      </c>
      <c r="P193" s="18">
        <f t="shared" si="28"/>
        <v>2206.8987977598949</v>
      </c>
      <c r="Q193" s="18">
        <f t="shared" si="29"/>
        <v>2213.0839172912588</v>
      </c>
    </row>
    <row r="194" spans="1:17" ht="21" customHeight="1">
      <c r="A194" s="1" t="s">
        <v>355</v>
      </c>
      <c r="B194" s="1" t="s">
        <v>320</v>
      </c>
      <c r="C194" s="18">
        <v>73.45981992435587</v>
      </c>
      <c r="D194" s="18">
        <v>4.6719012335839576</v>
      </c>
      <c r="E194" s="18">
        <v>3454.4291662080732</v>
      </c>
      <c r="F194" s="18">
        <v>1.32389775</v>
      </c>
      <c r="G194" s="18">
        <v>3.4438949999999999</v>
      </c>
      <c r="H194" s="18">
        <f t="shared" si="20"/>
        <v>3.6895959160157443</v>
      </c>
      <c r="I194" s="18">
        <f t="shared" si="21"/>
        <v>1.6763677302752176</v>
      </c>
      <c r="J194" s="18">
        <f t="shared" si="22"/>
        <v>73.589140473904493</v>
      </c>
      <c r="K194" s="18">
        <f t="shared" si="23"/>
        <v>936.26219370341812</v>
      </c>
      <c r="L194" s="18">
        <f t="shared" si="24"/>
        <v>15.47375882867896</v>
      </c>
      <c r="M194" s="18">
        <f t="shared" si="25"/>
        <v>-1.6527164006774599E-2</v>
      </c>
      <c r="N194" s="18">
        <f t="shared" si="26"/>
        <v>6.2071695339259714E-2</v>
      </c>
      <c r="O194" s="18">
        <f t="shared" si="27"/>
        <v>73.627170856370284</v>
      </c>
      <c r="P194" s="18">
        <f t="shared" si="28"/>
        <v>3454.900960688034</v>
      </c>
      <c r="Q194" s="18">
        <f t="shared" si="29"/>
        <v>3461.0860802193979</v>
      </c>
    </row>
    <row r="195" spans="1:17" ht="21" customHeight="1">
      <c r="A195" s="1" t="s">
        <v>355</v>
      </c>
      <c r="B195" s="1" t="s">
        <v>321</v>
      </c>
      <c r="C195" s="18">
        <v>73.45981992435587</v>
      </c>
      <c r="D195" s="18">
        <v>4.6719012335839576</v>
      </c>
      <c r="E195" s="18">
        <v>3740.8918862796463</v>
      </c>
      <c r="F195" s="18">
        <v>3.8554321618301355</v>
      </c>
      <c r="G195" s="18">
        <v>0</v>
      </c>
      <c r="H195" s="18">
        <f t="shared" si="20"/>
        <v>3.8554321618301355</v>
      </c>
      <c r="I195" s="18">
        <f t="shared" si="21"/>
        <v>4.6719012335839576</v>
      </c>
      <c r="J195" s="18">
        <f t="shared" si="22"/>
        <v>73.45981992435587</v>
      </c>
      <c r="K195" s="18">
        <f t="shared" si="23"/>
        <v>970.29119674715844</v>
      </c>
      <c r="L195" s="18">
        <f t="shared" si="24"/>
        <v>-24.922488246452076</v>
      </c>
      <c r="M195" s="18">
        <f t="shared" si="25"/>
        <v>2.568557596936176E-2</v>
      </c>
      <c r="N195" s="18">
        <f t="shared" si="26"/>
        <v>0.10139462101751369</v>
      </c>
      <c r="O195" s="18">
        <f t="shared" si="27"/>
        <v>73.625742020034991</v>
      </c>
      <c r="P195" s="18">
        <f t="shared" si="28"/>
        <v>3742.1259786171931</v>
      </c>
      <c r="Q195" s="18">
        <f t="shared" si="29"/>
        <v>3760.1381768900474</v>
      </c>
    </row>
    <row r="196" spans="1:17" ht="21" customHeight="1">
      <c r="A196" s="1" t="s">
        <v>355</v>
      </c>
      <c r="B196" s="1" t="s">
        <v>322</v>
      </c>
      <c r="C196" s="18">
        <v>73.45981992435587</v>
      </c>
      <c r="D196" s="18">
        <v>4.6719012335839576</v>
      </c>
      <c r="E196" s="18">
        <v>3449.4011900124115</v>
      </c>
      <c r="F196" s="18">
        <v>2.3365115147320541</v>
      </c>
      <c r="G196" s="18">
        <v>1.4349562500000002</v>
      </c>
      <c r="H196" s="18">
        <f t="shared" si="20"/>
        <v>2.7419674501878282</v>
      </c>
      <c r="I196" s="18">
        <f t="shared" si="21"/>
        <v>3.9810651389067542</v>
      </c>
      <c r="J196" s="18">
        <f t="shared" si="22"/>
        <v>73.500496085502277</v>
      </c>
      <c r="K196" s="18">
        <f t="shared" si="23"/>
        <v>1258.0022384204901</v>
      </c>
      <c r="L196" s="18">
        <f t="shared" si="24"/>
        <v>-31.344967040776382</v>
      </c>
      <c r="M196" s="18">
        <f t="shared" si="25"/>
        <v>2.4916463646465513E-2</v>
      </c>
      <c r="N196" s="18">
        <f t="shared" si="26"/>
        <v>8.3342827162151537E-2</v>
      </c>
      <c r="O196" s="18">
        <f t="shared" si="27"/>
        <v>73.618671396029939</v>
      </c>
      <c r="P196" s="18">
        <f t="shared" si="28"/>
        <v>3450.4719915569799</v>
      </c>
      <c r="Q196" s="18">
        <f t="shared" si="29"/>
        <v>3461.38794258494</v>
      </c>
    </row>
    <row r="197" spans="1:17" ht="21" customHeight="1">
      <c r="A197" s="1" t="s">
        <v>355</v>
      </c>
      <c r="B197" s="1" t="s">
        <v>323</v>
      </c>
      <c r="C197" s="18">
        <v>73.45981992435587</v>
      </c>
      <c r="D197" s="18">
        <v>4.6719012335839576</v>
      </c>
      <c r="E197" s="18">
        <v>3465.9360434306473</v>
      </c>
      <c r="F197" s="18">
        <v>1.32389775</v>
      </c>
      <c r="G197" s="18">
        <v>0</v>
      </c>
      <c r="H197" s="18">
        <f t="shared" si="20"/>
        <v>1.32389775</v>
      </c>
      <c r="I197" s="18">
        <f t="shared" si="21"/>
        <v>4.6719012335839576</v>
      </c>
      <c r="J197" s="18">
        <f t="shared" si="22"/>
        <v>73.45981992435587</v>
      </c>
      <c r="K197" s="18">
        <f t="shared" si="23"/>
        <v>2617.978649356151</v>
      </c>
      <c r="L197" s="18">
        <f t="shared" si="24"/>
        <v>-129.65093781616466</v>
      </c>
      <c r="M197" s="18">
        <f t="shared" si="25"/>
        <v>4.9523298384442589E-2</v>
      </c>
      <c r="N197" s="18">
        <f t="shared" si="26"/>
        <v>7.7583045908518875E-2</v>
      </c>
      <c r="O197" s="18">
        <f t="shared" si="27"/>
        <v>73.610637011152591</v>
      </c>
      <c r="P197" s="18">
        <f t="shared" si="28"/>
        <v>3470.1871151531723</v>
      </c>
      <c r="Q197" s="18">
        <f t="shared" si="29"/>
        <v>3476.3722346845366</v>
      </c>
    </row>
    <row r="198" spans="1:17" ht="21" customHeight="1">
      <c r="A198" s="1" t="s">
        <v>355</v>
      </c>
      <c r="B198" s="1" t="s">
        <v>324</v>
      </c>
      <c r="C198" s="18">
        <v>73.45981992435587</v>
      </c>
      <c r="D198" s="18">
        <v>4.6719012335839576</v>
      </c>
      <c r="E198" s="18">
        <v>556.73451412192276</v>
      </c>
      <c r="F198" s="18">
        <v>1.32389775</v>
      </c>
      <c r="G198" s="18">
        <v>0</v>
      </c>
      <c r="H198" s="18">
        <f t="shared" si="20"/>
        <v>1.32389775</v>
      </c>
      <c r="I198" s="18">
        <f t="shared" si="21"/>
        <v>4.6719012335839576</v>
      </c>
      <c r="J198" s="18">
        <f t="shared" si="22"/>
        <v>73.45981992435587</v>
      </c>
      <c r="K198" s="18">
        <f t="shared" si="23"/>
        <v>420.52682249963999</v>
      </c>
      <c r="L198" s="18">
        <f t="shared" si="24"/>
        <v>10.037126832466903</v>
      </c>
      <c r="M198" s="18">
        <f t="shared" si="25"/>
        <v>-2.3867982481606143E-2</v>
      </c>
      <c r="N198" s="18">
        <f t="shared" si="26"/>
        <v>0.15081723613942191</v>
      </c>
      <c r="O198" s="18">
        <f t="shared" si="27"/>
        <v>73.701480260366026</v>
      </c>
      <c r="P198" s="18">
        <f t="shared" si="28"/>
        <v>556.89310207302537</v>
      </c>
      <c r="Q198" s="18">
        <f t="shared" si="29"/>
        <v>563.07822160438946</v>
      </c>
    </row>
    <row r="199" spans="1:17" ht="21" customHeight="1">
      <c r="A199" s="1" t="s">
        <v>356</v>
      </c>
      <c r="B199" s="1" t="s">
        <v>319</v>
      </c>
      <c r="C199" s="18">
        <v>73.459819922496422</v>
      </c>
      <c r="D199" s="18">
        <v>7.6782406783882831</v>
      </c>
      <c r="E199" s="18">
        <v>2204.9999999995507</v>
      </c>
      <c r="F199" s="18">
        <v>1.32389775</v>
      </c>
      <c r="G199" s="18">
        <v>0</v>
      </c>
      <c r="H199" s="18">
        <f t="shared" ref="H199:H262" si="30">SQRT(F199^2+G199^2)</f>
        <v>1.32389775</v>
      </c>
      <c r="I199" s="18">
        <f t="shared" ref="I199:I262" si="31">D199*F199/H199</f>
        <v>7.6782406783882831</v>
      </c>
      <c r="J199" s="18">
        <f t="shared" ref="J199:J262" si="32">SQRT(C199^2+D199^2-I199^2)</f>
        <v>73.459819922496422</v>
      </c>
      <c r="K199" s="18">
        <f t="shared" ref="K199:K262" si="33">E199/H199</f>
        <v>1665.5364811969434</v>
      </c>
      <c r="L199" s="18">
        <f t="shared" ref="L199:L262" si="34">J199/2-K199*ASINH(I199/(2*K199*SINH(J199/(2*K199))))</f>
        <v>-137.02748797519834</v>
      </c>
      <c r="M199" s="18">
        <f t="shared" ref="M199:M262" si="35">-L199/K199</f>
        <v>8.2272282548097098E-2</v>
      </c>
      <c r="N199" s="18">
        <f t="shared" ref="N199:N262" si="36">(J199-L199)/K199</f>
        <v>0.12637808314257237</v>
      </c>
      <c r="O199" s="18">
        <f t="shared" ref="O199:O262" si="37">K199*(SINH(N199)-SINH(M199))</f>
        <v>73.865928424002945</v>
      </c>
      <c r="P199" s="18">
        <f t="shared" ref="P199:P262" si="38">E199*COSH(M199)</f>
        <v>2212.466733409894</v>
      </c>
      <c r="Q199" s="18">
        <f t="shared" ref="Q199:Q262" si="39">E199*COSH(N199)</f>
        <v>2222.6319389679711</v>
      </c>
    </row>
    <row r="200" spans="1:17" ht="21" customHeight="1">
      <c r="A200" s="1" t="s">
        <v>356</v>
      </c>
      <c r="B200" s="1" t="s">
        <v>320</v>
      </c>
      <c r="C200" s="18">
        <v>73.459819922496422</v>
      </c>
      <c r="D200" s="18">
        <v>7.6782406783882831</v>
      </c>
      <c r="E200" s="18">
        <v>3462.4843117902728</v>
      </c>
      <c r="F200" s="18">
        <v>1.32389775</v>
      </c>
      <c r="G200" s="18">
        <v>3.4438949999999999</v>
      </c>
      <c r="H200" s="18">
        <f t="shared" si="30"/>
        <v>3.6895959160157443</v>
      </c>
      <c r="I200" s="18">
        <f t="shared" si="31"/>
        <v>2.7550999593076697</v>
      </c>
      <c r="J200" s="18">
        <f t="shared" si="32"/>
        <v>73.80860347666173</v>
      </c>
      <c r="K200" s="18">
        <f t="shared" si="33"/>
        <v>938.44539906399268</v>
      </c>
      <c r="L200" s="18">
        <f t="shared" si="34"/>
        <v>1.8915132016453029</v>
      </c>
      <c r="M200" s="18">
        <f t="shared" si="35"/>
        <v>-2.0155815176161576E-3</v>
      </c>
      <c r="N200" s="18">
        <f t="shared" si="36"/>
        <v>7.6634282981989862E-2</v>
      </c>
      <c r="O200" s="18">
        <f t="shared" si="37"/>
        <v>73.879018038133481</v>
      </c>
      <c r="P200" s="18">
        <f t="shared" si="38"/>
        <v>3462.4913450831154</v>
      </c>
      <c r="Q200" s="18">
        <f t="shared" si="39"/>
        <v>3472.6565506411921</v>
      </c>
    </row>
    <row r="201" spans="1:17" ht="21" customHeight="1">
      <c r="A201" s="1" t="s">
        <v>356</v>
      </c>
      <c r="B201" s="1" t="s">
        <v>321</v>
      </c>
      <c r="C201" s="18">
        <v>73.459819922496422</v>
      </c>
      <c r="D201" s="18">
        <v>7.6782406783882831</v>
      </c>
      <c r="E201" s="18">
        <v>3734.7537439234547</v>
      </c>
      <c r="F201" s="18">
        <v>3.8554321618301355</v>
      </c>
      <c r="G201" s="18">
        <v>0</v>
      </c>
      <c r="H201" s="18">
        <f t="shared" si="30"/>
        <v>3.8554321618301355</v>
      </c>
      <c r="I201" s="18">
        <f t="shared" si="31"/>
        <v>7.6782406783882831</v>
      </c>
      <c r="J201" s="18">
        <f t="shared" si="32"/>
        <v>73.459819922496422</v>
      </c>
      <c r="K201" s="18">
        <f t="shared" si="33"/>
        <v>968.69912039915243</v>
      </c>
      <c r="L201" s="18">
        <f t="shared" si="34"/>
        <v>-64.313839218187852</v>
      </c>
      <c r="M201" s="18">
        <f t="shared" si="35"/>
        <v>6.6391966157342372E-2</v>
      </c>
      <c r="N201" s="18">
        <f t="shared" si="36"/>
        <v>0.14222544053092012</v>
      </c>
      <c r="O201" s="18">
        <f t="shared" si="37"/>
        <v>73.877514098400539</v>
      </c>
      <c r="P201" s="18">
        <f t="shared" si="38"/>
        <v>3742.9879656479475</v>
      </c>
      <c r="Q201" s="18">
        <f t="shared" si="39"/>
        <v>3772.5909017056779</v>
      </c>
    </row>
    <row r="202" spans="1:17" ht="21" customHeight="1">
      <c r="A202" s="1" t="s">
        <v>356</v>
      </c>
      <c r="B202" s="1" t="s">
        <v>322</v>
      </c>
      <c r="C202" s="18">
        <v>73.459819922496422</v>
      </c>
      <c r="D202" s="18">
        <v>7.6782406783882831</v>
      </c>
      <c r="E202" s="18">
        <v>3448.880078229392</v>
      </c>
      <c r="F202" s="18">
        <v>2.3365115147320541</v>
      </c>
      <c r="G202" s="18">
        <v>1.4349562500000002</v>
      </c>
      <c r="H202" s="18">
        <f t="shared" si="30"/>
        <v>2.7419674501878282</v>
      </c>
      <c r="I202" s="18">
        <f t="shared" si="31"/>
        <v>6.5428558448822391</v>
      </c>
      <c r="J202" s="18">
        <f t="shared" si="32"/>
        <v>73.56963748961897</v>
      </c>
      <c r="K202" s="18">
        <f t="shared" si="33"/>
        <v>1257.8121881035238</v>
      </c>
      <c r="L202" s="18">
        <f t="shared" si="34"/>
        <v>-74.914866982991427</v>
      </c>
      <c r="M202" s="18">
        <f t="shared" si="35"/>
        <v>5.9559660568995525E-2</v>
      </c>
      <c r="N202" s="18">
        <f t="shared" si="36"/>
        <v>0.1180498216482455</v>
      </c>
      <c r="O202" s="18">
        <f t="shared" si="37"/>
        <v>73.870452514517154</v>
      </c>
      <c r="P202" s="18">
        <f t="shared" si="38"/>
        <v>3454.9990845992074</v>
      </c>
      <c r="Q202" s="18">
        <f t="shared" si="39"/>
        <v>3472.939382357145</v>
      </c>
    </row>
    <row r="203" spans="1:17" ht="21" customHeight="1">
      <c r="A203" s="1" t="s">
        <v>356</v>
      </c>
      <c r="B203" s="1" t="s">
        <v>323</v>
      </c>
      <c r="C203" s="18">
        <v>73.459819922496422</v>
      </c>
      <c r="D203" s="18">
        <v>7.6782406783882831</v>
      </c>
      <c r="E203" s="18">
        <v>3462.8109225036269</v>
      </c>
      <c r="F203" s="18">
        <v>1.32389775</v>
      </c>
      <c r="G203" s="18">
        <v>0</v>
      </c>
      <c r="H203" s="18">
        <f t="shared" si="30"/>
        <v>1.32389775</v>
      </c>
      <c r="I203" s="18">
        <f t="shared" si="31"/>
        <v>7.6782406783882831</v>
      </c>
      <c r="J203" s="18">
        <f t="shared" si="32"/>
        <v>73.459819922496422</v>
      </c>
      <c r="K203" s="18">
        <f t="shared" si="33"/>
        <v>2615.618103817781</v>
      </c>
      <c r="L203" s="18">
        <f t="shared" si="34"/>
        <v>-236.15802921722741</v>
      </c>
      <c r="M203" s="18">
        <f t="shared" si="35"/>
        <v>9.0287656624080143E-2</v>
      </c>
      <c r="N203" s="18">
        <f t="shared" si="36"/>
        <v>0.11837272753533962</v>
      </c>
      <c r="O203" s="18">
        <f t="shared" si="37"/>
        <v>73.862407482382778</v>
      </c>
      <c r="P203" s="18">
        <f t="shared" si="38"/>
        <v>3476.9346897249748</v>
      </c>
      <c r="Q203" s="18">
        <f t="shared" si="39"/>
        <v>3487.0998952830514</v>
      </c>
    </row>
    <row r="204" spans="1:17" ht="21" customHeight="1">
      <c r="A204" s="1" t="s">
        <v>356</v>
      </c>
      <c r="B204" s="1" t="s">
        <v>324</v>
      </c>
      <c r="C204" s="18">
        <v>73.459819922496422</v>
      </c>
      <c r="D204" s="18">
        <v>7.6782406783882831</v>
      </c>
      <c r="E204" s="18">
        <v>555.45527520158612</v>
      </c>
      <c r="F204" s="18">
        <v>1.32389775</v>
      </c>
      <c r="G204" s="18">
        <v>0</v>
      </c>
      <c r="H204" s="18">
        <f t="shared" si="30"/>
        <v>1.32389775</v>
      </c>
      <c r="I204" s="18">
        <f t="shared" si="31"/>
        <v>7.6782406783882831</v>
      </c>
      <c r="J204" s="18">
        <f t="shared" si="32"/>
        <v>73.459819922496422</v>
      </c>
      <c r="K204" s="18">
        <f t="shared" si="33"/>
        <v>419.56055533864765</v>
      </c>
      <c r="L204" s="18">
        <f t="shared" si="34"/>
        <v>-6.9886945131250897</v>
      </c>
      <c r="M204" s="18">
        <f t="shared" si="35"/>
        <v>1.6657177192179507E-2</v>
      </c>
      <c r="N204" s="18">
        <f t="shared" si="36"/>
        <v>0.19174470386208642</v>
      </c>
      <c r="O204" s="18">
        <f t="shared" si="37"/>
        <v>73.953365844467484</v>
      </c>
      <c r="P204" s="18">
        <f t="shared" si="38"/>
        <v>555.53233572470435</v>
      </c>
      <c r="Q204" s="18">
        <f t="shared" si="39"/>
        <v>565.697541282781</v>
      </c>
    </row>
    <row r="205" spans="1:17" ht="21" customHeight="1">
      <c r="A205" s="1" t="s">
        <v>357</v>
      </c>
      <c r="B205" s="1" t="s">
        <v>319</v>
      </c>
      <c r="C205" s="18">
        <v>73.45981992435587</v>
      </c>
      <c r="D205" s="18">
        <v>0.16597951122557753</v>
      </c>
      <c r="E205" s="18">
        <v>2205.0000000001646</v>
      </c>
      <c r="F205" s="18">
        <v>1.32389775</v>
      </c>
      <c r="G205" s="18">
        <v>0</v>
      </c>
      <c r="H205" s="18">
        <f t="shared" si="30"/>
        <v>1.32389775</v>
      </c>
      <c r="I205" s="18">
        <f t="shared" si="31"/>
        <v>0.16597951122557753</v>
      </c>
      <c r="J205" s="18">
        <f t="shared" si="32"/>
        <v>73.45981992435587</v>
      </c>
      <c r="K205" s="18">
        <f t="shared" si="33"/>
        <v>1665.5364811974071</v>
      </c>
      <c r="L205" s="18">
        <f t="shared" si="34"/>
        <v>32.967005421812239</v>
      </c>
      <c r="M205" s="18">
        <f t="shared" si="35"/>
        <v>-1.9793625533864746E-2</v>
      </c>
      <c r="N205" s="18">
        <f t="shared" si="36"/>
        <v>2.4312175061714687E-2</v>
      </c>
      <c r="O205" s="18">
        <f t="shared" si="37"/>
        <v>73.465961856468567</v>
      </c>
      <c r="P205" s="18">
        <f t="shared" si="38"/>
        <v>2205.4319599449163</v>
      </c>
      <c r="Q205" s="18">
        <f t="shared" si="39"/>
        <v>2205.651699846374</v>
      </c>
    </row>
    <row r="206" spans="1:17" ht="21" customHeight="1">
      <c r="A206" s="1" t="s">
        <v>357</v>
      </c>
      <c r="B206" s="1" t="s">
        <v>320</v>
      </c>
      <c r="C206" s="18">
        <v>73.45981992435587</v>
      </c>
      <c r="D206" s="18">
        <v>0.16597951122557753</v>
      </c>
      <c r="E206" s="18">
        <v>3449.684496727491</v>
      </c>
      <c r="F206" s="18">
        <v>1.32389775</v>
      </c>
      <c r="G206" s="18">
        <v>3.4438949999999999</v>
      </c>
      <c r="H206" s="18">
        <f t="shared" si="30"/>
        <v>3.6895959160157443</v>
      </c>
      <c r="I206" s="18">
        <f t="shared" si="31"/>
        <v>5.9556630714978312E-2</v>
      </c>
      <c r="J206" s="18">
        <f t="shared" si="32"/>
        <v>73.459983293795247</v>
      </c>
      <c r="K206" s="18">
        <f t="shared" si="33"/>
        <v>934.97623459337399</v>
      </c>
      <c r="L206" s="18">
        <f t="shared" si="34"/>
        <v>35.972168056684318</v>
      </c>
      <c r="M206" s="18">
        <f t="shared" si="35"/>
        <v>-3.847388492428238E-2</v>
      </c>
      <c r="N206" s="18">
        <f t="shared" si="36"/>
        <v>4.0094939154699021E-2</v>
      </c>
      <c r="O206" s="18">
        <f t="shared" si="37"/>
        <v>73.478903591834566</v>
      </c>
      <c r="P206" s="18">
        <f t="shared" si="38"/>
        <v>3452.2379918675383</v>
      </c>
      <c r="Q206" s="18">
        <f t="shared" si="39"/>
        <v>3452.4577317689959</v>
      </c>
    </row>
    <row r="207" spans="1:17" ht="21" customHeight="1">
      <c r="A207" s="1" t="s">
        <v>357</v>
      </c>
      <c r="B207" s="1" t="s">
        <v>321</v>
      </c>
      <c r="C207" s="18">
        <v>73.45981992435587</v>
      </c>
      <c r="D207" s="18">
        <v>0.16597951122557753</v>
      </c>
      <c r="E207" s="18">
        <v>3744.5239971677438</v>
      </c>
      <c r="F207" s="18">
        <v>3.8554321618301355</v>
      </c>
      <c r="G207" s="18">
        <v>0</v>
      </c>
      <c r="H207" s="18">
        <f t="shared" si="30"/>
        <v>3.8554321618301355</v>
      </c>
      <c r="I207" s="18">
        <f t="shared" si="31"/>
        <v>0.16597951122557753</v>
      </c>
      <c r="J207" s="18">
        <f t="shared" si="32"/>
        <v>73.45981992435587</v>
      </c>
      <c r="K207" s="18">
        <f t="shared" si="33"/>
        <v>971.23327294916146</v>
      </c>
      <c r="L207" s="18">
        <f t="shared" si="34"/>
        <v>34.535972270076599</v>
      </c>
      <c r="M207" s="18">
        <f t="shared" si="35"/>
        <v>-3.5558885009373396E-2</v>
      </c>
      <c r="N207" s="18">
        <f t="shared" si="36"/>
        <v>4.007672382978246E-2</v>
      </c>
      <c r="O207" s="18">
        <f t="shared" si="37"/>
        <v>73.477518848688419</v>
      </c>
      <c r="P207" s="18">
        <f t="shared" si="38"/>
        <v>3746.8915989204634</v>
      </c>
      <c r="Q207" s="18">
        <f t="shared" si="39"/>
        <v>3747.531521666248</v>
      </c>
    </row>
    <row r="208" spans="1:17" ht="21" customHeight="1">
      <c r="A208" s="1" t="s">
        <v>357</v>
      </c>
      <c r="B208" s="1" t="s">
        <v>322</v>
      </c>
      <c r="C208" s="18">
        <v>73.45981992435587</v>
      </c>
      <c r="D208" s="18">
        <v>0.16597951122557753</v>
      </c>
      <c r="E208" s="18">
        <v>3449.7174772411936</v>
      </c>
      <c r="F208" s="18">
        <v>2.3365115147320541</v>
      </c>
      <c r="G208" s="18">
        <v>1.4349562500000002</v>
      </c>
      <c r="H208" s="18">
        <f t="shared" si="30"/>
        <v>2.7419674501878282</v>
      </c>
      <c r="I208" s="18">
        <f t="shared" si="31"/>
        <v>0.14143604774068141</v>
      </c>
      <c r="J208" s="18">
        <f t="shared" si="32"/>
        <v>73.459871279232019</v>
      </c>
      <c r="K208" s="18">
        <f t="shared" si="33"/>
        <v>1258.1175888885493</v>
      </c>
      <c r="L208" s="18">
        <f t="shared" si="34"/>
        <v>34.307963047679337</v>
      </c>
      <c r="M208" s="18">
        <f t="shared" si="35"/>
        <v>-2.7269281783102482E-2</v>
      </c>
      <c r="N208" s="18">
        <f t="shared" si="36"/>
        <v>3.1119434762962337E-2</v>
      </c>
      <c r="O208" s="18">
        <f t="shared" si="37"/>
        <v>73.470442965444676</v>
      </c>
      <c r="P208" s="18">
        <f t="shared" si="38"/>
        <v>3451.000185363418</v>
      </c>
      <c r="Q208" s="18">
        <f t="shared" si="39"/>
        <v>3451.3879984026066</v>
      </c>
    </row>
    <row r="209" spans="1:17" ht="21" customHeight="1">
      <c r="A209" s="1" t="s">
        <v>357</v>
      </c>
      <c r="B209" s="1" t="s">
        <v>323</v>
      </c>
      <c r="C209" s="18">
        <v>73.45981992435587</v>
      </c>
      <c r="D209" s="18">
        <v>0.16597951122557753</v>
      </c>
      <c r="E209" s="18">
        <v>3467.7798922867669</v>
      </c>
      <c r="F209" s="18">
        <v>1.32389775</v>
      </c>
      <c r="G209" s="18">
        <v>0</v>
      </c>
      <c r="H209" s="18">
        <f t="shared" si="30"/>
        <v>1.32389775</v>
      </c>
      <c r="I209" s="18">
        <f t="shared" si="31"/>
        <v>0.16597951122557753</v>
      </c>
      <c r="J209" s="18">
        <f t="shared" si="32"/>
        <v>73.45981992435587</v>
      </c>
      <c r="K209" s="18">
        <f t="shared" si="33"/>
        <v>2619.3713920027185</v>
      </c>
      <c r="L209" s="18">
        <f t="shared" si="34"/>
        <v>30.811744541727805</v>
      </c>
      <c r="M209" s="18">
        <f t="shared" si="35"/>
        <v>-1.1763030105543668E-2</v>
      </c>
      <c r="N209" s="18">
        <f t="shared" si="36"/>
        <v>1.628179780570185E-2</v>
      </c>
      <c r="O209" s="18">
        <f t="shared" si="37"/>
        <v>73.46241483104339</v>
      </c>
      <c r="P209" s="18">
        <f t="shared" si="38"/>
        <v>3468.0198114583404</v>
      </c>
      <c r="Q209" s="18">
        <f t="shared" si="39"/>
        <v>3468.239551359798</v>
      </c>
    </row>
    <row r="210" spans="1:17" ht="21" customHeight="1">
      <c r="A210" s="1" t="s">
        <v>357</v>
      </c>
      <c r="B210" s="1" t="s">
        <v>324</v>
      </c>
      <c r="C210" s="18">
        <v>73.45981992435587</v>
      </c>
      <c r="D210" s="18">
        <v>0.16597951122557753</v>
      </c>
      <c r="E210" s="18">
        <v>557.4920855535072</v>
      </c>
      <c r="F210" s="18">
        <v>1.32389775</v>
      </c>
      <c r="G210" s="18">
        <v>0</v>
      </c>
      <c r="H210" s="18">
        <f t="shared" si="30"/>
        <v>1.32389775</v>
      </c>
      <c r="I210" s="18">
        <f t="shared" si="31"/>
        <v>0.16597951122557753</v>
      </c>
      <c r="J210" s="18">
        <f t="shared" si="32"/>
        <v>73.45981992435587</v>
      </c>
      <c r="K210" s="18">
        <f t="shared" si="33"/>
        <v>421.09905055243672</v>
      </c>
      <c r="L210" s="18">
        <f t="shared" si="34"/>
        <v>35.779659763938035</v>
      </c>
      <c r="M210" s="18">
        <f t="shared" si="35"/>
        <v>-8.4967324711368891E-2</v>
      </c>
      <c r="N210" s="18">
        <f t="shared" si="36"/>
        <v>8.9480515595999358E-2</v>
      </c>
      <c r="O210" s="18">
        <f t="shared" si="37"/>
        <v>73.553189839859897</v>
      </c>
      <c r="P210" s="18">
        <f t="shared" si="38"/>
        <v>559.50568861968372</v>
      </c>
      <c r="Q210" s="18">
        <f t="shared" si="39"/>
        <v>559.72542852114145</v>
      </c>
    </row>
    <row r="211" spans="1:17" ht="21" customHeight="1">
      <c r="A211" s="1" t="s">
        <v>358</v>
      </c>
      <c r="B211" s="1" t="s">
        <v>319</v>
      </c>
      <c r="C211" s="18">
        <v>24.944421668585925</v>
      </c>
      <c r="D211" s="18">
        <v>7.4534711845425594</v>
      </c>
      <c r="E211" s="18">
        <v>2205.0000000048713</v>
      </c>
      <c r="F211" s="18">
        <v>1.32389775</v>
      </c>
      <c r="G211" s="18">
        <v>0</v>
      </c>
      <c r="H211" s="18">
        <f t="shared" si="30"/>
        <v>1.32389775</v>
      </c>
      <c r="I211" s="18">
        <f t="shared" si="31"/>
        <v>7.4534711845425594</v>
      </c>
      <c r="J211" s="18">
        <f t="shared" si="32"/>
        <v>24.944421668585925</v>
      </c>
      <c r="K211" s="18">
        <f t="shared" si="33"/>
        <v>1665.5364812009623</v>
      </c>
      <c r="L211" s="18">
        <f t="shared" si="34"/>
        <v>-478.06789994548649</v>
      </c>
      <c r="M211" s="18">
        <f t="shared" si="35"/>
        <v>0.28703538189734989</v>
      </c>
      <c r="N211" s="18">
        <f t="shared" si="36"/>
        <v>0.30201219084157627</v>
      </c>
      <c r="O211" s="18">
        <f t="shared" si="37"/>
        <v>26.034401007551789</v>
      </c>
      <c r="P211" s="18">
        <f t="shared" si="38"/>
        <v>2296.4595773998058</v>
      </c>
      <c r="Q211" s="18">
        <f t="shared" si="39"/>
        <v>2306.3272111307115</v>
      </c>
    </row>
    <row r="212" spans="1:17" ht="21" customHeight="1">
      <c r="A212" s="1" t="s">
        <v>358</v>
      </c>
      <c r="B212" s="1" t="s">
        <v>320</v>
      </c>
      <c r="C212" s="18">
        <v>24.944421668585925</v>
      </c>
      <c r="D212" s="18">
        <v>7.4534711845425594</v>
      </c>
      <c r="E212" s="18">
        <v>3085.0942140171755</v>
      </c>
      <c r="F212" s="18">
        <v>1.32389775</v>
      </c>
      <c r="G212" s="18">
        <v>3.4438949999999999</v>
      </c>
      <c r="H212" s="18">
        <f t="shared" si="30"/>
        <v>3.6895959160157443</v>
      </c>
      <c r="I212" s="18">
        <f t="shared" si="31"/>
        <v>2.6744483557325198</v>
      </c>
      <c r="J212" s="18">
        <f t="shared" si="32"/>
        <v>25.896442440450095</v>
      </c>
      <c r="K212" s="18">
        <f t="shared" si="33"/>
        <v>836.16045882570597</v>
      </c>
      <c r="L212" s="18">
        <f t="shared" si="34"/>
        <v>-73.249827506720536</v>
      </c>
      <c r="M212" s="18">
        <f t="shared" si="35"/>
        <v>8.7602596766644211E-2</v>
      </c>
      <c r="N212" s="18">
        <f t="shared" si="36"/>
        <v>0.1185732581595768</v>
      </c>
      <c r="O212" s="18">
        <f t="shared" si="37"/>
        <v>26.035207145895154</v>
      </c>
      <c r="P212" s="18">
        <f t="shared" si="38"/>
        <v>3096.9396245490525</v>
      </c>
      <c r="Q212" s="18">
        <f t="shared" si="39"/>
        <v>3106.8072582799587</v>
      </c>
    </row>
    <row r="213" spans="1:17" ht="21" customHeight="1">
      <c r="A213" s="1" t="s">
        <v>358</v>
      </c>
      <c r="B213" s="1" t="s">
        <v>321</v>
      </c>
      <c r="C213" s="18">
        <v>24.944421668585925</v>
      </c>
      <c r="D213" s="18">
        <v>7.4534711845425594</v>
      </c>
      <c r="E213" s="18">
        <v>3289.4544683389649</v>
      </c>
      <c r="F213" s="18">
        <v>3.8554321618301355</v>
      </c>
      <c r="G213" s="18">
        <v>0</v>
      </c>
      <c r="H213" s="18">
        <f t="shared" si="30"/>
        <v>3.8554321618301355</v>
      </c>
      <c r="I213" s="18">
        <f t="shared" si="31"/>
        <v>7.4534711845425585</v>
      </c>
      <c r="J213" s="18">
        <f t="shared" si="32"/>
        <v>24.944421668585925</v>
      </c>
      <c r="K213" s="18">
        <f t="shared" si="33"/>
        <v>853.19993460278999</v>
      </c>
      <c r="L213" s="18">
        <f t="shared" si="34"/>
        <v>-238.80904795158816</v>
      </c>
      <c r="M213" s="18">
        <f t="shared" si="35"/>
        <v>0.27989810859838671</v>
      </c>
      <c r="N213" s="18">
        <f t="shared" si="36"/>
        <v>0.30913442315600431</v>
      </c>
      <c r="O213" s="18">
        <f t="shared" si="37"/>
        <v>26.035028854947676</v>
      </c>
      <c r="P213" s="18">
        <f t="shared" si="38"/>
        <v>3419.1506792804707</v>
      </c>
      <c r="Q213" s="18">
        <f t="shared" si="39"/>
        <v>3447.8870318026306</v>
      </c>
    </row>
    <row r="214" spans="1:17" ht="21" customHeight="1">
      <c r="A214" s="1" t="s">
        <v>358</v>
      </c>
      <c r="B214" s="1" t="s">
        <v>322</v>
      </c>
      <c r="C214" s="18">
        <v>24.944421668585925</v>
      </c>
      <c r="D214" s="18">
        <v>7.4534711845425594</v>
      </c>
      <c r="E214" s="18">
        <v>3284.0588197728493</v>
      </c>
      <c r="F214" s="18">
        <v>2.3365115147320541</v>
      </c>
      <c r="G214" s="18">
        <v>1.4349562500000002</v>
      </c>
      <c r="H214" s="18">
        <f t="shared" si="30"/>
        <v>2.7419674501878282</v>
      </c>
      <c r="I214" s="18">
        <f t="shared" si="31"/>
        <v>6.3513231151647318</v>
      </c>
      <c r="J214" s="18">
        <f t="shared" si="32"/>
        <v>25.247556312756277</v>
      </c>
      <c r="K214" s="18">
        <f t="shared" si="33"/>
        <v>1197.7016063950311</v>
      </c>
      <c r="L214" s="18">
        <f t="shared" si="34"/>
        <v>-285.57628678955359</v>
      </c>
      <c r="M214" s="18">
        <f t="shared" si="35"/>
        <v>0.2384369239088785</v>
      </c>
      <c r="N214" s="18">
        <f t="shared" si="36"/>
        <v>0.2595169292941506</v>
      </c>
      <c r="O214" s="18">
        <f t="shared" si="37"/>
        <v>26.034630977806472</v>
      </c>
      <c r="P214" s="18">
        <f t="shared" si="38"/>
        <v>3377.8548648394099</v>
      </c>
      <c r="Q214" s="18">
        <f t="shared" si="39"/>
        <v>3395.2699860868179</v>
      </c>
    </row>
    <row r="215" spans="1:17" ht="21" customHeight="1">
      <c r="A215" s="1" t="s">
        <v>358</v>
      </c>
      <c r="B215" s="1" t="s">
        <v>323</v>
      </c>
      <c r="C215" s="18">
        <v>24.944421668585925</v>
      </c>
      <c r="D215" s="18">
        <v>7.4534711845425594</v>
      </c>
      <c r="E215" s="18">
        <v>3541.2114385462182</v>
      </c>
      <c r="F215" s="18">
        <v>1.32389775</v>
      </c>
      <c r="G215" s="18">
        <v>0</v>
      </c>
      <c r="H215" s="18">
        <f t="shared" si="30"/>
        <v>1.32389775</v>
      </c>
      <c r="I215" s="18">
        <f t="shared" si="31"/>
        <v>7.4534711845425594</v>
      </c>
      <c r="J215" s="18">
        <f t="shared" si="32"/>
        <v>24.944421668585925</v>
      </c>
      <c r="K215" s="18">
        <f t="shared" si="33"/>
        <v>2674.8375684951639</v>
      </c>
      <c r="L215" s="18">
        <f t="shared" si="34"/>
        <v>-775.33545992817767</v>
      </c>
      <c r="M215" s="18">
        <f t="shared" si="35"/>
        <v>0.28986263280441865</v>
      </c>
      <c r="N215" s="18">
        <f t="shared" si="36"/>
        <v>0.29918821651925315</v>
      </c>
      <c r="O215" s="18">
        <f t="shared" si="37"/>
        <v>26.034264239284798</v>
      </c>
      <c r="P215" s="18">
        <f t="shared" si="38"/>
        <v>3691.0228857184138</v>
      </c>
      <c r="Q215" s="18">
        <f t="shared" si="39"/>
        <v>3700.8905194493191</v>
      </c>
    </row>
    <row r="216" spans="1:17" ht="21" customHeight="1">
      <c r="A216" s="1" t="s">
        <v>358</v>
      </c>
      <c r="B216" s="1" t="s">
        <v>324</v>
      </c>
      <c r="C216" s="18">
        <v>24.944421668585925</v>
      </c>
      <c r="D216" s="18">
        <v>7.4534711845425594</v>
      </c>
      <c r="E216" s="18">
        <v>199.32710799706246</v>
      </c>
      <c r="F216" s="18">
        <v>1.32389775</v>
      </c>
      <c r="G216" s="18">
        <v>0</v>
      </c>
      <c r="H216" s="18">
        <f t="shared" si="30"/>
        <v>1.32389775</v>
      </c>
      <c r="I216" s="18">
        <f t="shared" si="31"/>
        <v>7.4534711845425594</v>
      </c>
      <c r="J216" s="18">
        <f t="shared" si="32"/>
        <v>24.944421668585925</v>
      </c>
      <c r="K216" s="18">
        <f t="shared" si="33"/>
        <v>150.56080274859781</v>
      </c>
      <c r="L216" s="18">
        <f t="shared" si="34"/>
        <v>-31.822667824629665</v>
      </c>
      <c r="M216" s="18">
        <f t="shared" si="35"/>
        <v>0.21136090698032647</v>
      </c>
      <c r="N216" s="18">
        <f t="shared" si="36"/>
        <v>0.37703763832877329</v>
      </c>
      <c r="O216" s="18">
        <f t="shared" si="37"/>
        <v>26.061523026386546</v>
      </c>
      <c r="P216" s="18">
        <f t="shared" si="38"/>
        <v>203.79602081015244</v>
      </c>
      <c r="Q216" s="18">
        <f t="shared" si="39"/>
        <v>213.66365454105821</v>
      </c>
    </row>
    <row r="217" spans="1:17" ht="21" customHeight="1">
      <c r="A217" s="1" t="s">
        <v>359</v>
      </c>
      <c r="B217" s="1" t="s">
        <v>319</v>
      </c>
      <c r="C217" s="18">
        <v>20.005335251785709</v>
      </c>
      <c r="D217" s="18">
        <v>12.595031421580098</v>
      </c>
      <c r="E217" s="18">
        <v>2205.0000000268865</v>
      </c>
      <c r="F217" s="18">
        <v>1.32389775</v>
      </c>
      <c r="G217" s="18">
        <v>0</v>
      </c>
      <c r="H217" s="18">
        <f t="shared" si="30"/>
        <v>1.32389775</v>
      </c>
      <c r="I217" s="18">
        <f t="shared" si="31"/>
        <v>12.595031421580099</v>
      </c>
      <c r="J217" s="18">
        <f t="shared" si="32"/>
        <v>20.005335251785709</v>
      </c>
      <c r="K217" s="18">
        <f t="shared" si="33"/>
        <v>1665.5364812175915</v>
      </c>
      <c r="L217" s="18">
        <f t="shared" si="34"/>
        <v>-979.36494470284072</v>
      </c>
      <c r="M217" s="18">
        <f t="shared" si="35"/>
        <v>0.58801770825630628</v>
      </c>
      <c r="N217" s="18">
        <f t="shared" si="36"/>
        <v>0.60002905443658383</v>
      </c>
      <c r="O217" s="18">
        <f t="shared" si="37"/>
        <v>23.640073323012686</v>
      </c>
      <c r="P217" s="18">
        <f t="shared" si="38"/>
        <v>2597.317060831705</v>
      </c>
      <c r="Q217" s="18">
        <f t="shared" si="39"/>
        <v>2613.9915945919142</v>
      </c>
    </row>
    <row r="218" spans="1:17" ht="21" customHeight="1">
      <c r="A218" s="1" t="s">
        <v>359</v>
      </c>
      <c r="B218" s="1" t="s">
        <v>320</v>
      </c>
      <c r="C218" s="18">
        <v>20.005335251785709</v>
      </c>
      <c r="D218" s="18">
        <v>12.595031421580098</v>
      </c>
      <c r="E218" s="18">
        <v>3317.2478294483635</v>
      </c>
      <c r="F218" s="18">
        <v>1.32389775</v>
      </c>
      <c r="G218" s="18">
        <v>3.4438949999999999</v>
      </c>
      <c r="H218" s="18">
        <f t="shared" si="30"/>
        <v>3.6895959160157443</v>
      </c>
      <c r="I218" s="18">
        <f t="shared" si="31"/>
        <v>4.5193387405457113</v>
      </c>
      <c r="J218" s="18">
        <f t="shared" si="32"/>
        <v>23.203961566834504</v>
      </c>
      <c r="K218" s="18">
        <f t="shared" si="33"/>
        <v>899.08160811022753</v>
      </c>
      <c r="L218" s="18">
        <f t="shared" si="34"/>
        <v>-162.41500526290147</v>
      </c>
      <c r="M218" s="18">
        <f t="shared" si="35"/>
        <v>0.18064545398084639</v>
      </c>
      <c r="N218" s="18">
        <f t="shared" si="36"/>
        <v>0.20645396942318395</v>
      </c>
      <c r="O218" s="18">
        <f t="shared" si="37"/>
        <v>23.640603668241418</v>
      </c>
      <c r="P218" s="18">
        <f t="shared" si="38"/>
        <v>3371.520687852742</v>
      </c>
      <c r="Q218" s="18">
        <f t="shared" si="39"/>
        <v>3388.1952216129512</v>
      </c>
    </row>
    <row r="219" spans="1:17" ht="21" customHeight="1">
      <c r="A219" s="1" t="s">
        <v>359</v>
      </c>
      <c r="B219" s="1" t="s">
        <v>321</v>
      </c>
      <c r="C219" s="18">
        <v>20.005335251785709</v>
      </c>
      <c r="D219" s="18">
        <v>12.595031421580098</v>
      </c>
      <c r="E219" s="18">
        <v>3135.8285759644796</v>
      </c>
      <c r="F219" s="18">
        <v>3.8554321618301355</v>
      </c>
      <c r="G219" s="18">
        <v>0</v>
      </c>
      <c r="H219" s="18">
        <f t="shared" si="30"/>
        <v>3.8554321618301355</v>
      </c>
      <c r="I219" s="18">
        <f t="shared" si="31"/>
        <v>12.595031421580098</v>
      </c>
      <c r="J219" s="18">
        <f t="shared" si="32"/>
        <v>20.005335251785709</v>
      </c>
      <c r="K219" s="18">
        <f t="shared" si="33"/>
        <v>813.35332703038216</v>
      </c>
      <c r="L219" s="18">
        <f t="shared" si="34"/>
        <v>-473.13990775620749</v>
      </c>
      <c r="M219" s="18">
        <f t="shared" si="35"/>
        <v>0.58171509482069617</v>
      </c>
      <c r="N219" s="18">
        <f t="shared" si="36"/>
        <v>0.60631121385893361</v>
      </c>
      <c r="O219" s="18">
        <f t="shared" si="37"/>
        <v>23.640398301421158</v>
      </c>
      <c r="P219" s="18">
        <f t="shared" si="38"/>
        <v>3681.5304745007425</v>
      </c>
      <c r="Q219" s="18">
        <f t="shared" si="39"/>
        <v>3730.0897637227636</v>
      </c>
    </row>
    <row r="220" spans="1:17" ht="21" customHeight="1">
      <c r="A220" s="1" t="s">
        <v>359</v>
      </c>
      <c r="B220" s="1" t="s">
        <v>322</v>
      </c>
      <c r="C220" s="18">
        <v>20.005335251785709</v>
      </c>
      <c r="D220" s="18">
        <v>12.595031421580098</v>
      </c>
      <c r="E220" s="18">
        <v>3280.4094091986099</v>
      </c>
      <c r="F220" s="18">
        <v>2.3365115147320541</v>
      </c>
      <c r="G220" s="18">
        <v>1.4349562500000002</v>
      </c>
      <c r="H220" s="18">
        <f t="shared" si="30"/>
        <v>2.7419674501878282</v>
      </c>
      <c r="I220" s="18">
        <f t="shared" si="31"/>
        <v>10.732598573669446</v>
      </c>
      <c r="J220" s="18">
        <f t="shared" si="32"/>
        <v>21.063228216572089</v>
      </c>
      <c r="K220" s="18">
        <f t="shared" si="33"/>
        <v>1196.3706604080576</v>
      </c>
      <c r="L220" s="18">
        <f t="shared" si="34"/>
        <v>-575.36007572684127</v>
      </c>
      <c r="M220" s="18">
        <f t="shared" si="35"/>
        <v>0.48092125188910745</v>
      </c>
      <c r="N220" s="18">
        <f t="shared" si="36"/>
        <v>0.49852719034415766</v>
      </c>
      <c r="O220" s="18">
        <f t="shared" si="37"/>
        <v>23.640213942087268</v>
      </c>
      <c r="P220" s="18">
        <f t="shared" si="38"/>
        <v>3667.1327718442221</v>
      </c>
      <c r="Q220" s="18">
        <f t="shared" si="39"/>
        <v>3696.561207789156</v>
      </c>
    </row>
    <row r="221" spans="1:17" ht="21" customHeight="1">
      <c r="A221" s="1" t="s">
        <v>359</v>
      </c>
      <c r="B221" s="1" t="s">
        <v>323</v>
      </c>
      <c r="C221" s="18">
        <v>20.005335251785709</v>
      </c>
      <c r="D221" s="18">
        <v>12.595031421580098</v>
      </c>
      <c r="E221" s="18">
        <v>3392.229030899417</v>
      </c>
      <c r="F221" s="18">
        <v>1.32389775</v>
      </c>
      <c r="G221" s="18">
        <v>0</v>
      </c>
      <c r="H221" s="18">
        <f t="shared" si="30"/>
        <v>1.32389775</v>
      </c>
      <c r="I221" s="18">
        <f t="shared" si="31"/>
        <v>12.595031421580099</v>
      </c>
      <c r="J221" s="18">
        <f t="shared" si="32"/>
        <v>20.005335251785709</v>
      </c>
      <c r="K221" s="18">
        <f t="shared" si="33"/>
        <v>2562.3044006981786</v>
      </c>
      <c r="L221" s="18">
        <f t="shared" si="34"/>
        <v>-1512.0707955552805</v>
      </c>
      <c r="M221" s="18">
        <f t="shared" si="35"/>
        <v>0.59012145283880801</v>
      </c>
      <c r="N221" s="18">
        <f t="shared" si="36"/>
        <v>0.59792900889902267</v>
      </c>
      <c r="O221" s="18">
        <f t="shared" si="37"/>
        <v>23.640014553006388</v>
      </c>
      <c r="P221" s="18">
        <f t="shared" si="38"/>
        <v>4000.2309481066427</v>
      </c>
      <c r="Q221" s="18">
        <f t="shared" si="39"/>
        <v>4016.9054818668524</v>
      </c>
    </row>
    <row r="222" spans="1:17" ht="21" customHeight="1">
      <c r="A222" s="1" t="s">
        <v>359</v>
      </c>
      <c r="B222" s="1" t="s">
        <v>324</v>
      </c>
      <c r="C222" s="18">
        <v>20.005335251785709</v>
      </c>
      <c r="D222" s="18">
        <v>12.595031421580098</v>
      </c>
      <c r="E222" s="18">
        <v>149.53815413891806</v>
      </c>
      <c r="F222" s="18">
        <v>1.32389775</v>
      </c>
      <c r="G222" s="18">
        <v>0</v>
      </c>
      <c r="H222" s="18">
        <f t="shared" si="30"/>
        <v>1.32389775</v>
      </c>
      <c r="I222" s="18">
        <f t="shared" si="31"/>
        <v>12.595031421580099</v>
      </c>
      <c r="J222" s="18">
        <f t="shared" si="32"/>
        <v>20.005335251785709</v>
      </c>
      <c r="K222" s="18">
        <f t="shared" si="33"/>
        <v>112.95294832166462</v>
      </c>
      <c r="L222" s="18">
        <f t="shared" si="34"/>
        <v>-57.015787172298459</v>
      </c>
      <c r="M222" s="18">
        <f t="shared" si="35"/>
        <v>0.50477466962553563</v>
      </c>
      <c r="N222" s="18">
        <f t="shared" si="36"/>
        <v>0.6818867817840869</v>
      </c>
      <c r="O222" s="18">
        <f t="shared" si="37"/>
        <v>23.662111715878318</v>
      </c>
      <c r="P222" s="18">
        <f t="shared" si="38"/>
        <v>168.99708849331358</v>
      </c>
      <c r="Q222" s="18">
        <f t="shared" si="39"/>
        <v>185.67162225352277</v>
      </c>
    </row>
    <row r="223" spans="1:17" ht="21" customHeight="1">
      <c r="A223" s="1" t="s">
        <v>360</v>
      </c>
      <c r="B223" s="1" t="s">
        <v>319</v>
      </c>
      <c r="C223" s="18">
        <v>30.417067950342648</v>
      </c>
      <c r="D223" s="18">
        <v>20.647355256554327</v>
      </c>
      <c r="E223" s="18">
        <v>2205.0000000004702</v>
      </c>
      <c r="F223" s="18">
        <v>1.32389775</v>
      </c>
      <c r="G223" s="18">
        <v>0</v>
      </c>
      <c r="H223" s="18">
        <f t="shared" si="30"/>
        <v>1.32389775</v>
      </c>
      <c r="I223" s="18">
        <f t="shared" si="31"/>
        <v>20.647355256554327</v>
      </c>
      <c r="J223" s="18">
        <f t="shared" si="32"/>
        <v>30.417067950342648</v>
      </c>
      <c r="K223" s="18">
        <f t="shared" si="33"/>
        <v>1665.5364811976381</v>
      </c>
      <c r="L223" s="18">
        <f t="shared" si="34"/>
        <v>-1042.7591658394074</v>
      </c>
      <c r="M223" s="18">
        <f t="shared" si="35"/>
        <v>0.62608005144960266</v>
      </c>
      <c r="N223" s="18">
        <f t="shared" si="36"/>
        <v>0.64434267631175557</v>
      </c>
      <c r="O223" s="18">
        <f t="shared" si="37"/>
        <v>36.763256339398858</v>
      </c>
      <c r="P223" s="18">
        <f t="shared" si="38"/>
        <v>2651.4556991598452</v>
      </c>
      <c r="Q223" s="18">
        <f t="shared" si="39"/>
        <v>2678.7906863274475</v>
      </c>
    </row>
    <row r="224" spans="1:17" ht="21" customHeight="1">
      <c r="A224" s="1" t="s">
        <v>360</v>
      </c>
      <c r="B224" s="1" t="s">
        <v>320</v>
      </c>
      <c r="C224" s="18">
        <v>30.417067950342648</v>
      </c>
      <c r="D224" s="18">
        <v>20.647355256554327</v>
      </c>
      <c r="E224" s="18">
        <v>3450.3565152392102</v>
      </c>
      <c r="F224" s="18">
        <v>1.32389775</v>
      </c>
      <c r="G224" s="18">
        <v>3.4438949999999999</v>
      </c>
      <c r="H224" s="18">
        <f t="shared" si="30"/>
        <v>3.6895959160157443</v>
      </c>
      <c r="I224" s="18">
        <f t="shared" si="31"/>
        <v>7.4086669081965404</v>
      </c>
      <c r="J224" s="18">
        <f t="shared" si="32"/>
        <v>36.008651133158502</v>
      </c>
      <c r="K224" s="18">
        <f t="shared" si="33"/>
        <v>935.15837337686571</v>
      </c>
      <c r="L224" s="18">
        <f t="shared" si="34"/>
        <v>-173.05767671216384</v>
      </c>
      <c r="M224" s="18">
        <f t="shared" si="35"/>
        <v>0.18505707871411228</v>
      </c>
      <c r="N224" s="18">
        <f t="shared" si="36"/>
        <v>0.22356248288766517</v>
      </c>
      <c r="O224" s="18">
        <f t="shared" si="37"/>
        <v>36.765085538020621</v>
      </c>
      <c r="P224" s="18">
        <f t="shared" si="38"/>
        <v>3509.605980545467</v>
      </c>
      <c r="Q224" s="18">
        <f t="shared" si="39"/>
        <v>3536.9409677130702</v>
      </c>
    </row>
    <row r="225" spans="1:17" ht="21" customHeight="1">
      <c r="A225" s="1" t="s">
        <v>360</v>
      </c>
      <c r="B225" s="1" t="s">
        <v>321</v>
      </c>
      <c r="C225" s="18">
        <v>30.417067950342648</v>
      </c>
      <c r="D225" s="18">
        <v>20.647355256554327</v>
      </c>
      <c r="E225" s="18">
        <v>3155.8440968320747</v>
      </c>
      <c r="F225" s="18">
        <v>3.8554321618301355</v>
      </c>
      <c r="G225" s="18">
        <v>0</v>
      </c>
      <c r="H225" s="18">
        <f t="shared" si="30"/>
        <v>3.8554321618301355</v>
      </c>
      <c r="I225" s="18">
        <f t="shared" si="31"/>
        <v>20.647355256554327</v>
      </c>
      <c r="J225" s="18">
        <f t="shared" si="32"/>
        <v>30.417067950342648</v>
      </c>
      <c r="K225" s="18">
        <f t="shared" si="33"/>
        <v>818.54483865020904</v>
      </c>
      <c r="L225" s="18">
        <f t="shared" si="34"/>
        <v>-504.72038825184904</v>
      </c>
      <c r="M225" s="18">
        <f t="shared" si="35"/>
        <v>0.61660689118037737</v>
      </c>
      <c r="N225" s="18">
        <f t="shared" si="36"/>
        <v>0.65376682001274389</v>
      </c>
      <c r="O225" s="18">
        <f t="shared" si="37"/>
        <v>36.764354622230094</v>
      </c>
      <c r="P225" s="18">
        <f t="shared" si="38"/>
        <v>3775.0270638005118</v>
      </c>
      <c r="Q225" s="18">
        <f t="shared" si="39"/>
        <v>3854.6315413133639</v>
      </c>
    </row>
    <row r="226" spans="1:17" ht="21" customHeight="1">
      <c r="A226" s="1" t="s">
        <v>360</v>
      </c>
      <c r="B226" s="1" t="s">
        <v>322</v>
      </c>
      <c r="C226" s="18">
        <v>30.417067950342648</v>
      </c>
      <c r="D226" s="18">
        <v>20.647355256554327</v>
      </c>
      <c r="E226" s="18">
        <v>3305.1811548472633</v>
      </c>
      <c r="F226" s="18">
        <v>2.3365115147320541</v>
      </c>
      <c r="G226" s="18">
        <v>1.4349562500000002</v>
      </c>
      <c r="H226" s="18">
        <f t="shared" si="30"/>
        <v>2.7419674501878282</v>
      </c>
      <c r="I226" s="18">
        <f t="shared" si="31"/>
        <v>17.594221733885973</v>
      </c>
      <c r="J226" s="18">
        <f t="shared" si="32"/>
        <v>32.279322535719025</v>
      </c>
      <c r="K226" s="18">
        <f t="shared" si="33"/>
        <v>1205.4049564377046</v>
      </c>
      <c r="L226" s="18">
        <f t="shared" si="34"/>
        <v>-612.03857507487032</v>
      </c>
      <c r="M226" s="18">
        <f t="shared" si="35"/>
        <v>0.50774519534381923</v>
      </c>
      <c r="N226" s="18">
        <f t="shared" si="36"/>
        <v>0.53452401549328432</v>
      </c>
      <c r="O226" s="18">
        <f t="shared" si="37"/>
        <v>36.763753469972137</v>
      </c>
      <c r="P226" s="18">
        <f t="shared" si="38"/>
        <v>3740.4596731658207</v>
      </c>
      <c r="Q226" s="18">
        <f t="shared" si="39"/>
        <v>3788.7024564715234</v>
      </c>
    </row>
    <row r="227" spans="1:17" ht="21" customHeight="1">
      <c r="A227" s="1" t="s">
        <v>360</v>
      </c>
      <c r="B227" s="1" t="s">
        <v>323</v>
      </c>
      <c r="C227" s="18">
        <v>30.417067950342648</v>
      </c>
      <c r="D227" s="18">
        <v>20.647355256554327</v>
      </c>
      <c r="E227" s="18">
        <v>3358.3270263421136</v>
      </c>
      <c r="F227" s="18">
        <v>1.32389775</v>
      </c>
      <c r="G227" s="18">
        <v>0</v>
      </c>
      <c r="H227" s="18">
        <f t="shared" si="30"/>
        <v>1.32389775</v>
      </c>
      <c r="I227" s="18">
        <f t="shared" si="31"/>
        <v>20.647355256554327</v>
      </c>
      <c r="J227" s="18">
        <f t="shared" si="32"/>
        <v>30.417067950342648</v>
      </c>
      <c r="K227" s="18">
        <f t="shared" si="33"/>
        <v>2536.6966794392647</v>
      </c>
      <c r="L227" s="18">
        <f t="shared" si="34"/>
        <v>-1596.1412870574554</v>
      </c>
      <c r="M227" s="18">
        <f t="shared" si="35"/>
        <v>0.62922039516773509</v>
      </c>
      <c r="N227" s="18">
        <f t="shared" si="36"/>
        <v>0.64121121306759776</v>
      </c>
      <c r="O227" s="18">
        <f t="shared" si="37"/>
        <v>36.763057370565342</v>
      </c>
      <c r="P227" s="18">
        <f t="shared" si="38"/>
        <v>4045.3643834715967</v>
      </c>
      <c r="Q227" s="18">
        <f t="shared" si="39"/>
        <v>4072.6993706392</v>
      </c>
    </row>
    <row r="228" spans="1:17" ht="21" customHeight="1">
      <c r="A228" s="1" t="s">
        <v>360</v>
      </c>
      <c r="B228" s="1" t="s">
        <v>324</v>
      </c>
      <c r="C228" s="18">
        <v>30.417067950342648</v>
      </c>
      <c r="D228" s="18">
        <v>20.647355256554327</v>
      </c>
      <c r="E228" s="18">
        <v>220.523874208108</v>
      </c>
      <c r="F228" s="18">
        <v>1.32389775</v>
      </c>
      <c r="G228" s="18">
        <v>0</v>
      </c>
      <c r="H228" s="18">
        <f t="shared" si="30"/>
        <v>1.32389775</v>
      </c>
      <c r="I228" s="18">
        <f t="shared" si="31"/>
        <v>20.647355256554327</v>
      </c>
      <c r="J228" s="18">
        <f t="shared" si="32"/>
        <v>30.417067950342648</v>
      </c>
      <c r="K228" s="18">
        <f t="shared" si="33"/>
        <v>166.5716813916392</v>
      </c>
      <c r="L228" s="18">
        <f t="shared" si="34"/>
        <v>-90.471108792860761</v>
      </c>
      <c r="M228" s="18">
        <f t="shared" si="35"/>
        <v>0.54313619240083999</v>
      </c>
      <c r="N228" s="18">
        <f t="shared" si="36"/>
        <v>0.72574266966168244</v>
      </c>
      <c r="O228" s="18">
        <f t="shared" si="37"/>
        <v>36.797894841186107</v>
      </c>
      <c r="P228" s="18">
        <f t="shared" si="38"/>
        <v>253.85832283624177</v>
      </c>
      <c r="Q228" s="18">
        <f t="shared" si="39"/>
        <v>281.19331000384466</v>
      </c>
    </row>
    <row r="229" spans="1:17" ht="21" customHeight="1">
      <c r="A229" s="1" t="s">
        <v>361</v>
      </c>
      <c r="B229" s="1" t="s">
        <v>319</v>
      </c>
      <c r="C229" s="18">
        <v>75.72453071382597</v>
      </c>
      <c r="D229" s="18">
        <v>1.4768409377051288</v>
      </c>
      <c r="E229" s="18">
        <v>2204.9999999992942</v>
      </c>
      <c r="F229" s="18">
        <v>1.32389775</v>
      </c>
      <c r="G229" s="18">
        <v>0</v>
      </c>
      <c r="H229" s="18">
        <f t="shared" si="30"/>
        <v>1.32389775</v>
      </c>
      <c r="I229" s="18">
        <f t="shared" si="31"/>
        <v>1.4768409377051288</v>
      </c>
      <c r="J229" s="18">
        <f t="shared" si="32"/>
        <v>75.72453071382597</v>
      </c>
      <c r="K229" s="18">
        <f t="shared" si="33"/>
        <v>1665.5364811967497</v>
      </c>
      <c r="L229" s="18">
        <f t="shared" si="34"/>
        <v>5.3844840036030845</v>
      </c>
      <c r="M229" s="18">
        <f t="shared" si="35"/>
        <v>-3.2328826563643525E-3</v>
      </c>
      <c r="N229" s="18">
        <f t="shared" si="36"/>
        <v>4.2232666473736406E-2</v>
      </c>
      <c r="O229" s="18">
        <f t="shared" si="37"/>
        <v>75.745451687136651</v>
      </c>
      <c r="P229" s="18">
        <f t="shared" si="38"/>
        <v>2205.0115228214527</v>
      </c>
      <c r="Q229" s="18">
        <f t="shared" si="39"/>
        <v>2206.9667092159884</v>
      </c>
    </row>
    <row r="230" spans="1:17" ht="21" customHeight="1">
      <c r="A230" s="1" t="s">
        <v>361</v>
      </c>
      <c r="B230" s="1" t="s">
        <v>320</v>
      </c>
      <c r="C230" s="18">
        <v>75.72453071382597</v>
      </c>
      <c r="D230" s="18">
        <v>1.4768409377051288</v>
      </c>
      <c r="E230" s="18">
        <v>3472.9318243571843</v>
      </c>
      <c r="F230" s="18">
        <v>1.32389775</v>
      </c>
      <c r="G230" s="18">
        <v>3.4438949999999999</v>
      </c>
      <c r="H230" s="18">
        <f t="shared" si="30"/>
        <v>3.6895959160157443</v>
      </c>
      <c r="I230" s="18">
        <f t="shared" si="31"/>
        <v>0.52991884180288296</v>
      </c>
      <c r="J230" s="18">
        <f t="shared" si="32"/>
        <v>75.73707676564733</v>
      </c>
      <c r="K230" s="18">
        <f t="shared" si="33"/>
        <v>941.27701336667576</v>
      </c>
      <c r="L230" s="18">
        <f t="shared" si="34"/>
        <v>31.284420660961125</v>
      </c>
      <c r="M230" s="18">
        <f t="shared" si="35"/>
        <v>-3.3236146444356268E-2</v>
      </c>
      <c r="N230" s="18">
        <f t="shared" si="36"/>
        <v>4.7225902123851839E-2</v>
      </c>
      <c r="O230" s="18">
        <f t="shared" si="37"/>
        <v>75.759362292544751</v>
      </c>
      <c r="P230" s="18">
        <f t="shared" si="38"/>
        <v>3474.8501731272513</v>
      </c>
      <c r="Q230" s="18">
        <f t="shared" si="39"/>
        <v>3476.8053595217871</v>
      </c>
    </row>
    <row r="231" spans="1:17" ht="21" customHeight="1">
      <c r="A231" s="1" t="s">
        <v>361</v>
      </c>
      <c r="B231" s="1" t="s">
        <v>321</v>
      </c>
      <c r="C231" s="18">
        <v>75.72453071382597</v>
      </c>
      <c r="D231" s="18">
        <v>1.4768409377051288</v>
      </c>
      <c r="E231" s="18">
        <v>3765.5445510647951</v>
      </c>
      <c r="F231" s="18">
        <v>3.8554321618301355</v>
      </c>
      <c r="G231" s="18">
        <v>0</v>
      </c>
      <c r="H231" s="18">
        <f t="shared" si="30"/>
        <v>3.8554321618301355</v>
      </c>
      <c r="I231" s="18">
        <f t="shared" si="31"/>
        <v>1.4768409377051288</v>
      </c>
      <c r="J231" s="18">
        <f t="shared" si="32"/>
        <v>75.72453071382597</v>
      </c>
      <c r="K231" s="18">
        <f t="shared" si="33"/>
        <v>976.6854643027433</v>
      </c>
      <c r="L231" s="18">
        <f t="shared" si="34"/>
        <v>18.820133375743097</v>
      </c>
      <c r="M231" s="18">
        <f t="shared" si="35"/>
        <v>-1.9269390262891657E-2</v>
      </c>
      <c r="N231" s="18">
        <f t="shared" si="36"/>
        <v>5.8262766691943121E-2</v>
      </c>
      <c r="O231" s="18">
        <f t="shared" si="37"/>
        <v>75.757895019028737</v>
      </c>
      <c r="P231" s="18">
        <f t="shared" si="38"/>
        <v>3766.2436637426949</v>
      </c>
      <c r="Q231" s="18">
        <f t="shared" si="39"/>
        <v>3771.9375237918307</v>
      </c>
    </row>
    <row r="232" spans="1:17" ht="21" customHeight="1">
      <c r="A232" s="1" t="s">
        <v>361</v>
      </c>
      <c r="B232" s="1" t="s">
        <v>322</v>
      </c>
      <c r="C232" s="18">
        <v>75.72453071382597</v>
      </c>
      <c r="D232" s="18">
        <v>1.4768409377051288</v>
      </c>
      <c r="E232" s="18">
        <v>3458.9119113564784</v>
      </c>
      <c r="F232" s="18">
        <v>2.3365115147320541</v>
      </c>
      <c r="G232" s="18">
        <v>1.4349562500000002</v>
      </c>
      <c r="H232" s="18">
        <f t="shared" si="30"/>
        <v>2.7419674501878282</v>
      </c>
      <c r="I232" s="18">
        <f t="shared" si="31"/>
        <v>1.2584598172889847</v>
      </c>
      <c r="J232" s="18">
        <f t="shared" si="32"/>
        <v>75.728474762619669</v>
      </c>
      <c r="K232" s="18">
        <f t="shared" si="33"/>
        <v>1261.4708140023831</v>
      </c>
      <c r="L232" s="18">
        <f t="shared" si="34"/>
        <v>16.905160169519576</v>
      </c>
      <c r="M232" s="18">
        <f t="shared" si="35"/>
        <v>-1.3401150452211444E-2</v>
      </c>
      <c r="N232" s="18">
        <f t="shared" si="36"/>
        <v>4.6630737659689496E-2</v>
      </c>
      <c r="O232" s="18">
        <f t="shared" si="37"/>
        <v>75.750300908067956</v>
      </c>
      <c r="P232" s="18">
        <f t="shared" si="38"/>
        <v>3459.2225104413151</v>
      </c>
      <c r="Q232" s="18">
        <f t="shared" si="39"/>
        <v>3462.6731662976918</v>
      </c>
    </row>
    <row r="233" spans="1:17" ht="21" customHeight="1">
      <c r="A233" s="1" t="s">
        <v>361</v>
      </c>
      <c r="B233" s="1" t="s">
        <v>323</v>
      </c>
      <c r="C233" s="18">
        <v>75.72453071382597</v>
      </c>
      <c r="D233" s="18">
        <v>1.4768409377051288</v>
      </c>
      <c r="E233" s="18">
        <v>3458.8899148216969</v>
      </c>
      <c r="F233" s="18">
        <v>1.32389775</v>
      </c>
      <c r="G233" s="18">
        <v>0</v>
      </c>
      <c r="H233" s="18">
        <f t="shared" si="30"/>
        <v>1.32389775</v>
      </c>
      <c r="I233" s="18">
        <f t="shared" si="31"/>
        <v>1.4768409377051288</v>
      </c>
      <c r="J233" s="18">
        <f t="shared" si="32"/>
        <v>75.72453071382597</v>
      </c>
      <c r="K233" s="18">
        <f t="shared" si="33"/>
        <v>2612.6563889255776</v>
      </c>
      <c r="L233" s="18">
        <f t="shared" si="34"/>
        <v>-13.086856261981488</v>
      </c>
      <c r="M233" s="18">
        <f t="shared" si="35"/>
        <v>5.0090231220046872E-3</v>
      </c>
      <c r="N233" s="18">
        <f t="shared" si="36"/>
        <v>3.3992754405920957E-2</v>
      </c>
      <c r="O233" s="18">
        <f t="shared" si="37"/>
        <v>75.741580678171459</v>
      </c>
      <c r="P233" s="18">
        <f t="shared" si="38"/>
        <v>3458.9333072270938</v>
      </c>
      <c r="Q233" s="18">
        <f t="shared" si="39"/>
        <v>3460.8884936216296</v>
      </c>
    </row>
    <row r="234" spans="1:17" ht="21" customHeight="1">
      <c r="A234" s="1" t="s">
        <v>361</v>
      </c>
      <c r="B234" s="1" t="s">
        <v>324</v>
      </c>
      <c r="C234" s="18">
        <v>75.72453071382597</v>
      </c>
      <c r="D234" s="18">
        <v>1.4768409377051288</v>
      </c>
      <c r="E234" s="18">
        <v>572.36418447798837</v>
      </c>
      <c r="F234" s="18">
        <v>1.32389775</v>
      </c>
      <c r="G234" s="18">
        <v>0</v>
      </c>
      <c r="H234" s="18">
        <f t="shared" si="30"/>
        <v>1.32389775</v>
      </c>
      <c r="I234" s="18">
        <f t="shared" si="31"/>
        <v>1.4768409377051288</v>
      </c>
      <c r="J234" s="18">
        <f t="shared" si="32"/>
        <v>75.72453071382597</v>
      </c>
      <c r="K234" s="18">
        <f t="shared" si="33"/>
        <v>432.33262121488491</v>
      </c>
      <c r="L234" s="18">
        <f t="shared" si="34"/>
        <v>29.441866326001506</v>
      </c>
      <c r="M234" s="18">
        <f t="shared" si="35"/>
        <v>-6.8100034282094657E-2</v>
      </c>
      <c r="N234" s="18">
        <f t="shared" si="36"/>
        <v>0.10705337075367329</v>
      </c>
      <c r="O234" s="18">
        <f t="shared" si="37"/>
        <v>75.835746494899837</v>
      </c>
      <c r="P234" s="18">
        <f t="shared" si="38"/>
        <v>573.69189974738163</v>
      </c>
      <c r="Q234" s="18">
        <f t="shared" si="39"/>
        <v>575.64708614191727</v>
      </c>
    </row>
    <row r="235" spans="1:17" ht="21" customHeight="1">
      <c r="A235" s="1" t="s">
        <v>362</v>
      </c>
      <c r="B235" s="1" t="s">
        <v>319</v>
      </c>
      <c r="C235" s="18">
        <v>82.373707725109782</v>
      </c>
      <c r="D235" s="18">
        <v>8.0175572687738157</v>
      </c>
      <c r="E235" s="18">
        <v>2205.0000000005612</v>
      </c>
      <c r="F235" s="18">
        <v>1.32389775</v>
      </c>
      <c r="G235" s="18">
        <v>0</v>
      </c>
      <c r="H235" s="18">
        <f t="shared" si="30"/>
        <v>1.32389775</v>
      </c>
      <c r="I235" s="18">
        <f t="shared" si="31"/>
        <v>8.0175572687738157</v>
      </c>
      <c r="J235" s="18">
        <f t="shared" si="32"/>
        <v>82.373707725109782</v>
      </c>
      <c r="K235" s="18">
        <f t="shared" si="33"/>
        <v>1665.5364811977067</v>
      </c>
      <c r="L235" s="18">
        <f t="shared" si="34"/>
        <v>-120.65101203521502</v>
      </c>
      <c r="M235" s="18">
        <f t="shared" si="35"/>
        <v>7.2439729418867768E-2</v>
      </c>
      <c r="N235" s="18">
        <f t="shared" si="36"/>
        <v>0.12189749192063769</v>
      </c>
      <c r="O235" s="18">
        <f t="shared" si="37"/>
        <v>82.771324731492427</v>
      </c>
      <c r="P235" s="18">
        <f t="shared" si="38"/>
        <v>2210.7879149746568</v>
      </c>
      <c r="Q235" s="18">
        <f t="shared" si="39"/>
        <v>2221.4023410032828</v>
      </c>
    </row>
    <row r="236" spans="1:17" ht="21" customHeight="1">
      <c r="A236" s="1" t="s">
        <v>362</v>
      </c>
      <c r="B236" s="1" t="s">
        <v>320</v>
      </c>
      <c r="C236" s="18">
        <v>82.373707725109782</v>
      </c>
      <c r="D236" s="18">
        <v>8.0175572687738157</v>
      </c>
      <c r="E236" s="18">
        <v>3550.6869015379061</v>
      </c>
      <c r="F236" s="18">
        <v>1.32389775</v>
      </c>
      <c r="G236" s="18">
        <v>3.4438949999999999</v>
      </c>
      <c r="H236" s="18">
        <f t="shared" si="30"/>
        <v>3.6895959160157443</v>
      </c>
      <c r="I236" s="18">
        <f t="shared" si="31"/>
        <v>2.8768532571685843</v>
      </c>
      <c r="J236" s="18">
        <f t="shared" si="32"/>
        <v>82.71295342494183</v>
      </c>
      <c r="K236" s="18">
        <f t="shared" si="33"/>
        <v>962.3511577853651</v>
      </c>
      <c r="L236" s="18">
        <f t="shared" si="34"/>
        <v>7.9018170207563756</v>
      </c>
      <c r="M236" s="18">
        <f t="shared" si="35"/>
        <v>-8.2109497731998691E-3</v>
      </c>
      <c r="N236" s="18">
        <f t="shared" si="36"/>
        <v>7.7737877487825194E-2</v>
      </c>
      <c r="O236" s="18">
        <f t="shared" si="37"/>
        <v>82.788414482966203</v>
      </c>
      <c r="P236" s="18">
        <f t="shared" si="38"/>
        <v>3550.8065953264431</v>
      </c>
      <c r="Q236" s="18">
        <f t="shared" si="39"/>
        <v>3561.4210213550687</v>
      </c>
    </row>
    <row r="237" spans="1:17" ht="21" customHeight="1">
      <c r="A237" s="1" t="s">
        <v>362</v>
      </c>
      <c r="B237" s="1" t="s">
        <v>321</v>
      </c>
      <c r="C237" s="18">
        <v>82.373707725109782</v>
      </c>
      <c r="D237" s="18">
        <v>8.0175572687738157</v>
      </c>
      <c r="E237" s="18">
        <v>3819.6788342801055</v>
      </c>
      <c r="F237" s="18">
        <v>3.8554321618301355</v>
      </c>
      <c r="G237" s="18">
        <v>0</v>
      </c>
      <c r="H237" s="18">
        <f t="shared" si="30"/>
        <v>3.8554321618301355</v>
      </c>
      <c r="I237" s="18">
        <f t="shared" si="31"/>
        <v>8.0175572687738157</v>
      </c>
      <c r="J237" s="18">
        <f t="shared" si="32"/>
        <v>82.373707725109782</v>
      </c>
      <c r="K237" s="18">
        <f t="shared" si="33"/>
        <v>990.72650586255986</v>
      </c>
      <c r="L237" s="18">
        <f t="shared" si="34"/>
        <v>-55.062805775912459</v>
      </c>
      <c r="M237" s="18">
        <f t="shared" si="35"/>
        <v>5.5578209980334504E-2</v>
      </c>
      <c r="N237" s="18">
        <f t="shared" si="36"/>
        <v>0.13872296005784701</v>
      </c>
      <c r="O237" s="18">
        <f t="shared" si="37"/>
        <v>82.786586169579948</v>
      </c>
      <c r="P237" s="18">
        <f t="shared" si="38"/>
        <v>3825.5797274536312</v>
      </c>
      <c r="Q237" s="18">
        <f t="shared" si="39"/>
        <v>3856.4908756069767</v>
      </c>
    </row>
    <row r="238" spans="1:17" ht="21" customHeight="1">
      <c r="A238" s="1" t="s">
        <v>362</v>
      </c>
      <c r="B238" s="1" t="s">
        <v>322</v>
      </c>
      <c r="C238" s="18">
        <v>82.373707725109782</v>
      </c>
      <c r="D238" s="18">
        <v>8.0175572687738157</v>
      </c>
      <c r="E238" s="18">
        <v>3485.6690331741111</v>
      </c>
      <c r="F238" s="18">
        <v>2.3365115147320541</v>
      </c>
      <c r="G238" s="18">
        <v>1.4349562500000002</v>
      </c>
      <c r="H238" s="18">
        <f t="shared" si="30"/>
        <v>2.7419674501878282</v>
      </c>
      <c r="I238" s="18">
        <f t="shared" si="31"/>
        <v>6.8319975414844762</v>
      </c>
      <c r="J238" s="18">
        <f t="shared" si="32"/>
        <v>82.480499262146978</v>
      </c>
      <c r="K238" s="18">
        <f t="shared" si="33"/>
        <v>1271.229179958113</v>
      </c>
      <c r="L238" s="18">
        <f t="shared" si="34"/>
        <v>-63.919342852696225</v>
      </c>
      <c r="M238" s="18">
        <f t="shared" si="35"/>
        <v>5.028152583376222E-2</v>
      </c>
      <c r="N238" s="18">
        <f t="shared" si="36"/>
        <v>0.11516400380273452</v>
      </c>
      <c r="O238" s="18">
        <f t="shared" si="37"/>
        <v>82.777387400327044</v>
      </c>
      <c r="P238" s="18">
        <f t="shared" si="38"/>
        <v>3490.0762513128316</v>
      </c>
      <c r="Q238" s="18">
        <f t="shared" si="39"/>
        <v>3508.8093661913454</v>
      </c>
    </row>
    <row r="239" spans="1:17" ht="21" customHeight="1">
      <c r="A239" s="1" t="s">
        <v>362</v>
      </c>
      <c r="B239" s="1" t="s">
        <v>323</v>
      </c>
      <c r="C239" s="18">
        <v>82.373707725109782</v>
      </c>
      <c r="D239" s="18">
        <v>8.0175572687738157</v>
      </c>
      <c r="E239" s="18">
        <v>3428.5404404838337</v>
      </c>
      <c r="F239" s="18">
        <v>1.32389775</v>
      </c>
      <c r="G239" s="18">
        <v>0</v>
      </c>
      <c r="H239" s="18">
        <f t="shared" si="30"/>
        <v>1.32389775</v>
      </c>
      <c r="I239" s="18">
        <f t="shared" si="31"/>
        <v>8.0175572687738157</v>
      </c>
      <c r="J239" s="18">
        <f t="shared" si="32"/>
        <v>82.373707725109782</v>
      </c>
      <c r="K239" s="18">
        <f t="shared" si="33"/>
        <v>2589.7320548235948</v>
      </c>
      <c r="L239" s="18">
        <f t="shared" si="34"/>
        <v>-210.46880379574665</v>
      </c>
      <c r="M239" s="18">
        <f t="shared" si="35"/>
        <v>8.1270494143875119E-2</v>
      </c>
      <c r="N239" s="18">
        <f t="shared" si="36"/>
        <v>0.1130783051379437</v>
      </c>
      <c r="O239" s="18">
        <f t="shared" si="37"/>
        <v>82.766424697261542</v>
      </c>
      <c r="P239" s="18">
        <f t="shared" si="38"/>
        <v>3439.8692456396702</v>
      </c>
      <c r="Q239" s="18">
        <f t="shared" si="39"/>
        <v>3450.4836716682962</v>
      </c>
    </row>
    <row r="240" spans="1:17" ht="21" customHeight="1">
      <c r="A240" s="1" t="s">
        <v>362</v>
      </c>
      <c r="B240" s="1" t="s">
        <v>324</v>
      </c>
      <c r="C240" s="18">
        <v>82.373707725109782</v>
      </c>
      <c r="D240" s="18">
        <v>8.0175572687738157</v>
      </c>
      <c r="E240" s="18">
        <v>613.60679092432474</v>
      </c>
      <c r="F240" s="18">
        <v>1.32389775</v>
      </c>
      <c r="G240" s="18">
        <v>0</v>
      </c>
      <c r="H240" s="18">
        <f t="shared" si="30"/>
        <v>1.32389775</v>
      </c>
      <c r="I240" s="18">
        <f t="shared" si="31"/>
        <v>8.0175572687738157</v>
      </c>
      <c r="J240" s="18">
        <f t="shared" si="32"/>
        <v>82.373707725109782</v>
      </c>
      <c r="K240" s="18">
        <f t="shared" si="33"/>
        <v>463.48503192510503</v>
      </c>
      <c r="L240" s="18">
        <f t="shared" si="34"/>
        <v>-3.7948795710744534</v>
      </c>
      <c r="M240" s="18">
        <f t="shared" si="35"/>
        <v>8.1877068506662608E-3</v>
      </c>
      <c r="N240" s="18">
        <f t="shared" si="36"/>
        <v>0.18591449855085782</v>
      </c>
      <c r="O240" s="18">
        <f t="shared" si="37"/>
        <v>82.870915291264936</v>
      </c>
      <c r="P240" s="18">
        <f t="shared" si="38"/>
        <v>613.62735869199128</v>
      </c>
      <c r="Q240" s="18">
        <f t="shared" si="39"/>
        <v>624.24178472061715</v>
      </c>
    </row>
    <row r="241" spans="1:17" ht="21" customHeight="1">
      <c r="A241" s="1" t="s">
        <v>363</v>
      </c>
      <c r="B241" s="1" t="s">
        <v>319</v>
      </c>
      <c r="C241" s="18">
        <v>82.373707723345021</v>
      </c>
      <c r="D241" s="18">
        <v>22.73415720004941</v>
      </c>
      <c r="E241" s="18">
        <v>2205.0000000022883</v>
      </c>
      <c r="F241" s="18">
        <v>1.32389775</v>
      </c>
      <c r="G241" s="18">
        <v>0</v>
      </c>
      <c r="H241" s="18">
        <f t="shared" si="30"/>
        <v>1.32389775</v>
      </c>
      <c r="I241" s="18">
        <f t="shared" si="31"/>
        <v>22.73415720004941</v>
      </c>
      <c r="J241" s="18">
        <f t="shared" si="32"/>
        <v>82.373707723345021</v>
      </c>
      <c r="K241" s="18">
        <f t="shared" si="33"/>
        <v>1665.5364811990112</v>
      </c>
      <c r="L241" s="18">
        <f t="shared" si="34"/>
        <v>-412.79207152277377</v>
      </c>
      <c r="M241" s="18">
        <f t="shared" si="35"/>
        <v>0.24784330825681278</v>
      </c>
      <c r="N241" s="18">
        <f t="shared" si="36"/>
        <v>0.29730107075748441</v>
      </c>
      <c r="O241" s="18">
        <f t="shared" si="37"/>
        <v>85.461411622754156</v>
      </c>
      <c r="P241" s="18">
        <f t="shared" si="38"/>
        <v>2273.0698742661289</v>
      </c>
      <c r="Q241" s="18">
        <f t="shared" si="39"/>
        <v>2303.1675738314207</v>
      </c>
    </row>
    <row r="242" spans="1:17" ht="21" customHeight="1">
      <c r="A242" s="1" t="s">
        <v>363</v>
      </c>
      <c r="B242" s="1" t="s">
        <v>320</v>
      </c>
      <c r="C242" s="18">
        <v>82.373707723345021</v>
      </c>
      <c r="D242" s="18">
        <v>22.73415720004941</v>
      </c>
      <c r="E242" s="18">
        <v>3630.6570017833246</v>
      </c>
      <c r="F242" s="18">
        <v>1.32389775</v>
      </c>
      <c r="G242" s="18">
        <v>3.4438949999999999</v>
      </c>
      <c r="H242" s="18">
        <f t="shared" si="30"/>
        <v>3.6895959160157443</v>
      </c>
      <c r="I242" s="18">
        <f t="shared" si="31"/>
        <v>8.1574514527848585</v>
      </c>
      <c r="J242" s="18">
        <f t="shared" si="32"/>
        <v>85.063068446201072</v>
      </c>
      <c r="K242" s="18">
        <f t="shared" si="33"/>
        <v>984.02564519963323</v>
      </c>
      <c r="L242" s="18">
        <f t="shared" si="34"/>
        <v>-51.662116941293988</v>
      </c>
      <c r="M242" s="18">
        <f t="shared" si="35"/>
        <v>5.2500783077470595E-2</v>
      </c>
      <c r="N242" s="18">
        <f t="shared" si="36"/>
        <v>0.1389447379288139</v>
      </c>
      <c r="O242" s="18">
        <f t="shared" si="37"/>
        <v>85.479684904467959</v>
      </c>
      <c r="P242" s="18">
        <f t="shared" si="38"/>
        <v>3635.6617996424075</v>
      </c>
      <c r="Q242" s="18">
        <f t="shared" si="39"/>
        <v>3665.7594992076997</v>
      </c>
    </row>
    <row r="243" spans="1:17" ht="21" customHeight="1">
      <c r="A243" s="1" t="s">
        <v>363</v>
      </c>
      <c r="B243" s="1" t="s">
        <v>321</v>
      </c>
      <c r="C243" s="18">
        <v>82.373707723345021</v>
      </c>
      <c r="D243" s="18">
        <v>22.73415720004941</v>
      </c>
      <c r="E243" s="18">
        <v>3760.1816341360463</v>
      </c>
      <c r="F243" s="18">
        <v>3.8554321618301355</v>
      </c>
      <c r="G243" s="18">
        <v>0</v>
      </c>
      <c r="H243" s="18">
        <f t="shared" si="30"/>
        <v>3.8554321618301355</v>
      </c>
      <c r="I243" s="18">
        <f t="shared" si="31"/>
        <v>22.73415720004941</v>
      </c>
      <c r="J243" s="18">
        <f t="shared" si="32"/>
        <v>82.373707723345021</v>
      </c>
      <c r="K243" s="18">
        <f t="shared" si="33"/>
        <v>975.29446150366846</v>
      </c>
      <c r="L243" s="18">
        <f t="shared" si="34"/>
        <v>-224.6006290211844</v>
      </c>
      <c r="M243" s="18">
        <f t="shared" si="35"/>
        <v>0.23029006919090311</v>
      </c>
      <c r="N243" s="18">
        <f t="shared" si="36"/>
        <v>0.31475041524510367</v>
      </c>
      <c r="O243" s="18">
        <f t="shared" si="37"/>
        <v>85.476922437104903</v>
      </c>
      <c r="P243" s="18">
        <f t="shared" si="38"/>
        <v>3860.3308949414914</v>
      </c>
      <c r="Q243" s="18">
        <f t="shared" si="39"/>
        <v>3947.9808957826635</v>
      </c>
    </row>
    <row r="244" spans="1:17" ht="21" customHeight="1">
      <c r="A244" s="1" t="s">
        <v>363</v>
      </c>
      <c r="B244" s="1" t="s">
        <v>322</v>
      </c>
      <c r="C244" s="18">
        <v>82.373707723345021</v>
      </c>
      <c r="D244" s="18">
        <v>22.73415720004941</v>
      </c>
      <c r="E244" s="18">
        <v>3482.0599566291439</v>
      </c>
      <c r="F244" s="18">
        <v>2.3365115147320541</v>
      </c>
      <c r="G244" s="18">
        <v>1.4349562500000002</v>
      </c>
      <c r="H244" s="18">
        <f t="shared" si="30"/>
        <v>2.7419674501878282</v>
      </c>
      <c r="I244" s="18">
        <f t="shared" si="31"/>
        <v>19.372447354181901</v>
      </c>
      <c r="J244" s="18">
        <f t="shared" si="32"/>
        <v>83.228468153613647</v>
      </c>
      <c r="K244" s="18">
        <f t="shared" si="33"/>
        <v>1269.9129438573818</v>
      </c>
      <c r="L244" s="18">
        <f t="shared" si="34"/>
        <v>-251.31604524543343</v>
      </c>
      <c r="M244" s="18">
        <f t="shared" si="35"/>
        <v>0.19790021549198225</v>
      </c>
      <c r="N244" s="18">
        <f t="shared" si="36"/>
        <v>0.26343893494215637</v>
      </c>
      <c r="O244" s="18">
        <f t="shared" si="37"/>
        <v>85.467826990308254</v>
      </c>
      <c r="P244" s="18">
        <f t="shared" si="38"/>
        <v>3550.4693487631152</v>
      </c>
      <c r="Q244" s="18">
        <f t="shared" si="39"/>
        <v>3603.5879688387595</v>
      </c>
    </row>
    <row r="245" spans="1:17" ht="21" customHeight="1">
      <c r="A245" s="1" t="s">
        <v>363</v>
      </c>
      <c r="B245" s="1" t="s">
        <v>323</v>
      </c>
      <c r="C245" s="18">
        <v>82.373707723345021</v>
      </c>
      <c r="D245" s="18">
        <v>22.73415720004941</v>
      </c>
      <c r="E245" s="18">
        <v>3402.6093731384371</v>
      </c>
      <c r="F245" s="18">
        <v>1.32389775</v>
      </c>
      <c r="G245" s="18">
        <v>0</v>
      </c>
      <c r="H245" s="18">
        <f t="shared" si="30"/>
        <v>1.32389775</v>
      </c>
      <c r="I245" s="18">
        <f t="shared" si="31"/>
        <v>22.73415720004941</v>
      </c>
      <c r="J245" s="18">
        <f t="shared" si="32"/>
        <v>82.373707723345021</v>
      </c>
      <c r="K245" s="18">
        <f t="shared" si="33"/>
        <v>2570.1451438666145</v>
      </c>
      <c r="L245" s="18">
        <f t="shared" si="34"/>
        <v>-659.40365497491541</v>
      </c>
      <c r="M245" s="18">
        <f t="shared" si="35"/>
        <v>0.25656280795989833</v>
      </c>
      <c r="N245" s="18">
        <f t="shared" si="36"/>
        <v>0.28861302423656321</v>
      </c>
      <c r="O245" s="18">
        <f t="shared" si="37"/>
        <v>85.456717052799561</v>
      </c>
      <c r="P245" s="18">
        <f t="shared" si="38"/>
        <v>3515.2125025323667</v>
      </c>
      <c r="Q245" s="18">
        <f t="shared" si="39"/>
        <v>3545.310202097658</v>
      </c>
    </row>
    <row r="246" spans="1:17" ht="21" customHeight="1">
      <c r="A246" s="1" t="s">
        <v>363</v>
      </c>
      <c r="B246" s="1" t="s">
        <v>324</v>
      </c>
      <c r="C246" s="18">
        <v>82.373707723345021</v>
      </c>
      <c r="D246" s="18">
        <v>22.73415720004941</v>
      </c>
      <c r="E246" s="18">
        <v>600.69229262337217</v>
      </c>
      <c r="F246" s="18">
        <v>1.32389775</v>
      </c>
      <c r="G246" s="18">
        <v>0</v>
      </c>
      <c r="H246" s="18">
        <f t="shared" si="30"/>
        <v>1.32389775</v>
      </c>
      <c r="I246" s="18">
        <f t="shared" si="31"/>
        <v>22.73415720004941</v>
      </c>
      <c r="J246" s="18">
        <f t="shared" si="32"/>
        <v>82.373707723345021</v>
      </c>
      <c r="K246" s="18">
        <f t="shared" si="33"/>
        <v>453.73012577698859</v>
      </c>
      <c r="L246" s="18">
        <f t="shared" si="34"/>
        <v>-82.334038437343025</v>
      </c>
      <c r="M246" s="18">
        <f t="shared" si="35"/>
        <v>0.18146037426179359</v>
      </c>
      <c r="N246" s="18">
        <f t="shared" si="36"/>
        <v>0.3630081777766791</v>
      </c>
      <c r="O246" s="18">
        <f t="shared" si="37"/>
        <v>85.562416984414767</v>
      </c>
      <c r="P246" s="18">
        <f t="shared" si="38"/>
        <v>610.60921790173347</v>
      </c>
      <c r="Q246" s="18">
        <f t="shared" si="39"/>
        <v>640.70691746702516</v>
      </c>
    </row>
    <row r="247" spans="1:17" ht="21" customHeight="1">
      <c r="A247" s="1" t="s">
        <v>364</v>
      </c>
      <c r="B247" s="1" t="s">
        <v>319</v>
      </c>
      <c r="C247" s="18">
        <v>63.028194451241824</v>
      </c>
      <c r="D247" s="18">
        <v>-5.1145016949837565</v>
      </c>
      <c r="E247" s="18">
        <v>2204.9999999990514</v>
      </c>
      <c r="F247" s="18">
        <v>1.32389775</v>
      </c>
      <c r="G247" s="18">
        <v>0</v>
      </c>
      <c r="H247" s="18">
        <f t="shared" si="30"/>
        <v>1.32389775</v>
      </c>
      <c r="I247" s="18">
        <f t="shared" si="31"/>
        <v>-5.1145016949837565</v>
      </c>
      <c r="J247" s="18">
        <f t="shared" si="32"/>
        <v>63.028194451241824</v>
      </c>
      <c r="K247" s="18">
        <f t="shared" si="33"/>
        <v>1665.5364811965662</v>
      </c>
      <c r="L247" s="18">
        <f t="shared" si="34"/>
        <v>166.51021598880646</v>
      </c>
      <c r="M247" s="18">
        <f t="shared" si="35"/>
        <v>-9.9973923038408047E-2</v>
      </c>
      <c r="N247" s="18">
        <f t="shared" si="36"/>
        <v>-6.2131344888477234E-2</v>
      </c>
      <c r="O247" s="18">
        <f t="shared" si="37"/>
        <v>63.239113878441579</v>
      </c>
      <c r="P247" s="18">
        <f t="shared" si="38"/>
        <v>2216.0284317574465</v>
      </c>
      <c r="Q247" s="18">
        <f t="shared" si="39"/>
        <v>2209.2573544710858</v>
      </c>
    </row>
    <row r="248" spans="1:17" ht="21" customHeight="1">
      <c r="A248" s="1" t="s">
        <v>364</v>
      </c>
      <c r="B248" s="1" t="s">
        <v>320</v>
      </c>
      <c r="C248" s="18">
        <v>63.028194451241824</v>
      </c>
      <c r="D248" s="18">
        <v>-5.1145016949837565</v>
      </c>
      <c r="E248" s="18">
        <v>3351.8052453169203</v>
      </c>
      <c r="F248" s="18">
        <v>1.32389775</v>
      </c>
      <c r="G248" s="18">
        <v>3.4438949999999999</v>
      </c>
      <c r="H248" s="18">
        <f t="shared" si="30"/>
        <v>3.6895959160157443</v>
      </c>
      <c r="I248" s="18">
        <f t="shared" si="31"/>
        <v>-1.835181261169655</v>
      </c>
      <c r="J248" s="18">
        <f t="shared" si="32"/>
        <v>63.20872988053307</v>
      </c>
      <c r="K248" s="18">
        <f t="shared" si="33"/>
        <v>908.44778713231244</v>
      </c>
      <c r="L248" s="18">
        <f t="shared" si="34"/>
        <v>57.970914569422959</v>
      </c>
      <c r="M248" s="18">
        <f t="shared" si="35"/>
        <v>-6.3813149627915469E-2</v>
      </c>
      <c r="N248" s="18">
        <f t="shared" si="36"/>
        <v>5.7656756781193424E-3</v>
      </c>
      <c r="O248" s="18">
        <f t="shared" si="37"/>
        <v>63.248110980253585</v>
      </c>
      <c r="P248" s="18">
        <f t="shared" si="38"/>
        <v>3358.6320348153595</v>
      </c>
      <c r="Q248" s="18">
        <f t="shared" si="39"/>
        <v>3351.8609575289988</v>
      </c>
    </row>
    <row r="249" spans="1:17" ht="21" customHeight="1">
      <c r="A249" s="1" t="s">
        <v>364</v>
      </c>
      <c r="B249" s="1" t="s">
        <v>321</v>
      </c>
      <c r="C249" s="18">
        <v>63.028194451241824</v>
      </c>
      <c r="D249" s="18">
        <v>-5.1145016949837565</v>
      </c>
      <c r="E249" s="18">
        <v>3641.1940844283472</v>
      </c>
      <c r="F249" s="18">
        <v>3.8554321618301355</v>
      </c>
      <c r="G249" s="18">
        <v>0</v>
      </c>
      <c r="H249" s="18">
        <f t="shared" si="30"/>
        <v>3.8554321618301355</v>
      </c>
      <c r="I249" s="18">
        <f t="shared" si="31"/>
        <v>-5.1145016949837565</v>
      </c>
      <c r="J249" s="18">
        <f t="shared" si="32"/>
        <v>63.028194451241824</v>
      </c>
      <c r="K249" s="18">
        <f t="shared" si="33"/>
        <v>944.43214965035418</v>
      </c>
      <c r="L249" s="18">
        <f t="shared" si="34"/>
        <v>108.05319483225669</v>
      </c>
      <c r="M249" s="18">
        <f t="shared" si="35"/>
        <v>-0.11441075451768551</v>
      </c>
      <c r="N249" s="18">
        <f t="shared" si="36"/>
        <v>-4.767415043810605E-2</v>
      </c>
      <c r="O249" s="18">
        <f t="shared" si="37"/>
        <v>63.247024016420099</v>
      </c>
      <c r="P249" s="18">
        <f t="shared" si="38"/>
        <v>3665.0513803212643</v>
      </c>
      <c r="Q249" s="18">
        <f t="shared" si="39"/>
        <v>3645.3327659946899</v>
      </c>
    </row>
    <row r="250" spans="1:17" ht="21" customHeight="1">
      <c r="A250" s="1" t="s">
        <v>364</v>
      </c>
      <c r="B250" s="1" t="s">
        <v>322</v>
      </c>
      <c r="C250" s="18">
        <v>63.028194451241824</v>
      </c>
      <c r="D250" s="18">
        <v>-5.1145016949837565</v>
      </c>
      <c r="E250" s="18">
        <v>3407.7535015111844</v>
      </c>
      <c r="F250" s="18">
        <v>2.3365115147320541</v>
      </c>
      <c r="G250" s="18">
        <v>1.4349562500000002</v>
      </c>
      <c r="H250" s="18">
        <f t="shared" si="30"/>
        <v>2.7419674501878282</v>
      </c>
      <c r="I250" s="18">
        <f t="shared" si="31"/>
        <v>-4.3582180749912105</v>
      </c>
      <c r="J250" s="18">
        <f t="shared" si="32"/>
        <v>63.085001058749</v>
      </c>
      <c r="K250" s="18">
        <f t="shared" si="33"/>
        <v>1242.8132585154317</v>
      </c>
      <c r="L250" s="18">
        <f t="shared" si="34"/>
        <v>117.32472682466445</v>
      </c>
      <c r="M250" s="18">
        <f t="shared" si="35"/>
        <v>-9.4402538773050645E-2</v>
      </c>
      <c r="N250" s="18">
        <f t="shared" si="36"/>
        <v>-4.3642699652807065E-2</v>
      </c>
      <c r="O250" s="18">
        <f t="shared" si="37"/>
        <v>63.242122003962045</v>
      </c>
      <c r="P250" s="18">
        <f t="shared" si="38"/>
        <v>3422.9494576463353</v>
      </c>
      <c r="Q250" s="18">
        <f t="shared" si="39"/>
        <v>3410.9993655438893</v>
      </c>
    </row>
    <row r="251" spans="1:17" ht="21" customHeight="1">
      <c r="A251" s="1" t="s">
        <v>364</v>
      </c>
      <c r="B251" s="1" t="s">
        <v>323</v>
      </c>
      <c r="C251" s="18">
        <v>63.028194451241824</v>
      </c>
      <c r="D251" s="18">
        <v>-5.1145016949837565</v>
      </c>
      <c r="E251" s="18">
        <v>3501.8422558272077</v>
      </c>
      <c r="F251" s="18">
        <v>1.32389775</v>
      </c>
      <c r="G251" s="18">
        <v>0</v>
      </c>
      <c r="H251" s="18">
        <f t="shared" si="30"/>
        <v>1.32389775</v>
      </c>
      <c r="I251" s="18">
        <f t="shared" si="31"/>
        <v>-5.1145016949837565</v>
      </c>
      <c r="J251" s="18">
        <f t="shared" si="32"/>
        <v>63.028194451241824</v>
      </c>
      <c r="K251" s="18">
        <f t="shared" si="33"/>
        <v>2645.1002396727449</v>
      </c>
      <c r="L251" s="18">
        <f t="shared" si="34"/>
        <v>245.91414246456185</v>
      </c>
      <c r="M251" s="18">
        <f t="shared" si="35"/>
        <v>-9.2969687415319524E-2</v>
      </c>
      <c r="N251" s="18">
        <f t="shared" si="36"/>
        <v>-6.9141405406982576E-2</v>
      </c>
      <c r="O251" s="18">
        <f t="shared" si="37"/>
        <v>63.236851523564184</v>
      </c>
      <c r="P251" s="18">
        <f t="shared" si="38"/>
        <v>3516.9870060831554</v>
      </c>
      <c r="Q251" s="18">
        <f t="shared" si="39"/>
        <v>3510.2159287967952</v>
      </c>
    </row>
    <row r="252" spans="1:17" ht="21" customHeight="1">
      <c r="A252" s="1" t="s">
        <v>364</v>
      </c>
      <c r="B252" s="1" t="s">
        <v>324</v>
      </c>
      <c r="C252" s="18">
        <v>63.028194451241824</v>
      </c>
      <c r="D252" s="18">
        <v>-5.1145016949837565</v>
      </c>
      <c r="E252" s="18">
        <v>485.85196426489858</v>
      </c>
      <c r="F252" s="18">
        <v>1.32389775</v>
      </c>
      <c r="G252" s="18">
        <v>0</v>
      </c>
      <c r="H252" s="18">
        <f t="shared" si="30"/>
        <v>1.32389775</v>
      </c>
      <c r="I252" s="18">
        <f t="shared" si="31"/>
        <v>-5.1145016949837565</v>
      </c>
      <c r="J252" s="18">
        <f t="shared" si="32"/>
        <v>63.028194451241824</v>
      </c>
      <c r="K252" s="18">
        <f t="shared" si="33"/>
        <v>366.98601856895561</v>
      </c>
      <c r="L252" s="18">
        <f t="shared" si="34"/>
        <v>61.224603113085465</v>
      </c>
      <c r="M252" s="18">
        <f t="shared" si="35"/>
        <v>-0.16683088732324972</v>
      </c>
      <c r="N252" s="18">
        <f t="shared" si="36"/>
        <v>4.9146050445991836E-3</v>
      </c>
      <c r="O252" s="18">
        <f t="shared" si="37"/>
        <v>63.312603290850625</v>
      </c>
      <c r="P252" s="18">
        <f t="shared" si="38"/>
        <v>492.6289090375767</v>
      </c>
      <c r="Q252" s="18">
        <f t="shared" si="39"/>
        <v>485.85783175121651</v>
      </c>
    </row>
    <row r="253" spans="1:17" ht="21" customHeight="1">
      <c r="A253" s="1" t="s">
        <v>365</v>
      </c>
      <c r="B253" s="1" t="s">
        <v>319</v>
      </c>
      <c r="C253" s="18">
        <v>49.878623274641875</v>
      </c>
      <c r="D253" s="18">
        <v>6.0717006792581731</v>
      </c>
      <c r="E253" s="18">
        <v>2205.0000000004766</v>
      </c>
      <c r="F253" s="18">
        <v>1.32389775</v>
      </c>
      <c r="G253" s="18">
        <v>0</v>
      </c>
      <c r="H253" s="18">
        <f t="shared" si="30"/>
        <v>1.32389775</v>
      </c>
      <c r="I253" s="18">
        <f t="shared" si="31"/>
        <v>6.0717006792581723</v>
      </c>
      <c r="J253" s="18">
        <f t="shared" si="32"/>
        <v>49.878623274641875</v>
      </c>
      <c r="K253" s="18">
        <f t="shared" si="33"/>
        <v>1665.5364811976428</v>
      </c>
      <c r="L253" s="18">
        <f t="shared" si="34"/>
        <v>-177.30071247765153</v>
      </c>
      <c r="M253" s="18">
        <f t="shared" si="35"/>
        <v>0.10645261420521952</v>
      </c>
      <c r="N253" s="18">
        <f t="shared" si="36"/>
        <v>0.13640009589518856</v>
      </c>
      <c r="O253" s="18">
        <f t="shared" si="37"/>
        <v>50.248667171644385</v>
      </c>
      <c r="P253" s="18">
        <f t="shared" si="38"/>
        <v>2217.5055082220629</v>
      </c>
      <c r="Q253" s="18">
        <f t="shared" si="39"/>
        <v>2225.5438190900063</v>
      </c>
    </row>
    <row r="254" spans="1:17" ht="21" customHeight="1">
      <c r="A254" s="1" t="s">
        <v>365</v>
      </c>
      <c r="B254" s="1" t="s">
        <v>320</v>
      </c>
      <c r="C254" s="18">
        <v>49.878623274641875</v>
      </c>
      <c r="D254" s="18">
        <v>6.0717006792581731</v>
      </c>
      <c r="E254" s="18">
        <v>3229.6744465028396</v>
      </c>
      <c r="F254" s="18">
        <v>1.32389775</v>
      </c>
      <c r="G254" s="18">
        <v>3.4438949999999999</v>
      </c>
      <c r="H254" s="18">
        <f t="shared" si="30"/>
        <v>3.6895959160157443</v>
      </c>
      <c r="I254" s="18">
        <f t="shared" si="31"/>
        <v>2.178642607731319</v>
      </c>
      <c r="J254" s="18">
        <f t="shared" si="32"/>
        <v>50.19956299909321</v>
      </c>
      <c r="K254" s="18">
        <f t="shared" si="33"/>
        <v>875.34638481236266</v>
      </c>
      <c r="L254" s="18">
        <f t="shared" si="34"/>
        <v>-12.872814115424728</v>
      </c>
      <c r="M254" s="18">
        <f t="shared" si="35"/>
        <v>1.4705965933913254E-2</v>
      </c>
      <c r="N254" s="18">
        <f t="shared" si="36"/>
        <v>7.2054192727417268E-2</v>
      </c>
      <c r="O254" s="18">
        <f t="shared" si="37"/>
        <v>50.253689770834754</v>
      </c>
      <c r="P254" s="18">
        <f t="shared" si="38"/>
        <v>3230.0236862698175</v>
      </c>
      <c r="Q254" s="18">
        <f t="shared" si="39"/>
        <v>3238.0619971377614</v>
      </c>
    </row>
    <row r="255" spans="1:17" ht="21" customHeight="1">
      <c r="A255" s="1" t="s">
        <v>365</v>
      </c>
      <c r="B255" s="1" t="s">
        <v>321</v>
      </c>
      <c r="C255" s="18">
        <v>49.878623274641875</v>
      </c>
      <c r="D255" s="18">
        <v>6.0717006792581731</v>
      </c>
      <c r="E255" s="18">
        <v>3516.5141416053693</v>
      </c>
      <c r="F255" s="18">
        <v>3.8554321618301355</v>
      </c>
      <c r="G255" s="18">
        <v>0</v>
      </c>
      <c r="H255" s="18">
        <f t="shared" si="30"/>
        <v>3.8554321618301355</v>
      </c>
      <c r="I255" s="18">
        <f t="shared" si="31"/>
        <v>6.0717006792581731</v>
      </c>
      <c r="J255" s="18">
        <f t="shared" si="32"/>
        <v>49.878623274641875</v>
      </c>
      <c r="K255" s="18">
        <f t="shared" si="33"/>
        <v>912.09337734427027</v>
      </c>
      <c r="L255" s="18">
        <f t="shared" si="34"/>
        <v>-85.803248859444793</v>
      </c>
      <c r="M255" s="18">
        <f t="shared" si="35"/>
        <v>9.4072877833272867E-2</v>
      </c>
      <c r="N255" s="18">
        <f t="shared" si="36"/>
        <v>0.14875875157557847</v>
      </c>
      <c r="O255" s="18">
        <f t="shared" si="37"/>
        <v>50.252986773941252</v>
      </c>
      <c r="P255" s="18">
        <f t="shared" si="38"/>
        <v>3532.0856789070936</v>
      </c>
      <c r="Q255" s="18">
        <f t="shared" si="39"/>
        <v>3555.4947089829116</v>
      </c>
    </row>
    <row r="256" spans="1:17" ht="21" customHeight="1">
      <c r="A256" s="1" t="s">
        <v>365</v>
      </c>
      <c r="B256" s="1" t="s">
        <v>322</v>
      </c>
      <c r="C256" s="18">
        <v>49.878623274641875</v>
      </c>
      <c r="D256" s="18">
        <v>6.0717006792581731</v>
      </c>
      <c r="E256" s="18">
        <v>3358.7259807899336</v>
      </c>
      <c r="F256" s="18">
        <v>2.3365115147320541</v>
      </c>
      <c r="G256" s="18">
        <v>1.4349562500000002</v>
      </c>
      <c r="H256" s="18">
        <f t="shared" si="30"/>
        <v>2.7419674501878282</v>
      </c>
      <c r="I256" s="18">
        <f t="shared" si="31"/>
        <v>5.1738756235495629</v>
      </c>
      <c r="J256" s="18">
        <f t="shared" si="32"/>
        <v>49.979732091560777</v>
      </c>
      <c r="K256" s="18">
        <f t="shared" si="33"/>
        <v>1224.9328417665413</v>
      </c>
      <c r="L256" s="18">
        <f t="shared" si="34"/>
        <v>-101.58039633618475</v>
      </c>
      <c r="M256" s="18">
        <f t="shared" si="35"/>
        <v>8.2927318847693082E-2</v>
      </c>
      <c r="N256" s="18">
        <f t="shared" si="36"/>
        <v>0.12372933703791675</v>
      </c>
      <c r="O256" s="18">
        <f t="shared" si="37"/>
        <v>50.250265485139465</v>
      </c>
      <c r="P256" s="18">
        <f t="shared" si="38"/>
        <v>3370.2814795976906</v>
      </c>
      <c r="Q256" s="18">
        <f t="shared" si="39"/>
        <v>3384.4680781487841</v>
      </c>
    </row>
    <row r="257" spans="1:17" ht="21" customHeight="1">
      <c r="A257" s="1" t="s">
        <v>365</v>
      </c>
      <c r="B257" s="1" t="s">
        <v>323</v>
      </c>
      <c r="C257" s="18">
        <v>49.878623274641875</v>
      </c>
      <c r="D257" s="18">
        <v>6.0717006792581731</v>
      </c>
      <c r="E257" s="18">
        <v>3536.911808930894</v>
      </c>
      <c r="F257" s="18">
        <v>1.32389775</v>
      </c>
      <c r="G257" s="18">
        <v>0</v>
      </c>
      <c r="H257" s="18">
        <f t="shared" si="30"/>
        <v>1.32389775</v>
      </c>
      <c r="I257" s="18">
        <f t="shared" si="31"/>
        <v>6.0717006792581723</v>
      </c>
      <c r="J257" s="18">
        <f t="shared" si="32"/>
        <v>49.878623274641875</v>
      </c>
      <c r="K257" s="18">
        <f t="shared" si="33"/>
        <v>2671.5898632888334</v>
      </c>
      <c r="L257" s="18">
        <f t="shared" si="34"/>
        <v>-299.46948242760874</v>
      </c>
      <c r="M257" s="18">
        <f t="shared" si="35"/>
        <v>0.11209410791031746</v>
      </c>
      <c r="N257" s="18">
        <f t="shared" si="36"/>
        <v>0.13076412307995106</v>
      </c>
      <c r="O257" s="18">
        <f t="shared" si="37"/>
        <v>50.247536021680659</v>
      </c>
      <c r="P257" s="18">
        <f t="shared" si="38"/>
        <v>3559.1558917606494</v>
      </c>
      <c r="Q257" s="18">
        <f t="shared" si="39"/>
        <v>3567.1942026285928</v>
      </c>
    </row>
    <row r="258" spans="1:17" ht="21" customHeight="1">
      <c r="A258" s="1" t="s">
        <v>365</v>
      </c>
      <c r="B258" s="1" t="s">
        <v>324</v>
      </c>
      <c r="C258" s="18">
        <v>49.878623274641875</v>
      </c>
      <c r="D258" s="18">
        <v>6.0717006792581731</v>
      </c>
      <c r="E258" s="18">
        <v>391.96007160815282</v>
      </c>
      <c r="F258" s="18">
        <v>1.32389775</v>
      </c>
      <c r="G258" s="18">
        <v>0</v>
      </c>
      <c r="H258" s="18">
        <f t="shared" si="30"/>
        <v>1.32389775</v>
      </c>
      <c r="I258" s="18">
        <f t="shared" si="31"/>
        <v>6.0717006792581723</v>
      </c>
      <c r="J258" s="18">
        <f t="shared" si="32"/>
        <v>49.878623274641875</v>
      </c>
      <c r="K258" s="18">
        <f t="shared" si="33"/>
        <v>296.06521471023939</v>
      </c>
      <c r="L258" s="18">
        <f t="shared" si="34"/>
        <v>-10.969870805686046</v>
      </c>
      <c r="M258" s="18">
        <f t="shared" si="35"/>
        <v>3.7052211001627859E-2</v>
      </c>
      <c r="N258" s="18">
        <f t="shared" si="36"/>
        <v>0.20552395572671606</v>
      </c>
      <c r="O258" s="18">
        <f t="shared" si="37"/>
        <v>50.305393089519775</v>
      </c>
      <c r="P258" s="18">
        <f t="shared" si="38"/>
        <v>392.22915678536043</v>
      </c>
      <c r="Q258" s="18">
        <f t="shared" si="39"/>
        <v>400.26746765330375</v>
      </c>
    </row>
    <row r="259" spans="1:17" ht="21" customHeight="1">
      <c r="A259" s="1" t="s">
        <v>366</v>
      </c>
      <c r="B259" s="1" t="s">
        <v>319</v>
      </c>
      <c r="C259" s="18">
        <v>80.017910351132471</v>
      </c>
      <c r="D259" s="18">
        <v>3.5764551631415085</v>
      </c>
      <c r="E259" s="18">
        <v>2204.9999999995525</v>
      </c>
      <c r="F259" s="18">
        <v>1.32389775</v>
      </c>
      <c r="G259" s="18">
        <v>0</v>
      </c>
      <c r="H259" s="18">
        <f t="shared" si="30"/>
        <v>1.32389775</v>
      </c>
      <c r="I259" s="18">
        <f t="shared" si="31"/>
        <v>3.576455163141508</v>
      </c>
      <c r="J259" s="18">
        <f t="shared" si="32"/>
        <v>80.017910351132471</v>
      </c>
      <c r="K259" s="18">
        <f t="shared" si="33"/>
        <v>1665.5364811969448</v>
      </c>
      <c r="L259" s="18">
        <f t="shared" si="34"/>
        <v>-34.401420472805846</v>
      </c>
      <c r="M259" s="18">
        <f t="shared" si="35"/>
        <v>2.065485857630877E-2</v>
      </c>
      <c r="N259" s="18">
        <f t="shared" si="36"/>
        <v>6.8698183507640953E-2</v>
      </c>
      <c r="O259" s="18">
        <f t="shared" si="37"/>
        <v>80.105484667119498</v>
      </c>
      <c r="P259" s="18">
        <f t="shared" si="38"/>
        <v>2205.4703687807601</v>
      </c>
      <c r="Q259" s="18">
        <f t="shared" si="39"/>
        <v>2210.2052297242185</v>
      </c>
    </row>
    <row r="260" spans="1:17" ht="21" customHeight="1">
      <c r="A260" s="1" t="s">
        <v>366</v>
      </c>
      <c r="B260" s="1" t="s">
        <v>320</v>
      </c>
      <c r="C260" s="18">
        <v>80.017910351132471</v>
      </c>
      <c r="D260" s="18">
        <v>3.5764551631415085</v>
      </c>
      <c r="E260" s="18">
        <v>3517.9749068181163</v>
      </c>
      <c r="F260" s="18">
        <v>1.32389775</v>
      </c>
      <c r="G260" s="18">
        <v>3.4438949999999999</v>
      </c>
      <c r="H260" s="18">
        <f t="shared" si="30"/>
        <v>3.6895959160157443</v>
      </c>
      <c r="I260" s="18">
        <f t="shared" si="31"/>
        <v>1.2833006787832537</v>
      </c>
      <c r="J260" s="18">
        <f t="shared" si="32"/>
        <v>80.087515555570008</v>
      </c>
      <c r="K260" s="18">
        <f t="shared" si="33"/>
        <v>953.48514766816118</v>
      </c>
      <c r="L260" s="18">
        <f t="shared" si="34"/>
        <v>24.770513266190363</v>
      </c>
      <c r="M260" s="18">
        <f t="shared" si="35"/>
        <v>-2.5978918839762753E-2</v>
      </c>
      <c r="N260" s="18">
        <f t="shared" si="36"/>
        <v>5.8015588837081154E-2</v>
      </c>
      <c r="O260" s="18">
        <f t="shared" si="37"/>
        <v>80.121338232779408</v>
      </c>
      <c r="P260" s="18">
        <f t="shared" si="38"/>
        <v>3519.1621216496369</v>
      </c>
      <c r="Q260" s="18">
        <f t="shared" si="39"/>
        <v>3523.8969825930949</v>
      </c>
    </row>
    <row r="261" spans="1:17" ht="21" customHeight="1">
      <c r="A261" s="1" t="s">
        <v>366</v>
      </c>
      <c r="B261" s="1" t="s">
        <v>321</v>
      </c>
      <c r="C261" s="18">
        <v>80.017910351132471</v>
      </c>
      <c r="D261" s="18">
        <v>3.5764551631415085</v>
      </c>
      <c r="E261" s="18">
        <v>3804.525920740105</v>
      </c>
      <c r="F261" s="18">
        <v>3.8554321618301355</v>
      </c>
      <c r="G261" s="18">
        <v>0</v>
      </c>
      <c r="H261" s="18">
        <f t="shared" si="30"/>
        <v>3.8554321618301355</v>
      </c>
      <c r="I261" s="18">
        <f t="shared" si="31"/>
        <v>3.5764551631415085</v>
      </c>
      <c r="J261" s="18">
        <f t="shared" si="32"/>
        <v>80.017910351132471</v>
      </c>
      <c r="K261" s="18">
        <f t="shared" si="33"/>
        <v>986.79622959158337</v>
      </c>
      <c r="L261" s="18">
        <f t="shared" si="34"/>
        <v>-4.0698352286103656</v>
      </c>
      <c r="M261" s="18">
        <f t="shared" si="35"/>
        <v>4.1242914256926118E-3</v>
      </c>
      <c r="N261" s="18">
        <f t="shared" si="36"/>
        <v>8.521287684139732E-2</v>
      </c>
      <c r="O261" s="18">
        <f t="shared" si="37"/>
        <v>80.119699237615833</v>
      </c>
      <c r="P261" s="18">
        <f t="shared" si="38"/>
        <v>3804.5582778599792</v>
      </c>
      <c r="Q261" s="18">
        <f t="shared" si="39"/>
        <v>3818.3470581212996</v>
      </c>
    </row>
    <row r="262" spans="1:17" ht="21" customHeight="1">
      <c r="A262" s="1" t="s">
        <v>366</v>
      </c>
      <c r="B262" s="1" t="s">
        <v>322</v>
      </c>
      <c r="C262" s="18">
        <v>80.017910351132471</v>
      </c>
      <c r="D262" s="18">
        <v>3.5764551631415085</v>
      </c>
      <c r="E262" s="18">
        <v>3476.4361278841461</v>
      </c>
      <c r="F262" s="18">
        <v>2.3365115147320541</v>
      </c>
      <c r="G262" s="18">
        <v>1.4349562500000002</v>
      </c>
      <c r="H262" s="18">
        <f t="shared" si="30"/>
        <v>2.7419674501878282</v>
      </c>
      <c r="I262" s="18">
        <f t="shared" si="31"/>
        <v>3.0476031617481874</v>
      </c>
      <c r="J262" s="18">
        <f t="shared" si="32"/>
        <v>80.039797122833448</v>
      </c>
      <c r="K262" s="18">
        <f t="shared" si="33"/>
        <v>1267.8619243441442</v>
      </c>
      <c r="L262" s="18">
        <f t="shared" si="34"/>
        <v>-8.2356694471766261</v>
      </c>
      <c r="M262" s="18">
        <f t="shared" si="35"/>
        <v>6.4957147849020536E-3</v>
      </c>
      <c r="N262" s="18">
        <f t="shared" si="36"/>
        <v>6.9625457532116006E-2</v>
      </c>
      <c r="O262" s="18">
        <f t="shared" si="37"/>
        <v>80.111078722778316</v>
      </c>
      <c r="P262" s="18">
        <f t="shared" si="38"/>
        <v>3476.5094710548574</v>
      </c>
      <c r="Q262" s="18">
        <f t="shared" si="39"/>
        <v>3484.8658997254602</v>
      </c>
    </row>
    <row r="263" spans="1:17" ht="21" customHeight="1">
      <c r="A263" s="1" t="s">
        <v>366</v>
      </c>
      <c r="B263" s="1" t="s">
        <v>323</v>
      </c>
      <c r="C263" s="18">
        <v>80.017910351132471</v>
      </c>
      <c r="D263" s="18">
        <v>3.5764551631415085</v>
      </c>
      <c r="E263" s="18">
        <v>3441.1506297158267</v>
      </c>
      <c r="F263" s="18">
        <v>1.32389775</v>
      </c>
      <c r="G263" s="18">
        <v>0</v>
      </c>
      <c r="H263" s="18">
        <f t="shared" ref="H263:H326" si="40">SQRT(F263^2+G263^2)</f>
        <v>1.32389775</v>
      </c>
      <c r="I263" s="18">
        <f t="shared" ref="I263:I326" si="41">D263*F263/H263</f>
        <v>3.576455163141508</v>
      </c>
      <c r="J263" s="18">
        <f t="shared" ref="J263:J326" si="42">SQRT(C263^2+D263^2-I263^2)</f>
        <v>80.017910351132471</v>
      </c>
      <c r="K263" s="18">
        <f t="shared" ref="K263:K326" si="43">E263/H263</f>
        <v>2599.2571025336561</v>
      </c>
      <c r="L263" s="18">
        <f t="shared" ref="L263:L326" si="44">J263/2-K263*ASINH(I263/(2*K263*SINH(J263/(2*K263))))</f>
        <v>-76.123387728314441</v>
      </c>
      <c r="M263" s="18">
        <f t="shared" ref="M263:M326" si="45">-L263/K263</f>
        <v>2.9286594101873294E-2</v>
      </c>
      <c r="N263" s="18">
        <f t="shared" ref="N263:N326" si="46">(J263-L263)/K263</f>
        <v>6.007150963529017E-2</v>
      </c>
      <c r="O263" s="18">
        <f t="shared" ref="O263:O326" si="47">K263*(SINH(N263)-SINH(M263))</f>
        <v>80.100953157208579</v>
      </c>
      <c r="P263" s="18">
        <f t="shared" ref="P263:P326" si="48">E263*COSH(M263)</f>
        <v>3442.6264805503347</v>
      </c>
      <c r="Q263" s="18">
        <f t="shared" ref="Q263:Q326" si="49">E263*COSH(N263)</f>
        <v>3447.3613414937931</v>
      </c>
    </row>
    <row r="264" spans="1:17" ht="21" customHeight="1">
      <c r="A264" s="1" t="s">
        <v>366</v>
      </c>
      <c r="B264" s="1" t="s">
        <v>324</v>
      </c>
      <c r="C264" s="18">
        <v>80.017910351132471</v>
      </c>
      <c r="D264" s="18">
        <v>3.5764551631415085</v>
      </c>
      <c r="E264" s="18">
        <v>600.00272325153219</v>
      </c>
      <c r="F264" s="18">
        <v>1.32389775</v>
      </c>
      <c r="G264" s="18">
        <v>0</v>
      </c>
      <c r="H264" s="18">
        <f t="shared" si="40"/>
        <v>1.32389775</v>
      </c>
      <c r="I264" s="18">
        <f t="shared" si="41"/>
        <v>3.576455163141508</v>
      </c>
      <c r="J264" s="18">
        <f t="shared" si="42"/>
        <v>80.017910351132471</v>
      </c>
      <c r="K264" s="18">
        <f t="shared" si="43"/>
        <v>453.20926276333063</v>
      </c>
      <c r="L264" s="18">
        <f t="shared" si="44"/>
        <v>19.785456416630048</v>
      </c>
      <c r="M264" s="18">
        <f t="shared" si="45"/>
        <v>-4.3656337242520493E-2</v>
      </c>
      <c r="N264" s="18">
        <f t="shared" si="46"/>
        <v>0.13290208052511998</v>
      </c>
      <c r="O264" s="18">
        <f t="shared" si="47"/>
        <v>80.201666315058716</v>
      </c>
      <c r="P264" s="18">
        <f t="shared" si="48"/>
        <v>600.57457939629535</v>
      </c>
      <c r="Q264" s="18">
        <f t="shared" si="49"/>
        <v>605.30944033975413</v>
      </c>
    </row>
    <row r="265" spans="1:17" ht="21" customHeight="1">
      <c r="A265" s="1" t="s">
        <v>367</v>
      </c>
      <c r="B265" s="1" t="s">
        <v>319</v>
      </c>
      <c r="C265" s="18">
        <v>80.017910349271375</v>
      </c>
      <c r="D265" s="18">
        <v>8.3685753929890776</v>
      </c>
      <c r="E265" s="18">
        <v>2204.999999999246</v>
      </c>
      <c r="F265" s="18">
        <v>1.32389775</v>
      </c>
      <c r="G265" s="18">
        <v>0</v>
      </c>
      <c r="H265" s="18">
        <f t="shared" si="40"/>
        <v>1.32389775</v>
      </c>
      <c r="I265" s="18">
        <f t="shared" si="41"/>
        <v>8.3685753929890776</v>
      </c>
      <c r="J265" s="18">
        <f t="shared" si="42"/>
        <v>80.017910349271375</v>
      </c>
      <c r="K265" s="18">
        <f t="shared" si="43"/>
        <v>1665.5364811967133</v>
      </c>
      <c r="L265" s="18">
        <f t="shared" si="44"/>
        <v>-133.84649728101249</v>
      </c>
      <c r="M265" s="18">
        <f t="shared" si="45"/>
        <v>8.0362393013956521E-2</v>
      </c>
      <c r="N265" s="18">
        <f t="shared" si="46"/>
        <v>0.12840571794417799</v>
      </c>
      <c r="O265" s="18">
        <f t="shared" si="47"/>
        <v>80.461982923802907</v>
      </c>
      <c r="P265" s="18">
        <f t="shared" si="48"/>
        <v>2212.1239035943713</v>
      </c>
      <c r="Q265" s="18">
        <f t="shared" si="49"/>
        <v>2223.2030417278547</v>
      </c>
    </row>
    <row r="266" spans="1:17" ht="21" customHeight="1">
      <c r="A266" s="1" t="s">
        <v>367</v>
      </c>
      <c r="B266" s="1" t="s">
        <v>320</v>
      </c>
      <c r="C266" s="18">
        <v>80.017910349271375</v>
      </c>
      <c r="D266" s="18">
        <v>8.3685753929890776</v>
      </c>
      <c r="E266" s="18">
        <v>3528.8015262422668</v>
      </c>
      <c r="F266" s="18">
        <v>1.32389775</v>
      </c>
      <c r="G266" s="18">
        <v>3.4438949999999999</v>
      </c>
      <c r="H266" s="18">
        <f t="shared" si="40"/>
        <v>3.6895959160157443</v>
      </c>
      <c r="I266" s="18">
        <f t="shared" si="41"/>
        <v>3.0028052897043396</v>
      </c>
      <c r="J266" s="18">
        <f t="shared" si="42"/>
        <v>80.398272314548507</v>
      </c>
      <c r="K266" s="18">
        <f t="shared" si="43"/>
        <v>956.41951220850399</v>
      </c>
      <c r="L266" s="18">
        <f t="shared" si="44"/>
        <v>4.4965100733921943</v>
      </c>
      <c r="M266" s="18">
        <f t="shared" si="45"/>
        <v>-4.7013993503845766E-3</v>
      </c>
      <c r="N266" s="18">
        <f t="shared" si="46"/>
        <v>7.9360323866551744E-2</v>
      </c>
      <c r="O266" s="18">
        <f t="shared" si="47"/>
        <v>80.477986293383779</v>
      </c>
      <c r="P266" s="18">
        <f t="shared" si="48"/>
        <v>3528.8405251391519</v>
      </c>
      <c r="Q266" s="18">
        <f t="shared" si="49"/>
        <v>3539.9196632726357</v>
      </c>
    </row>
    <row r="267" spans="1:17" ht="21" customHeight="1">
      <c r="A267" s="1" t="s">
        <v>367</v>
      </c>
      <c r="B267" s="1" t="s">
        <v>321</v>
      </c>
      <c r="C267" s="18">
        <v>80.017910349271375</v>
      </c>
      <c r="D267" s="18">
        <v>8.3685753929890776</v>
      </c>
      <c r="E267" s="18">
        <v>3796.2453192520943</v>
      </c>
      <c r="F267" s="18">
        <v>3.8554321618301355</v>
      </c>
      <c r="G267" s="18">
        <v>0</v>
      </c>
      <c r="H267" s="18">
        <f t="shared" si="40"/>
        <v>3.8554321618301355</v>
      </c>
      <c r="I267" s="18">
        <f t="shared" si="41"/>
        <v>8.3685753929890776</v>
      </c>
      <c r="J267" s="18">
        <f t="shared" si="42"/>
        <v>80.017910349271375</v>
      </c>
      <c r="K267" s="18">
        <f t="shared" si="43"/>
        <v>984.64845441608145</v>
      </c>
      <c r="L267" s="18">
        <f t="shared" si="44"/>
        <v>-62.754315694290383</v>
      </c>
      <c r="M267" s="18">
        <f t="shared" si="45"/>
        <v>6.3732711317264087E-2</v>
      </c>
      <c r="N267" s="18">
        <f t="shared" si="46"/>
        <v>0.14499817209201724</v>
      </c>
      <c r="O267" s="18">
        <f t="shared" si="47"/>
        <v>80.476229765207819</v>
      </c>
      <c r="P267" s="18">
        <f t="shared" si="48"/>
        <v>3803.9578349611797</v>
      </c>
      <c r="Q267" s="18">
        <f t="shared" si="49"/>
        <v>3836.2223096800103</v>
      </c>
    </row>
    <row r="268" spans="1:17" ht="21" customHeight="1">
      <c r="A268" s="1" t="s">
        <v>367</v>
      </c>
      <c r="B268" s="1" t="s">
        <v>322</v>
      </c>
      <c r="C268" s="18">
        <v>80.017910349271375</v>
      </c>
      <c r="D268" s="18">
        <v>8.3685753929890776</v>
      </c>
      <c r="E268" s="18">
        <v>3475.7988403912923</v>
      </c>
      <c r="F268" s="18">
        <v>2.3365115147320541</v>
      </c>
      <c r="G268" s="18">
        <v>1.4349562500000002</v>
      </c>
      <c r="H268" s="18">
        <f t="shared" si="40"/>
        <v>2.7419674501878282</v>
      </c>
      <c r="I268" s="18">
        <f t="shared" si="41"/>
        <v>7.1311104609512705</v>
      </c>
      <c r="J268" s="18">
        <f t="shared" si="42"/>
        <v>80.137670881838616</v>
      </c>
      <c r="K268" s="18">
        <f t="shared" si="43"/>
        <v>1267.6295045563709</v>
      </c>
      <c r="L268" s="18">
        <f t="shared" si="44"/>
        <v>-72.565073836363553</v>
      </c>
      <c r="M268" s="18">
        <f t="shared" si="45"/>
        <v>5.7244702474607494E-2</v>
      </c>
      <c r="N268" s="18">
        <f t="shared" si="46"/>
        <v>0.12046323012309748</v>
      </c>
      <c r="O268" s="18">
        <f t="shared" si="47"/>
        <v>80.467621865828136</v>
      </c>
      <c r="P268" s="18">
        <f t="shared" si="48"/>
        <v>3481.4954156206218</v>
      </c>
      <c r="Q268" s="18">
        <f t="shared" si="49"/>
        <v>3501.0486883882445</v>
      </c>
    </row>
    <row r="269" spans="1:17" ht="21" customHeight="1">
      <c r="A269" s="1" t="s">
        <v>367</v>
      </c>
      <c r="B269" s="1" t="s">
        <v>323</v>
      </c>
      <c r="C269" s="18">
        <v>80.017910349271375</v>
      </c>
      <c r="D269" s="18">
        <v>8.3685753929890776</v>
      </c>
      <c r="E269" s="18">
        <v>3437.451133020716</v>
      </c>
      <c r="F269" s="18">
        <v>1.32389775</v>
      </c>
      <c r="G269" s="18">
        <v>0</v>
      </c>
      <c r="H269" s="18">
        <f t="shared" si="40"/>
        <v>1.32389775</v>
      </c>
      <c r="I269" s="18">
        <f t="shared" si="41"/>
        <v>8.3685753929890776</v>
      </c>
      <c r="J269" s="18">
        <f t="shared" si="42"/>
        <v>80.017910349271375</v>
      </c>
      <c r="K269" s="18">
        <f t="shared" si="43"/>
        <v>2596.4627049337578</v>
      </c>
      <c r="L269" s="18">
        <f t="shared" si="44"/>
        <v>-231.03563676562402</v>
      </c>
      <c r="M269" s="18">
        <f t="shared" si="45"/>
        <v>8.8980918665465022E-2</v>
      </c>
      <c r="N269" s="18">
        <f t="shared" si="46"/>
        <v>0.11979896592538623</v>
      </c>
      <c r="O269" s="18">
        <f t="shared" si="47"/>
        <v>80.457478260668779</v>
      </c>
      <c r="P269" s="18">
        <f t="shared" si="48"/>
        <v>3451.068302303021</v>
      </c>
      <c r="Q269" s="18">
        <f t="shared" si="49"/>
        <v>3462.1474404365044</v>
      </c>
    </row>
    <row r="270" spans="1:17" ht="21" customHeight="1">
      <c r="A270" s="1" t="s">
        <v>367</v>
      </c>
      <c r="B270" s="1" t="s">
        <v>324</v>
      </c>
      <c r="C270" s="18">
        <v>80.017910349271375</v>
      </c>
      <c r="D270" s="18">
        <v>8.3685753929890776</v>
      </c>
      <c r="E270" s="18">
        <v>598.21600191645734</v>
      </c>
      <c r="F270" s="18">
        <v>1.32389775</v>
      </c>
      <c r="G270" s="18">
        <v>0</v>
      </c>
      <c r="H270" s="18">
        <f t="shared" si="40"/>
        <v>1.32389775</v>
      </c>
      <c r="I270" s="18">
        <f t="shared" si="41"/>
        <v>8.3685753929890776</v>
      </c>
      <c r="J270" s="18">
        <f t="shared" si="42"/>
        <v>80.017910349271375</v>
      </c>
      <c r="K270" s="18">
        <f t="shared" si="43"/>
        <v>451.85967112373851</v>
      </c>
      <c r="L270" s="18">
        <f t="shared" si="44"/>
        <v>-7.1011522282983819</v>
      </c>
      <c r="M270" s="18">
        <f t="shared" si="45"/>
        <v>1.5715392813521929E-2</v>
      </c>
      <c r="N270" s="18">
        <f t="shared" si="46"/>
        <v>0.19280114634021597</v>
      </c>
      <c r="O270" s="18">
        <f t="shared" si="47"/>
        <v>80.558357822306789</v>
      </c>
      <c r="P270" s="18">
        <f t="shared" si="48"/>
        <v>598.28987520803059</v>
      </c>
      <c r="Q270" s="18">
        <f t="shared" si="49"/>
        <v>609.36901334151412</v>
      </c>
    </row>
    <row r="271" spans="1:17" ht="21" customHeight="1">
      <c r="A271" s="1" t="s">
        <v>368</v>
      </c>
      <c r="B271" s="1" t="s">
        <v>319</v>
      </c>
      <c r="C271" s="18">
        <v>61.4282655706483</v>
      </c>
      <c r="D271" s="18">
        <v>-1.2244185115656361</v>
      </c>
      <c r="E271" s="18">
        <v>2205.0000000000609</v>
      </c>
      <c r="F271" s="18">
        <v>1.32389775</v>
      </c>
      <c r="G271" s="18">
        <v>0</v>
      </c>
      <c r="H271" s="18">
        <f t="shared" si="40"/>
        <v>1.32389775</v>
      </c>
      <c r="I271" s="18">
        <f t="shared" si="41"/>
        <v>-1.2244185115656361</v>
      </c>
      <c r="J271" s="18">
        <f t="shared" si="42"/>
        <v>61.4282655706483</v>
      </c>
      <c r="K271" s="18">
        <f t="shared" si="43"/>
        <v>1665.5364811973288</v>
      </c>
      <c r="L271" s="18">
        <f t="shared" si="44"/>
        <v>63.908348983807656</v>
      </c>
      <c r="M271" s="18">
        <f t="shared" si="45"/>
        <v>-3.8371029218084086E-2</v>
      </c>
      <c r="N271" s="18">
        <f t="shared" si="46"/>
        <v>-1.4890597961423589E-3</v>
      </c>
      <c r="O271" s="18">
        <f t="shared" si="47"/>
        <v>61.443948234572233</v>
      </c>
      <c r="P271" s="18">
        <f t="shared" si="48"/>
        <v>2206.6234494852647</v>
      </c>
      <c r="Q271" s="18">
        <f t="shared" si="49"/>
        <v>2205.0024445727445</v>
      </c>
    </row>
    <row r="272" spans="1:17" ht="21" customHeight="1">
      <c r="A272" s="1" t="s">
        <v>368</v>
      </c>
      <c r="B272" s="1" t="s">
        <v>320</v>
      </c>
      <c r="C272" s="18">
        <v>61.4282655706483</v>
      </c>
      <c r="D272" s="18">
        <v>-1.2244185115656361</v>
      </c>
      <c r="E272" s="18">
        <v>3328.8318755483215</v>
      </c>
      <c r="F272" s="18">
        <v>1.32389775</v>
      </c>
      <c r="G272" s="18">
        <v>3.4438949999999999</v>
      </c>
      <c r="H272" s="18">
        <f t="shared" si="40"/>
        <v>3.6895959160157443</v>
      </c>
      <c r="I272" s="18">
        <f t="shared" si="41"/>
        <v>-0.43934483597069801</v>
      </c>
      <c r="J272" s="18">
        <f t="shared" si="42"/>
        <v>61.438896375379869</v>
      </c>
      <c r="K272" s="18">
        <f t="shared" si="43"/>
        <v>902.22125981291788</v>
      </c>
      <c r="L272" s="18">
        <f t="shared" si="44"/>
        <v>37.169861844792379</v>
      </c>
      <c r="M272" s="18">
        <f t="shared" si="45"/>
        <v>-4.1198166680864755E-2</v>
      </c>
      <c r="N272" s="18">
        <f t="shared" si="46"/>
        <v>2.6899204897499147E-2</v>
      </c>
      <c r="O272" s="18">
        <f t="shared" si="47"/>
        <v>61.452338752502463</v>
      </c>
      <c r="P272" s="18">
        <f t="shared" si="48"/>
        <v>3331.6572698994805</v>
      </c>
      <c r="Q272" s="18">
        <f t="shared" si="49"/>
        <v>3330.0362649869608</v>
      </c>
    </row>
    <row r="273" spans="1:17" ht="21" customHeight="1">
      <c r="A273" s="1" t="s">
        <v>368</v>
      </c>
      <c r="B273" s="1" t="s">
        <v>321</v>
      </c>
      <c r="C273" s="18">
        <v>61.4282655706483</v>
      </c>
      <c r="D273" s="18">
        <v>-1.2244185115656361</v>
      </c>
      <c r="E273" s="18">
        <v>3631.5675002255912</v>
      </c>
      <c r="F273" s="18">
        <v>3.8554321618301355</v>
      </c>
      <c r="G273" s="18">
        <v>0</v>
      </c>
      <c r="H273" s="18">
        <f t="shared" si="40"/>
        <v>3.8554321618301355</v>
      </c>
      <c r="I273" s="18">
        <f t="shared" si="41"/>
        <v>-1.2244185115656361</v>
      </c>
      <c r="J273" s="18">
        <f t="shared" si="42"/>
        <v>61.4282655706483</v>
      </c>
      <c r="K273" s="18">
        <f t="shared" si="43"/>
        <v>941.93526115674717</v>
      </c>
      <c r="L273" s="18">
        <f t="shared" si="44"/>
        <v>49.484682324926894</v>
      </c>
      <c r="M273" s="18">
        <f t="shared" si="45"/>
        <v>-5.2535120369267246E-2</v>
      </c>
      <c r="N273" s="18">
        <f t="shared" si="46"/>
        <v>1.2679834526052293E-2</v>
      </c>
      <c r="O273" s="18">
        <f t="shared" si="47"/>
        <v>61.451351208940459</v>
      </c>
      <c r="P273" s="18">
        <f t="shared" si="48"/>
        <v>3636.5801050955715</v>
      </c>
      <c r="Q273" s="18">
        <f t="shared" si="49"/>
        <v>3631.8594425865408</v>
      </c>
    </row>
    <row r="274" spans="1:17" ht="21" customHeight="1">
      <c r="A274" s="1" t="s">
        <v>368</v>
      </c>
      <c r="B274" s="1" t="s">
        <v>322</v>
      </c>
      <c r="C274" s="18">
        <v>61.4282655706483</v>
      </c>
      <c r="D274" s="18">
        <v>-1.2244185115656361</v>
      </c>
      <c r="E274" s="18">
        <v>3402.1156712924221</v>
      </c>
      <c r="F274" s="18">
        <v>2.3365115147320541</v>
      </c>
      <c r="G274" s="18">
        <v>1.4349562500000002</v>
      </c>
      <c r="H274" s="18">
        <f t="shared" si="40"/>
        <v>2.7419674501878282</v>
      </c>
      <c r="I274" s="18">
        <f t="shared" si="41"/>
        <v>-1.0433632065647676</v>
      </c>
      <c r="J274" s="18">
        <f t="shared" si="42"/>
        <v>61.431607539838531</v>
      </c>
      <c r="K274" s="18">
        <f t="shared" si="43"/>
        <v>1240.757132641882</v>
      </c>
      <c r="L274" s="18">
        <f t="shared" si="44"/>
        <v>51.785835357688477</v>
      </c>
      <c r="M274" s="18">
        <f t="shared" si="45"/>
        <v>-4.1737286045193625E-2</v>
      </c>
      <c r="N274" s="18">
        <f t="shared" si="46"/>
        <v>7.7741017386793454E-3</v>
      </c>
      <c r="O274" s="18">
        <f t="shared" si="47"/>
        <v>61.446741172685904</v>
      </c>
      <c r="P274" s="18">
        <f t="shared" si="48"/>
        <v>3405.0793460117043</v>
      </c>
      <c r="Q274" s="18">
        <f t="shared" si="49"/>
        <v>3402.2184780605799</v>
      </c>
    </row>
    <row r="275" spans="1:17" ht="21" customHeight="1">
      <c r="A275" s="1" t="s">
        <v>368</v>
      </c>
      <c r="B275" s="1" t="s">
        <v>323</v>
      </c>
      <c r="C275" s="18">
        <v>61.4282655706483</v>
      </c>
      <c r="D275" s="18">
        <v>-1.2244185115656361</v>
      </c>
      <c r="E275" s="18">
        <v>3510.3646121460524</v>
      </c>
      <c r="F275" s="18">
        <v>1.32389775</v>
      </c>
      <c r="G275" s="18">
        <v>0</v>
      </c>
      <c r="H275" s="18">
        <f t="shared" si="40"/>
        <v>1.32389775</v>
      </c>
      <c r="I275" s="18">
        <f t="shared" si="41"/>
        <v>-1.2244185115656361</v>
      </c>
      <c r="J275" s="18">
        <f t="shared" si="42"/>
        <v>61.4282655706483</v>
      </c>
      <c r="K275" s="18">
        <f t="shared" si="43"/>
        <v>2651.5375618291159</v>
      </c>
      <c r="L275" s="18">
        <f t="shared" si="44"/>
        <v>83.561207570269346</v>
      </c>
      <c r="M275" s="18">
        <f t="shared" si="45"/>
        <v>-3.1514246214421393E-2</v>
      </c>
      <c r="N275" s="18">
        <f t="shared" si="46"/>
        <v>-8.3472104330111884E-3</v>
      </c>
      <c r="O275" s="18">
        <f t="shared" si="47"/>
        <v>61.441840671464711</v>
      </c>
      <c r="P275" s="18">
        <f t="shared" si="48"/>
        <v>3512.1079117141289</v>
      </c>
      <c r="Q275" s="18">
        <f t="shared" si="49"/>
        <v>3510.4869068016092</v>
      </c>
    </row>
    <row r="276" spans="1:17" ht="21" customHeight="1">
      <c r="A276" s="1" t="s">
        <v>368</v>
      </c>
      <c r="B276" s="1" t="s">
        <v>324</v>
      </c>
      <c r="C276" s="18">
        <v>61.4282655706483</v>
      </c>
      <c r="D276" s="18">
        <v>-1.2244185115656361</v>
      </c>
      <c r="E276" s="18">
        <v>475.79414222780952</v>
      </c>
      <c r="F276" s="18">
        <v>1.32389775</v>
      </c>
      <c r="G276" s="18">
        <v>0</v>
      </c>
      <c r="H276" s="18">
        <f t="shared" si="40"/>
        <v>1.32389775</v>
      </c>
      <c r="I276" s="18">
        <f t="shared" si="41"/>
        <v>-1.2244185115656361</v>
      </c>
      <c r="J276" s="18">
        <f t="shared" si="42"/>
        <v>61.4282655706483</v>
      </c>
      <c r="K276" s="18">
        <f t="shared" si="43"/>
        <v>359.38888953305457</v>
      </c>
      <c r="L276" s="18">
        <f t="shared" si="44"/>
        <v>37.868464305580126</v>
      </c>
      <c r="M276" s="18">
        <f t="shared" si="45"/>
        <v>-0.10536904564518319</v>
      </c>
      <c r="N276" s="18">
        <f t="shared" si="46"/>
        <v>6.5555174217207607E-2</v>
      </c>
      <c r="O276" s="18">
        <f t="shared" si="47"/>
        <v>61.51525603412091</v>
      </c>
      <c r="P276" s="18">
        <f t="shared" si="48"/>
        <v>478.43787143449384</v>
      </c>
      <c r="Q276" s="18">
        <f t="shared" si="49"/>
        <v>476.81686652197368</v>
      </c>
    </row>
    <row r="277" spans="1:17" ht="21" customHeight="1">
      <c r="A277" s="1" t="s">
        <v>369</v>
      </c>
      <c r="B277" s="1" t="s">
        <v>319</v>
      </c>
      <c r="C277" s="18">
        <v>61.428265572235794</v>
      </c>
      <c r="D277" s="18">
        <v>1.3927157197912496</v>
      </c>
      <c r="E277" s="18">
        <v>2205.0000000005539</v>
      </c>
      <c r="F277" s="18">
        <v>1.32389775</v>
      </c>
      <c r="G277" s="18">
        <v>0</v>
      </c>
      <c r="H277" s="18">
        <f t="shared" si="40"/>
        <v>1.32389775</v>
      </c>
      <c r="I277" s="18">
        <f t="shared" si="41"/>
        <v>1.3927157197912496</v>
      </c>
      <c r="J277" s="18">
        <f t="shared" si="42"/>
        <v>61.428265572235794</v>
      </c>
      <c r="K277" s="18">
        <f t="shared" si="43"/>
        <v>1665.5364811977013</v>
      </c>
      <c r="L277" s="18">
        <f t="shared" si="44"/>
        <v>-7.0419181928010808</v>
      </c>
      <c r="M277" s="18">
        <f t="shared" si="45"/>
        <v>4.2280179823723698E-3</v>
      </c>
      <c r="N277" s="18">
        <f t="shared" si="46"/>
        <v>4.1109987405258994E-2</v>
      </c>
      <c r="O277" s="18">
        <f t="shared" si="47"/>
        <v>61.447532344534054</v>
      </c>
      <c r="P277" s="18">
        <f t="shared" si="48"/>
        <v>2205.0197084699184</v>
      </c>
      <c r="Q277" s="18">
        <f t="shared" si="49"/>
        <v>2206.8635216777393</v>
      </c>
    </row>
    <row r="278" spans="1:17" ht="21" customHeight="1">
      <c r="A278" s="1" t="s">
        <v>369</v>
      </c>
      <c r="B278" s="1" t="s">
        <v>320</v>
      </c>
      <c r="C278" s="18">
        <v>61.428265572235794</v>
      </c>
      <c r="D278" s="18">
        <v>1.3927157197912496</v>
      </c>
      <c r="E278" s="18">
        <v>3328.961066268138</v>
      </c>
      <c r="F278" s="18">
        <v>1.32389775</v>
      </c>
      <c r="G278" s="18">
        <v>3.4438949999999999</v>
      </c>
      <c r="H278" s="18">
        <f t="shared" si="40"/>
        <v>3.6895959160157443</v>
      </c>
      <c r="I278" s="18">
        <f t="shared" si="41"/>
        <v>0.49973310080317151</v>
      </c>
      <c r="J278" s="18">
        <f t="shared" si="42"/>
        <v>61.442019295570397</v>
      </c>
      <c r="K278" s="18">
        <f t="shared" si="43"/>
        <v>902.25627468250173</v>
      </c>
      <c r="L278" s="18">
        <f t="shared" si="44"/>
        <v>23.384088553418735</v>
      </c>
      <c r="M278" s="18">
        <f t="shared" si="45"/>
        <v>-2.5917346556162714E-2</v>
      </c>
      <c r="N278" s="18">
        <f t="shared" si="46"/>
        <v>4.2180843525354263E-2</v>
      </c>
      <c r="O278" s="18">
        <f t="shared" si="47"/>
        <v>61.455923865238546</v>
      </c>
      <c r="P278" s="18">
        <f t="shared" si="48"/>
        <v>3330.0791751619468</v>
      </c>
      <c r="Q278" s="18">
        <f t="shared" si="49"/>
        <v>3331.9229883697685</v>
      </c>
    </row>
    <row r="279" spans="1:17" ht="21" customHeight="1">
      <c r="A279" s="1" t="s">
        <v>369</v>
      </c>
      <c r="B279" s="1" t="s">
        <v>321</v>
      </c>
      <c r="C279" s="18">
        <v>61.428265572235794</v>
      </c>
      <c r="D279" s="18">
        <v>1.3927157197912496</v>
      </c>
      <c r="E279" s="18">
        <v>3631.4701500974152</v>
      </c>
      <c r="F279" s="18">
        <v>3.8554321618301355</v>
      </c>
      <c r="G279" s="18">
        <v>0</v>
      </c>
      <c r="H279" s="18">
        <f t="shared" si="40"/>
        <v>3.8554321618301355</v>
      </c>
      <c r="I279" s="18">
        <f t="shared" si="41"/>
        <v>1.3927157197912496</v>
      </c>
      <c r="J279" s="18">
        <f t="shared" si="42"/>
        <v>61.428265572235794</v>
      </c>
      <c r="K279" s="18">
        <f t="shared" si="43"/>
        <v>941.91001103585552</v>
      </c>
      <c r="L279" s="18">
        <f t="shared" si="44"/>
        <v>9.36454526295514</v>
      </c>
      <c r="M279" s="18">
        <f t="shared" si="45"/>
        <v>-9.942080616232734E-3</v>
      </c>
      <c r="N279" s="18">
        <f t="shared" si="46"/>
        <v>5.5274622521555038E-2</v>
      </c>
      <c r="O279" s="18">
        <f t="shared" si="47"/>
        <v>61.454935470701656</v>
      </c>
      <c r="P279" s="18">
        <f t="shared" si="48"/>
        <v>3631.6496278493173</v>
      </c>
      <c r="Q279" s="18">
        <f t="shared" si="49"/>
        <v>3637.0191488276878</v>
      </c>
    </row>
    <row r="280" spans="1:17" ht="21" customHeight="1">
      <c r="A280" s="1" t="s">
        <v>369</v>
      </c>
      <c r="B280" s="1" t="s">
        <v>322</v>
      </c>
      <c r="C280" s="18">
        <v>61.428265572235794</v>
      </c>
      <c r="D280" s="18">
        <v>1.3927157197912496</v>
      </c>
      <c r="E280" s="18">
        <v>3402.1057176497679</v>
      </c>
      <c r="F280" s="18">
        <v>2.3365115147320541</v>
      </c>
      <c r="G280" s="18">
        <v>1.4349562500000002</v>
      </c>
      <c r="H280" s="18">
        <f t="shared" si="40"/>
        <v>2.7419674501878282</v>
      </c>
      <c r="I280" s="18">
        <f t="shared" si="41"/>
        <v>1.1867742324285016</v>
      </c>
      <c r="J280" s="18">
        <f t="shared" si="42"/>
        <v>61.432589357852457</v>
      </c>
      <c r="K280" s="18">
        <f t="shared" si="43"/>
        <v>1240.7535025321761</v>
      </c>
      <c r="L280" s="18">
        <f t="shared" si="44"/>
        <v>6.7509635843655218</v>
      </c>
      <c r="M280" s="18">
        <f t="shared" si="45"/>
        <v>-5.4410191634260176E-3</v>
      </c>
      <c r="N280" s="18">
        <f t="shared" si="46"/>
        <v>4.4071304785270105E-2</v>
      </c>
      <c r="O280" s="18">
        <f t="shared" si="47"/>
        <v>61.45032555753258</v>
      </c>
      <c r="P280" s="18">
        <f t="shared" si="48"/>
        <v>3402.1560769157782</v>
      </c>
      <c r="Q280" s="18">
        <f t="shared" si="49"/>
        <v>3405.410173231819</v>
      </c>
    </row>
    <row r="281" spans="1:17" ht="21" customHeight="1">
      <c r="A281" s="1" t="s">
        <v>369</v>
      </c>
      <c r="B281" s="1" t="s">
        <v>323</v>
      </c>
      <c r="C281" s="18">
        <v>61.428265572235794</v>
      </c>
      <c r="D281" s="18">
        <v>1.3927157197912496</v>
      </c>
      <c r="E281" s="18">
        <v>3510.3030809829042</v>
      </c>
      <c r="F281" s="18">
        <v>1.32389775</v>
      </c>
      <c r="G281" s="18">
        <v>0</v>
      </c>
      <c r="H281" s="18">
        <f t="shared" si="40"/>
        <v>1.32389775</v>
      </c>
      <c r="I281" s="18">
        <f t="shared" si="41"/>
        <v>1.3927157197912496</v>
      </c>
      <c r="J281" s="18">
        <f t="shared" si="42"/>
        <v>61.428265572235794</v>
      </c>
      <c r="K281" s="18">
        <f t="shared" si="43"/>
        <v>2651.491084551586</v>
      </c>
      <c r="L281" s="18">
        <f t="shared" si="44"/>
        <v>-29.394587934949922</v>
      </c>
      <c r="M281" s="18">
        <f t="shared" si="45"/>
        <v>1.1086059502976253E-2</v>
      </c>
      <c r="N281" s="18">
        <f t="shared" si="46"/>
        <v>3.4253501373754554E-2</v>
      </c>
      <c r="O281" s="18">
        <f t="shared" si="47"/>
        <v>61.445424952508205</v>
      </c>
      <c r="P281" s="18">
        <f t="shared" si="48"/>
        <v>3510.518792571942</v>
      </c>
      <c r="Q281" s="18">
        <f t="shared" si="49"/>
        <v>3512.3626057797642</v>
      </c>
    </row>
    <row r="282" spans="1:17" ht="21" customHeight="1">
      <c r="A282" s="1" t="s">
        <v>369</v>
      </c>
      <c r="B282" s="1" t="s">
        <v>324</v>
      </c>
      <c r="C282" s="18">
        <v>61.428265572235794</v>
      </c>
      <c r="D282" s="18">
        <v>1.3927157197912496</v>
      </c>
      <c r="E282" s="18">
        <v>475.77533557418542</v>
      </c>
      <c r="F282" s="18">
        <v>1.32389775</v>
      </c>
      <c r="G282" s="18">
        <v>0</v>
      </c>
      <c r="H282" s="18">
        <f t="shared" si="40"/>
        <v>1.32389775</v>
      </c>
      <c r="I282" s="18">
        <f t="shared" si="41"/>
        <v>1.3927157197912496</v>
      </c>
      <c r="J282" s="18">
        <f t="shared" si="42"/>
        <v>61.428265572235794</v>
      </c>
      <c r="K282" s="18">
        <f t="shared" si="43"/>
        <v>359.37468401482323</v>
      </c>
      <c r="L282" s="18">
        <f t="shared" si="44"/>
        <v>22.576913542678156</v>
      </c>
      <c r="M282" s="18">
        <f t="shared" si="45"/>
        <v>-6.2822771182588139E-2</v>
      </c>
      <c r="N282" s="18">
        <f t="shared" si="46"/>
        <v>0.1081082050508464</v>
      </c>
      <c r="O282" s="18">
        <f t="shared" si="47"/>
        <v>61.518841904174764</v>
      </c>
      <c r="P282" s="18">
        <f t="shared" si="48"/>
        <v>476.71451579804136</v>
      </c>
      <c r="Q282" s="18">
        <f t="shared" si="49"/>
        <v>478.55832900586267</v>
      </c>
    </row>
    <row r="283" spans="1:17" ht="21" customHeight="1">
      <c r="A283" s="1" t="s">
        <v>370</v>
      </c>
      <c r="B283" s="1" t="s">
        <v>319</v>
      </c>
      <c r="C283" s="18">
        <v>61.4282655706483</v>
      </c>
      <c r="D283" s="18">
        <v>4.4990594403979234</v>
      </c>
      <c r="E283" s="18">
        <v>2204.9999999997253</v>
      </c>
      <c r="F283" s="18">
        <v>1.32389775</v>
      </c>
      <c r="G283" s="18">
        <v>0</v>
      </c>
      <c r="H283" s="18">
        <f t="shared" si="40"/>
        <v>1.32389775</v>
      </c>
      <c r="I283" s="18">
        <f t="shared" si="41"/>
        <v>4.4990594403979234</v>
      </c>
      <c r="J283" s="18">
        <f t="shared" si="42"/>
        <v>61.4282655706483</v>
      </c>
      <c r="K283" s="18">
        <f t="shared" si="43"/>
        <v>1665.5364811970753</v>
      </c>
      <c r="L283" s="18">
        <f t="shared" si="44"/>
        <v>-91.155511216916764</v>
      </c>
      <c r="M283" s="18">
        <f t="shared" si="45"/>
        <v>5.4730420045438051E-2</v>
      </c>
      <c r="N283" s="18">
        <f t="shared" si="46"/>
        <v>9.1612389467385383E-2</v>
      </c>
      <c r="O283" s="18">
        <f t="shared" si="47"/>
        <v>61.596275129341706</v>
      </c>
      <c r="P283" s="18">
        <f t="shared" si="48"/>
        <v>2208.3032737470048</v>
      </c>
      <c r="Q283" s="18">
        <f t="shared" si="49"/>
        <v>2214.2595684172634</v>
      </c>
    </row>
    <row r="284" spans="1:17" ht="21" customHeight="1">
      <c r="A284" s="1" t="s">
        <v>370</v>
      </c>
      <c r="B284" s="1" t="s">
        <v>320</v>
      </c>
      <c r="C284" s="18">
        <v>61.4282655706483</v>
      </c>
      <c r="D284" s="18">
        <v>4.4990594403979234</v>
      </c>
      <c r="E284" s="18">
        <v>3334.3218938092441</v>
      </c>
      <c r="F284" s="18">
        <v>1.32389775</v>
      </c>
      <c r="G284" s="18">
        <v>3.4438949999999999</v>
      </c>
      <c r="H284" s="18">
        <f t="shared" si="40"/>
        <v>3.6895959160157443</v>
      </c>
      <c r="I284" s="18">
        <f t="shared" si="41"/>
        <v>1.6143487812321324</v>
      </c>
      <c r="J284" s="18">
        <f t="shared" si="42"/>
        <v>61.571643025656407</v>
      </c>
      <c r="K284" s="18">
        <f t="shared" si="43"/>
        <v>903.70923258443236</v>
      </c>
      <c r="L284" s="18">
        <f t="shared" si="44"/>
        <v>7.0987362339407198</v>
      </c>
      <c r="M284" s="18">
        <f t="shared" si="45"/>
        <v>-7.8551108896383823E-3</v>
      </c>
      <c r="N284" s="18">
        <f t="shared" si="46"/>
        <v>6.0277028083395572E-2</v>
      </c>
      <c r="O284" s="18">
        <f t="shared" si="47"/>
        <v>61.604708272149516</v>
      </c>
      <c r="P284" s="18">
        <f t="shared" si="48"/>
        <v>3334.4247627817899</v>
      </c>
      <c r="Q284" s="18">
        <f t="shared" si="49"/>
        <v>3340.3810574520494</v>
      </c>
    </row>
    <row r="285" spans="1:17" ht="21" customHeight="1">
      <c r="A285" s="1" t="s">
        <v>370</v>
      </c>
      <c r="B285" s="1" t="s">
        <v>321</v>
      </c>
      <c r="C285" s="18">
        <v>61.4282655706483</v>
      </c>
      <c r="D285" s="18">
        <v>4.4990594403979234</v>
      </c>
      <c r="E285" s="18">
        <v>3627.4398440775612</v>
      </c>
      <c r="F285" s="18">
        <v>3.8554321618301355</v>
      </c>
      <c r="G285" s="18">
        <v>0</v>
      </c>
      <c r="H285" s="18">
        <f t="shared" si="40"/>
        <v>3.8554321618301355</v>
      </c>
      <c r="I285" s="18">
        <f t="shared" si="41"/>
        <v>4.4990594403979234</v>
      </c>
      <c r="J285" s="18">
        <f t="shared" si="42"/>
        <v>61.4282655706483</v>
      </c>
      <c r="K285" s="18">
        <f t="shared" si="43"/>
        <v>940.86465325216659</v>
      </c>
      <c r="L285" s="18">
        <f t="shared" si="44"/>
        <v>-38.121945727360753</v>
      </c>
      <c r="M285" s="18">
        <f t="shared" si="45"/>
        <v>4.0517991185649811E-2</v>
      </c>
      <c r="N285" s="18">
        <f t="shared" si="46"/>
        <v>0.10580715404060145</v>
      </c>
      <c r="O285" s="18">
        <f t="shared" si="47"/>
        <v>61.603684522315916</v>
      </c>
      <c r="P285" s="18">
        <f t="shared" si="48"/>
        <v>3630.4178492598471</v>
      </c>
      <c r="Q285" s="18">
        <f t="shared" si="49"/>
        <v>3647.7636677243427</v>
      </c>
    </row>
    <row r="286" spans="1:17" ht="21" customHeight="1">
      <c r="A286" s="1" t="s">
        <v>370</v>
      </c>
      <c r="B286" s="1" t="s">
        <v>322</v>
      </c>
      <c r="C286" s="18">
        <v>61.4282655706483</v>
      </c>
      <c r="D286" s="18">
        <v>4.4990594403979234</v>
      </c>
      <c r="E286" s="18">
        <v>3401.6982554455963</v>
      </c>
      <c r="F286" s="18">
        <v>2.3365115147320541</v>
      </c>
      <c r="G286" s="18">
        <v>1.4349562500000002</v>
      </c>
      <c r="H286" s="18">
        <f t="shared" si="40"/>
        <v>2.7419674501878282</v>
      </c>
      <c r="I286" s="18">
        <f t="shared" si="41"/>
        <v>3.8337815378638456</v>
      </c>
      <c r="J286" s="18">
        <f t="shared" si="42"/>
        <v>61.47337200761207</v>
      </c>
      <c r="K286" s="18">
        <f t="shared" si="43"/>
        <v>1240.6049004019269</v>
      </c>
      <c r="L286" s="18">
        <f t="shared" si="44"/>
        <v>-46.575565920740821</v>
      </c>
      <c r="M286" s="18">
        <f t="shared" si="45"/>
        <v>3.7542626105741987E-2</v>
      </c>
      <c r="N286" s="18">
        <f t="shared" si="46"/>
        <v>8.7093753936767118E-2</v>
      </c>
      <c r="O286" s="18">
        <f t="shared" si="47"/>
        <v>61.599079737584823</v>
      </c>
      <c r="P286" s="18">
        <f t="shared" si="48"/>
        <v>3404.0957967461077</v>
      </c>
      <c r="Q286" s="18">
        <f t="shared" si="49"/>
        <v>3414.6079009340615</v>
      </c>
    </row>
    <row r="287" spans="1:17" ht="21" customHeight="1">
      <c r="A287" s="1" t="s">
        <v>370</v>
      </c>
      <c r="B287" s="1" t="s">
        <v>323</v>
      </c>
      <c r="C287" s="18">
        <v>61.4282655706483</v>
      </c>
      <c r="D287" s="18">
        <v>4.4990594403979234</v>
      </c>
      <c r="E287" s="18">
        <v>3507.7533990589382</v>
      </c>
      <c r="F287" s="18">
        <v>1.32389775</v>
      </c>
      <c r="G287" s="18">
        <v>0</v>
      </c>
      <c r="H287" s="18">
        <f t="shared" si="40"/>
        <v>1.32389775</v>
      </c>
      <c r="I287" s="18">
        <f t="shared" si="41"/>
        <v>4.4990594403979234</v>
      </c>
      <c r="J287" s="18">
        <f t="shared" si="42"/>
        <v>61.4282655706483</v>
      </c>
      <c r="K287" s="18">
        <f t="shared" si="43"/>
        <v>2649.565194184323</v>
      </c>
      <c r="L287" s="18">
        <f t="shared" si="44"/>
        <v>-163.16490897872177</v>
      </c>
      <c r="M287" s="18">
        <f t="shared" si="45"/>
        <v>6.1581767958328197E-2</v>
      </c>
      <c r="N287" s="18">
        <f t="shared" si="46"/>
        <v>8.4766049554976811E-2</v>
      </c>
      <c r="O287" s="18">
        <f t="shared" si="47"/>
        <v>61.594174818941021</v>
      </c>
      <c r="P287" s="18">
        <f t="shared" si="48"/>
        <v>3514.4067527102252</v>
      </c>
      <c r="Q287" s="18">
        <f t="shared" si="49"/>
        <v>3520.3630473804847</v>
      </c>
    </row>
    <row r="288" spans="1:17" ht="21" customHeight="1">
      <c r="A288" s="1" t="s">
        <v>370</v>
      </c>
      <c r="B288" s="1" t="s">
        <v>324</v>
      </c>
      <c r="C288" s="18">
        <v>61.4282655706483</v>
      </c>
      <c r="D288" s="18">
        <v>4.4990594403979234</v>
      </c>
      <c r="E288" s="18">
        <v>474.99700651032913</v>
      </c>
      <c r="F288" s="18">
        <v>1.32389775</v>
      </c>
      <c r="G288" s="18">
        <v>0</v>
      </c>
      <c r="H288" s="18">
        <f t="shared" si="40"/>
        <v>1.32389775</v>
      </c>
      <c r="I288" s="18">
        <f t="shared" si="41"/>
        <v>4.4990594403979234</v>
      </c>
      <c r="J288" s="18">
        <f t="shared" si="42"/>
        <v>61.4282655706483</v>
      </c>
      <c r="K288" s="18">
        <f t="shared" si="43"/>
        <v>358.78677678115935</v>
      </c>
      <c r="L288" s="18">
        <f t="shared" si="44"/>
        <v>4.4916973569857603</v>
      </c>
      <c r="M288" s="18">
        <f t="shared" si="45"/>
        <v>-1.2519127369416556E-2</v>
      </c>
      <c r="N288" s="18">
        <f t="shared" si="46"/>
        <v>0.15869193598623282</v>
      </c>
      <c r="O288" s="18">
        <f t="shared" si="47"/>
        <v>61.667657491675179</v>
      </c>
      <c r="P288" s="18">
        <f t="shared" si="48"/>
        <v>475.03422979255208</v>
      </c>
      <c r="Q288" s="18">
        <f t="shared" si="49"/>
        <v>480.99052446281115</v>
      </c>
    </row>
    <row r="289" spans="1:17" ht="21" customHeight="1">
      <c r="A289" s="1" t="s">
        <v>371</v>
      </c>
      <c r="B289" s="1" t="s">
        <v>319</v>
      </c>
      <c r="C289" s="18">
        <v>38.437805146647534</v>
      </c>
      <c r="D289" s="18">
        <v>9.9161078909586653</v>
      </c>
      <c r="E289" s="18">
        <v>2204.9999999995316</v>
      </c>
      <c r="F289" s="18">
        <v>1.32389775</v>
      </c>
      <c r="G289" s="18">
        <v>0</v>
      </c>
      <c r="H289" s="18">
        <f t="shared" si="40"/>
        <v>1.32389775</v>
      </c>
      <c r="I289" s="18">
        <f t="shared" si="41"/>
        <v>9.9161078909586653</v>
      </c>
      <c r="J289" s="18">
        <f t="shared" si="42"/>
        <v>38.437805146647534</v>
      </c>
      <c r="K289" s="18">
        <f t="shared" si="43"/>
        <v>1665.5364811969291</v>
      </c>
      <c r="L289" s="18">
        <f t="shared" si="44"/>
        <v>-405.81498480364837</v>
      </c>
      <c r="M289" s="18">
        <f t="shared" si="45"/>
        <v>0.2436542155546251</v>
      </c>
      <c r="N289" s="18">
        <f t="shared" si="46"/>
        <v>0.2667325483204282</v>
      </c>
      <c r="O289" s="18">
        <f t="shared" si="47"/>
        <v>39.697098601021665</v>
      </c>
      <c r="P289" s="18">
        <f t="shared" si="48"/>
        <v>2270.776986448554</v>
      </c>
      <c r="Q289" s="18">
        <f t="shared" si="49"/>
        <v>2283.9048993741517</v>
      </c>
    </row>
    <row r="290" spans="1:17" ht="21" customHeight="1">
      <c r="A290" s="1" t="s">
        <v>371</v>
      </c>
      <c r="B290" s="1" t="s">
        <v>320</v>
      </c>
      <c r="C290" s="18">
        <v>38.437805146647534</v>
      </c>
      <c r="D290" s="18">
        <v>9.9161078909586653</v>
      </c>
      <c r="E290" s="18">
        <v>3173.4422552553051</v>
      </c>
      <c r="F290" s="18">
        <v>1.32389775</v>
      </c>
      <c r="G290" s="18">
        <v>3.4438949999999999</v>
      </c>
      <c r="H290" s="18">
        <f t="shared" si="40"/>
        <v>3.6895959160157443</v>
      </c>
      <c r="I290" s="18">
        <f t="shared" si="41"/>
        <v>3.5580896185980611</v>
      </c>
      <c r="J290" s="18">
        <f t="shared" si="42"/>
        <v>39.536490214266628</v>
      </c>
      <c r="K290" s="18">
        <f t="shared" si="43"/>
        <v>860.10563961220612</v>
      </c>
      <c r="L290" s="18">
        <f t="shared" si="44"/>
        <v>-57.52613749617062</v>
      </c>
      <c r="M290" s="18">
        <f t="shared" si="45"/>
        <v>6.6882641906763102E-2</v>
      </c>
      <c r="N290" s="18">
        <f t="shared" si="46"/>
        <v>0.11284965850729646</v>
      </c>
      <c r="O290" s="18">
        <f t="shared" si="47"/>
        <v>39.699739509092602</v>
      </c>
      <c r="P290" s="18">
        <f t="shared" si="48"/>
        <v>3180.5427617913529</v>
      </c>
      <c r="Q290" s="18">
        <f t="shared" si="49"/>
        <v>3193.6706747169501</v>
      </c>
    </row>
    <row r="291" spans="1:17" ht="21" customHeight="1">
      <c r="A291" s="1" t="s">
        <v>371</v>
      </c>
      <c r="B291" s="1" t="s">
        <v>321</v>
      </c>
      <c r="C291" s="18">
        <v>38.437805146647534</v>
      </c>
      <c r="D291" s="18">
        <v>9.9161078909586653</v>
      </c>
      <c r="E291" s="18">
        <v>3389.1931869173441</v>
      </c>
      <c r="F291" s="18">
        <v>3.8554321618301355</v>
      </c>
      <c r="G291" s="18">
        <v>0</v>
      </c>
      <c r="H291" s="18">
        <f t="shared" si="40"/>
        <v>3.8554321618301355</v>
      </c>
      <c r="I291" s="18">
        <f t="shared" si="41"/>
        <v>9.9161078909586653</v>
      </c>
      <c r="J291" s="18">
        <f t="shared" si="42"/>
        <v>38.437805146647534</v>
      </c>
      <c r="K291" s="18">
        <f t="shared" si="43"/>
        <v>879.06959444684605</v>
      </c>
      <c r="L291" s="18">
        <f t="shared" si="44"/>
        <v>-205.10122083308397</v>
      </c>
      <c r="M291" s="18">
        <f t="shared" si="45"/>
        <v>0.23331624950825852</v>
      </c>
      <c r="N291" s="18">
        <f t="shared" si="46"/>
        <v>0.27704180365034498</v>
      </c>
      <c r="O291" s="18">
        <f t="shared" si="47"/>
        <v>39.699237716289453</v>
      </c>
      <c r="P291" s="18">
        <f t="shared" si="48"/>
        <v>3481.860278159982</v>
      </c>
      <c r="Q291" s="18">
        <f t="shared" si="49"/>
        <v>3520.0911594429613</v>
      </c>
    </row>
    <row r="292" spans="1:17" ht="21" customHeight="1">
      <c r="A292" s="1" t="s">
        <v>371</v>
      </c>
      <c r="B292" s="1" t="s">
        <v>322</v>
      </c>
      <c r="C292" s="18">
        <v>38.437805146647534</v>
      </c>
      <c r="D292" s="18">
        <v>9.9161078909586653</v>
      </c>
      <c r="E292" s="18">
        <v>3318.7170292995834</v>
      </c>
      <c r="F292" s="18">
        <v>2.3365115147320541</v>
      </c>
      <c r="G292" s="18">
        <v>1.4349562500000002</v>
      </c>
      <c r="H292" s="18">
        <f t="shared" si="40"/>
        <v>2.7419674501878282</v>
      </c>
      <c r="I292" s="18">
        <f t="shared" si="41"/>
        <v>8.4498086463291866</v>
      </c>
      <c r="J292" s="18">
        <f t="shared" si="42"/>
        <v>38.786528512322384</v>
      </c>
      <c r="K292" s="18">
        <f t="shared" si="43"/>
        <v>1210.3415119213932</v>
      </c>
      <c r="L292" s="18">
        <f t="shared" si="44"/>
        <v>-242.23132243704046</v>
      </c>
      <c r="M292" s="18">
        <f t="shared" si="45"/>
        <v>0.20013468930145428</v>
      </c>
      <c r="N292" s="18">
        <f t="shared" si="46"/>
        <v>0.23218062685733432</v>
      </c>
      <c r="O292" s="18">
        <f t="shared" si="47"/>
        <v>39.697894257354434</v>
      </c>
      <c r="P292" s="18">
        <f t="shared" si="48"/>
        <v>3385.4029399255505</v>
      </c>
      <c r="Q292" s="18">
        <f t="shared" si="49"/>
        <v>3408.5720401941012</v>
      </c>
    </row>
    <row r="293" spans="1:17" ht="21" customHeight="1">
      <c r="A293" s="1" t="s">
        <v>371</v>
      </c>
      <c r="B293" s="1" t="s">
        <v>323</v>
      </c>
      <c r="C293" s="18">
        <v>38.437805146647534</v>
      </c>
      <c r="D293" s="18">
        <v>9.9161078909586653</v>
      </c>
      <c r="E293" s="18">
        <v>3533.2832198745864</v>
      </c>
      <c r="F293" s="18">
        <v>1.32389775</v>
      </c>
      <c r="G293" s="18">
        <v>0</v>
      </c>
      <c r="H293" s="18">
        <f t="shared" si="40"/>
        <v>1.32389775</v>
      </c>
      <c r="I293" s="18">
        <f t="shared" si="41"/>
        <v>9.9161078909586653</v>
      </c>
      <c r="J293" s="18">
        <f t="shared" si="42"/>
        <v>38.437805146647534</v>
      </c>
      <c r="K293" s="18">
        <f t="shared" si="43"/>
        <v>2668.8490254436842</v>
      </c>
      <c r="L293" s="18">
        <f t="shared" si="44"/>
        <v>-661.86273885946389</v>
      </c>
      <c r="M293" s="18">
        <f t="shared" si="45"/>
        <v>0.24799557133039107</v>
      </c>
      <c r="N293" s="18">
        <f t="shared" si="46"/>
        <v>0.26239796156685541</v>
      </c>
      <c r="O293" s="18">
        <f t="shared" si="47"/>
        <v>39.696594305336717</v>
      </c>
      <c r="P293" s="18">
        <f t="shared" si="48"/>
        <v>3642.4928636982054</v>
      </c>
      <c r="Q293" s="18">
        <f t="shared" si="49"/>
        <v>3655.6207766238022</v>
      </c>
    </row>
    <row r="294" spans="1:17" ht="21" customHeight="1">
      <c r="A294" s="1" t="s">
        <v>371</v>
      </c>
      <c r="B294" s="1" t="s">
        <v>324</v>
      </c>
      <c r="C294" s="18">
        <v>38.437805146647534</v>
      </c>
      <c r="D294" s="18">
        <v>9.9161078909586653</v>
      </c>
      <c r="E294" s="18">
        <v>302.68633995334415</v>
      </c>
      <c r="F294" s="18">
        <v>1.32389775</v>
      </c>
      <c r="G294" s="18">
        <v>0</v>
      </c>
      <c r="H294" s="18">
        <f t="shared" si="40"/>
        <v>1.32389775</v>
      </c>
      <c r="I294" s="18">
        <f t="shared" si="41"/>
        <v>9.9161078909586653</v>
      </c>
      <c r="J294" s="18">
        <f t="shared" si="42"/>
        <v>38.437805146647534</v>
      </c>
      <c r="K294" s="18">
        <f t="shared" si="43"/>
        <v>228.63271725731397</v>
      </c>
      <c r="L294" s="18">
        <f t="shared" si="44"/>
        <v>-39.060713787220877</v>
      </c>
      <c r="M294" s="18">
        <f t="shared" si="45"/>
        <v>0.17084481283254013</v>
      </c>
      <c r="N294" s="18">
        <f t="shared" si="46"/>
        <v>0.33896513090315045</v>
      </c>
      <c r="O294" s="18">
        <f t="shared" si="47"/>
        <v>39.740122258104677</v>
      </c>
      <c r="P294" s="18">
        <f t="shared" si="48"/>
        <v>307.11449186482554</v>
      </c>
      <c r="Q294" s="18">
        <f t="shared" si="49"/>
        <v>320.24240479042305</v>
      </c>
    </row>
    <row r="295" spans="1:17" ht="21" customHeight="1">
      <c r="A295" s="1" t="s">
        <v>372</v>
      </c>
      <c r="B295" s="1" t="s">
        <v>319</v>
      </c>
      <c r="C295" s="18">
        <v>79.668260676504843</v>
      </c>
      <c r="D295" s="18">
        <v>8.3902192637746342</v>
      </c>
      <c r="E295" s="18">
        <v>2204.999999998975</v>
      </c>
      <c r="F295" s="18">
        <v>1.32389775</v>
      </c>
      <c r="G295" s="18">
        <v>0</v>
      </c>
      <c r="H295" s="18">
        <f t="shared" si="40"/>
        <v>1.32389775</v>
      </c>
      <c r="I295" s="18">
        <f t="shared" si="41"/>
        <v>8.3902192637746342</v>
      </c>
      <c r="J295" s="18">
        <f t="shared" si="42"/>
        <v>79.668260676504843</v>
      </c>
      <c r="K295" s="18">
        <f t="shared" si="43"/>
        <v>1665.5364811965085</v>
      </c>
      <c r="L295" s="18">
        <f t="shared" si="44"/>
        <v>-135.23167087115786</v>
      </c>
      <c r="M295" s="18">
        <f t="shared" si="45"/>
        <v>8.1194061131587156E-2</v>
      </c>
      <c r="N295" s="18">
        <f t="shared" si="46"/>
        <v>0.12902745390078774</v>
      </c>
      <c r="O295" s="18">
        <f t="shared" si="47"/>
        <v>80.116401665976355</v>
      </c>
      <c r="P295" s="18">
        <f t="shared" si="48"/>
        <v>2212.2721981397158</v>
      </c>
      <c r="Q295" s="18">
        <f t="shared" si="49"/>
        <v>2223.3799905450342</v>
      </c>
    </row>
    <row r="296" spans="1:17" ht="21" customHeight="1">
      <c r="A296" s="1" t="s">
        <v>372</v>
      </c>
      <c r="B296" s="1" t="s">
        <v>320</v>
      </c>
      <c r="C296" s="18">
        <v>79.668260676504843</v>
      </c>
      <c r="D296" s="18">
        <v>8.3902192637746342</v>
      </c>
      <c r="E296" s="18">
        <v>3525.4649326936687</v>
      </c>
      <c r="F296" s="18">
        <v>1.32389775</v>
      </c>
      <c r="G296" s="18">
        <v>3.4438949999999999</v>
      </c>
      <c r="H296" s="18">
        <f t="shared" si="40"/>
        <v>3.6895959160157443</v>
      </c>
      <c r="I296" s="18">
        <f t="shared" si="41"/>
        <v>3.0105715254891061</v>
      </c>
      <c r="J296" s="18">
        <f t="shared" si="42"/>
        <v>80.052257916961068</v>
      </c>
      <c r="K296" s="18">
        <f t="shared" si="43"/>
        <v>955.51518728389249</v>
      </c>
      <c r="L296" s="18">
        <f t="shared" si="44"/>
        <v>4.1104820264426252</v>
      </c>
      <c r="M296" s="18">
        <f t="shared" si="45"/>
        <v>-4.30184897230876E-3</v>
      </c>
      <c r="N296" s="18">
        <f t="shared" si="46"/>
        <v>7.9477309101059254E-2</v>
      </c>
      <c r="O296" s="18">
        <f t="shared" si="47"/>
        <v>80.132245359662107</v>
      </c>
      <c r="P296" s="18">
        <f t="shared" si="48"/>
        <v>3525.497553702799</v>
      </c>
      <c r="Q296" s="18">
        <f t="shared" si="49"/>
        <v>3536.6053461081165</v>
      </c>
    </row>
    <row r="297" spans="1:17" ht="21" customHeight="1">
      <c r="A297" s="1" t="s">
        <v>372</v>
      </c>
      <c r="B297" s="1" t="s">
        <v>321</v>
      </c>
      <c r="C297" s="18">
        <v>79.668260676504843</v>
      </c>
      <c r="D297" s="18">
        <v>8.3902192637746342</v>
      </c>
      <c r="E297" s="18">
        <v>3792.826684924592</v>
      </c>
      <c r="F297" s="18">
        <v>3.8554321618301355</v>
      </c>
      <c r="G297" s="18">
        <v>0</v>
      </c>
      <c r="H297" s="18">
        <f t="shared" si="40"/>
        <v>3.8554321618301355</v>
      </c>
      <c r="I297" s="18">
        <f t="shared" si="41"/>
        <v>8.3902192637746342</v>
      </c>
      <c r="J297" s="18">
        <f t="shared" si="42"/>
        <v>79.668260676504843</v>
      </c>
      <c r="K297" s="18">
        <f t="shared" si="43"/>
        <v>983.76174854654289</v>
      </c>
      <c r="L297" s="18">
        <f t="shared" si="44"/>
        <v>-63.551484286944984</v>
      </c>
      <c r="M297" s="18">
        <f t="shared" si="45"/>
        <v>6.4600483176784435E-2</v>
      </c>
      <c r="N297" s="18">
        <f t="shared" si="46"/>
        <v>0.14558377084192348</v>
      </c>
      <c r="O297" s="18">
        <f t="shared" si="47"/>
        <v>80.130500464459004</v>
      </c>
      <c r="P297" s="18">
        <f t="shared" si="48"/>
        <v>3800.7435922924797</v>
      </c>
      <c r="Q297" s="18">
        <f t="shared" si="49"/>
        <v>3833.0915134868433</v>
      </c>
    </row>
    <row r="298" spans="1:17" ht="21" customHeight="1">
      <c r="A298" s="1" t="s">
        <v>372</v>
      </c>
      <c r="B298" s="1" t="s">
        <v>322</v>
      </c>
      <c r="C298" s="18">
        <v>79.668260676504843</v>
      </c>
      <c r="D298" s="18">
        <v>8.3902192637746342</v>
      </c>
      <c r="E298" s="18">
        <v>3474.3417101412069</v>
      </c>
      <c r="F298" s="18">
        <v>2.3365115147320541</v>
      </c>
      <c r="G298" s="18">
        <v>1.4349562500000002</v>
      </c>
      <c r="H298" s="18">
        <f t="shared" si="40"/>
        <v>2.7419674501878282</v>
      </c>
      <c r="I298" s="18">
        <f t="shared" si="41"/>
        <v>7.1495538430236438</v>
      </c>
      <c r="J298" s="18">
        <f t="shared" si="42"/>
        <v>79.7891685528772</v>
      </c>
      <c r="K298" s="18">
        <f t="shared" si="43"/>
        <v>1267.0980867782403</v>
      </c>
      <c r="L298" s="18">
        <f t="shared" si="44"/>
        <v>-73.474388252197656</v>
      </c>
      <c r="M298" s="18">
        <f t="shared" si="45"/>
        <v>5.7986346139165701E-2</v>
      </c>
      <c r="N298" s="18">
        <f t="shared" si="46"/>
        <v>0.12095634774002947</v>
      </c>
      <c r="O298" s="18">
        <f t="shared" si="47"/>
        <v>80.121978690492057</v>
      </c>
      <c r="P298" s="18">
        <f t="shared" si="48"/>
        <v>3480.1844386724752</v>
      </c>
      <c r="Q298" s="18">
        <f t="shared" si="49"/>
        <v>3499.7882825934107</v>
      </c>
    </row>
    <row r="299" spans="1:17" ht="21" customHeight="1">
      <c r="A299" s="1" t="s">
        <v>372</v>
      </c>
      <c r="B299" s="1" t="s">
        <v>323</v>
      </c>
      <c r="C299" s="18">
        <v>79.668260676504843</v>
      </c>
      <c r="D299" s="18">
        <v>8.3902192637746342</v>
      </c>
      <c r="E299" s="18">
        <v>3438.7796479595363</v>
      </c>
      <c r="F299" s="18">
        <v>1.32389775</v>
      </c>
      <c r="G299" s="18">
        <v>0</v>
      </c>
      <c r="H299" s="18">
        <f t="shared" si="40"/>
        <v>1.32389775</v>
      </c>
      <c r="I299" s="18">
        <f t="shared" si="41"/>
        <v>8.3902192637746342</v>
      </c>
      <c r="J299" s="18">
        <f t="shared" si="42"/>
        <v>79.668260676504843</v>
      </c>
      <c r="K299" s="18">
        <f t="shared" si="43"/>
        <v>2597.4661925058308</v>
      </c>
      <c r="L299" s="18">
        <f t="shared" si="44"/>
        <v>-233.20277924280509</v>
      </c>
      <c r="M299" s="18">
        <f t="shared" si="45"/>
        <v>8.9780871803312831E-2</v>
      </c>
      <c r="N299" s="18">
        <f t="shared" si="46"/>
        <v>0.1204524011985221</v>
      </c>
      <c r="O299" s="18">
        <f t="shared" si="47"/>
        <v>80.111953734184382</v>
      </c>
      <c r="P299" s="18">
        <f t="shared" si="48"/>
        <v>3452.6482821165955</v>
      </c>
      <c r="Q299" s="18">
        <f t="shared" si="49"/>
        <v>3463.756074521913</v>
      </c>
    </row>
    <row r="300" spans="1:17" ht="21" customHeight="1">
      <c r="A300" s="1" t="s">
        <v>372</v>
      </c>
      <c r="B300" s="1" t="s">
        <v>324</v>
      </c>
      <c r="C300" s="18">
        <v>79.668260676504843</v>
      </c>
      <c r="D300" s="18">
        <v>8.3902192637746342</v>
      </c>
      <c r="E300" s="18">
        <v>595.93351910749539</v>
      </c>
      <c r="F300" s="18">
        <v>1.32389775</v>
      </c>
      <c r="G300" s="18">
        <v>0</v>
      </c>
      <c r="H300" s="18">
        <f t="shared" si="40"/>
        <v>1.32389775</v>
      </c>
      <c r="I300" s="18">
        <f t="shared" si="41"/>
        <v>8.3902192637746342</v>
      </c>
      <c r="J300" s="18">
        <f t="shared" si="42"/>
        <v>79.668260676504843</v>
      </c>
      <c r="K300" s="18">
        <f t="shared" si="43"/>
        <v>450.13560836363337</v>
      </c>
      <c r="L300" s="18">
        <f t="shared" si="44"/>
        <v>-7.4229813258281894</v>
      </c>
      <c r="M300" s="18">
        <f t="shared" si="45"/>
        <v>1.6490544600132315E-2</v>
      </c>
      <c r="N300" s="18">
        <f t="shared" si="46"/>
        <v>0.19347778843565305</v>
      </c>
      <c r="O300" s="18">
        <f t="shared" si="47"/>
        <v>80.212299384899708</v>
      </c>
      <c r="P300" s="18">
        <f t="shared" si="48"/>
        <v>596.0145494466376</v>
      </c>
      <c r="Q300" s="18">
        <f t="shared" si="49"/>
        <v>607.12234185195553</v>
      </c>
    </row>
    <row r="301" spans="1:17" ht="21" customHeight="1">
      <c r="A301" s="1" t="s">
        <v>373</v>
      </c>
      <c r="B301" s="1" t="s">
        <v>319</v>
      </c>
      <c r="C301" s="18">
        <v>57.854811604464096</v>
      </c>
      <c r="D301" s="18">
        <v>-0.18225160032861787</v>
      </c>
      <c r="E301" s="18">
        <v>2204.9999999992424</v>
      </c>
      <c r="F301" s="18">
        <v>1.32389775</v>
      </c>
      <c r="G301" s="18">
        <v>0</v>
      </c>
      <c r="H301" s="18">
        <f t="shared" si="40"/>
        <v>1.32389775</v>
      </c>
      <c r="I301" s="18">
        <f t="shared" si="41"/>
        <v>-0.18225160032861787</v>
      </c>
      <c r="J301" s="18">
        <f t="shared" si="42"/>
        <v>57.854811604464096</v>
      </c>
      <c r="K301" s="18">
        <f t="shared" si="43"/>
        <v>1665.5364811967106</v>
      </c>
      <c r="L301" s="18">
        <f t="shared" si="44"/>
        <v>34.173830744143615</v>
      </c>
      <c r="M301" s="18">
        <f t="shared" si="45"/>
        <v>-2.0518212077581904E-2</v>
      </c>
      <c r="N301" s="18">
        <f t="shared" si="46"/>
        <v>1.421823005840459E-2</v>
      </c>
      <c r="O301" s="18">
        <f t="shared" si="47"/>
        <v>57.858007393409103</v>
      </c>
      <c r="P301" s="18">
        <f t="shared" si="48"/>
        <v>2205.4641655053711</v>
      </c>
      <c r="Q301" s="18">
        <f t="shared" si="49"/>
        <v>2205.2228830217623</v>
      </c>
    </row>
    <row r="302" spans="1:17" ht="21" customHeight="1">
      <c r="A302" s="1" t="s">
        <v>373</v>
      </c>
      <c r="B302" s="1" t="s">
        <v>320</v>
      </c>
      <c r="C302" s="18">
        <v>57.854811604464096</v>
      </c>
      <c r="D302" s="18">
        <v>-0.18225160032861787</v>
      </c>
      <c r="E302" s="18">
        <v>3292.65117796296</v>
      </c>
      <c r="F302" s="18">
        <v>1.32389775</v>
      </c>
      <c r="G302" s="18">
        <v>3.4438949999999999</v>
      </c>
      <c r="H302" s="18">
        <f t="shared" si="40"/>
        <v>3.6895959160157443</v>
      </c>
      <c r="I302" s="18">
        <f t="shared" si="41"/>
        <v>-6.5395368246587912E-2</v>
      </c>
      <c r="J302" s="18">
        <f t="shared" si="42"/>
        <v>57.85506170491626</v>
      </c>
      <c r="K302" s="18">
        <f t="shared" si="43"/>
        <v>892.415118867155</v>
      </c>
      <c r="L302" s="18">
        <f t="shared" si="44"/>
        <v>29.936078461331729</v>
      </c>
      <c r="M302" s="18">
        <f t="shared" si="45"/>
        <v>-3.3545014902182556E-2</v>
      </c>
      <c r="N302" s="18">
        <f t="shared" si="46"/>
        <v>3.1284749275679355E-2</v>
      </c>
      <c r="O302" s="18">
        <f t="shared" si="47"/>
        <v>57.865230812505196</v>
      </c>
      <c r="P302" s="18">
        <f t="shared" si="48"/>
        <v>3294.5039092317943</v>
      </c>
      <c r="Q302" s="18">
        <f t="shared" si="49"/>
        <v>3294.2626267481851</v>
      </c>
    </row>
    <row r="303" spans="1:17" ht="21" customHeight="1">
      <c r="A303" s="1" t="s">
        <v>373</v>
      </c>
      <c r="B303" s="1" t="s">
        <v>321</v>
      </c>
      <c r="C303" s="18">
        <v>57.854811604464096</v>
      </c>
      <c r="D303" s="18">
        <v>-0.18225160032861787</v>
      </c>
      <c r="E303" s="18">
        <v>3599.0538493642234</v>
      </c>
      <c r="F303" s="18">
        <v>3.8554321618301355</v>
      </c>
      <c r="G303" s="18">
        <v>0</v>
      </c>
      <c r="H303" s="18">
        <f t="shared" si="40"/>
        <v>3.8554321618301355</v>
      </c>
      <c r="I303" s="18">
        <f t="shared" si="41"/>
        <v>-0.18225160032861787</v>
      </c>
      <c r="J303" s="18">
        <f t="shared" si="42"/>
        <v>57.854811604464096</v>
      </c>
      <c r="K303" s="18">
        <f t="shared" si="43"/>
        <v>933.50205587738526</v>
      </c>
      <c r="L303" s="18">
        <f t="shared" si="44"/>
        <v>31.867606144672578</v>
      </c>
      <c r="M303" s="18">
        <f t="shared" si="45"/>
        <v>-3.4137692513939534E-2</v>
      </c>
      <c r="N303" s="18">
        <f t="shared" si="46"/>
        <v>2.7838401957633093E-2</v>
      </c>
      <c r="O303" s="18">
        <f t="shared" si="47"/>
        <v>57.864358330693399</v>
      </c>
      <c r="P303" s="18">
        <f t="shared" si="48"/>
        <v>3601.1511894127257</v>
      </c>
      <c r="Q303" s="18">
        <f t="shared" si="49"/>
        <v>3600.4485307312739</v>
      </c>
    </row>
    <row r="304" spans="1:17" ht="21" customHeight="1">
      <c r="A304" s="1" t="s">
        <v>373</v>
      </c>
      <c r="B304" s="1" t="s">
        <v>322</v>
      </c>
      <c r="C304" s="18">
        <v>57.854811604464096</v>
      </c>
      <c r="D304" s="18">
        <v>-0.18225160032861787</v>
      </c>
      <c r="E304" s="18">
        <v>3388.651406042567</v>
      </c>
      <c r="F304" s="18">
        <v>2.3365115147320541</v>
      </c>
      <c r="G304" s="18">
        <v>1.4349562500000002</v>
      </c>
      <c r="H304" s="18">
        <f t="shared" si="40"/>
        <v>2.7419674501878282</v>
      </c>
      <c r="I304" s="18">
        <f t="shared" si="41"/>
        <v>-0.15530197585569069</v>
      </c>
      <c r="J304" s="18">
        <f t="shared" si="42"/>
        <v>57.854890223127647</v>
      </c>
      <c r="K304" s="18">
        <f t="shared" si="43"/>
        <v>1235.846693151095</v>
      </c>
      <c r="L304" s="18">
        <f t="shared" si="44"/>
        <v>32.244566228032326</v>
      </c>
      <c r="M304" s="18">
        <f t="shared" si="45"/>
        <v>-2.6091072951627096E-2</v>
      </c>
      <c r="N304" s="18">
        <f t="shared" si="46"/>
        <v>2.0722897214536785E-2</v>
      </c>
      <c r="O304" s="18">
        <f t="shared" si="47"/>
        <v>57.860381779700852</v>
      </c>
      <c r="P304" s="18">
        <f t="shared" si="48"/>
        <v>3389.8048736801129</v>
      </c>
      <c r="Q304" s="18">
        <f t="shared" si="49"/>
        <v>3389.3790407173665</v>
      </c>
    </row>
    <row r="305" spans="1:17" ht="21" customHeight="1">
      <c r="A305" s="1" t="s">
        <v>373</v>
      </c>
      <c r="B305" s="1" t="s">
        <v>323</v>
      </c>
      <c r="C305" s="18">
        <v>57.854811604464096</v>
      </c>
      <c r="D305" s="18">
        <v>-0.18225160032861787</v>
      </c>
      <c r="E305" s="18">
        <v>3522.0512074794142</v>
      </c>
      <c r="F305" s="18">
        <v>1.32389775</v>
      </c>
      <c r="G305" s="18">
        <v>0</v>
      </c>
      <c r="H305" s="18">
        <f t="shared" si="40"/>
        <v>1.32389775</v>
      </c>
      <c r="I305" s="18">
        <f t="shared" si="41"/>
        <v>-0.18225160032861787</v>
      </c>
      <c r="J305" s="18">
        <f t="shared" si="42"/>
        <v>57.854811604464096</v>
      </c>
      <c r="K305" s="18">
        <f t="shared" si="43"/>
        <v>2660.3649771890723</v>
      </c>
      <c r="L305" s="18">
        <f t="shared" si="44"/>
        <v>37.307787746294387</v>
      </c>
      <c r="M305" s="18">
        <f t="shared" si="45"/>
        <v>-1.4023559949925969E-2</v>
      </c>
      <c r="N305" s="18">
        <f t="shared" si="46"/>
        <v>7.7233853378567575E-3</v>
      </c>
      <c r="O305" s="18">
        <f t="shared" si="47"/>
        <v>57.856238717467988</v>
      </c>
      <c r="P305" s="18">
        <f t="shared" si="48"/>
        <v>3522.3975368618549</v>
      </c>
      <c r="Q305" s="18">
        <f t="shared" si="49"/>
        <v>3522.1562543782466</v>
      </c>
    </row>
    <row r="306" spans="1:17" ht="21" customHeight="1">
      <c r="A306" s="1" t="s">
        <v>373</v>
      </c>
      <c r="B306" s="1" t="s">
        <v>324</v>
      </c>
      <c r="C306" s="18">
        <v>57.854811604464096</v>
      </c>
      <c r="D306" s="18">
        <v>-0.18225160032861787</v>
      </c>
      <c r="E306" s="18">
        <v>450.87936048788583</v>
      </c>
      <c r="F306" s="18">
        <v>1.32389775</v>
      </c>
      <c r="G306" s="18">
        <v>0</v>
      </c>
      <c r="H306" s="18">
        <f t="shared" si="40"/>
        <v>1.32389775</v>
      </c>
      <c r="I306" s="18">
        <f t="shared" si="41"/>
        <v>-0.18225160032861787</v>
      </c>
      <c r="J306" s="18">
        <f t="shared" si="42"/>
        <v>57.854811604464096</v>
      </c>
      <c r="K306" s="18">
        <f t="shared" si="43"/>
        <v>340.56962517527194</v>
      </c>
      <c r="L306" s="18">
        <f t="shared" si="44"/>
        <v>29.998962075363053</v>
      </c>
      <c r="M306" s="18">
        <f t="shared" si="45"/>
        <v>-8.8084667151171456E-2</v>
      </c>
      <c r="N306" s="18">
        <f t="shared" si="46"/>
        <v>8.1791937595037167E-2</v>
      </c>
      <c r="O306" s="18">
        <f t="shared" si="47"/>
        <v>57.924689154081946</v>
      </c>
      <c r="P306" s="18">
        <f t="shared" si="48"/>
        <v>452.62965761952881</v>
      </c>
      <c r="Q306" s="18">
        <f t="shared" si="49"/>
        <v>452.38837513591994</v>
      </c>
    </row>
    <row r="307" spans="1:17" ht="21" customHeight="1">
      <c r="A307" s="1" t="s">
        <v>374</v>
      </c>
      <c r="B307" s="1" t="s">
        <v>319</v>
      </c>
      <c r="C307" s="18">
        <v>57.854811606000048</v>
      </c>
      <c r="D307" s="18">
        <v>3.1325721627330498</v>
      </c>
      <c r="E307" s="18">
        <v>2204.9999999994661</v>
      </c>
      <c r="F307" s="18">
        <v>1.32389775</v>
      </c>
      <c r="G307" s="18">
        <v>0</v>
      </c>
      <c r="H307" s="18">
        <f t="shared" si="40"/>
        <v>1.32389775</v>
      </c>
      <c r="I307" s="18">
        <f t="shared" si="41"/>
        <v>3.1325721627330498</v>
      </c>
      <c r="J307" s="18">
        <f t="shared" si="42"/>
        <v>57.854811606000048</v>
      </c>
      <c r="K307" s="18">
        <f t="shared" si="43"/>
        <v>1665.5364811968795</v>
      </c>
      <c r="L307" s="18">
        <f t="shared" si="44"/>
        <v>-61.205206784241767</v>
      </c>
      <c r="M307" s="18">
        <f t="shared" si="45"/>
        <v>3.6748043333316112E-2</v>
      </c>
      <c r="N307" s="18">
        <f t="shared" si="46"/>
        <v>7.1484485470221279E-2</v>
      </c>
      <c r="O307" s="18">
        <f t="shared" si="47"/>
        <v>57.942461221650319</v>
      </c>
      <c r="P307" s="18">
        <f t="shared" si="48"/>
        <v>2206.4890041575045</v>
      </c>
      <c r="Q307" s="18">
        <f t="shared" si="49"/>
        <v>2210.636209395459</v>
      </c>
    </row>
    <row r="308" spans="1:17" ht="21" customHeight="1">
      <c r="A308" s="1" t="s">
        <v>374</v>
      </c>
      <c r="B308" s="1" t="s">
        <v>320</v>
      </c>
      <c r="C308" s="18">
        <v>57.854811606000048</v>
      </c>
      <c r="D308" s="18">
        <v>3.1325721627330498</v>
      </c>
      <c r="E308" s="18">
        <v>3295.827238976135</v>
      </c>
      <c r="F308" s="18">
        <v>1.32389775</v>
      </c>
      <c r="G308" s="18">
        <v>3.4438949999999999</v>
      </c>
      <c r="H308" s="18">
        <f t="shared" si="40"/>
        <v>3.6895959160157443</v>
      </c>
      <c r="I308" s="18">
        <f t="shared" si="41"/>
        <v>1.1240269483042276</v>
      </c>
      <c r="J308" s="18">
        <f t="shared" si="42"/>
        <v>57.928652649099078</v>
      </c>
      <c r="K308" s="18">
        <f t="shared" si="43"/>
        <v>893.2759342749855</v>
      </c>
      <c r="L308" s="18">
        <f t="shared" si="44"/>
        <v>11.63564188951155</v>
      </c>
      <c r="M308" s="18">
        <f t="shared" si="45"/>
        <v>-1.3025809207493596E-2</v>
      </c>
      <c r="N308" s="18">
        <f t="shared" si="46"/>
        <v>5.1823864254398146E-2</v>
      </c>
      <c r="O308" s="18">
        <f t="shared" si="47"/>
        <v>57.949706097296726</v>
      </c>
      <c r="P308" s="18">
        <f t="shared" si="48"/>
        <v>3296.106847243921</v>
      </c>
      <c r="Q308" s="18">
        <f t="shared" si="49"/>
        <v>3300.254052481876</v>
      </c>
    </row>
    <row r="309" spans="1:17" ht="21" customHeight="1">
      <c r="A309" s="1" t="s">
        <v>374</v>
      </c>
      <c r="B309" s="1" t="s">
        <v>321</v>
      </c>
      <c r="C309" s="18">
        <v>57.854811606000048</v>
      </c>
      <c r="D309" s="18">
        <v>3.1325721627330498</v>
      </c>
      <c r="E309" s="18">
        <v>3596.6833327583872</v>
      </c>
      <c r="F309" s="18">
        <v>3.8554321618301355</v>
      </c>
      <c r="G309" s="18">
        <v>0</v>
      </c>
      <c r="H309" s="18">
        <f t="shared" si="40"/>
        <v>3.8554321618301355</v>
      </c>
      <c r="I309" s="18">
        <f t="shared" si="41"/>
        <v>3.1325721627330498</v>
      </c>
      <c r="J309" s="18">
        <f t="shared" si="42"/>
        <v>57.854811606000048</v>
      </c>
      <c r="K309" s="18">
        <f t="shared" si="43"/>
        <v>932.88720480328129</v>
      </c>
      <c r="L309" s="18">
        <f t="shared" si="44"/>
        <v>-21.551418592073343</v>
      </c>
      <c r="M309" s="18">
        <f t="shared" si="45"/>
        <v>2.3101848198912651E-2</v>
      </c>
      <c r="N309" s="18">
        <f t="shared" si="46"/>
        <v>8.5118790127277869E-2</v>
      </c>
      <c r="O309" s="18">
        <f t="shared" si="47"/>
        <v>57.948815095776041</v>
      </c>
      <c r="P309" s="18">
        <f t="shared" si="48"/>
        <v>3597.6431421017614</v>
      </c>
      <c r="Q309" s="18">
        <f t="shared" si="49"/>
        <v>3609.720561567216</v>
      </c>
    </row>
    <row r="310" spans="1:17" ht="21" customHeight="1">
      <c r="A310" s="1" t="s">
        <v>374</v>
      </c>
      <c r="B310" s="1" t="s">
        <v>322</v>
      </c>
      <c r="C310" s="18">
        <v>57.854811606000048</v>
      </c>
      <c r="D310" s="18">
        <v>3.1325721627330498</v>
      </c>
      <c r="E310" s="18">
        <v>3388.4005199618759</v>
      </c>
      <c r="F310" s="18">
        <v>2.3365115147320541</v>
      </c>
      <c r="G310" s="18">
        <v>1.4349562500000002</v>
      </c>
      <c r="H310" s="18">
        <f t="shared" si="40"/>
        <v>2.7419674501878282</v>
      </c>
      <c r="I310" s="18">
        <f t="shared" si="41"/>
        <v>2.6693573362635958</v>
      </c>
      <c r="J310" s="18">
        <f t="shared" si="42"/>
        <v>57.87803353373215</v>
      </c>
      <c r="K310" s="18">
        <f t="shared" si="43"/>
        <v>1235.7551945883845</v>
      </c>
      <c r="L310" s="18">
        <f t="shared" si="44"/>
        <v>-28.029102559662128</v>
      </c>
      <c r="M310" s="18">
        <f t="shared" si="45"/>
        <v>2.2681759852118843E-2</v>
      </c>
      <c r="N310" s="18">
        <f t="shared" si="46"/>
        <v>6.9517924318342791E-2</v>
      </c>
      <c r="O310" s="18">
        <f t="shared" si="47"/>
        <v>57.944841375965993</v>
      </c>
      <c r="P310" s="18">
        <f t="shared" si="48"/>
        <v>3389.2721593735091</v>
      </c>
      <c r="Q310" s="18">
        <f t="shared" si="49"/>
        <v>3396.5914503024637</v>
      </c>
    </row>
    <row r="311" spans="1:17" ht="21" customHeight="1">
      <c r="A311" s="1" t="s">
        <v>374</v>
      </c>
      <c r="B311" s="1" t="s">
        <v>323</v>
      </c>
      <c r="C311" s="18">
        <v>57.854811606000048</v>
      </c>
      <c r="D311" s="18">
        <v>3.1325721627330498</v>
      </c>
      <c r="E311" s="18">
        <v>3520.4571810392408</v>
      </c>
      <c r="F311" s="18">
        <v>1.32389775</v>
      </c>
      <c r="G311" s="18">
        <v>0</v>
      </c>
      <c r="H311" s="18">
        <f t="shared" si="40"/>
        <v>1.32389775</v>
      </c>
      <c r="I311" s="18">
        <f t="shared" si="41"/>
        <v>3.1325721627330498</v>
      </c>
      <c r="J311" s="18">
        <f t="shared" si="42"/>
        <v>57.854811606000048</v>
      </c>
      <c r="K311" s="18">
        <f t="shared" si="43"/>
        <v>2659.1609367409537</v>
      </c>
      <c r="L311" s="18">
        <f t="shared" si="44"/>
        <v>-114.98084289203268</v>
      </c>
      <c r="M311" s="18">
        <f t="shared" si="45"/>
        <v>4.3239520144633399E-2</v>
      </c>
      <c r="N311" s="18">
        <f t="shared" si="46"/>
        <v>6.4996312223907268E-2</v>
      </c>
      <c r="O311" s="18">
        <f t="shared" si="47"/>
        <v>57.94069615485823</v>
      </c>
      <c r="P311" s="18">
        <f t="shared" si="48"/>
        <v>3523.7487159536063</v>
      </c>
      <c r="Q311" s="18">
        <f t="shared" si="49"/>
        <v>3527.8959211915612</v>
      </c>
    </row>
    <row r="312" spans="1:17" ht="21" customHeight="1">
      <c r="A312" s="1" t="s">
        <v>374</v>
      </c>
      <c r="B312" s="1" t="s">
        <v>324</v>
      </c>
      <c r="C312" s="18">
        <v>57.854811606000048</v>
      </c>
      <c r="D312" s="18">
        <v>3.1325721627330498</v>
      </c>
      <c r="E312" s="18">
        <v>450.43383727867877</v>
      </c>
      <c r="F312" s="18">
        <v>1.32389775</v>
      </c>
      <c r="G312" s="18">
        <v>0</v>
      </c>
      <c r="H312" s="18">
        <f t="shared" si="40"/>
        <v>1.32389775</v>
      </c>
      <c r="I312" s="18">
        <f t="shared" si="41"/>
        <v>3.1325721627330498</v>
      </c>
      <c r="J312" s="18">
        <f t="shared" si="42"/>
        <v>57.854811606000048</v>
      </c>
      <c r="K312" s="18">
        <f t="shared" si="43"/>
        <v>340.23310129402273</v>
      </c>
      <c r="L312" s="18">
        <f t="shared" si="44"/>
        <v>10.536480314666559</v>
      </c>
      <c r="M312" s="18">
        <f t="shared" si="45"/>
        <v>-3.096841628457879E-2</v>
      </c>
      <c r="N312" s="18">
        <f t="shared" si="46"/>
        <v>0.13907621307675741</v>
      </c>
      <c r="O312" s="18">
        <f t="shared" si="47"/>
        <v>58.009183483339449</v>
      </c>
      <c r="P312" s="18">
        <f t="shared" si="48"/>
        <v>450.64984720729018</v>
      </c>
      <c r="Q312" s="18">
        <f t="shared" si="49"/>
        <v>454.79705244524513</v>
      </c>
    </row>
    <row r="313" spans="1:17" ht="21" customHeight="1">
      <c r="A313" s="1" t="s">
        <v>375</v>
      </c>
      <c r="B313" s="1" t="s">
        <v>319</v>
      </c>
      <c r="C313" s="18">
        <v>82.715246473158984</v>
      </c>
      <c r="D313" s="18">
        <v>21.526653030754822</v>
      </c>
      <c r="E313" s="18">
        <v>2204.9999999990587</v>
      </c>
      <c r="F313" s="18">
        <v>1.32389775</v>
      </c>
      <c r="G313" s="18">
        <v>0</v>
      </c>
      <c r="H313" s="18">
        <f t="shared" si="40"/>
        <v>1.32389775</v>
      </c>
      <c r="I313" s="18">
        <f t="shared" si="41"/>
        <v>21.526653030754822</v>
      </c>
      <c r="J313" s="18">
        <f t="shared" si="42"/>
        <v>82.715246473158984</v>
      </c>
      <c r="K313" s="18">
        <f t="shared" si="43"/>
        <v>1665.5364811965717</v>
      </c>
      <c r="L313" s="18">
        <f t="shared" si="44"/>
        <v>-387.30572191440342</v>
      </c>
      <c r="M313" s="18">
        <f t="shared" si="45"/>
        <v>0.23254112190694934</v>
      </c>
      <c r="N313" s="18">
        <f t="shared" si="46"/>
        <v>0.28220394671264426</v>
      </c>
      <c r="O313" s="18">
        <f t="shared" si="47"/>
        <v>85.478740770310495</v>
      </c>
      <c r="P313" s="18">
        <f t="shared" si="48"/>
        <v>2264.8872397858131</v>
      </c>
      <c r="Q313" s="18">
        <f t="shared" si="49"/>
        <v>2293.3863272982603</v>
      </c>
    </row>
    <row r="314" spans="1:17" ht="21" customHeight="1">
      <c r="A314" s="1" t="s">
        <v>375</v>
      </c>
      <c r="B314" s="1" t="s">
        <v>320</v>
      </c>
      <c r="C314" s="18">
        <v>82.715246473158984</v>
      </c>
      <c r="D314" s="18">
        <v>21.526653030754822</v>
      </c>
      <c r="E314" s="18">
        <v>3624.2515109742089</v>
      </c>
      <c r="F314" s="18">
        <v>1.32389775</v>
      </c>
      <c r="G314" s="18">
        <v>3.4438949999999999</v>
      </c>
      <c r="H314" s="18">
        <f t="shared" si="40"/>
        <v>3.6895959160157443</v>
      </c>
      <c r="I314" s="18">
        <f t="shared" si="41"/>
        <v>7.7241758070954507</v>
      </c>
      <c r="J314" s="18">
        <f t="shared" si="42"/>
        <v>85.120772423204826</v>
      </c>
      <c r="K314" s="18">
        <f t="shared" si="43"/>
        <v>982.28954971521694</v>
      </c>
      <c r="L314" s="18">
        <f t="shared" si="44"/>
        <v>-46.426575310110174</v>
      </c>
      <c r="M314" s="18">
        <f t="shared" si="45"/>
        <v>4.726363557829772E-2</v>
      </c>
      <c r="N314" s="18">
        <f t="shared" si="46"/>
        <v>0.13391911557183206</v>
      </c>
      <c r="O314" s="18">
        <f t="shared" si="47"/>
        <v>85.497040470348779</v>
      </c>
      <c r="P314" s="18">
        <f t="shared" si="48"/>
        <v>3628.3002839669866</v>
      </c>
      <c r="Q314" s="18">
        <f t="shared" si="49"/>
        <v>3656.7993714794343</v>
      </c>
    </row>
    <row r="315" spans="1:17" ht="21" customHeight="1">
      <c r="A315" s="1" t="s">
        <v>375</v>
      </c>
      <c r="B315" s="1" t="s">
        <v>321</v>
      </c>
      <c r="C315" s="18">
        <v>82.715246473158984</v>
      </c>
      <c r="D315" s="18">
        <v>21.526653030754822</v>
      </c>
      <c r="E315" s="18">
        <v>3770.5256967869627</v>
      </c>
      <c r="F315" s="18">
        <v>3.8554321618301355</v>
      </c>
      <c r="G315" s="18">
        <v>0</v>
      </c>
      <c r="H315" s="18">
        <f t="shared" si="40"/>
        <v>3.8554321618301355</v>
      </c>
      <c r="I315" s="18">
        <f t="shared" si="41"/>
        <v>21.526653030754822</v>
      </c>
      <c r="J315" s="18">
        <f t="shared" si="42"/>
        <v>82.715246473158984</v>
      </c>
      <c r="K315" s="18">
        <f t="shared" si="43"/>
        <v>977.97744546415038</v>
      </c>
      <c r="L315" s="18">
        <f t="shared" si="44"/>
        <v>-210.29882001896783</v>
      </c>
      <c r="M315" s="18">
        <f t="shared" si="45"/>
        <v>0.21503442742399803</v>
      </c>
      <c r="N315" s="18">
        <f t="shared" si="46"/>
        <v>0.29961229458933142</v>
      </c>
      <c r="O315" s="18">
        <f t="shared" si="47"/>
        <v>85.494375777151745</v>
      </c>
      <c r="P315" s="18">
        <f t="shared" si="48"/>
        <v>3858.0363111842948</v>
      </c>
      <c r="Q315" s="18">
        <f t="shared" si="49"/>
        <v>3941.0308616156249</v>
      </c>
    </row>
    <row r="316" spans="1:17" ht="21" customHeight="1">
      <c r="A316" s="1" t="s">
        <v>375</v>
      </c>
      <c r="B316" s="1" t="s">
        <v>322</v>
      </c>
      <c r="C316" s="18">
        <v>82.715246473158984</v>
      </c>
      <c r="D316" s="18">
        <v>21.526653030754822</v>
      </c>
      <c r="E316" s="18">
        <v>3483.854065266517</v>
      </c>
      <c r="F316" s="18">
        <v>2.3365115147320541</v>
      </c>
      <c r="G316" s="18">
        <v>1.4349562500000002</v>
      </c>
      <c r="H316" s="18">
        <f t="shared" si="40"/>
        <v>2.7419674501878282</v>
      </c>
      <c r="I316" s="18">
        <f t="shared" si="41"/>
        <v>18.343497358641105</v>
      </c>
      <c r="J316" s="18">
        <f t="shared" si="42"/>
        <v>83.478888914955462</v>
      </c>
      <c r="K316" s="18">
        <f t="shared" si="43"/>
        <v>1270.5672582028167</v>
      </c>
      <c r="L316" s="18">
        <f t="shared" si="44"/>
        <v>-235.20429308191942</v>
      </c>
      <c r="M316" s="18">
        <f t="shared" si="45"/>
        <v>0.18511754616958223</v>
      </c>
      <c r="N316" s="18">
        <f t="shared" si="46"/>
        <v>0.250819608280827</v>
      </c>
      <c r="O316" s="18">
        <f t="shared" si="47"/>
        <v>85.485180063763138</v>
      </c>
      <c r="P316" s="18">
        <f t="shared" si="48"/>
        <v>3543.7179634048025</v>
      </c>
      <c r="Q316" s="18">
        <f t="shared" si="49"/>
        <v>3594.0152360848024</v>
      </c>
    </row>
    <row r="317" spans="1:17" ht="21" customHeight="1">
      <c r="A317" s="1" t="s">
        <v>375</v>
      </c>
      <c r="B317" s="1" t="s">
        <v>323</v>
      </c>
      <c r="C317" s="18">
        <v>82.715246473158984</v>
      </c>
      <c r="D317" s="18">
        <v>21.526653030754822</v>
      </c>
      <c r="E317" s="18">
        <v>3404.5471033515296</v>
      </c>
      <c r="F317" s="18">
        <v>1.32389775</v>
      </c>
      <c r="G317" s="18">
        <v>0</v>
      </c>
      <c r="H317" s="18">
        <f t="shared" si="40"/>
        <v>1.32389775</v>
      </c>
      <c r="I317" s="18">
        <f t="shared" si="41"/>
        <v>21.526653030754822</v>
      </c>
      <c r="J317" s="18">
        <f t="shared" si="42"/>
        <v>82.715246473158984</v>
      </c>
      <c r="K317" s="18">
        <f t="shared" si="43"/>
        <v>2571.6087993589608</v>
      </c>
      <c r="L317" s="18">
        <f t="shared" si="44"/>
        <v>-620.54248747378506</v>
      </c>
      <c r="M317" s="18">
        <f t="shared" si="45"/>
        <v>0.24130516571123536</v>
      </c>
      <c r="N317" s="18">
        <f t="shared" si="46"/>
        <v>0.27346995162026549</v>
      </c>
      <c r="O317" s="18">
        <f t="shared" si="47"/>
        <v>85.473964885529242</v>
      </c>
      <c r="P317" s="18">
        <f t="shared" si="48"/>
        <v>3504.149299957644</v>
      </c>
      <c r="Q317" s="18">
        <f t="shared" si="49"/>
        <v>3532.6483874700912</v>
      </c>
    </row>
    <row r="318" spans="1:17" ht="21" customHeight="1">
      <c r="A318" s="1" t="s">
        <v>375</v>
      </c>
      <c r="B318" s="1" t="s">
        <v>324</v>
      </c>
      <c r="C318" s="18">
        <v>82.715246473158984</v>
      </c>
      <c r="D318" s="18">
        <v>21.526653030754822</v>
      </c>
      <c r="E318" s="18">
        <v>604.39522878794628</v>
      </c>
      <c r="F318" s="18">
        <v>1.32389775</v>
      </c>
      <c r="G318" s="18">
        <v>0</v>
      </c>
      <c r="H318" s="18">
        <f t="shared" si="40"/>
        <v>1.32389775</v>
      </c>
      <c r="I318" s="18">
        <f t="shared" si="41"/>
        <v>21.526653030754822</v>
      </c>
      <c r="J318" s="18">
        <f t="shared" si="42"/>
        <v>82.715246473158984</v>
      </c>
      <c r="K318" s="18">
        <f t="shared" si="43"/>
        <v>456.52712136412822</v>
      </c>
      <c r="L318" s="18">
        <f t="shared" si="44"/>
        <v>-75.994605260447088</v>
      </c>
      <c r="M318" s="18">
        <f t="shared" si="45"/>
        <v>0.16646241089329156</v>
      </c>
      <c r="N318" s="18">
        <f t="shared" si="46"/>
        <v>0.34764605278953037</v>
      </c>
      <c r="O318" s="18">
        <f t="shared" si="47"/>
        <v>85.580055628431722</v>
      </c>
      <c r="P318" s="18">
        <f t="shared" si="48"/>
        <v>612.78839859026459</v>
      </c>
      <c r="Q318" s="18">
        <f t="shared" si="49"/>
        <v>641.28748610271168</v>
      </c>
    </row>
    <row r="319" spans="1:17" ht="21" customHeight="1">
      <c r="A319" s="1" t="s">
        <v>376</v>
      </c>
      <c r="B319" s="1" t="s">
        <v>319</v>
      </c>
      <c r="C319" s="18">
        <v>48.000551882174904</v>
      </c>
      <c r="D319" s="18">
        <v>1.8935523079138878</v>
      </c>
      <c r="E319" s="18">
        <v>2204.9999999993106</v>
      </c>
      <c r="F319" s="18">
        <v>1.32389775</v>
      </c>
      <c r="G319" s="18">
        <v>0</v>
      </c>
      <c r="H319" s="18">
        <f t="shared" si="40"/>
        <v>1.32389775</v>
      </c>
      <c r="I319" s="18">
        <f t="shared" si="41"/>
        <v>1.8935523079138878</v>
      </c>
      <c r="J319" s="18">
        <f t="shared" si="42"/>
        <v>48.000551882174904</v>
      </c>
      <c r="K319" s="18">
        <f t="shared" si="43"/>
        <v>1665.536481196762</v>
      </c>
      <c r="L319" s="18">
        <f t="shared" si="44"/>
        <v>-41.683426839252704</v>
      </c>
      <c r="M319" s="18">
        <f t="shared" si="45"/>
        <v>2.5027027213058287E-2</v>
      </c>
      <c r="N319" s="18">
        <f t="shared" si="46"/>
        <v>5.3846901424209982E-2</v>
      </c>
      <c r="O319" s="18">
        <f t="shared" si="47"/>
        <v>48.039546227741688</v>
      </c>
      <c r="P319" s="18">
        <f t="shared" si="48"/>
        <v>2205.6905892246455</v>
      </c>
      <c r="Q319" s="18">
        <f t="shared" si="49"/>
        <v>2208.1974588645994</v>
      </c>
    </row>
    <row r="320" spans="1:17" ht="21" customHeight="1">
      <c r="A320" s="1" t="s">
        <v>376</v>
      </c>
      <c r="B320" s="1" t="s">
        <v>320</v>
      </c>
      <c r="C320" s="18">
        <v>48.000551882174904</v>
      </c>
      <c r="D320" s="18">
        <v>1.8935523079138878</v>
      </c>
      <c r="E320" s="18">
        <v>3197.7680430193905</v>
      </c>
      <c r="F320" s="18">
        <v>1.32389775</v>
      </c>
      <c r="G320" s="18">
        <v>3.4438949999999999</v>
      </c>
      <c r="H320" s="18">
        <f t="shared" si="40"/>
        <v>3.6895959160157443</v>
      </c>
      <c r="I320" s="18">
        <f t="shared" si="41"/>
        <v>0.6794428704435409</v>
      </c>
      <c r="J320" s="18">
        <f t="shared" si="42"/>
        <v>48.033081087121339</v>
      </c>
      <c r="K320" s="18">
        <f t="shared" si="43"/>
        <v>866.69871601347063</v>
      </c>
      <c r="L320" s="18">
        <f t="shared" si="44"/>
        <v>11.758795133417856</v>
      </c>
      <c r="M320" s="18">
        <f t="shared" si="45"/>
        <v>-1.3567338818158692E-2</v>
      </c>
      <c r="N320" s="18">
        <f t="shared" si="46"/>
        <v>4.1853397591902847E-2</v>
      </c>
      <c r="O320" s="18">
        <f t="shared" si="47"/>
        <v>48.044033082970131</v>
      </c>
      <c r="P320" s="18">
        <f t="shared" si="48"/>
        <v>3198.0623584049836</v>
      </c>
      <c r="Q320" s="18">
        <f t="shared" si="49"/>
        <v>3200.569228044938</v>
      </c>
    </row>
    <row r="321" spans="1:17" ht="21" customHeight="1">
      <c r="A321" s="1" t="s">
        <v>376</v>
      </c>
      <c r="B321" s="1" t="s">
        <v>321</v>
      </c>
      <c r="C321" s="18">
        <v>48.000551882174904</v>
      </c>
      <c r="D321" s="18">
        <v>1.8935523079138878</v>
      </c>
      <c r="E321" s="18">
        <v>3510.2433911435292</v>
      </c>
      <c r="F321" s="18">
        <v>3.8554321618301355</v>
      </c>
      <c r="G321" s="18">
        <v>0</v>
      </c>
      <c r="H321" s="18">
        <f t="shared" si="40"/>
        <v>3.8554321618301355</v>
      </c>
      <c r="I321" s="18">
        <f t="shared" si="41"/>
        <v>1.8935523079138878</v>
      </c>
      <c r="J321" s="18">
        <f t="shared" si="42"/>
        <v>48.000551882174904</v>
      </c>
      <c r="K321" s="18">
        <f t="shared" si="43"/>
        <v>910.46690586231227</v>
      </c>
      <c r="L321" s="18">
        <f t="shared" si="44"/>
        <v>-11.902860936357698</v>
      </c>
      <c r="M321" s="18">
        <f t="shared" si="45"/>
        <v>1.3073359239877456E-2</v>
      </c>
      <c r="N321" s="18">
        <f t="shared" si="46"/>
        <v>6.5794168280940951E-2</v>
      </c>
      <c r="O321" s="18">
        <f t="shared" si="47"/>
        <v>48.043441216531754</v>
      </c>
      <c r="P321" s="18">
        <f t="shared" si="48"/>
        <v>3510.5433680420883</v>
      </c>
      <c r="Q321" s="18">
        <f t="shared" si="49"/>
        <v>3517.8438305101272</v>
      </c>
    </row>
    <row r="322" spans="1:17" ht="21" customHeight="1">
      <c r="A322" s="1" t="s">
        <v>376</v>
      </c>
      <c r="B322" s="1" t="s">
        <v>322</v>
      </c>
      <c r="C322" s="18">
        <v>48.000551882174904</v>
      </c>
      <c r="D322" s="18">
        <v>1.8935523079138878</v>
      </c>
      <c r="E322" s="18">
        <v>3353.4236854131741</v>
      </c>
      <c r="F322" s="18">
        <v>2.3365115147320541</v>
      </c>
      <c r="G322" s="18">
        <v>1.4349562500000002</v>
      </c>
      <c r="H322" s="18">
        <f t="shared" si="40"/>
        <v>2.7419674501878282</v>
      </c>
      <c r="I322" s="18">
        <f t="shared" si="41"/>
        <v>1.6135518935081394</v>
      </c>
      <c r="J322" s="18">
        <f t="shared" si="42"/>
        <v>48.010779743960903</v>
      </c>
      <c r="K322" s="18">
        <f t="shared" si="43"/>
        <v>1222.9990859969764</v>
      </c>
      <c r="L322" s="18">
        <f t="shared" si="44"/>
        <v>-17.086934906530981</v>
      </c>
      <c r="M322" s="18">
        <f t="shared" si="45"/>
        <v>1.3971339064903622E-2</v>
      </c>
      <c r="N322" s="18">
        <f t="shared" si="46"/>
        <v>5.32279340155229E-2</v>
      </c>
      <c r="O322" s="18">
        <f t="shared" si="47"/>
        <v>48.040967484688849</v>
      </c>
      <c r="P322" s="18">
        <f t="shared" si="48"/>
        <v>3353.7509820639857</v>
      </c>
      <c r="Q322" s="18">
        <f t="shared" si="49"/>
        <v>3358.1752888351739</v>
      </c>
    </row>
    <row r="323" spans="1:17" ht="21" customHeight="1">
      <c r="A323" s="1" t="s">
        <v>376</v>
      </c>
      <c r="B323" s="1" t="s">
        <v>323</v>
      </c>
      <c r="C323" s="18">
        <v>48.000551882174904</v>
      </c>
      <c r="D323" s="18">
        <v>1.8935523079138878</v>
      </c>
      <c r="E323" s="18">
        <v>3549.6588990745677</v>
      </c>
      <c r="F323" s="18">
        <v>1.32389775</v>
      </c>
      <c r="G323" s="18">
        <v>0</v>
      </c>
      <c r="H323" s="18">
        <f t="shared" si="40"/>
        <v>1.32389775</v>
      </c>
      <c r="I323" s="18">
        <f t="shared" si="41"/>
        <v>1.8935523079138878</v>
      </c>
      <c r="J323" s="18">
        <f t="shared" si="42"/>
        <v>48.000551882174904</v>
      </c>
      <c r="K323" s="18">
        <f t="shared" si="43"/>
        <v>2681.218318464978</v>
      </c>
      <c r="L323" s="18">
        <f t="shared" si="44"/>
        <v>-81.741081383653068</v>
      </c>
      <c r="M323" s="18">
        <f t="shared" si="45"/>
        <v>3.0486544426733063E-2</v>
      </c>
      <c r="N323" s="18">
        <f t="shared" si="46"/>
        <v>4.8389059694365452E-2</v>
      </c>
      <c r="O323" s="18">
        <f t="shared" si="47"/>
        <v>48.038526823985698</v>
      </c>
      <c r="P323" s="18">
        <f t="shared" si="48"/>
        <v>3551.3086054969926</v>
      </c>
      <c r="Q323" s="18">
        <f t="shared" si="49"/>
        <v>3553.8154751369475</v>
      </c>
    </row>
    <row r="324" spans="1:17" ht="21" customHeight="1">
      <c r="A324" s="1" t="s">
        <v>376</v>
      </c>
      <c r="B324" s="1" t="s">
        <v>324</v>
      </c>
      <c r="C324" s="18">
        <v>48.000551882174904</v>
      </c>
      <c r="D324" s="18">
        <v>1.8935523079138878</v>
      </c>
      <c r="E324" s="18">
        <v>380.05631773083212</v>
      </c>
      <c r="F324" s="18">
        <v>1.32389775</v>
      </c>
      <c r="G324" s="18">
        <v>0</v>
      </c>
      <c r="H324" s="18">
        <f t="shared" si="40"/>
        <v>1.32389775</v>
      </c>
      <c r="I324" s="18">
        <f t="shared" si="41"/>
        <v>1.8935523079138878</v>
      </c>
      <c r="J324" s="18">
        <f t="shared" si="42"/>
        <v>48.000551882174904</v>
      </c>
      <c r="K324" s="18">
        <f t="shared" si="43"/>
        <v>287.0737696554225</v>
      </c>
      <c r="L324" s="18">
        <f t="shared" si="44"/>
        <v>12.691737589498413</v>
      </c>
      <c r="M324" s="18">
        <f t="shared" si="45"/>
        <v>-4.4210718397338887E-2</v>
      </c>
      <c r="N324" s="18">
        <f t="shared" si="46"/>
        <v>0.12299561306161133</v>
      </c>
      <c r="O324" s="18">
        <f t="shared" si="47"/>
        <v>48.093778991956995</v>
      </c>
      <c r="P324" s="18">
        <f t="shared" si="48"/>
        <v>380.42780492060712</v>
      </c>
      <c r="Q324" s="18">
        <f t="shared" si="49"/>
        <v>382.93467456056163</v>
      </c>
    </row>
    <row r="325" spans="1:17" ht="21" customHeight="1">
      <c r="A325" s="1" t="s">
        <v>377</v>
      </c>
      <c r="B325" s="1" t="s">
        <v>319</v>
      </c>
      <c r="C325" s="18">
        <v>48.000551882197513</v>
      </c>
      <c r="D325" s="18">
        <v>-1.292585454038635</v>
      </c>
      <c r="E325" s="18">
        <v>2204.9999999999991</v>
      </c>
      <c r="F325" s="18">
        <v>1.32389775</v>
      </c>
      <c r="G325" s="18">
        <v>0</v>
      </c>
      <c r="H325" s="18">
        <f t="shared" si="40"/>
        <v>1.32389775</v>
      </c>
      <c r="I325" s="18">
        <f t="shared" si="41"/>
        <v>-1.292585454038635</v>
      </c>
      <c r="J325" s="18">
        <f t="shared" si="42"/>
        <v>48.000551882197513</v>
      </c>
      <c r="K325" s="18">
        <f t="shared" si="43"/>
        <v>1665.5364811972822</v>
      </c>
      <c r="L325" s="18">
        <f t="shared" si="44"/>
        <v>68.843794698575323</v>
      </c>
      <c r="M325" s="18">
        <f t="shared" si="45"/>
        <v>-4.1334306078415345E-2</v>
      </c>
      <c r="N325" s="18">
        <f t="shared" si="46"/>
        <v>-1.2514431867259073E-2</v>
      </c>
      <c r="O325" s="18">
        <f t="shared" si="47"/>
        <v>48.01961306156776</v>
      </c>
      <c r="P325" s="18">
        <f t="shared" si="48"/>
        <v>2206.8839168606823</v>
      </c>
      <c r="Q325" s="18">
        <f t="shared" si="49"/>
        <v>2205.1726658863981</v>
      </c>
    </row>
    <row r="326" spans="1:17" ht="21" customHeight="1">
      <c r="A326" s="1" t="s">
        <v>377</v>
      </c>
      <c r="B326" s="1" t="s">
        <v>320</v>
      </c>
      <c r="C326" s="18">
        <v>48.000551882197513</v>
      </c>
      <c r="D326" s="18">
        <v>-1.292585454038635</v>
      </c>
      <c r="E326" s="18">
        <v>3196.9054008008552</v>
      </c>
      <c r="F326" s="18">
        <v>1.32389775</v>
      </c>
      <c r="G326" s="18">
        <v>3.4438949999999999</v>
      </c>
      <c r="H326" s="18">
        <f t="shared" si="40"/>
        <v>3.6895959160157443</v>
      </c>
      <c r="I326" s="18">
        <f t="shared" si="41"/>
        <v>-0.46380444179708241</v>
      </c>
      <c r="J326" s="18">
        <f t="shared" si="42"/>
        <v>48.015712465726224</v>
      </c>
      <c r="K326" s="18">
        <f t="shared" si="43"/>
        <v>866.46491203109122</v>
      </c>
      <c r="L326" s="18">
        <f t="shared" si="44"/>
        <v>32.376212990066527</v>
      </c>
      <c r="M326" s="18">
        <f t="shared" si="45"/>
        <v>-3.7365867377333307E-2</v>
      </c>
      <c r="N326" s="18">
        <f t="shared" si="46"/>
        <v>1.8049778194709525E-2</v>
      </c>
      <c r="O326" s="18">
        <f t="shared" si="47"/>
        <v>48.024096204167854</v>
      </c>
      <c r="P326" s="18">
        <f t="shared" si="48"/>
        <v>3199.137433000797</v>
      </c>
      <c r="Q326" s="18">
        <f t="shared" si="49"/>
        <v>3197.4261820265124</v>
      </c>
    </row>
    <row r="327" spans="1:17" ht="21" customHeight="1">
      <c r="A327" s="1" t="s">
        <v>377</v>
      </c>
      <c r="B327" s="1" t="s">
        <v>321</v>
      </c>
      <c r="C327" s="18">
        <v>48.000551882197513</v>
      </c>
      <c r="D327" s="18">
        <v>-1.292585454038635</v>
      </c>
      <c r="E327" s="18">
        <v>3510.8665322674824</v>
      </c>
      <c r="F327" s="18">
        <v>3.8554321618301355</v>
      </c>
      <c r="G327" s="18">
        <v>0</v>
      </c>
      <c r="H327" s="18">
        <f t="shared" ref="H327:H390" si="50">SQRT(F327^2+G327^2)</f>
        <v>3.8554321618301355</v>
      </c>
      <c r="I327" s="18">
        <f t="shared" ref="I327:I390" si="51">D327*F327/H327</f>
        <v>-1.292585454038635</v>
      </c>
      <c r="J327" s="18">
        <f t="shared" ref="J327:J390" si="52">SQRT(C327^2+D327^2-I327^2)</f>
        <v>48.000551882197513</v>
      </c>
      <c r="K327" s="18">
        <f t="shared" ref="K327:K390" si="53">E327/H327</f>
        <v>910.62853265220178</v>
      </c>
      <c r="L327" s="18">
        <f t="shared" ref="L327:L390" si="54">J327/2-K327*ASINH(I327/(2*K327*SINH(J327/(2*K327))))</f>
        <v>48.516385210214963</v>
      </c>
      <c r="M327" s="18">
        <f t="shared" ref="M327:M390" si="55">-L327/K327</f>
        <v>-5.3277910224173622E-2</v>
      </c>
      <c r="N327" s="18">
        <f t="shared" ref="N327:N390" si="56">(J327-L327)/K327</f>
        <v>-5.6645856078667766E-4</v>
      </c>
      <c r="O327" s="18">
        <f t="shared" ref="O327:O390" si="57">K327*(SINH(N327)-SINH(M327))</f>
        <v>48.023507694470922</v>
      </c>
      <c r="P327" s="18">
        <f t="shared" ref="P327:P390" si="58">E327*COSH(M327)</f>
        <v>3515.8505710740897</v>
      </c>
      <c r="Q327" s="18">
        <f t="shared" ref="Q327:Q390" si="59">E327*COSH(N327)</f>
        <v>3510.8670955426746</v>
      </c>
    </row>
    <row r="328" spans="1:17" ht="21" customHeight="1">
      <c r="A328" s="1" t="s">
        <v>377</v>
      </c>
      <c r="B328" s="1" t="s">
        <v>322</v>
      </c>
      <c r="C328" s="18">
        <v>48.000551882197513</v>
      </c>
      <c r="D328" s="18">
        <v>-1.292585454038635</v>
      </c>
      <c r="E328" s="18">
        <v>3353.4964528769997</v>
      </c>
      <c r="F328" s="18">
        <v>2.3365115147320541</v>
      </c>
      <c r="G328" s="18">
        <v>1.4349562500000002</v>
      </c>
      <c r="H328" s="18">
        <f t="shared" si="50"/>
        <v>2.7419674501878282</v>
      </c>
      <c r="I328" s="18">
        <f t="shared" si="51"/>
        <v>-1.1014502732078557</v>
      </c>
      <c r="J328" s="18">
        <f t="shared" si="52"/>
        <v>48.00531809546915</v>
      </c>
      <c r="K328" s="18">
        <f t="shared" si="53"/>
        <v>1223.0256244096847</v>
      </c>
      <c r="L328" s="18">
        <f t="shared" si="54"/>
        <v>52.059910715844936</v>
      </c>
      <c r="M328" s="18">
        <f t="shared" si="55"/>
        <v>-4.2566492211455163E-2</v>
      </c>
      <c r="N328" s="18">
        <f t="shared" si="56"/>
        <v>-3.3152147751056384E-3</v>
      </c>
      <c r="O328" s="18">
        <f t="shared" si="57"/>
        <v>48.021033372379833</v>
      </c>
      <c r="P328" s="18">
        <f t="shared" si="58"/>
        <v>3356.5350222422412</v>
      </c>
      <c r="Q328" s="18">
        <f t="shared" si="59"/>
        <v>3353.5148814451049</v>
      </c>
    </row>
    <row r="329" spans="1:17" ht="21" customHeight="1">
      <c r="A329" s="1" t="s">
        <v>377</v>
      </c>
      <c r="B329" s="1" t="s">
        <v>323</v>
      </c>
      <c r="C329" s="18">
        <v>48.000551882197513</v>
      </c>
      <c r="D329" s="18">
        <v>-1.292585454038635</v>
      </c>
      <c r="E329" s="18">
        <v>3550.1521249623129</v>
      </c>
      <c r="F329" s="18">
        <v>1.32389775</v>
      </c>
      <c r="G329" s="18">
        <v>0</v>
      </c>
      <c r="H329" s="18">
        <f t="shared" si="50"/>
        <v>1.32389775</v>
      </c>
      <c r="I329" s="18">
        <f t="shared" si="51"/>
        <v>-1.292585454038635</v>
      </c>
      <c r="J329" s="18">
        <f t="shared" si="52"/>
        <v>48.000551882197513</v>
      </c>
      <c r="K329" s="18">
        <f t="shared" si="53"/>
        <v>2681.590874342307</v>
      </c>
      <c r="L329" s="18">
        <f t="shared" si="54"/>
        <v>96.201952483815461</v>
      </c>
      <c r="M329" s="18">
        <f t="shared" si="55"/>
        <v>-3.5874955200766848E-2</v>
      </c>
      <c r="N329" s="18">
        <f t="shared" si="56"/>
        <v>-1.7974927145976333E-2</v>
      </c>
      <c r="O329" s="18">
        <f t="shared" si="57"/>
        <v>48.018593056607486</v>
      </c>
      <c r="P329" s="18">
        <f t="shared" si="58"/>
        <v>3552.4369149149043</v>
      </c>
      <c r="Q329" s="18">
        <f t="shared" si="59"/>
        <v>3550.7256639406196</v>
      </c>
    </row>
    <row r="330" spans="1:17" ht="21" customHeight="1">
      <c r="A330" s="1" t="s">
        <v>377</v>
      </c>
      <c r="B330" s="1" t="s">
        <v>324</v>
      </c>
      <c r="C330" s="18">
        <v>48.000551882197513</v>
      </c>
      <c r="D330" s="18">
        <v>-1.292585454038635</v>
      </c>
      <c r="E330" s="18">
        <v>380.16318201432648</v>
      </c>
      <c r="F330" s="18">
        <v>1.32389775</v>
      </c>
      <c r="G330" s="18">
        <v>0</v>
      </c>
      <c r="H330" s="18">
        <f t="shared" si="50"/>
        <v>1.32389775</v>
      </c>
      <c r="I330" s="18">
        <f t="shared" si="51"/>
        <v>-1.292585454038635</v>
      </c>
      <c r="J330" s="18">
        <f t="shared" si="52"/>
        <v>48.000551882197513</v>
      </c>
      <c r="K330" s="18">
        <f t="shared" si="53"/>
        <v>287.15448909428727</v>
      </c>
      <c r="L330" s="18">
        <f t="shared" si="54"/>
        <v>31.723004629872918</v>
      </c>
      <c r="M330" s="18">
        <f t="shared" si="55"/>
        <v>-0.11047365036824014</v>
      </c>
      <c r="N330" s="18">
        <f t="shared" si="56"/>
        <v>5.66856792093536E-2</v>
      </c>
      <c r="O330" s="18">
        <f t="shared" si="57"/>
        <v>48.073836870067119</v>
      </c>
      <c r="P330" s="18">
        <f t="shared" si="58"/>
        <v>382.4853793136021</v>
      </c>
      <c r="Q330" s="18">
        <f t="shared" si="59"/>
        <v>380.7741283393176</v>
      </c>
    </row>
    <row r="331" spans="1:17" ht="21" customHeight="1">
      <c r="A331" s="1" t="s">
        <v>378</v>
      </c>
      <c r="B331" s="1" t="s">
        <v>319</v>
      </c>
      <c r="C331" s="18">
        <v>74.462165003225365</v>
      </c>
      <c r="D331" s="18">
        <v>10.549305122043643</v>
      </c>
      <c r="E331" s="18">
        <v>2204.9999999984648</v>
      </c>
      <c r="F331" s="18">
        <v>1.32389775</v>
      </c>
      <c r="G331" s="18">
        <v>0</v>
      </c>
      <c r="H331" s="18">
        <f t="shared" si="50"/>
        <v>1.32389775</v>
      </c>
      <c r="I331" s="18">
        <f t="shared" si="51"/>
        <v>10.549305122043643</v>
      </c>
      <c r="J331" s="18">
        <f t="shared" si="52"/>
        <v>74.462165003225365</v>
      </c>
      <c r="K331" s="18">
        <f t="shared" si="53"/>
        <v>1665.5364811961231</v>
      </c>
      <c r="L331" s="18">
        <f t="shared" si="54"/>
        <v>-197.92931056895497</v>
      </c>
      <c r="M331" s="18">
        <f t="shared" si="55"/>
        <v>0.11883817184647309</v>
      </c>
      <c r="N331" s="18">
        <f t="shared" si="56"/>
        <v>0.16354578758704791</v>
      </c>
      <c r="O331" s="18">
        <f t="shared" si="57"/>
        <v>75.211870416114081</v>
      </c>
      <c r="P331" s="18">
        <f t="shared" si="58"/>
        <v>2220.5884011397129</v>
      </c>
      <c r="Q331" s="18">
        <f t="shared" si="59"/>
        <v>2234.5546024548494</v>
      </c>
    </row>
    <row r="332" spans="1:17" ht="21" customHeight="1">
      <c r="A332" s="1" t="s">
        <v>378</v>
      </c>
      <c r="B332" s="1" t="s">
        <v>320</v>
      </c>
      <c r="C332" s="18">
        <v>74.462165003225365</v>
      </c>
      <c r="D332" s="18">
        <v>10.549305122043643</v>
      </c>
      <c r="E332" s="18">
        <v>3483.3580103850154</v>
      </c>
      <c r="F332" s="18">
        <v>1.32389775</v>
      </c>
      <c r="G332" s="18">
        <v>3.4438949999999999</v>
      </c>
      <c r="H332" s="18">
        <f t="shared" si="50"/>
        <v>3.6895959160157443</v>
      </c>
      <c r="I332" s="18">
        <f t="shared" si="51"/>
        <v>3.7852929244941893</v>
      </c>
      <c r="J332" s="18">
        <f t="shared" si="52"/>
        <v>75.110408153606187</v>
      </c>
      <c r="K332" s="18">
        <f t="shared" si="53"/>
        <v>944.10284748649724</v>
      </c>
      <c r="L332" s="18">
        <f t="shared" si="54"/>
        <v>-9.9915180104868</v>
      </c>
      <c r="M332" s="18">
        <f t="shared" si="55"/>
        <v>1.0583082168523701E-2</v>
      </c>
      <c r="N332" s="18">
        <f t="shared" si="56"/>
        <v>9.0140524828053903E-2</v>
      </c>
      <c r="O332" s="18">
        <f t="shared" si="57"/>
        <v>75.225515119750298</v>
      </c>
      <c r="P332" s="18">
        <f t="shared" si="58"/>
        <v>3483.5530830900689</v>
      </c>
      <c r="Q332" s="18">
        <f t="shared" si="59"/>
        <v>3497.5192844052058</v>
      </c>
    </row>
    <row r="333" spans="1:17" ht="21" customHeight="1">
      <c r="A333" s="1" t="s">
        <v>378</v>
      </c>
      <c r="B333" s="1" t="s">
        <v>321</v>
      </c>
      <c r="C333" s="18">
        <v>74.462165003225365</v>
      </c>
      <c r="D333" s="18">
        <v>10.549305122043643</v>
      </c>
      <c r="E333" s="18">
        <v>3736.0365094967483</v>
      </c>
      <c r="F333" s="18">
        <v>3.8554321618301355</v>
      </c>
      <c r="G333" s="18">
        <v>0</v>
      </c>
      <c r="H333" s="18">
        <f t="shared" si="50"/>
        <v>3.8554321618301355</v>
      </c>
      <c r="I333" s="18">
        <f t="shared" si="51"/>
        <v>10.549305122043643</v>
      </c>
      <c r="J333" s="18">
        <f t="shared" si="52"/>
        <v>74.462165003225365</v>
      </c>
      <c r="K333" s="18">
        <f t="shared" si="53"/>
        <v>969.0318368157433</v>
      </c>
      <c r="L333" s="18">
        <f t="shared" si="54"/>
        <v>-99.56632419056757</v>
      </c>
      <c r="M333" s="18">
        <f t="shared" si="55"/>
        <v>0.10274824872394736</v>
      </c>
      <c r="N333" s="18">
        <f t="shared" si="56"/>
        <v>0.17959006358929736</v>
      </c>
      <c r="O333" s="18">
        <f t="shared" si="57"/>
        <v>75.223870212176692</v>
      </c>
      <c r="P333" s="18">
        <f t="shared" si="58"/>
        <v>3755.7749127331795</v>
      </c>
      <c r="Q333" s="18">
        <f t="shared" si="59"/>
        <v>3796.4470429856665</v>
      </c>
    </row>
    <row r="334" spans="1:17" ht="21" customHeight="1">
      <c r="A334" s="1" t="s">
        <v>378</v>
      </c>
      <c r="B334" s="1" t="s">
        <v>322</v>
      </c>
      <c r="C334" s="18">
        <v>74.462165003225365</v>
      </c>
      <c r="D334" s="18">
        <v>10.549305122043643</v>
      </c>
      <c r="E334" s="18">
        <v>3452.3088050642991</v>
      </c>
      <c r="F334" s="18">
        <v>2.3365115147320541</v>
      </c>
      <c r="G334" s="18">
        <v>1.4349562500000002</v>
      </c>
      <c r="H334" s="18">
        <f t="shared" si="50"/>
        <v>2.7419674501878282</v>
      </c>
      <c r="I334" s="18">
        <f t="shared" si="51"/>
        <v>8.9893747237547821</v>
      </c>
      <c r="J334" s="18">
        <f t="shared" si="52"/>
        <v>74.666545370744558</v>
      </c>
      <c r="K334" s="18">
        <f t="shared" si="53"/>
        <v>1259.0626503709268</v>
      </c>
      <c r="L334" s="18">
        <f t="shared" si="54"/>
        <v>-113.86394850974717</v>
      </c>
      <c r="M334" s="18">
        <f t="shared" si="55"/>
        <v>9.0435490621695619E-2</v>
      </c>
      <c r="N334" s="18">
        <f t="shared" si="56"/>
        <v>0.14973877100154598</v>
      </c>
      <c r="O334" s="18">
        <f t="shared" si="57"/>
        <v>75.21659363287651</v>
      </c>
      <c r="P334" s="18">
        <f t="shared" si="58"/>
        <v>3466.4359177950109</v>
      </c>
      <c r="Q334" s="18">
        <f t="shared" si="59"/>
        <v>3491.084490685088</v>
      </c>
    </row>
    <row r="335" spans="1:17" ht="21" customHeight="1">
      <c r="A335" s="1" t="s">
        <v>378</v>
      </c>
      <c r="B335" s="1" t="s">
        <v>323</v>
      </c>
      <c r="C335" s="18">
        <v>74.462165003225365</v>
      </c>
      <c r="D335" s="18">
        <v>10.549305122043643</v>
      </c>
      <c r="E335" s="18">
        <v>3454.9716659778651</v>
      </c>
      <c r="F335" s="18">
        <v>1.32389775</v>
      </c>
      <c r="G335" s="18">
        <v>0</v>
      </c>
      <c r="H335" s="18">
        <f t="shared" si="50"/>
        <v>1.32389775</v>
      </c>
      <c r="I335" s="18">
        <f t="shared" si="51"/>
        <v>10.549305122043643</v>
      </c>
      <c r="J335" s="18">
        <f t="shared" si="52"/>
        <v>74.462165003225365</v>
      </c>
      <c r="K335" s="18">
        <f t="shared" si="53"/>
        <v>2609.6967579088832</v>
      </c>
      <c r="L335" s="18">
        <f t="shared" si="54"/>
        <v>-331.25523699907126</v>
      </c>
      <c r="M335" s="18">
        <f t="shared" si="55"/>
        <v>0.12693246293661409</v>
      </c>
      <c r="N335" s="18">
        <f t="shared" si="56"/>
        <v>0.15546534315634158</v>
      </c>
      <c r="O335" s="18">
        <f t="shared" si="57"/>
        <v>75.208231153633363</v>
      </c>
      <c r="P335" s="18">
        <f t="shared" si="58"/>
        <v>3482.842049010324</v>
      </c>
      <c r="Q335" s="18">
        <f t="shared" si="59"/>
        <v>3496.8082503254604</v>
      </c>
    </row>
    <row r="336" spans="1:17" ht="21" customHeight="1">
      <c r="A336" s="1" t="s">
        <v>378</v>
      </c>
      <c r="B336" s="1" t="s">
        <v>324</v>
      </c>
      <c r="C336" s="18">
        <v>74.462165003225365</v>
      </c>
      <c r="D336" s="18">
        <v>10.549305122043643</v>
      </c>
      <c r="E336" s="18">
        <v>560.36426802236201</v>
      </c>
      <c r="F336" s="18">
        <v>1.32389775</v>
      </c>
      <c r="G336" s="18">
        <v>0</v>
      </c>
      <c r="H336" s="18">
        <f t="shared" si="50"/>
        <v>1.32389775</v>
      </c>
      <c r="I336" s="18">
        <f t="shared" si="51"/>
        <v>10.549305122043643</v>
      </c>
      <c r="J336" s="18">
        <f t="shared" si="52"/>
        <v>74.462165003225365</v>
      </c>
      <c r="K336" s="18">
        <f t="shared" si="53"/>
        <v>423.26854020437906</v>
      </c>
      <c r="L336" s="18">
        <f t="shared" si="54"/>
        <v>-22.459490491770126</v>
      </c>
      <c r="M336" s="18">
        <f t="shared" si="55"/>
        <v>5.3062035938048591E-2</v>
      </c>
      <c r="N336" s="18">
        <f t="shared" si="56"/>
        <v>0.22898383954592039</v>
      </c>
      <c r="O336" s="18">
        <f t="shared" si="57"/>
        <v>75.300839287184743</v>
      </c>
      <c r="P336" s="18">
        <f t="shared" si="58"/>
        <v>561.1533282518219</v>
      </c>
      <c r="Q336" s="18">
        <f t="shared" si="59"/>
        <v>575.11952956695893</v>
      </c>
    </row>
    <row r="337" spans="1:17" ht="21" customHeight="1">
      <c r="A337" s="1" t="s">
        <v>379</v>
      </c>
      <c r="B337" s="1" t="s">
        <v>319</v>
      </c>
      <c r="C337" s="18">
        <v>81.911534892128827</v>
      </c>
      <c r="D337" s="18">
        <v>-9.5378673696492111</v>
      </c>
      <c r="E337" s="18">
        <v>2205.0000000007431</v>
      </c>
      <c r="F337" s="18">
        <v>1.32389775</v>
      </c>
      <c r="G337" s="18">
        <v>0</v>
      </c>
      <c r="H337" s="18">
        <f t="shared" si="50"/>
        <v>1.32389775</v>
      </c>
      <c r="I337" s="18">
        <f t="shared" si="51"/>
        <v>-9.5378673696492111</v>
      </c>
      <c r="J337" s="18">
        <f t="shared" si="52"/>
        <v>81.911534892128827</v>
      </c>
      <c r="K337" s="18">
        <f t="shared" si="53"/>
        <v>1665.5364811978441</v>
      </c>
      <c r="L337" s="18">
        <f t="shared" si="54"/>
        <v>234.4376203158042</v>
      </c>
      <c r="M337" s="18">
        <f t="shared" si="55"/>
        <v>-0.14075802179199223</v>
      </c>
      <c r="N337" s="18">
        <f t="shared" si="56"/>
        <v>-9.1577751160382567E-2</v>
      </c>
      <c r="O337" s="18">
        <f t="shared" si="57"/>
        <v>82.473164886402216</v>
      </c>
      <c r="P337" s="18">
        <f t="shared" si="58"/>
        <v>2226.8797239831433</v>
      </c>
      <c r="Q337" s="18">
        <f t="shared" si="59"/>
        <v>2214.2525628326666</v>
      </c>
    </row>
    <row r="338" spans="1:17" ht="21" customHeight="1">
      <c r="A338" s="1" t="s">
        <v>379</v>
      </c>
      <c r="B338" s="1" t="s">
        <v>320</v>
      </c>
      <c r="C338" s="18">
        <v>81.911534892128827</v>
      </c>
      <c r="D338" s="18">
        <v>-9.5378673696492111</v>
      </c>
      <c r="E338" s="18">
        <v>3551.0328115396278</v>
      </c>
      <c r="F338" s="18">
        <v>1.32389775</v>
      </c>
      <c r="G338" s="18">
        <v>3.4438949999999999</v>
      </c>
      <c r="H338" s="18">
        <f t="shared" si="50"/>
        <v>3.6895959160157443</v>
      </c>
      <c r="I338" s="18">
        <f t="shared" si="51"/>
        <v>-3.4223696680889124</v>
      </c>
      <c r="J338" s="18">
        <f t="shared" si="52"/>
        <v>82.393918757396179</v>
      </c>
      <c r="K338" s="18">
        <f t="shared" si="53"/>
        <v>962.44491059992674</v>
      </c>
      <c r="L338" s="18">
        <f t="shared" si="54"/>
        <v>81.150042686565385</v>
      </c>
      <c r="M338" s="18">
        <f t="shared" si="55"/>
        <v>-8.4316558582019641E-2</v>
      </c>
      <c r="N338" s="18">
        <f t="shared" si="56"/>
        <v>1.2924127470895356E-3</v>
      </c>
      <c r="O338" s="18">
        <f t="shared" si="57"/>
        <v>82.490106378754689</v>
      </c>
      <c r="P338" s="18">
        <f t="shared" si="58"/>
        <v>3563.6629383900945</v>
      </c>
      <c r="Q338" s="18">
        <f t="shared" si="59"/>
        <v>3551.0357772396178</v>
      </c>
    </row>
    <row r="339" spans="1:17" ht="21" customHeight="1">
      <c r="A339" s="1" t="s">
        <v>379</v>
      </c>
      <c r="B339" s="1" t="s">
        <v>321</v>
      </c>
      <c r="C339" s="18">
        <v>81.911534892128827</v>
      </c>
      <c r="D339" s="18">
        <v>-9.5378673696492111</v>
      </c>
      <c r="E339" s="18">
        <v>3811.5552480853376</v>
      </c>
      <c r="F339" s="18">
        <v>3.8554321618301355</v>
      </c>
      <c r="G339" s="18">
        <v>0</v>
      </c>
      <c r="H339" s="18">
        <f t="shared" si="50"/>
        <v>3.8554321618301355</v>
      </c>
      <c r="I339" s="18">
        <f t="shared" si="51"/>
        <v>-9.5378673696492111</v>
      </c>
      <c r="J339" s="18">
        <f t="shared" si="52"/>
        <v>81.911534892128827</v>
      </c>
      <c r="K339" s="18">
        <f t="shared" si="53"/>
        <v>988.61945641809189</v>
      </c>
      <c r="L339" s="18">
        <f t="shared" si="54"/>
        <v>155.78042302234292</v>
      </c>
      <c r="M339" s="18">
        <f t="shared" si="55"/>
        <v>-0.15757369735242457</v>
      </c>
      <c r="N339" s="18">
        <f t="shared" si="56"/>
        <v>-7.4719233624888914E-2</v>
      </c>
      <c r="O339" s="18">
        <f t="shared" si="57"/>
        <v>82.48823950459068</v>
      </c>
      <c r="P339" s="18">
        <f t="shared" si="58"/>
        <v>3858.9726874204898</v>
      </c>
      <c r="Q339" s="18">
        <f t="shared" si="59"/>
        <v>3822.2000868082746</v>
      </c>
    </row>
    <row r="340" spans="1:17" ht="21" customHeight="1">
      <c r="A340" s="1" t="s">
        <v>379</v>
      </c>
      <c r="B340" s="1" t="s">
        <v>322</v>
      </c>
      <c r="C340" s="18">
        <v>81.911534892128827</v>
      </c>
      <c r="D340" s="18">
        <v>-9.5378673696492111</v>
      </c>
      <c r="E340" s="18">
        <v>3483.4738858514847</v>
      </c>
      <c r="F340" s="18">
        <v>2.3365115147320541</v>
      </c>
      <c r="G340" s="18">
        <v>1.4349562500000002</v>
      </c>
      <c r="H340" s="18">
        <f t="shared" si="50"/>
        <v>2.7419674501878282</v>
      </c>
      <c r="I340" s="18">
        <f t="shared" si="51"/>
        <v>-8.1274987176255262</v>
      </c>
      <c r="J340" s="18">
        <f t="shared" si="52"/>
        <v>82.063476814844094</v>
      </c>
      <c r="K340" s="18">
        <f t="shared" si="53"/>
        <v>1270.4286061502526</v>
      </c>
      <c r="L340" s="18">
        <f t="shared" si="54"/>
        <v>166.62737813268802</v>
      </c>
      <c r="M340" s="18">
        <f t="shared" si="55"/>
        <v>-0.13115839593506534</v>
      </c>
      <c r="N340" s="18">
        <f t="shared" si="56"/>
        <v>-6.656328494845197E-2</v>
      </c>
      <c r="O340" s="18">
        <f t="shared" si="57"/>
        <v>82.479163525812567</v>
      </c>
      <c r="P340" s="18">
        <f t="shared" si="58"/>
        <v>3513.4791357153745</v>
      </c>
      <c r="Q340" s="18">
        <f t="shared" si="59"/>
        <v>3491.1937987802025</v>
      </c>
    </row>
    <row r="341" spans="1:17" ht="21" customHeight="1">
      <c r="A341" s="1" t="s">
        <v>379</v>
      </c>
      <c r="B341" s="1" t="s">
        <v>323</v>
      </c>
      <c r="C341" s="18">
        <v>81.911534892128827</v>
      </c>
      <c r="D341" s="18">
        <v>-9.5378673696492111</v>
      </c>
      <c r="E341" s="18">
        <v>3428.7874372878787</v>
      </c>
      <c r="F341" s="18">
        <v>1.32389775</v>
      </c>
      <c r="G341" s="18">
        <v>0</v>
      </c>
      <c r="H341" s="18">
        <f t="shared" si="50"/>
        <v>1.32389775</v>
      </c>
      <c r="I341" s="18">
        <f t="shared" si="51"/>
        <v>-9.5378673696492111</v>
      </c>
      <c r="J341" s="18">
        <f t="shared" si="52"/>
        <v>81.911534892128827</v>
      </c>
      <c r="K341" s="18">
        <f t="shared" si="53"/>
        <v>2589.9186227092528</v>
      </c>
      <c r="L341" s="18">
        <f t="shared" si="54"/>
        <v>341.83884193437427</v>
      </c>
      <c r="M341" s="18">
        <f t="shared" si="55"/>
        <v>-0.13198825590001925</v>
      </c>
      <c r="N341" s="18">
        <f t="shared" si="56"/>
        <v>-0.10036118693580481</v>
      </c>
      <c r="O341" s="18">
        <f t="shared" si="57"/>
        <v>82.468356099496305</v>
      </c>
      <c r="P341" s="18">
        <f t="shared" si="58"/>
        <v>3458.6971016085854</v>
      </c>
      <c r="Q341" s="18">
        <f t="shared" si="59"/>
        <v>3446.0699404581082</v>
      </c>
    </row>
    <row r="342" spans="1:17" ht="21" customHeight="1">
      <c r="A342" s="1" t="s">
        <v>379</v>
      </c>
      <c r="B342" s="1" t="s">
        <v>324</v>
      </c>
      <c r="C342" s="18">
        <v>81.911534892128827</v>
      </c>
      <c r="D342" s="18">
        <v>-9.5378673696492111</v>
      </c>
      <c r="E342" s="18">
        <v>609.83005788598371</v>
      </c>
      <c r="F342" s="18">
        <v>1.32389775</v>
      </c>
      <c r="G342" s="18">
        <v>0</v>
      </c>
      <c r="H342" s="18">
        <f t="shared" si="50"/>
        <v>1.32389775</v>
      </c>
      <c r="I342" s="18">
        <f t="shared" si="51"/>
        <v>-9.5378673696492111</v>
      </c>
      <c r="J342" s="18">
        <f t="shared" si="52"/>
        <v>81.911534892128827</v>
      </c>
      <c r="K342" s="18">
        <f t="shared" si="53"/>
        <v>460.63229421304152</v>
      </c>
      <c r="L342" s="18">
        <f t="shared" si="54"/>
        <v>94.401685346479198</v>
      </c>
      <c r="M342" s="18">
        <f t="shared" si="55"/>
        <v>-0.2049393551699582</v>
      </c>
      <c r="N342" s="18">
        <f t="shared" si="56"/>
        <v>-2.7115229677261189E-2</v>
      </c>
      <c r="O342" s="18">
        <f t="shared" si="57"/>
        <v>82.572207393404071</v>
      </c>
      <c r="P342" s="18">
        <f t="shared" si="58"/>
        <v>622.68141718128004</v>
      </c>
      <c r="Q342" s="18">
        <f t="shared" si="59"/>
        <v>610.05425603080289</v>
      </c>
    </row>
    <row r="343" spans="1:17" ht="21" customHeight="1">
      <c r="A343" s="1" t="s">
        <v>380</v>
      </c>
      <c r="B343" s="1" t="s">
        <v>319</v>
      </c>
      <c r="C343" s="18">
        <v>47.317082944954933</v>
      </c>
      <c r="D343" s="18">
        <v>7.9853386877079178</v>
      </c>
      <c r="E343" s="18">
        <v>2205.000000003708</v>
      </c>
      <c r="F343" s="18">
        <v>1.32389775</v>
      </c>
      <c r="G343" s="18">
        <v>0</v>
      </c>
      <c r="H343" s="18">
        <f t="shared" si="50"/>
        <v>1.32389775</v>
      </c>
      <c r="I343" s="18">
        <f t="shared" si="51"/>
        <v>7.9853386877079187</v>
      </c>
      <c r="J343" s="18">
        <f t="shared" si="52"/>
        <v>47.317082944954933</v>
      </c>
      <c r="K343" s="18">
        <f t="shared" si="53"/>
        <v>1665.5364812000837</v>
      </c>
      <c r="L343" s="18">
        <f t="shared" si="54"/>
        <v>-256.09445865759722</v>
      </c>
      <c r="M343" s="18">
        <f t="shared" si="55"/>
        <v>0.15376094222389605</v>
      </c>
      <c r="N343" s="18">
        <f t="shared" si="56"/>
        <v>0.1821704568031631</v>
      </c>
      <c r="O343" s="18">
        <f t="shared" si="57"/>
        <v>47.987733449643464</v>
      </c>
      <c r="P343" s="18">
        <f t="shared" si="58"/>
        <v>2231.1171715015448</v>
      </c>
      <c r="Q343" s="18">
        <f t="shared" si="59"/>
        <v>2241.6889434231894</v>
      </c>
    </row>
    <row r="344" spans="1:17" ht="21" customHeight="1">
      <c r="A344" s="1" t="s">
        <v>380</v>
      </c>
      <c r="B344" s="1" t="s">
        <v>320</v>
      </c>
      <c r="C344" s="18">
        <v>47.317082944954933</v>
      </c>
      <c r="D344" s="18">
        <v>7.9853386877079178</v>
      </c>
      <c r="E344" s="18">
        <v>3218.9164711380854</v>
      </c>
      <c r="F344" s="18">
        <v>1.32389775</v>
      </c>
      <c r="G344" s="18">
        <v>3.4438949999999999</v>
      </c>
      <c r="H344" s="18">
        <f t="shared" si="50"/>
        <v>3.6895959160157443</v>
      </c>
      <c r="I344" s="18">
        <f t="shared" si="51"/>
        <v>2.8652926126014697</v>
      </c>
      <c r="J344" s="18">
        <f t="shared" si="52"/>
        <v>47.900543531585541</v>
      </c>
      <c r="K344" s="18">
        <f t="shared" si="53"/>
        <v>872.43062503551118</v>
      </c>
      <c r="L344" s="18">
        <f t="shared" si="54"/>
        <v>-28.198766356188237</v>
      </c>
      <c r="M344" s="18">
        <f t="shared" si="55"/>
        <v>3.2322073007284034E-2</v>
      </c>
      <c r="N344" s="18">
        <f t="shared" si="56"/>
        <v>8.7226775062689096E-2</v>
      </c>
      <c r="O344" s="18">
        <f t="shared" si="57"/>
        <v>47.992170437702747</v>
      </c>
      <c r="P344" s="18">
        <f t="shared" si="58"/>
        <v>3220.5980449471786</v>
      </c>
      <c r="Q344" s="18">
        <f t="shared" si="59"/>
        <v>3231.1698168688226</v>
      </c>
    </row>
    <row r="345" spans="1:17" ht="21" customHeight="1">
      <c r="A345" s="1" t="s">
        <v>380</v>
      </c>
      <c r="B345" s="1" t="s">
        <v>321</v>
      </c>
      <c r="C345" s="18">
        <v>47.317082944954933</v>
      </c>
      <c r="D345" s="18">
        <v>7.9853386877079178</v>
      </c>
      <c r="E345" s="18">
        <v>3484.7255410093621</v>
      </c>
      <c r="F345" s="18">
        <v>3.8554321618301355</v>
      </c>
      <c r="G345" s="18">
        <v>0</v>
      </c>
      <c r="H345" s="18">
        <f t="shared" si="50"/>
        <v>3.8554321618301355</v>
      </c>
      <c r="I345" s="18">
        <f t="shared" si="51"/>
        <v>7.9853386877079169</v>
      </c>
      <c r="J345" s="18">
        <f t="shared" si="52"/>
        <v>47.317082944954933</v>
      </c>
      <c r="K345" s="18">
        <f t="shared" si="53"/>
        <v>903.84823146653355</v>
      </c>
      <c r="L345" s="18">
        <f t="shared" si="54"/>
        <v>-128.14484294487522</v>
      </c>
      <c r="M345" s="18">
        <f t="shared" si="55"/>
        <v>0.14177694715068986</v>
      </c>
      <c r="N345" s="18">
        <f t="shared" si="56"/>
        <v>0.1941276419882301</v>
      </c>
      <c r="O345" s="18">
        <f t="shared" si="57"/>
        <v>47.991492444986804</v>
      </c>
      <c r="P345" s="18">
        <f t="shared" si="58"/>
        <v>3519.8069615519948</v>
      </c>
      <c r="Q345" s="18">
        <f t="shared" si="59"/>
        <v>3550.5938931516907</v>
      </c>
    </row>
    <row r="346" spans="1:17" ht="21" customHeight="1">
      <c r="A346" s="1" t="s">
        <v>380</v>
      </c>
      <c r="B346" s="1" t="s">
        <v>322</v>
      </c>
      <c r="C346" s="18">
        <v>47.317082944954933</v>
      </c>
      <c r="D346" s="18">
        <v>7.9853386877079178</v>
      </c>
      <c r="E346" s="18">
        <v>3348.9671580646</v>
      </c>
      <c r="F346" s="18">
        <v>2.3365115147320541</v>
      </c>
      <c r="G346" s="18">
        <v>1.4349562500000002</v>
      </c>
      <c r="H346" s="18">
        <f t="shared" si="50"/>
        <v>2.7419674501878282</v>
      </c>
      <c r="I346" s="18">
        <f t="shared" si="51"/>
        <v>6.8045431362020059</v>
      </c>
      <c r="J346" s="18">
        <f t="shared" si="52"/>
        <v>47.501264878787346</v>
      </c>
      <c r="K346" s="18">
        <f t="shared" si="53"/>
        <v>1221.3737832063584</v>
      </c>
      <c r="L346" s="18">
        <f t="shared" si="54"/>
        <v>-150.60698822384296</v>
      </c>
      <c r="M346" s="18">
        <f t="shared" si="55"/>
        <v>0.12330949811978813</v>
      </c>
      <c r="N346" s="18">
        <f t="shared" si="56"/>
        <v>0.16220116710099608</v>
      </c>
      <c r="O346" s="18">
        <f t="shared" si="57"/>
        <v>47.989127883463439</v>
      </c>
      <c r="P346" s="18">
        <f t="shared" si="58"/>
        <v>3374.4603478567142</v>
      </c>
      <c r="Q346" s="18">
        <f t="shared" si="59"/>
        <v>3393.1181836495794</v>
      </c>
    </row>
    <row r="347" spans="1:17" ht="21" customHeight="1">
      <c r="A347" s="1" t="s">
        <v>380</v>
      </c>
      <c r="B347" s="1" t="s">
        <v>323</v>
      </c>
      <c r="C347" s="18">
        <v>47.317082944954933</v>
      </c>
      <c r="D347" s="18">
        <v>7.9853386877079178</v>
      </c>
      <c r="E347" s="18">
        <v>3535.6761287536465</v>
      </c>
      <c r="F347" s="18">
        <v>1.32389775</v>
      </c>
      <c r="G347" s="18">
        <v>0</v>
      </c>
      <c r="H347" s="18">
        <f t="shared" si="50"/>
        <v>1.32389775</v>
      </c>
      <c r="I347" s="18">
        <f t="shared" si="51"/>
        <v>7.9853386877079187</v>
      </c>
      <c r="J347" s="18">
        <f t="shared" si="52"/>
        <v>47.317082944954933</v>
      </c>
      <c r="K347" s="18">
        <f t="shared" si="53"/>
        <v>2670.656498021578</v>
      </c>
      <c r="L347" s="18">
        <f t="shared" si="54"/>
        <v>-424.92927784821273</v>
      </c>
      <c r="M347" s="18">
        <f t="shared" si="55"/>
        <v>0.15911042028916872</v>
      </c>
      <c r="N347" s="18">
        <f t="shared" si="56"/>
        <v>0.17682781785789664</v>
      </c>
      <c r="O347" s="18">
        <f t="shared" si="57"/>
        <v>47.986774638442654</v>
      </c>
      <c r="P347" s="18">
        <f t="shared" si="58"/>
        <v>3580.5254375791728</v>
      </c>
      <c r="Q347" s="18">
        <f t="shared" si="59"/>
        <v>3591.0972095008178</v>
      </c>
    </row>
    <row r="348" spans="1:17" ht="21" customHeight="1">
      <c r="A348" s="1" t="s">
        <v>380</v>
      </c>
      <c r="B348" s="1" t="s">
        <v>324</v>
      </c>
      <c r="C348" s="18">
        <v>47.317082944954933</v>
      </c>
      <c r="D348" s="18">
        <v>7.9853386877079178</v>
      </c>
      <c r="E348" s="18">
        <v>371.72593865530712</v>
      </c>
      <c r="F348" s="18">
        <v>1.32389775</v>
      </c>
      <c r="G348" s="18">
        <v>0</v>
      </c>
      <c r="H348" s="18">
        <f t="shared" si="50"/>
        <v>1.32389775</v>
      </c>
      <c r="I348" s="18">
        <f t="shared" si="51"/>
        <v>7.9853386877079187</v>
      </c>
      <c r="J348" s="18">
        <f t="shared" si="52"/>
        <v>47.317082944954933</v>
      </c>
      <c r="K348" s="18">
        <f t="shared" si="53"/>
        <v>280.78145661574479</v>
      </c>
      <c r="L348" s="18">
        <f t="shared" si="54"/>
        <v>-23.449440088089666</v>
      </c>
      <c r="M348" s="18">
        <f t="shared" si="55"/>
        <v>8.351491715558948E-2</v>
      </c>
      <c r="N348" s="18">
        <f t="shared" si="56"/>
        <v>0.25203417592455202</v>
      </c>
      <c r="O348" s="18">
        <f t="shared" si="57"/>
        <v>48.041393616808591</v>
      </c>
      <c r="P348" s="18">
        <f t="shared" si="58"/>
        <v>373.02303844833801</v>
      </c>
      <c r="Q348" s="18">
        <f t="shared" si="59"/>
        <v>383.59481036998255</v>
      </c>
    </row>
    <row r="349" spans="1:17" ht="21" customHeight="1">
      <c r="A349" s="1" t="s">
        <v>381</v>
      </c>
      <c r="B349" s="1" t="s">
        <v>319</v>
      </c>
      <c r="C349" s="18">
        <v>47.317082944916791</v>
      </c>
      <c r="D349" s="18">
        <v>15.814727445646804</v>
      </c>
      <c r="E349" s="18">
        <v>2205.0000000047903</v>
      </c>
      <c r="F349" s="18">
        <v>1.32389775</v>
      </c>
      <c r="G349" s="18">
        <v>0</v>
      </c>
      <c r="H349" s="18">
        <f t="shared" si="50"/>
        <v>1.32389775</v>
      </c>
      <c r="I349" s="18">
        <f t="shared" si="51"/>
        <v>15.814727445646804</v>
      </c>
      <c r="J349" s="18">
        <f t="shared" si="52"/>
        <v>47.317082944916791</v>
      </c>
      <c r="K349" s="18">
        <f t="shared" si="53"/>
        <v>1665.5364812009011</v>
      </c>
      <c r="L349" s="18">
        <f t="shared" si="54"/>
        <v>-523.1184347214388</v>
      </c>
      <c r="M349" s="18">
        <f t="shared" si="55"/>
        <v>0.31408404476631752</v>
      </c>
      <c r="N349" s="18">
        <f t="shared" si="56"/>
        <v>0.34249355934554776</v>
      </c>
      <c r="O349" s="18">
        <f t="shared" si="57"/>
        <v>49.891507612549709</v>
      </c>
      <c r="P349" s="18">
        <f t="shared" si="58"/>
        <v>2314.6573222869583</v>
      </c>
      <c r="Q349" s="18">
        <f t="shared" si="59"/>
        <v>2335.5944043691134</v>
      </c>
    </row>
    <row r="350" spans="1:17" ht="21" customHeight="1">
      <c r="A350" s="1" t="s">
        <v>381</v>
      </c>
      <c r="B350" s="1" t="s">
        <v>320</v>
      </c>
      <c r="C350" s="18">
        <v>47.317082944916791</v>
      </c>
      <c r="D350" s="18">
        <v>15.814727445646804</v>
      </c>
      <c r="E350" s="18">
        <v>3302.2767885561052</v>
      </c>
      <c r="F350" s="18">
        <v>1.32389775</v>
      </c>
      <c r="G350" s="18">
        <v>3.4438949999999999</v>
      </c>
      <c r="H350" s="18">
        <f t="shared" si="50"/>
        <v>3.6895959160157443</v>
      </c>
      <c r="I350" s="18">
        <f t="shared" si="51"/>
        <v>5.674627400597358</v>
      </c>
      <c r="J350" s="18">
        <f t="shared" si="52"/>
        <v>49.56622384709793</v>
      </c>
      <c r="K350" s="18">
        <f t="shared" si="53"/>
        <v>895.02397111337586</v>
      </c>
      <c r="L350" s="18">
        <f t="shared" si="54"/>
        <v>-77.448860213207553</v>
      </c>
      <c r="M350" s="18">
        <f t="shared" si="55"/>
        <v>8.6532721706731625E-2</v>
      </c>
      <c r="N350" s="18">
        <f t="shared" si="56"/>
        <v>0.14191249414504903</v>
      </c>
      <c r="O350" s="18">
        <f t="shared" si="57"/>
        <v>49.89629154632685</v>
      </c>
      <c r="P350" s="18">
        <f t="shared" si="58"/>
        <v>3314.6480841383736</v>
      </c>
      <c r="Q350" s="18">
        <f t="shared" si="59"/>
        <v>3335.5851662205291</v>
      </c>
    </row>
    <row r="351" spans="1:17" ht="21" customHeight="1">
      <c r="A351" s="1" t="s">
        <v>381</v>
      </c>
      <c r="B351" s="1" t="s">
        <v>321</v>
      </c>
      <c r="C351" s="18">
        <v>47.317082944916791</v>
      </c>
      <c r="D351" s="18">
        <v>15.814727445646804</v>
      </c>
      <c r="E351" s="18">
        <v>3428.618357533117</v>
      </c>
      <c r="F351" s="18">
        <v>3.8554321618301355</v>
      </c>
      <c r="G351" s="18">
        <v>0</v>
      </c>
      <c r="H351" s="18">
        <f t="shared" si="50"/>
        <v>3.8554321618301355</v>
      </c>
      <c r="I351" s="18">
        <f t="shared" si="51"/>
        <v>15.814727445646804</v>
      </c>
      <c r="J351" s="18">
        <f t="shared" si="52"/>
        <v>47.317082944916791</v>
      </c>
      <c r="K351" s="18">
        <f t="shared" si="53"/>
        <v>889.29547029186631</v>
      </c>
      <c r="L351" s="18">
        <f t="shared" si="54"/>
        <v>-268.26343284285105</v>
      </c>
      <c r="M351" s="18">
        <f t="shared" si="55"/>
        <v>0.3016583821739327</v>
      </c>
      <c r="N351" s="18">
        <f t="shared" si="56"/>
        <v>0.35486576321387814</v>
      </c>
      <c r="O351" s="18">
        <f t="shared" si="57"/>
        <v>49.895292287975373</v>
      </c>
      <c r="P351" s="18">
        <f t="shared" si="58"/>
        <v>3585.8032387553835</v>
      </c>
      <c r="Q351" s="18">
        <f t="shared" si="59"/>
        <v>3646.7758475799087</v>
      </c>
    </row>
    <row r="352" spans="1:17" ht="21" customHeight="1">
      <c r="A352" s="1" t="s">
        <v>381</v>
      </c>
      <c r="B352" s="1" t="s">
        <v>322</v>
      </c>
      <c r="C352" s="18">
        <v>47.317082944916791</v>
      </c>
      <c r="D352" s="18">
        <v>15.814727445646804</v>
      </c>
      <c r="E352" s="18">
        <v>3344.530107844118</v>
      </c>
      <c r="F352" s="18">
        <v>2.3365115147320541</v>
      </c>
      <c r="G352" s="18">
        <v>1.4349562500000002</v>
      </c>
      <c r="H352" s="18">
        <f t="shared" si="50"/>
        <v>2.7419674501878282</v>
      </c>
      <c r="I352" s="18">
        <f t="shared" si="51"/>
        <v>13.476196727489086</v>
      </c>
      <c r="J352" s="18">
        <f t="shared" si="52"/>
        <v>48.035445916096606</v>
      </c>
      <c r="K352" s="18">
        <f t="shared" si="53"/>
        <v>1219.755583756114</v>
      </c>
      <c r="L352" s="18">
        <f t="shared" si="54"/>
        <v>-313.82270209413207</v>
      </c>
      <c r="M352" s="18">
        <f t="shared" si="55"/>
        <v>0.25728326746227864</v>
      </c>
      <c r="N352" s="18">
        <f t="shared" si="56"/>
        <v>0.29666447346436658</v>
      </c>
      <c r="O352" s="18">
        <f t="shared" si="57"/>
        <v>49.892987150461344</v>
      </c>
      <c r="P352" s="18">
        <f t="shared" si="58"/>
        <v>3455.8371250191985</v>
      </c>
      <c r="Q352" s="18">
        <f t="shared" si="59"/>
        <v>3492.7884177983015</v>
      </c>
    </row>
    <row r="353" spans="1:17" ht="21" customHeight="1">
      <c r="A353" s="1" t="s">
        <v>381</v>
      </c>
      <c r="B353" s="1" t="s">
        <v>323</v>
      </c>
      <c r="C353" s="18">
        <v>47.317082944916791</v>
      </c>
      <c r="D353" s="18">
        <v>15.814727445646804</v>
      </c>
      <c r="E353" s="18">
        <v>3490.109663667632</v>
      </c>
      <c r="F353" s="18">
        <v>1.32389775</v>
      </c>
      <c r="G353" s="18">
        <v>0</v>
      </c>
      <c r="H353" s="18">
        <f t="shared" si="50"/>
        <v>1.32389775</v>
      </c>
      <c r="I353" s="18">
        <f t="shared" si="51"/>
        <v>15.814727445646804</v>
      </c>
      <c r="J353" s="18">
        <f t="shared" si="52"/>
        <v>47.317082944916791</v>
      </c>
      <c r="K353" s="18">
        <f t="shared" si="53"/>
        <v>2636.2380808243174</v>
      </c>
      <c r="L353" s="18">
        <f t="shared" si="54"/>
        <v>-841.80578497775093</v>
      </c>
      <c r="M353" s="18">
        <f t="shared" si="55"/>
        <v>0.31932085007835453</v>
      </c>
      <c r="N353" s="18">
        <f t="shared" si="56"/>
        <v>0.33726956392521673</v>
      </c>
      <c r="O353" s="18">
        <f t="shared" si="57"/>
        <v>49.890600815473292</v>
      </c>
      <c r="P353" s="18">
        <f t="shared" si="58"/>
        <v>3669.5626814389657</v>
      </c>
      <c r="Q353" s="18">
        <f t="shared" si="59"/>
        <v>3690.4997635211212</v>
      </c>
    </row>
    <row r="354" spans="1:17" ht="21" customHeight="1">
      <c r="A354" s="1" t="s">
        <v>381</v>
      </c>
      <c r="B354" s="1" t="s">
        <v>324</v>
      </c>
      <c r="C354" s="18">
        <v>47.317082944916791</v>
      </c>
      <c r="D354" s="18">
        <v>15.814727445646804</v>
      </c>
      <c r="E354" s="18">
        <v>362.26792345931801</v>
      </c>
      <c r="F354" s="18">
        <v>1.32389775</v>
      </c>
      <c r="G354" s="18">
        <v>0</v>
      </c>
      <c r="H354" s="18">
        <f t="shared" si="50"/>
        <v>1.32389775</v>
      </c>
      <c r="I354" s="18">
        <f t="shared" si="51"/>
        <v>15.814727445646804</v>
      </c>
      <c r="J354" s="18">
        <f t="shared" si="52"/>
        <v>47.317082944916791</v>
      </c>
      <c r="K354" s="18">
        <f t="shared" si="53"/>
        <v>273.63738888393613</v>
      </c>
      <c r="L354" s="18">
        <f t="shared" si="54"/>
        <v>-66.068485416836822</v>
      </c>
      <c r="M354" s="18">
        <f t="shared" si="55"/>
        <v>0.24144538758502737</v>
      </c>
      <c r="N354" s="18">
        <f t="shared" si="56"/>
        <v>0.414364311924663</v>
      </c>
      <c r="O354" s="18">
        <f t="shared" si="57"/>
        <v>49.945933691282278</v>
      </c>
      <c r="P354" s="18">
        <f t="shared" si="58"/>
        <v>372.87868334353067</v>
      </c>
      <c r="Q354" s="18">
        <f t="shared" si="59"/>
        <v>393.8157654256857</v>
      </c>
    </row>
    <row r="355" spans="1:17" ht="21" customHeight="1">
      <c r="A355" s="1" t="s">
        <v>382</v>
      </c>
      <c r="B355" s="1" t="s">
        <v>319</v>
      </c>
      <c r="C355" s="18">
        <v>38.400179781129317</v>
      </c>
      <c r="D355" s="18">
        <v>10.244568167074158</v>
      </c>
      <c r="E355" s="18">
        <v>2204.9999999989441</v>
      </c>
      <c r="F355" s="18">
        <v>1.32389775</v>
      </c>
      <c r="G355" s="18">
        <v>0</v>
      </c>
      <c r="H355" s="18">
        <f t="shared" si="50"/>
        <v>1.32389775</v>
      </c>
      <c r="I355" s="18">
        <f t="shared" si="51"/>
        <v>10.244568167074158</v>
      </c>
      <c r="J355" s="18">
        <f t="shared" si="52"/>
        <v>38.400179781129317</v>
      </c>
      <c r="K355" s="18">
        <f t="shared" si="53"/>
        <v>1665.5364811964853</v>
      </c>
      <c r="L355" s="18">
        <f t="shared" si="54"/>
        <v>-420.02062229408449</v>
      </c>
      <c r="M355" s="18">
        <f t="shared" si="55"/>
        <v>0.2521833817727912</v>
      </c>
      <c r="N355" s="18">
        <f t="shared" si="56"/>
        <v>0.27523912400039069</v>
      </c>
      <c r="O355" s="18">
        <f t="shared" si="57"/>
        <v>39.744059995243795</v>
      </c>
      <c r="P355" s="18">
        <f t="shared" si="58"/>
        <v>2275.487472919353</v>
      </c>
      <c r="Q355" s="18">
        <f t="shared" si="59"/>
        <v>2289.0502336654649</v>
      </c>
    </row>
    <row r="356" spans="1:17" ht="21" customHeight="1">
      <c r="A356" s="1" t="s">
        <v>382</v>
      </c>
      <c r="B356" s="1" t="s">
        <v>320</v>
      </c>
      <c r="C356" s="18">
        <v>38.400179781129317</v>
      </c>
      <c r="D356" s="18">
        <v>10.244568167074158</v>
      </c>
      <c r="E356" s="18">
        <v>3177.5698483453552</v>
      </c>
      <c r="F356" s="18">
        <v>1.32389775</v>
      </c>
      <c r="G356" s="18">
        <v>3.4438949999999999</v>
      </c>
      <c r="H356" s="18">
        <f t="shared" si="50"/>
        <v>3.6895959160157443</v>
      </c>
      <c r="I356" s="18">
        <f t="shared" si="51"/>
        <v>3.675947462766334</v>
      </c>
      <c r="J356" s="18">
        <f t="shared" si="52"/>
        <v>39.572874477397569</v>
      </c>
      <c r="K356" s="18">
        <f t="shared" si="53"/>
        <v>861.22435103318662</v>
      </c>
      <c r="L356" s="18">
        <f t="shared" si="54"/>
        <v>-60.091585511535143</v>
      </c>
      <c r="M356" s="18">
        <f t="shared" si="55"/>
        <v>6.977460105423744E-2</v>
      </c>
      <c r="N356" s="18">
        <f t="shared" si="56"/>
        <v>0.11572415465188376</v>
      </c>
      <c r="O356" s="18">
        <f t="shared" si="57"/>
        <v>39.746704748931755</v>
      </c>
      <c r="P356" s="18">
        <f t="shared" si="58"/>
        <v>3185.3079783854673</v>
      </c>
      <c r="Q356" s="18">
        <f t="shared" si="59"/>
        <v>3198.8707391315784</v>
      </c>
    </row>
    <row r="357" spans="1:17" ht="21" customHeight="1">
      <c r="A357" s="1" t="s">
        <v>382</v>
      </c>
      <c r="B357" s="1" t="s">
        <v>321</v>
      </c>
      <c r="C357" s="18">
        <v>38.400179781129317</v>
      </c>
      <c r="D357" s="18">
        <v>10.244568167074158</v>
      </c>
      <c r="E357" s="18">
        <v>3386.0427431060607</v>
      </c>
      <c r="F357" s="18">
        <v>3.8554321618301355</v>
      </c>
      <c r="G357" s="18">
        <v>0</v>
      </c>
      <c r="H357" s="18">
        <f t="shared" si="50"/>
        <v>3.8554321618301355</v>
      </c>
      <c r="I357" s="18">
        <f t="shared" si="51"/>
        <v>10.244568167074158</v>
      </c>
      <c r="J357" s="18">
        <f t="shared" si="52"/>
        <v>38.400179781129317</v>
      </c>
      <c r="K357" s="18">
        <f t="shared" si="53"/>
        <v>878.25245030345434</v>
      </c>
      <c r="L357" s="18">
        <f t="shared" si="54"/>
        <v>-212.39194622621696</v>
      </c>
      <c r="M357" s="18">
        <f t="shared" si="55"/>
        <v>0.24183473231737773</v>
      </c>
      <c r="N357" s="18">
        <f t="shared" si="56"/>
        <v>0.28555812844096523</v>
      </c>
      <c r="O357" s="18">
        <f t="shared" si="57"/>
        <v>39.74619372172701</v>
      </c>
      <c r="P357" s="18">
        <f t="shared" si="58"/>
        <v>3485.5409757285129</v>
      </c>
      <c r="Q357" s="18">
        <f t="shared" si="59"/>
        <v>3525.0382133239118</v>
      </c>
    </row>
    <row r="358" spans="1:17" ht="21" customHeight="1">
      <c r="A358" s="1" t="s">
        <v>382</v>
      </c>
      <c r="B358" s="1" t="s">
        <v>322</v>
      </c>
      <c r="C358" s="18">
        <v>38.400179781129317</v>
      </c>
      <c r="D358" s="18">
        <v>10.244568167074158</v>
      </c>
      <c r="E358" s="18">
        <v>3318.3659646412916</v>
      </c>
      <c r="F358" s="18">
        <v>2.3365115147320541</v>
      </c>
      <c r="G358" s="18">
        <v>1.4349562500000002</v>
      </c>
      <c r="H358" s="18">
        <f t="shared" si="50"/>
        <v>2.7419674501878282</v>
      </c>
      <c r="I358" s="18">
        <f t="shared" si="51"/>
        <v>8.7296993566377097</v>
      </c>
      <c r="J358" s="18">
        <f t="shared" si="52"/>
        <v>38.77263639856853</v>
      </c>
      <c r="K358" s="18">
        <f t="shared" si="53"/>
        <v>1210.2134780680856</v>
      </c>
      <c r="L358" s="18">
        <f t="shared" si="54"/>
        <v>-250.83197456976498</v>
      </c>
      <c r="M358" s="18">
        <f t="shared" si="55"/>
        <v>0.20726258558132946</v>
      </c>
      <c r="N358" s="18">
        <f t="shared" si="56"/>
        <v>0.23930043435860712</v>
      </c>
      <c r="O358" s="18">
        <f t="shared" si="57"/>
        <v>39.744855959870783</v>
      </c>
      <c r="P358" s="18">
        <f t="shared" si="58"/>
        <v>3389.8962974407928</v>
      </c>
      <c r="Q358" s="18">
        <f t="shared" si="59"/>
        <v>3413.8328489266196</v>
      </c>
    </row>
    <row r="359" spans="1:17" ht="21" customHeight="1">
      <c r="A359" s="1" t="s">
        <v>382</v>
      </c>
      <c r="B359" s="1" t="s">
        <v>323</v>
      </c>
      <c r="C359" s="18">
        <v>38.400179781129317</v>
      </c>
      <c r="D359" s="18">
        <v>10.244568167074158</v>
      </c>
      <c r="E359" s="18">
        <v>3530.6835656941621</v>
      </c>
      <c r="F359" s="18">
        <v>1.32389775</v>
      </c>
      <c r="G359" s="18">
        <v>0</v>
      </c>
      <c r="H359" s="18">
        <f t="shared" si="50"/>
        <v>1.32389775</v>
      </c>
      <c r="I359" s="18">
        <f t="shared" si="51"/>
        <v>10.244568167074158</v>
      </c>
      <c r="J359" s="18">
        <f t="shared" si="52"/>
        <v>38.400179781129317</v>
      </c>
      <c r="K359" s="18">
        <f t="shared" si="53"/>
        <v>2666.885388765229</v>
      </c>
      <c r="L359" s="18">
        <f t="shared" si="54"/>
        <v>-684.09688438906767</v>
      </c>
      <c r="M359" s="18">
        <f t="shared" si="55"/>
        <v>0.25651529205977813</v>
      </c>
      <c r="N359" s="18">
        <f t="shared" si="56"/>
        <v>0.27091417846970689</v>
      </c>
      <c r="O359" s="18">
        <f t="shared" si="57"/>
        <v>39.743558736272007</v>
      </c>
      <c r="P359" s="18">
        <f t="shared" si="58"/>
        <v>3647.4815645330177</v>
      </c>
      <c r="Q359" s="18">
        <f t="shared" si="59"/>
        <v>3661.0443252791288</v>
      </c>
    </row>
    <row r="360" spans="1:17" ht="21" customHeight="1">
      <c r="A360" s="1" t="s">
        <v>382</v>
      </c>
      <c r="B360" s="1" t="s">
        <v>324</v>
      </c>
      <c r="C360" s="18">
        <v>38.400179781129317</v>
      </c>
      <c r="D360" s="18">
        <v>10.244568167074158</v>
      </c>
      <c r="E360" s="18">
        <v>301.97783210456578</v>
      </c>
      <c r="F360" s="18">
        <v>1.32389775</v>
      </c>
      <c r="G360" s="18">
        <v>0</v>
      </c>
      <c r="H360" s="18">
        <f t="shared" si="50"/>
        <v>1.32389775</v>
      </c>
      <c r="I360" s="18">
        <f t="shared" si="51"/>
        <v>10.244568167074158</v>
      </c>
      <c r="J360" s="18">
        <f t="shared" si="52"/>
        <v>38.400179781129317</v>
      </c>
      <c r="K360" s="18">
        <f t="shared" si="53"/>
        <v>228.0975491532981</v>
      </c>
      <c r="L360" s="18">
        <f t="shared" si="54"/>
        <v>-40.883724591490662</v>
      </c>
      <c r="M360" s="18">
        <f t="shared" si="55"/>
        <v>0.17923789511659255</v>
      </c>
      <c r="N360" s="18">
        <f t="shared" si="56"/>
        <v>0.34758770827184754</v>
      </c>
      <c r="O360" s="18">
        <f t="shared" si="57"/>
        <v>39.787069905941991</v>
      </c>
      <c r="P360" s="18">
        <f t="shared" si="58"/>
        <v>306.84153584584345</v>
      </c>
      <c r="Q360" s="18">
        <f t="shared" si="59"/>
        <v>320.40429659195456</v>
      </c>
    </row>
    <row r="361" spans="1:17" ht="21" customHeight="1">
      <c r="A361" s="1" t="s">
        <v>383</v>
      </c>
      <c r="B361" s="1" t="s">
        <v>319</v>
      </c>
      <c r="C361" s="18">
        <v>68.15268701237369</v>
      </c>
      <c r="D361" s="18">
        <v>2.7083625000601383</v>
      </c>
      <c r="E361" s="18">
        <v>2204.9999999998436</v>
      </c>
      <c r="F361" s="18">
        <v>1.32389775</v>
      </c>
      <c r="G361" s="18">
        <v>0</v>
      </c>
      <c r="H361" s="18">
        <f t="shared" si="50"/>
        <v>1.32389775</v>
      </c>
      <c r="I361" s="18">
        <f t="shared" si="51"/>
        <v>2.7083625000601383</v>
      </c>
      <c r="J361" s="18">
        <f t="shared" si="52"/>
        <v>68.15268701237369</v>
      </c>
      <c r="K361" s="18">
        <f t="shared" si="53"/>
        <v>1665.5364811971647</v>
      </c>
      <c r="L361" s="18">
        <f t="shared" si="54"/>
        <v>-32.089435911794396</v>
      </c>
      <c r="M361" s="18">
        <f t="shared" si="55"/>
        <v>1.9266726531699235E-2</v>
      </c>
      <c r="N361" s="18">
        <f t="shared" si="56"/>
        <v>6.0186086618838529E-2</v>
      </c>
      <c r="O361" s="18">
        <f t="shared" si="57"/>
        <v>68.211231561654103</v>
      </c>
      <c r="P361" s="18">
        <f t="shared" si="58"/>
        <v>2205.4092681031157</v>
      </c>
      <c r="Q361" s="18">
        <f t="shared" si="59"/>
        <v>2208.99486312313</v>
      </c>
    </row>
    <row r="362" spans="1:17" ht="21" customHeight="1">
      <c r="A362" s="1" t="s">
        <v>383</v>
      </c>
      <c r="B362" s="1" t="s">
        <v>320</v>
      </c>
      <c r="C362" s="18">
        <v>68.15268701237369</v>
      </c>
      <c r="D362" s="18">
        <v>2.7083625000601383</v>
      </c>
      <c r="E362" s="18">
        <v>3397.9404171495607</v>
      </c>
      <c r="F362" s="18">
        <v>1.32389775</v>
      </c>
      <c r="G362" s="18">
        <v>3.4438949999999999</v>
      </c>
      <c r="H362" s="18">
        <f t="shared" si="50"/>
        <v>3.6895959160157443</v>
      </c>
      <c r="I362" s="18">
        <f t="shared" si="51"/>
        <v>0.97181238857341889</v>
      </c>
      <c r="J362" s="18">
        <f t="shared" si="52"/>
        <v>68.199556854276679</v>
      </c>
      <c r="K362" s="18">
        <f t="shared" si="53"/>
        <v>920.95191302652688</v>
      </c>
      <c r="L362" s="18">
        <f t="shared" si="54"/>
        <v>20.980078153331117</v>
      </c>
      <c r="M362" s="18">
        <f t="shared" si="55"/>
        <v>-2.2780861689492806E-2</v>
      </c>
      <c r="N362" s="18">
        <f t="shared" si="56"/>
        <v>5.1272469314676869E-2</v>
      </c>
      <c r="O362" s="18">
        <f t="shared" si="57"/>
        <v>68.222063232512511</v>
      </c>
      <c r="P362" s="18">
        <f t="shared" si="58"/>
        <v>3398.8221658742182</v>
      </c>
      <c r="Q362" s="18">
        <f t="shared" si="59"/>
        <v>3402.4077608942321</v>
      </c>
    </row>
    <row r="363" spans="1:17" ht="21" customHeight="1">
      <c r="A363" s="1" t="s">
        <v>383</v>
      </c>
      <c r="B363" s="1" t="s">
        <v>321</v>
      </c>
      <c r="C363" s="18">
        <v>68.15268701237369</v>
      </c>
      <c r="D363" s="18">
        <v>2.7083625000601383</v>
      </c>
      <c r="E363" s="18">
        <v>3693.2084187146993</v>
      </c>
      <c r="F363" s="18">
        <v>3.8554321618301355</v>
      </c>
      <c r="G363" s="18">
        <v>0</v>
      </c>
      <c r="H363" s="18">
        <f t="shared" si="50"/>
        <v>3.8554321618301355</v>
      </c>
      <c r="I363" s="18">
        <f t="shared" si="51"/>
        <v>2.7083625000601383</v>
      </c>
      <c r="J363" s="18">
        <f t="shared" si="52"/>
        <v>68.15268701237369</v>
      </c>
      <c r="K363" s="18">
        <f t="shared" si="53"/>
        <v>957.92333095067863</v>
      </c>
      <c r="L363" s="18">
        <f t="shared" si="54"/>
        <v>-3.9731405852655328</v>
      </c>
      <c r="M363" s="18">
        <f t="shared" si="55"/>
        <v>4.1476603156981682E-3</v>
      </c>
      <c r="N363" s="18">
        <f t="shared" si="56"/>
        <v>7.5293946046870855E-2</v>
      </c>
      <c r="O363" s="18">
        <f t="shared" si="57"/>
        <v>68.220843970291966</v>
      </c>
      <c r="P363" s="18">
        <f t="shared" si="58"/>
        <v>3693.2401860514369</v>
      </c>
      <c r="Q363" s="18">
        <f t="shared" si="59"/>
        <v>3703.6820939400627</v>
      </c>
    </row>
    <row r="364" spans="1:17" ht="21" customHeight="1">
      <c r="A364" s="1" t="s">
        <v>383</v>
      </c>
      <c r="B364" s="1" t="s">
        <v>322</v>
      </c>
      <c r="C364" s="18">
        <v>68.15268701237369</v>
      </c>
      <c r="D364" s="18">
        <v>2.7083625000601383</v>
      </c>
      <c r="E364" s="18">
        <v>3428.2655993588278</v>
      </c>
      <c r="F364" s="18">
        <v>2.3365115147320541</v>
      </c>
      <c r="G364" s="18">
        <v>1.4349562500000002</v>
      </c>
      <c r="H364" s="18">
        <f t="shared" si="50"/>
        <v>2.7419674501878282</v>
      </c>
      <c r="I364" s="18">
        <f t="shared" si="51"/>
        <v>2.3078757433920387</v>
      </c>
      <c r="J364" s="18">
        <f t="shared" si="52"/>
        <v>68.16742392075092</v>
      </c>
      <c r="K364" s="18">
        <f t="shared" si="53"/>
        <v>1250.2940540464795</v>
      </c>
      <c r="L364" s="18">
        <f t="shared" si="54"/>
        <v>-8.2329114097405736</v>
      </c>
      <c r="M364" s="18">
        <f t="shared" si="55"/>
        <v>6.5847801028049331E-3</v>
      </c>
      <c r="N364" s="18">
        <f t="shared" si="56"/>
        <v>6.1105893516191445E-2</v>
      </c>
      <c r="O364" s="18">
        <f t="shared" si="57"/>
        <v>68.214918889269399</v>
      </c>
      <c r="P364" s="18">
        <f t="shared" si="58"/>
        <v>3428.339923275395</v>
      </c>
      <c r="Q364" s="18">
        <f t="shared" si="59"/>
        <v>3434.6680434428545</v>
      </c>
    </row>
    <row r="365" spans="1:17" ht="21" customHeight="1">
      <c r="A365" s="1" t="s">
        <v>383</v>
      </c>
      <c r="B365" s="1" t="s">
        <v>323</v>
      </c>
      <c r="C365" s="18">
        <v>68.15268701237369</v>
      </c>
      <c r="D365" s="18">
        <v>2.7083625000601383</v>
      </c>
      <c r="E365" s="18">
        <v>3486.644169303353</v>
      </c>
      <c r="F365" s="18">
        <v>1.32389775</v>
      </c>
      <c r="G365" s="18">
        <v>0</v>
      </c>
      <c r="H365" s="18">
        <f t="shared" si="50"/>
        <v>1.32389775</v>
      </c>
      <c r="I365" s="18">
        <f t="shared" si="51"/>
        <v>2.7083625000601383</v>
      </c>
      <c r="J365" s="18">
        <f t="shared" si="52"/>
        <v>68.15268701237369</v>
      </c>
      <c r="K365" s="18">
        <f t="shared" si="53"/>
        <v>2633.6204357952515</v>
      </c>
      <c r="L365" s="18">
        <f t="shared" si="54"/>
        <v>-70.552310341337702</v>
      </c>
      <c r="M365" s="18">
        <f t="shared" si="55"/>
        <v>2.6789095870617983E-2</v>
      </c>
      <c r="N365" s="18">
        <f t="shared" si="56"/>
        <v>5.2667041715078376E-2</v>
      </c>
      <c r="O365" s="18">
        <f t="shared" si="57"/>
        <v>68.208380612563914</v>
      </c>
      <c r="P365" s="18">
        <f t="shared" si="58"/>
        <v>3487.8953490840308</v>
      </c>
      <c r="Q365" s="18">
        <f t="shared" si="59"/>
        <v>3491.4809441040452</v>
      </c>
    </row>
    <row r="366" spans="1:17" ht="21" customHeight="1">
      <c r="A366" s="1" t="s">
        <v>383</v>
      </c>
      <c r="B366" s="1" t="s">
        <v>324</v>
      </c>
      <c r="C366" s="18">
        <v>68.15268701237369</v>
      </c>
      <c r="D366" s="18">
        <v>2.7083625000601383</v>
      </c>
      <c r="E366" s="18">
        <v>521.67165997803068</v>
      </c>
      <c r="F366" s="18">
        <v>1.32389775</v>
      </c>
      <c r="G366" s="18">
        <v>0</v>
      </c>
      <c r="H366" s="18">
        <f t="shared" si="50"/>
        <v>1.32389775</v>
      </c>
      <c r="I366" s="18">
        <f t="shared" si="51"/>
        <v>2.7083625000601383</v>
      </c>
      <c r="J366" s="18">
        <f t="shared" si="52"/>
        <v>68.15268701237369</v>
      </c>
      <c r="K366" s="18">
        <f t="shared" si="53"/>
        <v>394.04225891163475</v>
      </c>
      <c r="L366" s="18">
        <f t="shared" si="54"/>
        <v>18.440854598568805</v>
      </c>
      <c r="M366" s="18">
        <f t="shared" si="55"/>
        <v>-4.6799179990246242E-2</v>
      </c>
      <c r="N366" s="18">
        <f t="shared" si="56"/>
        <v>0.12615863220130641</v>
      </c>
      <c r="O366" s="18">
        <f t="shared" si="57"/>
        <v>68.29139306904429</v>
      </c>
      <c r="P366" s="18">
        <f t="shared" si="58"/>
        <v>522.2430372992867</v>
      </c>
      <c r="Q366" s="18">
        <f t="shared" si="59"/>
        <v>525.8286323193006</v>
      </c>
    </row>
    <row r="367" spans="1:17" ht="21" customHeight="1">
      <c r="A367" s="1" t="s">
        <v>384</v>
      </c>
      <c r="B367" s="1" t="s">
        <v>319</v>
      </c>
      <c r="C367" s="18">
        <v>68.1526870123718</v>
      </c>
      <c r="D367" s="18">
        <v>-10.938490444796026</v>
      </c>
      <c r="E367" s="18">
        <v>2204.9999999987167</v>
      </c>
      <c r="F367" s="18">
        <v>1.32389775</v>
      </c>
      <c r="G367" s="18">
        <v>0</v>
      </c>
      <c r="H367" s="18">
        <f t="shared" si="50"/>
        <v>1.32389775</v>
      </c>
      <c r="I367" s="18">
        <f t="shared" si="51"/>
        <v>-10.938490444796026</v>
      </c>
      <c r="J367" s="18">
        <f t="shared" si="52"/>
        <v>68.1526870123718</v>
      </c>
      <c r="K367" s="18">
        <f t="shared" si="53"/>
        <v>1665.5364811963134</v>
      </c>
      <c r="L367" s="18">
        <f t="shared" si="54"/>
        <v>300.24155845819786</v>
      </c>
      <c r="M367" s="18">
        <f t="shared" si="55"/>
        <v>-0.18026717628096733</v>
      </c>
      <c r="N367" s="18">
        <f t="shared" si="56"/>
        <v>-0.13934781619380826</v>
      </c>
      <c r="O367" s="18">
        <f t="shared" si="57"/>
        <v>69.029612898643023</v>
      </c>
      <c r="P367" s="18">
        <f t="shared" si="58"/>
        <v>2240.9242467235381</v>
      </c>
      <c r="Q367" s="18">
        <f t="shared" si="59"/>
        <v>2226.4428038352762</v>
      </c>
    </row>
    <row r="368" spans="1:17" ht="21" customHeight="1">
      <c r="A368" s="1" t="s">
        <v>384</v>
      </c>
      <c r="B368" s="1" t="s">
        <v>320</v>
      </c>
      <c r="C368" s="18">
        <v>68.1526870123718</v>
      </c>
      <c r="D368" s="18">
        <v>-10.938490444796026</v>
      </c>
      <c r="E368" s="18">
        <v>3425.4083306499715</v>
      </c>
      <c r="F368" s="18">
        <v>1.32389775</v>
      </c>
      <c r="G368" s="18">
        <v>3.4438949999999999</v>
      </c>
      <c r="H368" s="18">
        <f t="shared" si="50"/>
        <v>3.6895959160157443</v>
      </c>
      <c r="I368" s="18">
        <f t="shared" si="51"/>
        <v>-3.9249400795900495</v>
      </c>
      <c r="J368" s="18">
        <f t="shared" si="52"/>
        <v>68.913236504962043</v>
      </c>
      <c r="K368" s="18">
        <f t="shared" si="53"/>
        <v>928.39660727642524</v>
      </c>
      <c r="L368" s="18">
        <f t="shared" si="54"/>
        <v>87.292604458229405</v>
      </c>
      <c r="M368" s="18">
        <f t="shared" si="55"/>
        <v>-9.40251222096921E-2</v>
      </c>
      <c r="N368" s="18">
        <f t="shared" si="56"/>
        <v>-1.9796892631033711E-2</v>
      </c>
      <c r="O368" s="18">
        <f t="shared" si="57"/>
        <v>69.040714449309505</v>
      </c>
      <c r="P368" s="18">
        <f t="shared" si="58"/>
        <v>3440.561033267139</v>
      </c>
      <c r="Q368" s="18">
        <f t="shared" si="59"/>
        <v>3426.0795903788758</v>
      </c>
    </row>
    <row r="369" spans="1:17" ht="21" customHeight="1">
      <c r="A369" s="1" t="s">
        <v>384</v>
      </c>
      <c r="B369" s="1" t="s">
        <v>321</v>
      </c>
      <c r="C369" s="18">
        <v>68.1526870123718</v>
      </c>
      <c r="D369" s="18">
        <v>-10.938490444796026</v>
      </c>
      <c r="E369" s="18">
        <v>3672.5071400751904</v>
      </c>
      <c r="F369" s="18">
        <v>3.8554321618301355</v>
      </c>
      <c r="G369" s="18">
        <v>0</v>
      </c>
      <c r="H369" s="18">
        <f t="shared" si="50"/>
        <v>3.8554321618301355</v>
      </c>
      <c r="I369" s="18">
        <f t="shared" si="51"/>
        <v>-10.938490444796026</v>
      </c>
      <c r="J369" s="18">
        <f t="shared" si="52"/>
        <v>68.1526870123718</v>
      </c>
      <c r="K369" s="18">
        <f t="shared" si="53"/>
        <v>952.55395139202437</v>
      </c>
      <c r="L369" s="18">
        <f t="shared" si="54"/>
        <v>186.27994406730028</v>
      </c>
      <c r="M369" s="18">
        <f t="shared" si="55"/>
        <v>-0.19555841828704632</v>
      </c>
      <c r="N369" s="18">
        <f t="shared" si="56"/>
        <v>-0.12401109342132487</v>
      </c>
      <c r="O369" s="18">
        <f t="shared" si="57"/>
        <v>69.039271834453459</v>
      </c>
      <c r="P369" s="18">
        <f t="shared" si="58"/>
        <v>3742.9552438712067</v>
      </c>
      <c r="Q369" s="18">
        <f t="shared" si="59"/>
        <v>3700.7826360084687</v>
      </c>
    </row>
    <row r="370" spans="1:17" ht="21" customHeight="1">
      <c r="A370" s="1" t="s">
        <v>384</v>
      </c>
      <c r="B370" s="1" t="s">
        <v>322</v>
      </c>
      <c r="C370" s="18">
        <v>68.1526870123718</v>
      </c>
      <c r="D370" s="18">
        <v>-10.938490444796026</v>
      </c>
      <c r="E370" s="18">
        <v>3426.4301515890729</v>
      </c>
      <c r="F370" s="18">
        <v>2.3365115147320541</v>
      </c>
      <c r="G370" s="18">
        <v>1.4349562500000002</v>
      </c>
      <c r="H370" s="18">
        <f t="shared" si="50"/>
        <v>2.7419674501878282</v>
      </c>
      <c r="I370" s="18">
        <f t="shared" si="51"/>
        <v>-9.321011041287786</v>
      </c>
      <c r="J370" s="18">
        <f t="shared" si="52"/>
        <v>68.392675582882376</v>
      </c>
      <c r="K370" s="18">
        <f t="shared" si="53"/>
        <v>1249.6246632520595</v>
      </c>
      <c r="L370" s="18">
        <f t="shared" si="54"/>
        <v>203.95962376645119</v>
      </c>
      <c r="M370" s="18">
        <f t="shared" si="55"/>
        <v>-0.16321670799587193</v>
      </c>
      <c r="N370" s="18">
        <f t="shared" si="56"/>
        <v>-0.10848613361292457</v>
      </c>
      <c r="O370" s="18">
        <f t="shared" si="57"/>
        <v>69.033376327724056</v>
      </c>
      <c r="P370" s="18">
        <f t="shared" si="58"/>
        <v>3472.171085162136</v>
      </c>
      <c r="Q370" s="18">
        <f t="shared" si="59"/>
        <v>3446.6131762840837</v>
      </c>
    </row>
    <row r="371" spans="1:17" ht="21" customHeight="1">
      <c r="A371" s="1" t="s">
        <v>384</v>
      </c>
      <c r="B371" s="1" t="s">
        <v>323</v>
      </c>
      <c r="C371" s="18">
        <v>68.1526870123718</v>
      </c>
      <c r="D371" s="18">
        <v>-10.938490444796026</v>
      </c>
      <c r="E371" s="18">
        <v>3474.9741779481728</v>
      </c>
      <c r="F371" s="18">
        <v>1.32389775</v>
      </c>
      <c r="G371" s="18">
        <v>0</v>
      </c>
      <c r="H371" s="18">
        <f t="shared" si="50"/>
        <v>1.32389775</v>
      </c>
      <c r="I371" s="18">
        <f t="shared" si="51"/>
        <v>-10.938490444796026</v>
      </c>
      <c r="J371" s="18">
        <f t="shared" si="52"/>
        <v>68.1526870123718</v>
      </c>
      <c r="K371" s="18">
        <f t="shared" si="53"/>
        <v>2624.805562172889</v>
      </c>
      <c r="L371" s="18">
        <f t="shared" si="54"/>
        <v>453.557282711987</v>
      </c>
      <c r="M371" s="18">
        <f t="shared" si="55"/>
        <v>-0.17279652605449347</v>
      </c>
      <c r="N371" s="18">
        <f t="shared" si="56"/>
        <v>-0.14683167441193862</v>
      </c>
      <c r="O371" s="18">
        <f t="shared" si="57"/>
        <v>69.026808383023919</v>
      </c>
      <c r="P371" s="18">
        <f t="shared" si="58"/>
        <v>3526.9823933393623</v>
      </c>
      <c r="Q371" s="18">
        <f t="shared" si="59"/>
        <v>3512.5009504511004</v>
      </c>
    </row>
    <row r="372" spans="1:17" ht="21" customHeight="1">
      <c r="A372" s="1" t="s">
        <v>384</v>
      </c>
      <c r="B372" s="1" t="s">
        <v>324</v>
      </c>
      <c r="C372" s="18">
        <v>68.1526870123718</v>
      </c>
      <c r="D372" s="18">
        <v>-10.938490444796026</v>
      </c>
      <c r="E372" s="18">
        <v>517.49436277694645</v>
      </c>
      <c r="F372" s="18">
        <v>1.32389775</v>
      </c>
      <c r="G372" s="18">
        <v>0</v>
      </c>
      <c r="H372" s="18">
        <f t="shared" si="50"/>
        <v>1.32389775</v>
      </c>
      <c r="I372" s="18">
        <f t="shared" si="51"/>
        <v>-10.938490444796026</v>
      </c>
      <c r="J372" s="18">
        <f t="shared" si="52"/>
        <v>68.1526870123718</v>
      </c>
      <c r="K372" s="18">
        <f t="shared" si="53"/>
        <v>390.88695692469184</v>
      </c>
      <c r="L372" s="18">
        <f t="shared" si="54"/>
        <v>96.468937891963861</v>
      </c>
      <c r="M372" s="18">
        <f t="shared" si="55"/>
        <v>-0.24679497789062718</v>
      </c>
      <c r="N372" s="18">
        <f t="shared" si="56"/>
        <v>-7.2441022597352772E-2</v>
      </c>
      <c r="O372" s="18">
        <f t="shared" si="57"/>
        <v>69.11018577398093</v>
      </c>
      <c r="P372" s="18">
        <f t="shared" si="58"/>
        <v>533.33422759666132</v>
      </c>
      <c r="Q372" s="18">
        <f t="shared" si="59"/>
        <v>518.85278470839933</v>
      </c>
    </row>
    <row r="373" spans="1:17" ht="21" customHeight="1">
      <c r="A373" s="1" t="s">
        <v>385</v>
      </c>
      <c r="B373" s="1" t="s">
        <v>319</v>
      </c>
      <c r="C373" s="18">
        <v>68.1526870123718</v>
      </c>
      <c r="D373" s="18">
        <v>12.798711301697859</v>
      </c>
      <c r="E373" s="18">
        <v>2204.9999999984902</v>
      </c>
      <c r="F373" s="18">
        <v>1.32389775</v>
      </c>
      <c r="G373" s="18">
        <v>0</v>
      </c>
      <c r="H373" s="18">
        <f t="shared" si="50"/>
        <v>1.32389775</v>
      </c>
      <c r="I373" s="18">
        <f t="shared" si="51"/>
        <v>12.79871130169786</v>
      </c>
      <c r="J373" s="18">
        <f t="shared" si="52"/>
        <v>68.1526870123718</v>
      </c>
      <c r="K373" s="18">
        <f t="shared" si="53"/>
        <v>1665.5364811961424</v>
      </c>
      <c r="L373" s="18">
        <f t="shared" si="54"/>
        <v>-276.87120784586961</v>
      </c>
      <c r="M373" s="18">
        <f t="shared" si="55"/>
        <v>0.16623545084225855</v>
      </c>
      <c r="N373" s="18">
        <f t="shared" si="56"/>
        <v>0.20715481092942184</v>
      </c>
      <c r="O373" s="18">
        <f t="shared" si="57"/>
        <v>69.348712278670504</v>
      </c>
      <c r="P373" s="18">
        <f t="shared" si="58"/>
        <v>2235.5369582294543</v>
      </c>
      <c r="Q373" s="18">
        <f t="shared" si="59"/>
        <v>2252.4811433246714</v>
      </c>
    </row>
    <row r="374" spans="1:17" ht="21" customHeight="1">
      <c r="A374" s="1" t="s">
        <v>385</v>
      </c>
      <c r="B374" s="1" t="s">
        <v>320</v>
      </c>
      <c r="C374" s="18">
        <v>68.1526870123718</v>
      </c>
      <c r="D374" s="18">
        <v>12.798711301697859</v>
      </c>
      <c r="E374" s="18">
        <v>3436.1053958441889</v>
      </c>
      <c r="F374" s="18">
        <v>1.32389775</v>
      </c>
      <c r="G374" s="18">
        <v>3.4438949999999999</v>
      </c>
      <c r="H374" s="18">
        <f t="shared" si="50"/>
        <v>3.6895959160157443</v>
      </c>
      <c r="I374" s="18">
        <f t="shared" si="51"/>
        <v>4.5924229863943351</v>
      </c>
      <c r="J374" s="18">
        <f t="shared" si="52"/>
        <v>69.191801603257574</v>
      </c>
      <c r="K374" s="18">
        <f t="shared" si="53"/>
        <v>931.2958584241685</v>
      </c>
      <c r="L374" s="18">
        <f t="shared" si="54"/>
        <v>-27.156923816905213</v>
      </c>
      <c r="M374" s="18">
        <f t="shared" si="55"/>
        <v>2.9160361416034886E-2</v>
      </c>
      <c r="N374" s="18">
        <f t="shared" si="56"/>
        <v>0.10345662395964372</v>
      </c>
      <c r="O374" s="18">
        <f t="shared" si="57"/>
        <v>69.359919187112396</v>
      </c>
      <c r="P374" s="18">
        <f t="shared" si="58"/>
        <v>3437.5664054108438</v>
      </c>
      <c r="Q374" s="18">
        <f t="shared" si="59"/>
        <v>3454.5105905060614</v>
      </c>
    </row>
    <row r="375" spans="1:17" ht="21" customHeight="1">
      <c r="A375" s="1" t="s">
        <v>385</v>
      </c>
      <c r="B375" s="1" t="s">
        <v>321</v>
      </c>
      <c r="C375" s="18">
        <v>68.1526870123718</v>
      </c>
      <c r="D375" s="18">
        <v>12.798711301697859</v>
      </c>
      <c r="E375" s="18">
        <v>3664.5626971028514</v>
      </c>
      <c r="F375" s="18">
        <v>3.8554321618301355</v>
      </c>
      <c r="G375" s="18">
        <v>0</v>
      </c>
      <c r="H375" s="18">
        <f t="shared" si="50"/>
        <v>3.8554321618301355</v>
      </c>
      <c r="I375" s="18">
        <f t="shared" si="51"/>
        <v>12.798711301697859</v>
      </c>
      <c r="J375" s="18">
        <f t="shared" si="52"/>
        <v>68.1526870123718</v>
      </c>
      <c r="K375" s="18">
        <f t="shared" si="53"/>
        <v>950.49336709462932</v>
      </c>
      <c r="L375" s="18">
        <f t="shared" si="54"/>
        <v>-143.35080365619422</v>
      </c>
      <c r="M375" s="18">
        <f t="shared" si="55"/>
        <v>0.15081725829857631</v>
      </c>
      <c r="N375" s="18">
        <f t="shared" si="56"/>
        <v>0.22251969134205346</v>
      </c>
      <c r="O375" s="18">
        <f t="shared" si="57"/>
        <v>69.358388796460332</v>
      </c>
      <c r="P375" s="18">
        <f t="shared" si="58"/>
        <v>3706.3185431229185</v>
      </c>
      <c r="Q375" s="18">
        <f t="shared" si="59"/>
        <v>3755.6631063054633</v>
      </c>
    </row>
    <row r="376" spans="1:17" ht="21" customHeight="1">
      <c r="A376" s="1" t="s">
        <v>385</v>
      </c>
      <c r="B376" s="1" t="s">
        <v>322</v>
      </c>
      <c r="C376" s="18">
        <v>68.1526870123718</v>
      </c>
      <c r="D376" s="18">
        <v>12.798711301697859</v>
      </c>
      <c r="E376" s="18">
        <v>3425.7836903218658</v>
      </c>
      <c r="F376" s="18">
        <v>2.3365115147320541</v>
      </c>
      <c r="G376" s="18">
        <v>1.4349562500000002</v>
      </c>
      <c r="H376" s="18">
        <f t="shared" si="50"/>
        <v>2.7419674501878282</v>
      </c>
      <c r="I376" s="18">
        <f t="shared" si="51"/>
        <v>10.906160220136762</v>
      </c>
      <c r="J376" s="18">
        <f t="shared" si="52"/>
        <v>68.481029688835918</v>
      </c>
      <c r="K376" s="18">
        <f t="shared" si="53"/>
        <v>1249.3888977738213</v>
      </c>
      <c r="L376" s="18">
        <f t="shared" si="54"/>
        <v>-163.87857038459433</v>
      </c>
      <c r="M376" s="18">
        <f t="shared" si="55"/>
        <v>0.13116698145517017</v>
      </c>
      <c r="N376" s="18">
        <f t="shared" si="56"/>
        <v>0.18597860160871593</v>
      </c>
      <c r="O376" s="18">
        <f t="shared" si="57"/>
        <v>69.352505176426632</v>
      </c>
      <c r="P376" s="18">
        <f t="shared" si="58"/>
        <v>3455.295888776272</v>
      </c>
      <c r="Q376" s="18">
        <f t="shared" si="59"/>
        <v>3485.2002251064209</v>
      </c>
    </row>
    <row r="377" spans="1:17" ht="21" customHeight="1">
      <c r="A377" s="1" t="s">
        <v>385</v>
      </c>
      <c r="B377" s="1" t="s">
        <v>323</v>
      </c>
      <c r="C377" s="18">
        <v>68.1526870123718</v>
      </c>
      <c r="D377" s="18">
        <v>12.798711301697859</v>
      </c>
      <c r="E377" s="18">
        <v>3470.4627402533351</v>
      </c>
      <c r="F377" s="18">
        <v>1.32389775</v>
      </c>
      <c r="G377" s="18">
        <v>0</v>
      </c>
      <c r="H377" s="18">
        <f t="shared" si="50"/>
        <v>1.32389775</v>
      </c>
      <c r="I377" s="18">
        <f t="shared" si="51"/>
        <v>12.79871130169786</v>
      </c>
      <c r="J377" s="18">
        <f t="shared" si="52"/>
        <v>68.1526870123718</v>
      </c>
      <c r="K377" s="18">
        <f t="shared" si="53"/>
        <v>2621.3978687200997</v>
      </c>
      <c r="L377" s="18">
        <f t="shared" si="54"/>
        <v>-455.34600189532108</v>
      </c>
      <c r="M377" s="18">
        <f t="shared" si="55"/>
        <v>0.17370350656371147</v>
      </c>
      <c r="N377" s="18">
        <f t="shared" si="56"/>
        <v>0.19970211128739937</v>
      </c>
      <c r="O377" s="18">
        <f t="shared" si="57"/>
        <v>69.345925563334362</v>
      </c>
      <c r="P377" s="18">
        <f t="shared" si="58"/>
        <v>3522.951496408522</v>
      </c>
      <c r="Q377" s="18">
        <f t="shared" si="59"/>
        <v>3539.8956815037391</v>
      </c>
    </row>
    <row r="378" spans="1:17" ht="21" customHeight="1">
      <c r="A378" s="1" t="s">
        <v>385</v>
      </c>
      <c r="B378" s="1" t="s">
        <v>324</v>
      </c>
      <c r="C378" s="18">
        <v>68.1526870123718</v>
      </c>
      <c r="D378" s="18">
        <v>12.798711301697859</v>
      </c>
      <c r="E378" s="18">
        <v>515.89512656128181</v>
      </c>
      <c r="F378" s="18">
        <v>1.32389775</v>
      </c>
      <c r="G378" s="18">
        <v>0</v>
      </c>
      <c r="H378" s="18">
        <f t="shared" si="50"/>
        <v>1.32389775</v>
      </c>
      <c r="I378" s="18">
        <f t="shared" si="51"/>
        <v>12.79871130169786</v>
      </c>
      <c r="J378" s="18">
        <f t="shared" si="52"/>
        <v>68.1526870123718</v>
      </c>
      <c r="K378" s="18">
        <f t="shared" si="53"/>
        <v>389.67898129691798</v>
      </c>
      <c r="L378" s="18">
        <f t="shared" si="54"/>
        <v>-38.588256890287617</v>
      </c>
      <c r="M378" s="18">
        <f t="shared" si="55"/>
        <v>9.9025759002600883E-2</v>
      </c>
      <c r="N378" s="18">
        <f t="shared" si="56"/>
        <v>0.27392019848596244</v>
      </c>
      <c r="O378" s="18">
        <f t="shared" si="57"/>
        <v>69.429442082740024</v>
      </c>
      <c r="P378" s="18">
        <f t="shared" si="58"/>
        <v>518.42665409290726</v>
      </c>
      <c r="Q378" s="18">
        <f t="shared" si="59"/>
        <v>535.37083918812471</v>
      </c>
    </row>
    <row r="379" spans="1:17" ht="21" customHeight="1">
      <c r="A379" s="1" t="s">
        <v>386</v>
      </c>
      <c r="B379" s="1" t="s">
        <v>319</v>
      </c>
      <c r="C379" s="18">
        <v>68.15268701237369</v>
      </c>
      <c r="D379" s="18">
        <v>-4.1038052132649678</v>
      </c>
      <c r="E379" s="18">
        <v>2205.0000000006885</v>
      </c>
      <c r="F379" s="18">
        <v>1.32389775</v>
      </c>
      <c r="G379" s="18">
        <v>0</v>
      </c>
      <c r="H379" s="18">
        <f t="shared" si="50"/>
        <v>1.32389775</v>
      </c>
      <c r="I379" s="18">
        <f t="shared" si="51"/>
        <v>-4.1038052132649678</v>
      </c>
      <c r="J379" s="18">
        <f t="shared" si="52"/>
        <v>68.15268701237369</v>
      </c>
      <c r="K379" s="18">
        <f t="shared" si="53"/>
        <v>1665.5364811978029</v>
      </c>
      <c r="L379" s="18">
        <f t="shared" si="54"/>
        <v>134.29891579262292</v>
      </c>
      <c r="M379" s="18">
        <f t="shared" si="55"/>
        <v>-8.0634028319835571E-2</v>
      </c>
      <c r="N379" s="18">
        <f t="shared" si="56"/>
        <v>-3.9714668232711955E-2</v>
      </c>
      <c r="O379" s="18">
        <f t="shared" si="57"/>
        <v>68.280876539147371</v>
      </c>
      <c r="P379" s="18">
        <f t="shared" si="58"/>
        <v>2212.1721705587488</v>
      </c>
      <c r="Q379" s="18">
        <f t="shared" si="59"/>
        <v>2206.7391520704691</v>
      </c>
    </row>
    <row r="380" spans="1:17" ht="21" customHeight="1">
      <c r="A380" s="1" t="s">
        <v>386</v>
      </c>
      <c r="B380" s="1" t="s">
        <v>320</v>
      </c>
      <c r="C380" s="18">
        <v>68.15268701237369</v>
      </c>
      <c r="D380" s="18">
        <v>-4.1038052132649678</v>
      </c>
      <c r="E380" s="18">
        <v>3400.2798819217933</v>
      </c>
      <c r="F380" s="18">
        <v>1.32389775</v>
      </c>
      <c r="G380" s="18">
        <v>3.4438949999999999</v>
      </c>
      <c r="H380" s="18">
        <f t="shared" si="50"/>
        <v>3.6895959160157443</v>
      </c>
      <c r="I380" s="18">
        <f t="shared" si="51"/>
        <v>-1.4725239868941185</v>
      </c>
      <c r="J380" s="18">
        <f t="shared" si="52"/>
        <v>68.260249320838341</v>
      </c>
      <c r="K380" s="18">
        <f t="shared" si="53"/>
        <v>921.58598375554027</v>
      </c>
      <c r="L380" s="18">
        <f t="shared" si="54"/>
        <v>54.004680707283583</v>
      </c>
      <c r="M380" s="18">
        <f t="shared" si="55"/>
        <v>-5.8599720112072422E-2</v>
      </c>
      <c r="N380" s="18">
        <f t="shared" si="56"/>
        <v>1.5468517170217931E-2</v>
      </c>
      <c r="O380" s="18">
        <f t="shared" si="57"/>
        <v>68.291731158764122</v>
      </c>
      <c r="P380" s="18">
        <f t="shared" si="58"/>
        <v>3406.1197095458151</v>
      </c>
      <c r="Q380" s="18">
        <f t="shared" si="59"/>
        <v>3400.6866910575354</v>
      </c>
    </row>
    <row r="381" spans="1:17" ht="21" customHeight="1">
      <c r="A381" s="1" t="s">
        <v>386</v>
      </c>
      <c r="B381" s="1" t="s">
        <v>321</v>
      </c>
      <c r="C381" s="18">
        <v>68.15268701237369</v>
      </c>
      <c r="D381" s="18">
        <v>-4.1038052132649678</v>
      </c>
      <c r="E381" s="18">
        <v>3691.4282008344007</v>
      </c>
      <c r="F381" s="18">
        <v>3.8554321618301355</v>
      </c>
      <c r="G381" s="18">
        <v>0</v>
      </c>
      <c r="H381" s="18">
        <f t="shared" si="50"/>
        <v>3.8554321618301355</v>
      </c>
      <c r="I381" s="18">
        <f t="shared" si="51"/>
        <v>-4.1038052132649678</v>
      </c>
      <c r="J381" s="18">
        <f t="shared" si="52"/>
        <v>68.15268701237369</v>
      </c>
      <c r="K381" s="18">
        <f t="shared" si="53"/>
        <v>957.46158819251957</v>
      </c>
      <c r="L381" s="18">
        <f t="shared" si="54"/>
        <v>91.682837872325337</v>
      </c>
      <c r="M381" s="18">
        <f t="shared" si="55"/>
        <v>-9.5756152521379687E-2</v>
      </c>
      <c r="N381" s="18">
        <f t="shared" si="56"/>
        <v>-2.4575555980654518E-2</v>
      </c>
      <c r="O381" s="18">
        <f t="shared" si="57"/>
        <v>68.290492988640025</v>
      </c>
      <c r="P381" s="18">
        <f t="shared" si="58"/>
        <v>3708.3649332526143</v>
      </c>
      <c r="Q381" s="18">
        <f t="shared" si="59"/>
        <v>3692.5429906475065</v>
      </c>
    </row>
    <row r="382" spans="1:17" ht="21" customHeight="1">
      <c r="A382" s="1" t="s">
        <v>386</v>
      </c>
      <c r="B382" s="1" t="s">
        <v>322</v>
      </c>
      <c r="C382" s="18">
        <v>68.15268701237369</v>
      </c>
      <c r="D382" s="18">
        <v>-4.1038052132649678</v>
      </c>
      <c r="E382" s="18">
        <v>3428.0993774622384</v>
      </c>
      <c r="F382" s="18">
        <v>2.3365115147320541</v>
      </c>
      <c r="G382" s="18">
        <v>1.4349562500000002</v>
      </c>
      <c r="H382" s="18">
        <f t="shared" si="50"/>
        <v>2.7419674501878282</v>
      </c>
      <c r="I382" s="18">
        <f t="shared" si="51"/>
        <v>-3.4969737275160577</v>
      </c>
      <c r="J382" s="18">
        <f t="shared" si="52"/>
        <v>68.186517281527529</v>
      </c>
      <c r="K382" s="18">
        <f t="shared" si="53"/>
        <v>1250.2334326497601</v>
      </c>
      <c r="L382" s="18">
        <f t="shared" si="54"/>
        <v>98.175987240639571</v>
      </c>
      <c r="M382" s="18">
        <f t="shared" si="55"/>
        <v>-7.8526125343300238E-2</v>
      </c>
      <c r="N382" s="18">
        <f t="shared" si="56"/>
        <v>-2.3987096470098383E-2</v>
      </c>
      <c r="O382" s="18">
        <f t="shared" si="57"/>
        <v>68.284570372912654</v>
      </c>
      <c r="P382" s="18">
        <f t="shared" si="58"/>
        <v>3438.6742441624806</v>
      </c>
      <c r="Q382" s="18">
        <f t="shared" si="59"/>
        <v>3429.0856560274697</v>
      </c>
    </row>
    <row r="383" spans="1:17" ht="21" customHeight="1">
      <c r="A383" s="1" t="s">
        <v>386</v>
      </c>
      <c r="B383" s="1" t="s">
        <v>323</v>
      </c>
      <c r="C383" s="18">
        <v>68.15268701237369</v>
      </c>
      <c r="D383" s="18">
        <v>-4.1038052132649678</v>
      </c>
      <c r="E383" s="18">
        <v>3485.6454801010841</v>
      </c>
      <c r="F383" s="18">
        <v>1.32389775</v>
      </c>
      <c r="G383" s="18">
        <v>0</v>
      </c>
      <c r="H383" s="18">
        <f t="shared" si="50"/>
        <v>1.32389775</v>
      </c>
      <c r="I383" s="18">
        <f t="shared" si="51"/>
        <v>-4.1038052132649678</v>
      </c>
      <c r="J383" s="18">
        <f t="shared" si="52"/>
        <v>68.15268701237369</v>
      </c>
      <c r="K383" s="18">
        <f t="shared" si="53"/>
        <v>2632.8660805572667</v>
      </c>
      <c r="L383" s="18">
        <f t="shared" si="54"/>
        <v>192.51396597594635</v>
      </c>
      <c r="M383" s="18">
        <f t="shared" si="55"/>
        <v>-7.3119543526193806E-2</v>
      </c>
      <c r="N383" s="18">
        <f t="shared" si="56"/>
        <v>-4.7234183265884383E-2</v>
      </c>
      <c r="O383" s="18">
        <f t="shared" si="57"/>
        <v>68.27802958599105</v>
      </c>
      <c r="P383" s="18">
        <f t="shared" si="58"/>
        <v>3494.9675777402995</v>
      </c>
      <c r="Q383" s="18">
        <f t="shared" si="59"/>
        <v>3489.5345592520198</v>
      </c>
    </row>
    <row r="384" spans="1:17" ht="21" customHeight="1">
      <c r="A384" s="1" t="s">
        <v>386</v>
      </c>
      <c r="B384" s="1" t="s">
        <v>324</v>
      </c>
      <c r="C384" s="18">
        <v>68.15268701237369</v>
      </c>
      <c r="D384" s="18">
        <v>-4.1038052132649678</v>
      </c>
      <c r="E384" s="18">
        <v>521.31186507084089</v>
      </c>
      <c r="F384" s="18">
        <v>1.32389775</v>
      </c>
      <c r="G384" s="18">
        <v>0</v>
      </c>
      <c r="H384" s="18">
        <f t="shared" si="50"/>
        <v>1.32389775</v>
      </c>
      <c r="I384" s="18">
        <f t="shared" si="51"/>
        <v>-4.1038052132649678</v>
      </c>
      <c r="J384" s="18">
        <f t="shared" si="52"/>
        <v>68.15268701237369</v>
      </c>
      <c r="K384" s="18">
        <f t="shared" si="53"/>
        <v>393.77048950407305</v>
      </c>
      <c r="L384" s="18">
        <f t="shared" si="54"/>
        <v>57.743361669043068</v>
      </c>
      <c r="M384" s="18">
        <f t="shared" si="55"/>
        <v>-0.14664217661858531</v>
      </c>
      <c r="N384" s="18">
        <f t="shared" si="56"/>
        <v>2.6435006230254719E-2</v>
      </c>
      <c r="O384" s="18">
        <f t="shared" si="57"/>
        <v>68.361073553169163</v>
      </c>
      <c r="P384" s="18">
        <f t="shared" si="58"/>
        <v>526.92704302271284</v>
      </c>
      <c r="Q384" s="18">
        <f t="shared" si="59"/>
        <v>521.49402453443315</v>
      </c>
    </row>
    <row r="385" spans="1:17" ht="21" customHeight="1">
      <c r="A385" s="1" t="s">
        <v>387</v>
      </c>
      <c r="B385" s="1" t="s">
        <v>319</v>
      </c>
      <c r="C385" s="18">
        <v>56.009454857921661</v>
      </c>
      <c r="D385" s="18">
        <v>11.467957913086048</v>
      </c>
      <c r="E385" s="18">
        <v>2204.9999999960392</v>
      </c>
      <c r="F385" s="18">
        <v>1.32389775</v>
      </c>
      <c r="G385" s="18">
        <v>0</v>
      </c>
      <c r="H385" s="18">
        <f t="shared" si="50"/>
        <v>1.32389775</v>
      </c>
      <c r="I385" s="18">
        <f t="shared" si="51"/>
        <v>11.467957913086048</v>
      </c>
      <c r="J385" s="18">
        <f t="shared" si="52"/>
        <v>56.009454857921661</v>
      </c>
      <c r="K385" s="18">
        <f t="shared" si="53"/>
        <v>1665.5364811942909</v>
      </c>
      <c r="L385" s="18">
        <f t="shared" si="54"/>
        <v>-310.65989826200303</v>
      </c>
      <c r="M385" s="18">
        <f t="shared" si="55"/>
        <v>0.18652242191611498</v>
      </c>
      <c r="N385" s="18">
        <f t="shared" si="56"/>
        <v>0.22015089868040624</v>
      </c>
      <c r="O385" s="18">
        <f t="shared" si="57"/>
        <v>57.174021533512899</v>
      </c>
      <c r="P385" s="18">
        <f t="shared" si="58"/>
        <v>2243.4679851267283</v>
      </c>
      <c r="Q385" s="18">
        <f t="shared" si="59"/>
        <v>2258.6503888049569</v>
      </c>
    </row>
    <row r="386" spans="1:17" ht="21" customHeight="1">
      <c r="A386" s="1" t="s">
        <v>387</v>
      </c>
      <c r="B386" s="1" t="s">
        <v>320</v>
      </c>
      <c r="C386" s="18">
        <v>56.009454857921661</v>
      </c>
      <c r="D386" s="18">
        <v>11.467957913086048</v>
      </c>
      <c r="E386" s="18">
        <v>3319.0079828833959</v>
      </c>
      <c r="F386" s="18">
        <v>1.32389775</v>
      </c>
      <c r="G386" s="18">
        <v>3.4438949999999999</v>
      </c>
      <c r="H386" s="18">
        <f t="shared" si="50"/>
        <v>3.6895959160157443</v>
      </c>
      <c r="I386" s="18">
        <f t="shared" si="51"/>
        <v>4.1149231579333003</v>
      </c>
      <c r="J386" s="18">
        <f t="shared" si="52"/>
        <v>57.023157572885957</v>
      </c>
      <c r="K386" s="18">
        <f t="shared" si="53"/>
        <v>899.55866670284797</v>
      </c>
      <c r="L386" s="18">
        <f t="shared" si="54"/>
        <v>-36.335612075654453</v>
      </c>
      <c r="M386" s="18">
        <f t="shared" si="55"/>
        <v>4.0392709692671135E-2</v>
      </c>
      <c r="N386" s="18">
        <f t="shared" si="56"/>
        <v>0.10378285831065168</v>
      </c>
      <c r="O386" s="18">
        <f t="shared" si="57"/>
        <v>57.180959067814193</v>
      </c>
      <c r="P386" s="18">
        <f t="shared" si="58"/>
        <v>3321.715949620735</v>
      </c>
      <c r="Q386" s="18">
        <f t="shared" si="59"/>
        <v>3336.8983532989641</v>
      </c>
    </row>
    <row r="387" spans="1:17" ht="21" customHeight="1">
      <c r="A387" s="1" t="s">
        <v>387</v>
      </c>
      <c r="B387" s="1" t="s">
        <v>321</v>
      </c>
      <c r="C387" s="18">
        <v>56.009454857921661</v>
      </c>
      <c r="D387" s="18">
        <v>11.467957913086048</v>
      </c>
      <c r="E387" s="18">
        <v>3549.6919718959725</v>
      </c>
      <c r="F387" s="18">
        <v>3.8554321618301355</v>
      </c>
      <c r="G387" s="18">
        <v>0</v>
      </c>
      <c r="H387" s="18">
        <f t="shared" si="50"/>
        <v>3.8554321618301355</v>
      </c>
      <c r="I387" s="18">
        <f t="shared" si="51"/>
        <v>11.467957913086048</v>
      </c>
      <c r="J387" s="18">
        <f t="shared" si="52"/>
        <v>56.009454857921661</v>
      </c>
      <c r="K387" s="18">
        <f t="shared" si="53"/>
        <v>920.69885369503402</v>
      </c>
      <c r="L387" s="18">
        <f t="shared" si="54"/>
        <v>-159.18733006893297</v>
      </c>
      <c r="M387" s="18">
        <f t="shared" si="55"/>
        <v>0.17289836891842281</v>
      </c>
      <c r="N387" s="18">
        <f t="shared" si="56"/>
        <v>0.23373200049419737</v>
      </c>
      <c r="O387" s="18">
        <f t="shared" si="57"/>
        <v>57.179897362846923</v>
      </c>
      <c r="P387" s="18">
        <f t="shared" si="58"/>
        <v>3602.8812492847478</v>
      </c>
      <c r="Q387" s="18">
        <f t="shared" si="59"/>
        <v>3647.0951830533736</v>
      </c>
    </row>
    <row r="388" spans="1:17" ht="21" customHeight="1">
      <c r="A388" s="1" t="s">
        <v>387</v>
      </c>
      <c r="B388" s="1" t="s">
        <v>322</v>
      </c>
      <c r="C388" s="18">
        <v>56.009454857921661</v>
      </c>
      <c r="D388" s="18">
        <v>11.467957913086048</v>
      </c>
      <c r="E388" s="18">
        <v>3378.6235825989424</v>
      </c>
      <c r="F388" s="18">
        <v>2.3365115147320541</v>
      </c>
      <c r="G388" s="18">
        <v>1.4349562500000002</v>
      </c>
      <c r="H388" s="18">
        <f t="shared" si="50"/>
        <v>2.7419674501878282</v>
      </c>
      <c r="I388" s="18">
        <f t="shared" si="51"/>
        <v>9.7721859216646187</v>
      </c>
      <c r="J388" s="18">
        <f t="shared" si="52"/>
        <v>56.330076109395563</v>
      </c>
      <c r="K388" s="18">
        <f t="shared" si="53"/>
        <v>1232.1895295903321</v>
      </c>
      <c r="L388" s="18">
        <f t="shared" si="54"/>
        <v>-184.51988652365512</v>
      </c>
      <c r="M388" s="18">
        <f t="shared" si="55"/>
        <v>0.1497495978439313</v>
      </c>
      <c r="N388" s="18">
        <f t="shared" si="56"/>
        <v>0.19546502940430471</v>
      </c>
      <c r="O388" s="18">
        <f t="shared" si="57"/>
        <v>57.17626910477432</v>
      </c>
      <c r="P388" s="18">
        <f t="shared" si="58"/>
        <v>3416.5771477178805</v>
      </c>
      <c r="Q388" s="18">
        <f t="shared" si="59"/>
        <v>3443.3721634322683</v>
      </c>
    </row>
    <row r="389" spans="1:17" ht="21" customHeight="1">
      <c r="A389" s="1" t="s">
        <v>387</v>
      </c>
      <c r="B389" s="1" t="s">
        <v>323</v>
      </c>
      <c r="C389" s="18">
        <v>56.009454857921661</v>
      </c>
      <c r="D389" s="18">
        <v>11.467957913086048</v>
      </c>
      <c r="E389" s="18">
        <v>3505.0121510503177</v>
      </c>
      <c r="F389" s="18">
        <v>1.32389775</v>
      </c>
      <c r="G389" s="18">
        <v>0</v>
      </c>
      <c r="H389" s="18">
        <f t="shared" si="50"/>
        <v>1.32389775</v>
      </c>
      <c r="I389" s="18">
        <f t="shared" si="51"/>
        <v>11.467957913086048</v>
      </c>
      <c r="J389" s="18">
        <f t="shared" si="52"/>
        <v>56.009454857921661</v>
      </c>
      <c r="K389" s="18">
        <f t="shared" si="53"/>
        <v>2647.4946052671498</v>
      </c>
      <c r="L389" s="18">
        <f t="shared" si="54"/>
        <v>-510.34310304661489</v>
      </c>
      <c r="M389" s="18">
        <f t="shared" si="55"/>
        <v>0.19276454880447919</v>
      </c>
      <c r="N389" s="18">
        <f t="shared" si="56"/>
        <v>0.21392019336990784</v>
      </c>
      <c r="O389" s="18">
        <f t="shared" si="57"/>
        <v>57.172459244880791</v>
      </c>
      <c r="P389" s="18">
        <f t="shared" si="58"/>
        <v>3570.3339666552738</v>
      </c>
      <c r="Q389" s="18">
        <f t="shared" si="59"/>
        <v>3585.5163703335033</v>
      </c>
    </row>
    <row r="390" spans="1:17" ht="21" customHeight="1">
      <c r="A390" s="1" t="s">
        <v>387</v>
      </c>
      <c r="B390" s="1" t="s">
        <v>324</v>
      </c>
      <c r="C390" s="18">
        <v>56.009454857921661</v>
      </c>
      <c r="D390" s="18">
        <v>11.467957913086048</v>
      </c>
      <c r="E390" s="18">
        <v>431.83343085148658</v>
      </c>
      <c r="F390" s="18">
        <v>1.32389775</v>
      </c>
      <c r="G390" s="18">
        <v>0</v>
      </c>
      <c r="H390" s="18">
        <f t="shared" si="50"/>
        <v>1.32389775</v>
      </c>
      <c r="I390" s="18">
        <f t="shared" si="51"/>
        <v>11.467957913086048</v>
      </c>
      <c r="J390" s="18">
        <f t="shared" si="52"/>
        <v>56.009454857921661</v>
      </c>
      <c r="K390" s="18">
        <f t="shared" si="53"/>
        <v>326.18337092232883</v>
      </c>
      <c r="L390" s="18">
        <f t="shared" si="54"/>
        <v>-38.243078243627281</v>
      </c>
      <c r="M390" s="18">
        <f t="shared" si="55"/>
        <v>0.11724410761802376</v>
      </c>
      <c r="N390" s="18">
        <f t="shared" si="56"/>
        <v>0.28895566575033182</v>
      </c>
      <c r="O390" s="18">
        <f t="shared" si="57"/>
        <v>57.23887359520409</v>
      </c>
      <c r="P390" s="18">
        <f t="shared" si="58"/>
        <v>434.8048625347962</v>
      </c>
      <c r="Q390" s="18">
        <f t="shared" si="59"/>
        <v>449.98726621302558</v>
      </c>
    </row>
    <row r="391" spans="1:17" ht="21" customHeight="1">
      <c r="A391" s="1" t="s">
        <v>388</v>
      </c>
      <c r="B391" s="1" t="s">
        <v>319</v>
      </c>
      <c r="C391" s="18">
        <v>69.794963947029629</v>
      </c>
      <c r="D391" s="18">
        <v>12.18467194583136</v>
      </c>
      <c r="E391" s="18">
        <v>2205.0000000020718</v>
      </c>
      <c r="F391" s="18">
        <v>1.32389775</v>
      </c>
      <c r="G391" s="18">
        <v>0</v>
      </c>
      <c r="H391" s="18">
        <f t="shared" ref="H391:H454" si="60">SQRT(F391^2+G391^2)</f>
        <v>1.32389775</v>
      </c>
      <c r="I391" s="18">
        <f t="shared" ref="I391:I454" si="61">D391*F391/H391</f>
        <v>12.184671945831358</v>
      </c>
      <c r="J391" s="18">
        <f t="shared" ref="J391:J454" si="62">SQRT(C391^2+D391^2-I391^2)</f>
        <v>69.794963947029629</v>
      </c>
      <c r="K391" s="18">
        <f t="shared" ref="K391:K454" si="63">E391/H391</f>
        <v>1665.5364811988477</v>
      </c>
      <c r="L391" s="18">
        <f t="shared" ref="L391:L454" si="64">J391/2-K391*ASINH(I391/(2*K391*SINH(J391/(2*K391))))</f>
        <v>-254.39067413286068</v>
      </c>
      <c r="M391" s="18">
        <f t="shared" ref="M391:M454" si="65">-L391/K391</f>
        <v>0.15273797782546986</v>
      </c>
      <c r="N391" s="18">
        <f t="shared" ref="N391:N454" si="66">(J391-L391)/K391</f>
        <v>0.19464337271468382</v>
      </c>
      <c r="O391" s="18">
        <f t="shared" ref="O391:O454" si="67">K391*(SINH(N391)-SINH(M391))</f>
        <v>70.85560054590816</v>
      </c>
      <c r="P391" s="18">
        <f t="shared" ref="P391:P454" si="68">E391*COSH(M391)</f>
        <v>2230.7701417668786</v>
      </c>
      <c r="Q391" s="18">
        <f t="shared" ref="Q391:Q454" si="69">E391*COSH(N391)</f>
        <v>2246.9014015404528</v>
      </c>
    </row>
    <row r="392" spans="1:17" ht="21" customHeight="1">
      <c r="A392" s="1" t="s">
        <v>388</v>
      </c>
      <c r="B392" s="1" t="s">
        <v>320</v>
      </c>
      <c r="C392" s="18">
        <v>69.794963947029629</v>
      </c>
      <c r="D392" s="18">
        <v>12.18467194583136</v>
      </c>
      <c r="E392" s="18">
        <v>3447.5848832679349</v>
      </c>
      <c r="F392" s="18">
        <v>1.32389775</v>
      </c>
      <c r="G392" s="18">
        <v>3.4438949999999999</v>
      </c>
      <c r="H392" s="18">
        <f t="shared" si="60"/>
        <v>3.6895959160157443</v>
      </c>
      <c r="I392" s="18">
        <f t="shared" si="61"/>
        <v>4.3720938934130755</v>
      </c>
      <c r="J392" s="18">
        <f t="shared" si="62"/>
        <v>70.715542971696649</v>
      </c>
      <c r="K392" s="18">
        <f t="shared" si="63"/>
        <v>934.40717133892861</v>
      </c>
      <c r="L392" s="18">
        <f t="shared" si="64"/>
        <v>-22.362845225321657</v>
      </c>
      <c r="M392" s="18">
        <f t="shared" si="65"/>
        <v>2.3932655817781812E-2</v>
      </c>
      <c r="N392" s="18">
        <f t="shared" si="66"/>
        <v>9.9612236562402062E-2</v>
      </c>
      <c r="O392" s="18">
        <f t="shared" si="67"/>
        <v>70.86741439552911</v>
      </c>
      <c r="P392" s="18">
        <f t="shared" si="68"/>
        <v>3448.5722704649265</v>
      </c>
      <c r="Q392" s="18">
        <f t="shared" si="69"/>
        <v>3464.7035302385007</v>
      </c>
    </row>
    <row r="393" spans="1:17" ht="21" customHeight="1">
      <c r="A393" s="1" t="s">
        <v>388</v>
      </c>
      <c r="B393" s="1" t="s">
        <v>321</v>
      </c>
      <c r="C393" s="18">
        <v>69.794963947029629</v>
      </c>
      <c r="D393" s="18">
        <v>12.18467194583136</v>
      </c>
      <c r="E393" s="18">
        <v>3683.7068062238286</v>
      </c>
      <c r="F393" s="18">
        <v>3.8554321618301355</v>
      </c>
      <c r="G393" s="18">
        <v>0</v>
      </c>
      <c r="H393" s="18">
        <f t="shared" si="60"/>
        <v>3.8554321618301355</v>
      </c>
      <c r="I393" s="18">
        <f t="shared" si="61"/>
        <v>12.18467194583136</v>
      </c>
      <c r="J393" s="18">
        <f t="shared" si="62"/>
        <v>69.794963947029629</v>
      </c>
      <c r="K393" s="18">
        <f t="shared" si="63"/>
        <v>955.45885690677267</v>
      </c>
      <c r="L393" s="18">
        <f t="shared" si="64"/>
        <v>-131.03230614029428</v>
      </c>
      <c r="M393" s="18">
        <f t="shared" si="65"/>
        <v>0.13714071013429263</v>
      </c>
      <c r="N393" s="18">
        <f t="shared" si="66"/>
        <v>0.21018934372275047</v>
      </c>
      <c r="O393" s="18">
        <f t="shared" si="67"/>
        <v>70.865857583668657</v>
      </c>
      <c r="P393" s="18">
        <f t="shared" si="68"/>
        <v>3718.4019275850337</v>
      </c>
      <c r="Q393" s="18">
        <f t="shared" si="69"/>
        <v>3765.3791036863418</v>
      </c>
    </row>
    <row r="394" spans="1:17" ht="21" customHeight="1">
      <c r="A394" s="1" t="s">
        <v>388</v>
      </c>
      <c r="B394" s="1" t="s">
        <v>322</v>
      </c>
      <c r="C394" s="18">
        <v>69.794963947029629</v>
      </c>
      <c r="D394" s="18">
        <v>12.18467194583136</v>
      </c>
      <c r="E394" s="18">
        <v>3432.678926650281</v>
      </c>
      <c r="F394" s="18">
        <v>2.3365115147320541</v>
      </c>
      <c r="G394" s="18">
        <v>1.4349562500000002</v>
      </c>
      <c r="H394" s="18">
        <f t="shared" si="60"/>
        <v>2.7419674501878282</v>
      </c>
      <c r="I394" s="18">
        <f t="shared" si="61"/>
        <v>10.382919134476738</v>
      </c>
      <c r="J394" s="18">
        <f t="shared" si="62"/>
        <v>70.085649123352013</v>
      </c>
      <c r="K394" s="18">
        <f t="shared" si="63"/>
        <v>1251.9036017058256</v>
      </c>
      <c r="L394" s="18">
        <f t="shared" si="64"/>
        <v>-149.7261253238261</v>
      </c>
      <c r="M394" s="18">
        <f t="shared" si="65"/>
        <v>0.11959876552780219</v>
      </c>
      <c r="N394" s="18">
        <f t="shared" si="66"/>
        <v>0.17558202895787325</v>
      </c>
      <c r="O394" s="18">
        <f t="shared" si="67"/>
        <v>70.859623612574239</v>
      </c>
      <c r="P394" s="18">
        <f t="shared" si="68"/>
        <v>3457.2584917622921</v>
      </c>
      <c r="Q394" s="18">
        <f t="shared" si="69"/>
        <v>3485.7281180669602</v>
      </c>
    </row>
    <row r="395" spans="1:17" ht="21" customHeight="1">
      <c r="A395" s="1" t="s">
        <v>388</v>
      </c>
      <c r="B395" s="1" t="s">
        <v>323</v>
      </c>
      <c r="C395" s="18">
        <v>69.794963947029629</v>
      </c>
      <c r="D395" s="18">
        <v>12.18467194583136</v>
      </c>
      <c r="E395" s="18">
        <v>3467.0641314896166</v>
      </c>
      <c r="F395" s="18">
        <v>1.32389775</v>
      </c>
      <c r="G395" s="18">
        <v>0</v>
      </c>
      <c r="H395" s="18">
        <f t="shared" si="60"/>
        <v>1.32389775</v>
      </c>
      <c r="I395" s="18">
        <f t="shared" si="61"/>
        <v>12.184671945831358</v>
      </c>
      <c r="J395" s="18">
        <f t="shared" si="62"/>
        <v>69.794963947029629</v>
      </c>
      <c r="K395" s="18">
        <f t="shared" si="63"/>
        <v>2618.8307454179271</v>
      </c>
      <c r="L395" s="18">
        <f t="shared" si="64"/>
        <v>-419.98862204002774</v>
      </c>
      <c r="M395" s="18">
        <f t="shared" si="65"/>
        <v>0.16037257191014218</v>
      </c>
      <c r="N395" s="18">
        <f t="shared" si="66"/>
        <v>0.18702376503102153</v>
      </c>
      <c r="O395" s="18">
        <f t="shared" si="67"/>
        <v>70.852604514810977</v>
      </c>
      <c r="P395" s="18">
        <f t="shared" si="68"/>
        <v>3511.7451107492598</v>
      </c>
      <c r="Q395" s="18">
        <f t="shared" si="69"/>
        <v>3527.8763705228343</v>
      </c>
    </row>
    <row r="396" spans="1:17" ht="21" customHeight="1">
      <c r="A396" s="1" t="s">
        <v>388</v>
      </c>
      <c r="B396" s="1" t="s">
        <v>324</v>
      </c>
      <c r="C396" s="18">
        <v>69.794963947029629</v>
      </c>
      <c r="D396" s="18">
        <v>12.18467194583136</v>
      </c>
      <c r="E396" s="18">
        <v>527.66634275649631</v>
      </c>
      <c r="F396" s="18">
        <v>1.32389775</v>
      </c>
      <c r="G396" s="18">
        <v>0</v>
      </c>
      <c r="H396" s="18">
        <f t="shared" si="60"/>
        <v>1.32389775</v>
      </c>
      <c r="I396" s="18">
        <f t="shared" si="61"/>
        <v>12.184671945831358</v>
      </c>
      <c r="J396" s="18">
        <f t="shared" si="62"/>
        <v>69.794963947029629</v>
      </c>
      <c r="K396" s="18">
        <f t="shared" si="63"/>
        <v>398.57031463079102</v>
      </c>
      <c r="L396" s="18">
        <f t="shared" si="64"/>
        <v>-34.247977360726168</v>
      </c>
      <c r="M396" s="18">
        <f t="shared" si="65"/>
        <v>8.5927065071193798E-2</v>
      </c>
      <c r="N396" s="18">
        <f t="shared" si="66"/>
        <v>0.26104036725397939</v>
      </c>
      <c r="O396" s="18">
        <f t="shared" si="67"/>
        <v>70.938453006336033</v>
      </c>
      <c r="P396" s="18">
        <f t="shared" si="68"/>
        <v>529.61554343695116</v>
      </c>
      <c r="Q396" s="18">
        <f t="shared" si="69"/>
        <v>545.7468032105254</v>
      </c>
    </row>
    <row r="397" spans="1:17" ht="21" customHeight="1">
      <c r="A397" s="1" t="s">
        <v>389</v>
      </c>
      <c r="B397" s="1" t="s">
        <v>319</v>
      </c>
      <c r="C397" s="18">
        <v>69.794963947029629</v>
      </c>
      <c r="D397" s="18">
        <v>3.4474851945329643</v>
      </c>
      <c r="E397" s="18">
        <v>2205.000000000593</v>
      </c>
      <c r="F397" s="18">
        <v>1.32389775</v>
      </c>
      <c r="G397" s="18">
        <v>0</v>
      </c>
      <c r="H397" s="18">
        <f t="shared" si="60"/>
        <v>1.32389775</v>
      </c>
      <c r="I397" s="18">
        <f t="shared" si="61"/>
        <v>3.4474851945329648</v>
      </c>
      <c r="J397" s="18">
        <f t="shared" si="62"/>
        <v>69.794963947029629</v>
      </c>
      <c r="K397" s="18">
        <f t="shared" si="63"/>
        <v>1665.5364811977308</v>
      </c>
      <c r="L397" s="18">
        <f t="shared" si="64"/>
        <v>-47.331379977566101</v>
      </c>
      <c r="M397" s="18">
        <f t="shared" si="65"/>
        <v>2.8418098619808596E-2</v>
      </c>
      <c r="N397" s="18">
        <f t="shared" si="66"/>
        <v>7.0323493509050677E-2</v>
      </c>
      <c r="O397" s="18">
        <f t="shared" si="67"/>
        <v>69.885156166816259</v>
      </c>
      <c r="P397" s="18">
        <f t="shared" si="68"/>
        <v>2205.8904260558857</v>
      </c>
      <c r="Q397" s="18">
        <f t="shared" si="69"/>
        <v>2210.4545439480862</v>
      </c>
    </row>
    <row r="398" spans="1:17" ht="21" customHeight="1">
      <c r="A398" s="1" t="s">
        <v>389</v>
      </c>
      <c r="B398" s="1" t="s">
        <v>320</v>
      </c>
      <c r="C398" s="18">
        <v>69.794963947029629</v>
      </c>
      <c r="D398" s="18">
        <v>3.4474851945329643</v>
      </c>
      <c r="E398" s="18">
        <v>3415.5247482656177</v>
      </c>
      <c r="F398" s="18">
        <v>1.32389775</v>
      </c>
      <c r="G398" s="18">
        <v>3.4438949999999999</v>
      </c>
      <c r="H398" s="18">
        <f t="shared" si="60"/>
        <v>3.6895959160157443</v>
      </c>
      <c r="I398" s="18">
        <f t="shared" si="61"/>
        <v>1.2370237814901754</v>
      </c>
      <c r="J398" s="18">
        <f t="shared" si="62"/>
        <v>69.869105609687878</v>
      </c>
      <c r="K398" s="18">
        <f t="shared" si="63"/>
        <v>925.71783631902815</v>
      </c>
      <c r="L398" s="18">
        <f t="shared" si="64"/>
        <v>18.549579320542389</v>
      </c>
      <c r="M398" s="18">
        <f t="shared" si="65"/>
        <v>-2.0038048952693708E-2</v>
      </c>
      <c r="N398" s="18">
        <f t="shared" si="66"/>
        <v>5.5437547247884446E-2</v>
      </c>
      <c r="O398" s="18">
        <f t="shared" si="67"/>
        <v>69.896637924512774</v>
      </c>
      <c r="P398" s="18">
        <f t="shared" si="68"/>
        <v>3416.2104777746722</v>
      </c>
      <c r="Q398" s="18">
        <f t="shared" si="69"/>
        <v>3420.7745956668723</v>
      </c>
    </row>
    <row r="399" spans="1:17" ht="21" customHeight="1">
      <c r="A399" s="1" t="s">
        <v>389</v>
      </c>
      <c r="B399" s="1" t="s">
        <v>321</v>
      </c>
      <c r="C399" s="18">
        <v>69.794963947029629</v>
      </c>
      <c r="D399" s="18">
        <v>3.4474851945329643</v>
      </c>
      <c r="E399" s="18">
        <v>3707.8638841270995</v>
      </c>
      <c r="F399" s="18">
        <v>3.8554321618301355</v>
      </c>
      <c r="G399" s="18">
        <v>0</v>
      </c>
      <c r="H399" s="18">
        <f t="shared" si="60"/>
        <v>3.8554321618301355</v>
      </c>
      <c r="I399" s="18">
        <f t="shared" si="61"/>
        <v>3.4474851945329643</v>
      </c>
      <c r="J399" s="18">
        <f t="shared" si="62"/>
        <v>69.794963947029629</v>
      </c>
      <c r="K399" s="18">
        <f t="shared" si="63"/>
        <v>961.72458196411719</v>
      </c>
      <c r="L399" s="18">
        <f t="shared" si="64"/>
        <v>-12.576687213078351</v>
      </c>
      <c r="M399" s="18">
        <f t="shared" si="65"/>
        <v>1.3077223405679361E-2</v>
      </c>
      <c r="N399" s="18">
        <f t="shared" si="66"/>
        <v>8.5649938355408836E-2</v>
      </c>
      <c r="O399" s="18">
        <f t="shared" si="67"/>
        <v>69.895354289846509</v>
      </c>
      <c r="P399" s="18">
        <f t="shared" si="68"/>
        <v>3708.180936539869</v>
      </c>
      <c r="Q399" s="18">
        <f t="shared" si="69"/>
        <v>3721.4724818363043</v>
      </c>
    </row>
    <row r="400" spans="1:17" ht="21" customHeight="1">
      <c r="A400" s="1" t="s">
        <v>389</v>
      </c>
      <c r="B400" s="1" t="s">
        <v>322</v>
      </c>
      <c r="C400" s="18">
        <v>69.794963947029629</v>
      </c>
      <c r="D400" s="18">
        <v>3.4474851945329643</v>
      </c>
      <c r="E400" s="18">
        <v>3434.7467649566361</v>
      </c>
      <c r="F400" s="18">
        <v>2.3365115147320541</v>
      </c>
      <c r="G400" s="18">
        <v>1.4349562500000002</v>
      </c>
      <c r="H400" s="18">
        <f t="shared" si="60"/>
        <v>2.7419674501878282</v>
      </c>
      <c r="I400" s="18">
        <f t="shared" si="61"/>
        <v>2.9377040392447991</v>
      </c>
      <c r="J400" s="18">
        <f t="shared" si="62"/>
        <v>69.818278706306515</v>
      </c>
      <c r="K400" s="18">
        <f t="shared" si="63"/>
        <v>1252.6577457078681</v>
      </c>
      <c r="L400" s="18">
        <f t="shared" si="64"/>
        <v>-17.77587306293541</v>
      </c>
      <c r="M400" s="18">
        <f t="shared" si="65"/>
        <v>1.419052660141449E-2</v>
      </c>
      <c r="N400" s="18">
        <f t="shared" si="66"/>
        <v>6.992664362582382E-2</v>
      </c>
      <c r="O400" s="18">
        <f t="shared" si="67"/>
        <v>69.889084936173845</v>
      </c>
      <c r="P400" s="18">
        <f t="shared" si="68"/>
        <v>3435.0926000330805</v>
      </c>
      <c r="Q400" s="18">
        <f t="shared" si="69"/>
        <v>3443.1476888869752</v>
      </c>
    </row>
    <row r="401" spans="1:17" ht="21" customHeight="1">
      <c r="A401" s="1" t="s">
        <v>389</v>
      </c>
      <c r="B401" s="1" t="s">
        <v>323</v>
      </c>
      <c r="C401" s="18">
        <v>69.794963947029629</v>
      </c>
      <c r="D401" s="18">
        <v>3.4474851945329643</v>
      </c>
      <c r="E401" s="18">
        <v>3480.2960442428812</v>
      </c>
      <c r="F401" s="18">
        <v>1.32389775</v>
      </c>
      <c r="G401" s="18">
        <v>0</v>
      </c>
      <c r="H401" s="18">
        <f t="shared" si="60"/>
        <v>1.32389775</v>
      </c>
      <c r="I401" s="18">
        <f t="shared" si="61"/>
        <v>3.4474851945329648</v>
      </c>
      <c r="J401" s="18">
        <f t="shared" si="62"/>
        <v>69.794963947029629</v>
      </c>
      <c r="K401" s="18">
        <f t="shared" si="63"/>
        <v>2628.8254090943815</v>
      </c>
      <c r="L401" s="18">
        <f t="shared" si="64"/>
        <v>-94.895401080804234</v>
      </c>
      <c r="M401" s="18">
        <f t="shared" si="65"/>
        <v>3.6098023380523876E-2</v>
      </c>
      <c r="N401" s="18">
        <f t="shared" si="66"/>
        <v>6.2647889988467875E-2</v>
      </c>
      <c r="O401" s="18">
        <f t="shared" si="67"/>
        <v>69.882102872270593</v>
      </c>
      <c r="P401" s="18">
        <f t="shared" si="68"/>
        <v>3482.5638204530865</v>
      </c>
      <c r="Q401" s="18">
        <f t="shared" si="69"/>
        <v>3487.1279383452866</v>
      </c>
    </row>
    <row r="402" spans="1:17" ht="21" customHeight="1">
      <c r="A402" s="1" t="s">
        <v>389</v>
      </c>
      <c r="B402" s="1" t="s">
        <v>324</v>
      </c>
      <c r="C402" s="18">
        <v>69.794963947029629</v>
      </c>
      <c r="D402" s="18">
        <v>3.4474851945329643</v>
      </c>
      <c r="E402" s="18">
        <v>532.58841309781042</v>
      </c>
      <c r="F402" s="18">
        <v>1.32389775</v>
      </c>
      <c r="G402" s="18">
        <v>0</v>
      </c>
      <c r="H402" s="18">
        <f t="shared" si="60"/>
        <v>1.32389775</v>
      </c>
      <c r="I402" s="18">
        <f t="shared" si="61"/>
        <v>3.4474851945329648</v>
      </c>
      <c r="J402" s="18">
        <f t="shared" si="62"/>
        <v>69.794963947029629</v>
      </c>
      <c r="K402" s="18">
        <f t="shared" si="63"/>
        <v>402.28817754075828</v>
      </c>
      <c r="L402" s="18">
        <f t="shared" si="64"/>
        <v>15.05961188738609</v>
      </c>
      <c r="M402" s="18">
        <f t="shared" si="65"/>
        <v>-3.7434885557531224E-2</v>
      </c>
      <c r="N402" s="18">
        <f t="shared" si="66"/>
        <v>0.13606005623691977</v>
      </c>
      <c r="O402" s="18">
        <f t="shared" si="67"/>
        <v>69.967517828092284</v>
      </c>
      <c r="P402" s="18">
        <f t="shared" si="68"/>
        <v>532.96163356688271</v>
      </c>
      <c r="Q402" s="18">
        <f t="shared" si="69"/>
        <v>537.52575145908327</v>
      </c>
    </row>
    <row r="403" spans="1:17" ht="21" customHeight="1">
      <c r="A403" s="1" t="s">
        <v>390</v>
      </c>
      <c r="B403" s="1" t="s">
        <v>319</v>
      </c>
      <c r="C403" s="18">
        <v>56.885229973887903</v>
      </c>
      <c r="D403" s="18">
        <v>11.813903866011151</v>
      </c>
      <c r="E403" s="18">
        <v>2204.9999999963084</v>
      </c>
      <c r="F403" s="18">
        <v>1.32389775</v>
      </c>
      <c r="G403" s="18">
        <v>0</v>
      </c>
      <c r="H403" s="18">
        <f t="shared" si="60"/>
        <v>1.32389775</v>
      </c>
      <c r="I403" s="18">
        <f t="shared" si="61"/>
        <v>11.813903866011151</v>
      </c>
      <c r="J403" s="18">
        <f t="shared" si="62"/>
        <v>56.885229973887903</v>
      </c>
      <c r="K403" s="18">
        <f t="shared" si="63"/>
        <v>1665.5364811944944</v>
      </c>
      <c r="L403" s="18">
        <f t="shared" si="64"/>
        <v>-314.99951286183062</v>
      </c>
      <c r="M403" s="18">
        <f t="shared" si="65"/>
        <v>0.18912795751908018</v>
      </c>
      <c r="N403" s="18">
        <f t="shared" si="66"/>
        <v>0.22328225591853088</v>
      </c>
      <c r="O403" s="18">
        <f t="shared" si="67"/>
        <v>58.101740848387585</v>
      </c>
      <c r="P403" s="18">
        <f t="shared" si="68"/>
        <v>2244.5534358125624</v>
      </c>
      <c r="Q403" s="18">
        <f t="shared" si="69"/>
        <v>2260.193836559491</v>
      </c>
    </row>
    <row r="404" spans="1:17" ht="21" customHeight="1">
      <c r="A404" s="1" t="s">
        <v>390</v>
      </c>
      <c r="B404" s="1" t="s">
        <v>320</v>
      </c>
      <c r="C404" s="18">
        <v>56.885229973887903</v>
      </c>
      <c r="D404" s="18">
        <v>11.813903866011151</v>
      </c>
      <c r="E404" s="18">
        <v>3329.1674981944834</v>
      </c>
      <c r="F404" s="18">
        <v>1.32389775</v>
      </c>
      <c r="G404" s="18">
        <v>3.4438949999999999</v>
      </c>
      <c r="H404" s="18">
        <f t="shared" si="60"/>
        <v>3.6895959160157443</v>
      </c>
      <c r="I404" s="18">
        <f t="shared" si="61"/>
        <v>4.2390551981686775</v>
      </c>
      <c r="J404" s="18">
        <f t="shared" si="62"/>
        <v>57.944181112207865</v>
      </c>
      <c r="K404" s="18">
        <f t="shared" si="63"/>
        <v>902.31222442091325</v>
      </c>
      <c r="L404" s="18">
        <f t="shared" si="64"/>
        <v>-36.968822977204738</v>
      </c>
      <c r="M404" s="18">
        <f t="shared" si="65"/>
        <v>4.0971209273963478E-2</v>
      </c>
      <c r="N404" s="18">
        <f t="shared" si="66"/>
        <v>0.10518864925090197</v>
      </c>
      <c r="O404" s="18">
        <f t="shared" si="67"/>
        <v>58.108964103393802</v>
      </c>
      <c r="P404" s="18">
        <f t="shared" si="68"/>
        <v>3331.9621259397227</v>
      </c>
      <c r="Q404" s="18">
        <f t="shared" si="69"/>
        <v>3347.6025266866518</v>
      </c>
    </row>
    <row r="405" spans="1:17" ht="21" customHeight="1">
      <c r="A405" s="1" t="s">
        <v>390</v>
      </c>
      <c r="B405" s="1" t="s">
        <v>321</v>
      </c>
      <c r="C405" s="18">
        <v>56.885229973887903</v>
      </c>
      <c r="D405" s="18">
        <v>11.813903866011151</v>
      </c>
      <c r="E405" s="18">
        <v>3556.5000994948841</v>
      </c>
      <c r="F405" s="18">
        <v>3.8554321618301355</v>
      </c>
      <c r="G405" s="18">
        <v>0</v>
      </c>
      <c r="H405" s="18">
        <f t="shared" si="60"/>
        <v>3.8554321618301355</v>
      </c>
      <c r="I405" s="18">
        <f t="shared" si="61"/>
        <v>11.813903866011151</v>
      </c>
      <c r="J405" s="18">
        <f t="shared" si="62"/>
        <v>56.885229973887903</v>
      </c>
      <c r="K405" s="18">
        <f t="shared" si="63"/>
        <v>922.46470699322299</v>
      </c>
      <c r="L405" s="18">
        <f t="shared" si="64"/>
        <v>-161.75371735775974</v>
      </c>
      <c r="M405" s="18">
        <f t="shared" si="65"/>
        <v>0.17534949156482807</v>
      </c>
      <c r="N405" s="18">
        <f t="shared" si="66"/>
        <v>0.23701605673815107</v>
      </c>
      <c r="O405" s="18">
        <f t="shared" si="67"/>
        <v>58.107859196389931</v>
      </c>
      <c r="P405" s="18">
        <f t="shared" si="68"/>
        <v>3611.3169845810294</v>
      </c>
      <c r="Q405" s="18">
        <f t="shared" si="69"/>
        <v>3656.8646895028191</v>
      </c>
    </row>
    <row r="406" spans="1:17" ht="21" customHeight="1">
      <c r="A406" s="1" t="s">
        <v>390</v>
      </c>
      <c r="B406" s="1" t="s">
        <v>322</v>
      </c>
      <c r="C406" s="18">
        <v>56.885229973887903</v>
      </c>
      <c r="D406" s="18">
        <v>11.813903866011151</v>
      </c>
      <c r="E406" s="18">
        <v>3381.7771816306904</v>
      </c>
      <c r="F406" s="18">
        <v>2.3365115147320541</v>
      </c>
      <c r="G406" s="18">
        <v>1.4349562500000002</v>
      </c>
      <c r="H406" s="18">
        <f t="shared" si="60"/>
        <v>2.7419674501878282</v>
      </c>
      <c r="I406" s="18">
        <f t="shared" si="61"/>
        <v>10.066976694045628</v>
      </c>
      <c r="J406" s="18">
        <f t="shared" si="62"/>
        <v>57.220221023507158</v>
      </c>
      <c r="K406" s="18">
        <f t="shared" si="63"/>
        <v>1233.3396522993132</v>
      </c>
      <c r="L406" s="18">
        <f t="shared" si="64"/>
        <v>-187.25290448940271</v>
      </c>
      <c r="M406" s="18">
        <f t="shared" si="65"/>
        <v>0.15182590143786215</v>
      </c>
      <c r="N406" s="18">
        <f t="shared" si="66"/>
        <v>0.19822043753895285</v>
      </c>
      <c r="O406" s="18">
        <f t="shared" si="67"/>
        <v>58.104088017675309</v>
      </c>
      <c r="P406" s="18">
        <f t="shared" si="68"/>
        <v>3420.8289601486908</v>
      </c>
      <c r="Q406" s="18">
        <f t="shared" si="69"/>
        <v>3448.4322825655636</v>
      </c>
    </row>
    <row r="407" spans="1:17" ht="21" customHeight="1">
      <c r="A407" s="1" t="s">
        <v>390</v>
      </c>
      <c r="B407" s="1" t="s">
        <v>323</v>
      </c>
      <c r="C407" s="18">
        <v>56.885229973887903</v>
      </c>
      <c r="D407" s="18">
        <v>11.813903866011151</v>
      </c>
      <c r="E407" s="18">
        <v>3501.8723002987699</v>
      </c>
      <c r="F407" s="18">
        <v>1.32389775</v>
      </c>
      <c r="G407" s="18">
        <v>0</v>
      </c>
      <c r="H407" s="18">
        <f t="shared" si="60"/>
        <v>1.32389775</v>
      </c>
      <c r="I407" s="18">
        <f t="shared" si="61"/>
        <v>11.813903866011151</v>
      </c>
      <c r="J407" s="18">
        <f t="shared" si="62"/>
        <v>56.885229973887903</v>
      </c>
      <c r="K407" s="18">
        <f t="shared" si="63"/>
        <v>2645.1229336244205</v>
      </c>
      <c r="L407" s="18">
        <f t="shared" si="64"/>
        <v>-517.01101883227182</v>
      </c>
      <c r="M407" s="18">
        <f t="shared" si="65"/>
        <v>0.19545821944987979</v>
      </c>
      <c r="N407" s="18">
        <f t="shared" si="66"/>
        <v>0.21696392311709733</v>
      </c>
      <c r="O407" s="18">
        <f t="shared" si="67"/>
        <v>58.100106992173565</v>
      </c>
      <c r="P407" s="18">
        <f t="shared" si="68"/>
        <v>3568.9781518232599</v>
      </c>
      <c r="Q407" s="18">
        <f t="shared" si="69"/>
        <v>3584.6185525701881</v>
      </c>
    </row>
    <row r="408" spans="1:17" ht="21" customHeight="1">
      <c r="A408" s="1" t="s">
        <v>390</v>
      </c>
      <c r="B408" s="1" t="s">
        <v>324</v>
      </c>
      <c r="C408" s="18">
        <v>56.885229973887903</v>
      </c>
      <c r="D408" s="18">
        <v>11.813903866011151</v>
      </c>
      <c r="E408" s="18">
        <v>437.77349551768282</v>
      </c>
      <c r="F408" s="18">
        <v>1.32389775</v>
      </c>
      <c r="G408" s="18">
        <v>0</v>
      </c>
      <c r="H408" s="18">
        <f t="shared" si="60"/>
        <v>1.32389775</v>
      </c>
      <c r="I408" s="18">
        <f t="shared" si="61"/>
        <v>11.813903866011151</v>
      </c>
      <c r="J408" s="18">
        <f t="shared" si="62"/>
        <v>56.885229973887903</v>
      </c>
      <c r="K408" s="18">
        <f t="shared" si="63"/>
        <v>330.67017110474188</v>
      </c>
      <c r="L408" s="18">
        <f t="shared" si="64"/>
        <v>-39.663688374208689</v>
      </c>
      <c r="M408" s="18">
        <f t="shared" si="65"/>
        <v>0.11994939925090783</v>
      </c>
      <c r="N408" s="18">
        <f t="shared" si="66"/>
        <v>0.29197952154418583</v>
      </c>
      <c r="O408" s="18">
        <f t="shared" si="67"/>
        <v>58.167740453869072</v>
      </c>
      <c r="P408" s="18">
        <f t="shared" si="68"/>
        <v>440.92658484460532</v>
      </c>
      <c r="Q408" s="18">
        <f t="shared" si="69"/>
        <v>456.56698559153369</v>
      </c>
    </row>
    <row r="409" spans="1:17" ht="21" customHeight="1">
      <c r="A409" s="1" t="s">
        <v>391</v>
      </c>
      <c r="B409" s="1" t="s">
        <v>319</v>
      </c>
      <c r="C409" s="18">
        <v>56.885229973850386</v>
      </c>
      <c r="D409" s="18">
        <v>9.720805381404352</v>
      </c>
      <c r="E409" s="18">
        <v>2205.0000000045784</v>
      </c>
      <c r="F409" s="18">
        <v>1.32389775</v>
      </c>
      <c r="G409" s="18">
        <v>0</v>
      </c>
      <c r="H409" s="18">
        <f t="shared" si="60"/>
        <v>1.32389775</v>
      </c>
      <c r="I409" s="18">
        <f t="shared" si="61"/>
        <v>9.720805381404352</v>
      </c>
      <c r="J409" s="18">
        <f t="shared" si="62"/>
        <v>56.885229973850386</v>
      </c>
      <c r="K409" s="18">
        <f t="shared" si="63"/>
        <v>1665.536481200741</v>
      </c>
      <c r="L409" s="18">
        <f t="shared" si="64"/>
        <v>-254.79085300066532</v>
      </c>
      <c r="M409" s="18">
        <f t="shared" si="65"/>
        <v>0.15297824807594612</v>
      </c>
      <c r="N409" s="18">
        <f t="shared" si="66"/>
        <v>0.18713254647524619</v>
      </c>
      <c r="O409" s="18">
        <f t="shared" si="67"/>
        <v>57.71254648962131</v>
      </c>
      <c r="P409" s="18">
        <f t="shared" si="68"/>
        <v>2230.8514411119099</v>
      </c>
      <c r="Q409" s="18">
        <f t="shared" si="69"/>
        <v>2243.7207934845392</v>
      </c>
    </row>
    <row r="410" spans="1:17" ht="21" customHeight="1">
      <c r="A410" s="1" t="s">
        <v>391</v>
      </c>
      <c r="B410" s="1" t="s">
        <v>320</v>
      </c>
      <c r="C410" s="18">
        <v>56.885229973850386</v>
      </c>
      <c r="D410" s="18">
        <v>9.720805381404352</v>
      </c>
      <c r="E410" s="18">
        <v>3314.3670115977739</v>
      </c>
      <c r="F410" s="18">
        <v>1.32389775</v>
      </c>
      <c r="G410" s="18">
        <v>3.4438949999999999</v>
      </c>
      <c r="H410" s="18">
        <f t="shared" si="60"/>
        <v>3.6895959160157443</v>
      </c>
      <c r="I410" s="18">
        <f t="shared" si="61"/>
        <v>3.4880113339149186</v>
      </c>
      <c r="J410" s="18">
        <f t="shared" si="62"/>
        <v>57.60431601343312</v>
      </c>
      <c r="K410" s="18">
        <f t="shared" si="63"/>
        <v>898.30081316244355</v>
      </c>
      <c r="L410" s="18">
        <f t="shared" si="64"/>
        <v>-25.548562713035864</v>
      </c>
      <c r="M410" s="18">
        <f t="shared" si="65"/>
        <v>2.8440988072907163E-2</v>
      </c>
      <c r="N410" s="18">
        <f t="shared" si="66"/>
        <v>9.2566852337282804E-2</v>
      </c>
      <c r="O410" s="18">
        <f t="shared" si="67"/>
        <v>57.719673365564077</v>
      </c>
      <c r="P410" s="18">
        <f t="shared" si="68"/>
        <v>3315.707580797332</v>
      </c>
      <c r="Q410" s="18">
        <f t="shared" si="69"/>
        <v>3328.5769331699612</v>
      </c>
    </row>
    <row r="411" spans="1:17" ht="21" customHeight="1">
      <c r="A411" s="1" t="s">
        <v>391</v>
      </c>
      <c r="B411" s="1" t="s">
        <v>321</v>
      </c>
      <c r="C411" s="18">
        <v>56.885229973850386</v>
      </c>
      <c r="D411" s="18">
        <v>9.720805381404352</v>
      </c>
      <c r="E411" s="18">
        <v>3567.1615023324393</v>
      </c>
      <c r="F411" s="18">
        <v>3.8554321618301355</v>
      </c>
      <c r="G411" s="18">
        <v>0</v>
      </c>
      <c r="H411" s="18">
        <f t="shared" si="60"/>
        <v>3.8554321618301355</v>
      </c>
      <c r="I411" s="18">
        <f t="shared" si="61"/>
        <v>9.720805381404352</v>
      </c>
      <c r="J411" s="18">
        <f t="shared" si="62"/>
        <v>56.885229973850386</v>
      </c>
      <c r="K411" s="18">
        <f t="shared" si="63"/>
        <v>925.23000084098044</v>
      </c>
      <c r="L411" s="18">
        <f t="shared" si="64"/>
        <v>-128.88077120178275</v>
      </c>
      <c r="M411" s="18">
        <f t="shared" si="65"/>
        <v>0.13929592759058571</v>
      </c>
      <c r="N411" s="18">
        <f t="shared" si="66"/>
        <v>0.2007781859719017</v>
      </c>
      <c r="O411" s="18">
        <f t="shared" si="67"/>
        <v>57.718653059549517</v>
      </c>
      <c r="P411" s="18">
        <f t="shared" si="68"/>
        <v>3601.8249482042538</v>
      </c>
      <c r="Q411" s="18">
        <f t="shared" si="69"/>
        <v>3639.3028539106122</v>
      </c>
    </row>
    <row r="412" spans="1:17" ht="21" customHeight="1">
      <c r="A412" s="1" t="s">
        <v>391</v>
      </c>
      <c r="B412" s="1" t="s">
        <v>322</v>
      </c>
      <c r="C412" s="18">
        <v>56.885229973850386</v>
      </c>
      <c r="D412" s="18">
        <v>9.720805381404352</v>
      </c>
      <c r="E412" s="18">
        <v>3382.7343947540703</v>
      </c>
      <c r="F412" s="18">
        <v>2.3365115147320541</v>
      </c>
      <c r="G412" s="18">
        <v>1.4349562500000002</v>
      </c>
      <c r="H412" s="18">
        <f t="shared" si="60"/>
        <v>2.7419674501878282</v>
      </c>
      <c r="I412" s="18">
        <f t="shared" si="61"/>
        <v>8.2833856049475472</v>
      </c>
      <c r="J412" s="18">
        <f t="shared" si="62"/>
        <v>57.11224885574665</v>
      </c>
      <c r="K412" s="18">
        <f t="shared" si="63"/>
        <v>1233.6887494861942</v>
      </c>
      <c r="L412" s="18">
        <f t="shared" si="64"/>
        <v>-149.73704418232947</v>
      </c>
      <c r="M412" s="18">
        <f t="shared" si="65"/>
        <v>0.12137343738012675</v>
      </c>
      <c r="N412" s="18">
        <f t="shared" si="66"/>
        <v>0.16766732542890139</v>
      </c>
      <c r="O412" s="18">
        <f t="shared" si="67"/>
        <v>57.714868331311862</v>
      </c>
      <c r="P412" s="18">
        <f t="shared" si="68"/>
        <v>3407.681392774226</v>
      </c>
      <c r="Q412" s="18">
        <f t="shared" si="69"/>
        <v>3430.3941664803465</v>
      </c>
    </row>
    <row r="413" spans="1:17" ht="21" customHeight="1">
      <c r="A413" s="1" t="s">
        <v>391</v>
      </c>
      <c r="B413" s="1" t="s">
        <v>323</v>
      </c>
      <c r="C413" s="18">
        <v>56.885229973850386</v>
      </c>
      <c r="D413" s="18">
        <v>9.720805381404352</v>
      </c>
      <c r="E413" s="18">
        <v>3509.2374081686767</v>
      </c>
      <c r="F413" s="18">
        <v>1.32389775</v>
      </c>
      <c r="G413" s="18">
        <v>0</v>
      </c>
      <c r="H413" s="18">
        <f t="shared" si="60"/>
        <v>1.32389775</v>
      </c>
      <c r="I413" s="18">
        <f t="shared" si="61"/>
        <v>9.720805381404352</v>
      </c>
      <c r="J413" s="18">
        <f t="shared" si="62"/>
        <v>56.885229973850386</v>
      </c>
      <c r="K413" s="18">
        <f t="shared" si="63"/>
        <v>2650.6861335542544</v>
      </c>
      <c r="L413" s="18">
        <f t="shared" si="64"/>
        <v>-422.33400137503304</v>
      </c>
      <c r="M413" s="18">
        <f t="shared" si="65"/>
        <v>0.15933006779974113</v>
      </c>
      <c r="N413" s="18">
        <f t="shared" si="66"/>
        <v>0.18079063578391588</v>
      </c>
      <c r="O413" s="18">
        <f t="shared" si="67"/>
        <v>57.710897083939422</v>
      </c>
      <c r="P413" s="18">
        <f t="shared" si="68"/>
        <v>3553.874592786417</v>
      </c>
      <c r="Q413" s="18">
        <f t="shared" si="69"/>
        <v>3566.7439451590458</v>
      </c>
    </row>
    <row r="414" spans="1:17" ht="21" customHeight="1">
      <c r="A414" s="1" t="s">
        <v>391</v>
      </c>
      <c r="B414" s="1" t="s">
        <v>324</v>
      </c>
      <c r="C414" s="18">
        <v>56.885229973850386</v>
      </c>
      <c r="D414" s="18">
        <v>9.720805381404352</v>
      </c>
      <c r="E414" s="18">
        <v>439.75200764425574</v>
      </c>
      <c r="F414" s="18">
        <v>1.32389775</v>
      </c>
      <c r="G414" s="18">
        <v>0</v>
      </c>
      <c r="H414" s="18">
        <f t="shared" si="60"/>
        <v>1.32389775</v>
      </c>
      <c r="I414" s="18">
        <f t="shared" si="61"/>
        <v>9.720805381404352</v>
      </c>
      <c r="J414" s="18">
        <f t="shared" si="62"/>
        <v>56.885229973850386</v>
      </c>
      <c r="K414" s="18">
        <f t="shared" si="63"/>
        <v>332.16463102551216</v>
      </c>
      <c r="L414" s="18">
        <f t="shared" si="64"/>
        <v>-27.978176588348845</v>
      </c>
      <c r="M414" s="18">
        <f t="shared" si="65"/>
        <v>8.4229848620457001E-2</v>
      </c>
      <c r="N414" s="18">
        <f t="shared" si="66"/>
        <v>0.25548598085291396</v>
      </c>
      <c r="O414" s="18">
        <f t="shared" si="67"/>
        <v>57.778369416809603</v>
      </c>
      <c r="P414" s="18">
        <f t="shared" si="68"/>
        <v>441.31287725394373</v>
      </c>
      <c r="Q414" s="18">
        <f t="shared" si="69"/>
        <v>454.18222962657296</v>
      </c>
    </row>
    <row r="415" spans="1:17" ht="21" customHeight="1">
      <c r="A415" s="1" t="s">
        <v>392</v>
      </c>
      <c r="B415" s="1" t="s">
        <v>319</v>
      </c>
      <c r="C415" s="18">
        <v>68.148965645168275</v>
      </c>
      <c r="D415" s="18">
        <v>-2.9311723210822489</v>
      </c>
      <c r="E415" s="18">
        <v>2204.999999999819</v>
      </c>
      <c r="F415" s="18">
        <v>1.32389775</v>
      </c>
      <c r="G415" s="18">
        <v>0</v>
      </c>
      <c r="H415" s="18">
        <f t="shared" si="60"/>
        <v>1.32389775</v>
      </c>
      <c r="I415" s="18">
        <f t="shared" si="61"/>
        <v>-2.9311723210822489</v>
      </c>
      <c r="J415" s="18">
        <f t="shared" si="62"/>
        <v>68.148965645168275</v>
      </c>
      <c r="K415" s="18">
        <f t="shared" si="63"/>
        <v>1665.536481197146</v>
      </c>
      <c r="L415" s="18">
        <f t="shared" si="64"/>
        <v>105.68423009045733</v>
      </c>
      <c r="M415" s="18">
        <f t="shared" si="65"/>
        <v>-6.3453566633673589E-2</v>
      </c>
      <c r="N415" s="18">
        <f t="shared" si="66"/>
        <v>-2.2536440881985153E-2</v>
      </c>
      <c r="O415" s="18">
        <f t="shared" si="67"/>
        <v>68.216722911961398</v>
      </c>
      <c r="P415" s="18">
        <f t="shared" si="68"/>
        <v>2209.440546152744</v>
      </c>
      <c r="Q415" s="18">
        <f t="shared" si="69"/>
        <v>2205.5599737120015</v>
      </c>
    </row>
    <row r="416" spans="1:17" ht="21" customHeight="1">
      <c r="A416" s="1" t="s">
        <v>392</v>
      </c>
      <c r="B416" s="1" t="s">
        <v>320</v>
      </c>
      <c r="C416" s="18">
        <v>68.148965645168275</v>
      </c>
      <c r="D416" s="18">
        <v>-2.9311723210822489</v>
      </c>
      <c r="E416" s="18">
        <v>3398.2124452143507</v>
      </c>
      <c r="F416" s="18">
        <v>1.32389775</v>
      </c>
      <c r="G416" s="18">
        <v>3.4438949999999999</v>
      </c>
      <c r="H416" s="18">
        <f t="shared" si="60"/>
        <v>3.6895959160157443</v>
      </c>
      <c r="I416" s="18">
        <f t="shared" si="61"/>
        <v>-1.051760823969458</v>
      </c>
      <c r="J416" s="18">
        <f t="shared" si="62"/>
        <v>68.203864178295404</v>
      </c>
      <c r="K416" s="18">
        <f t="shared" si="63"/>
        <v>921.02564144312919</v>
      </c>
      <c r="L416" s="18">
        <f t="shared" si="64"/>
        <v>48.301113263451612</v>
      </c>
      <c r="M416" s="18">
        <f t="shared" si="65"/>
        <v>-5.2442745446011636E-2</v>
      </c>
      <c r="N416" s="18">
        <f t="shared" si="66"/>
        <v>2.1609334224027391E-2</v>
      </c>
      <c r="O416" s="18">
        <f t="shared" si="67"/>
        <v>68.227556189732113</v>
      </c>
      <c r="P416" s="18">
        <f t="shared" si="68"/>
        <v>3402.886468822689</v>
      </c>
      <c r="Q416" s="18">
        <f t="shared" si="69"/>
        <v>3399.0058963819456</v>
      </c>
    </row>
    <row r="417" spans="1:17" ht="21" customHeight="1">
      <c r="A417" s="1" t="s">
        <v>392</v>
      </c>
      <c r="B417" s="1" t="s">
        <v>321</v>
      </c>
      <c r="C417" s="18">
        <v>68.148965645168275</v>
      </c>
      <c r="D417" s="18">
        <v>-2.9311723210822489</v>
      </c>
      <c r="E417" s="18">
        <v>3692.9377417763644</v>
      </c>
      <c r="F417" s="18">
        <v>3.8554321618301355</v>
      </c>
      <c r="G417" s="18">
        <v>0</v>
      </c>
      <c r="H417" s="18">
        <f t="shared" si="60"/>
        <v>3.8554321618301355</v>
      </c>
      <c r="I417" s="18">
        <f t="shared" si="61"/>
        <v>-2.9311723210822489</v>
      </c>
      <c r="J417" s="18">
        <f t="shared" si="62"/>
        <v>68.148965645168275</v>
      </c>
      <c r="K417" s="18">
        <f t="shared" si="63"/>
        <v>957.85312431054774</v>
      </c>
      <c r="L417" s="18">
        <f t="shared" si="64"/>
        <v>75.251572555232599</v>
      </c>
      <c r="M417" s="18">
        <f t="shared" si="65"/>
        <v>-7.8562746881885318E-2</v>
      </c>
      <c r="N417" s="18">
        <f t="shared" si="66"/>
        <v>-7.4151315371829094E-3</v>
      </c>
      <c r="O417" s="18">
        <f t="shared" si="67"/>
        <v>68.226334552850659</v>
      </c>
      <c r="P417" s="18">
        <f t="shared" si="68"/>
        <v>3704.3402048489747</v>
      </c>
      <c r="Q417" s="18">
        <f t="shared" si="69"/>
        <v>3693.0392688104089</v>
      </c>
    </row>
    <row r="418" spans="1:17" ht="21" customHeight="1">
      <c r="A418" s="1" t="s">
        <v>392</v>
      </c>
      <c r="B418" s="1" t="s">
        <v>322</v>
      </c>
      <c r="C418" s="18">
        <v>68.148965645168275</v>
      </c>
      <c r="D418" s="18">
        <v>-2.9311723210822489</v>
      </c>
      <c r="E418" s="18">
        <v>3428.2287049381039</v>
      </c>
      <c r="F418" s="18">
        <v>2.3365115147320541</v>
      </c>
      <c r="G418" s="18">
        <v>1.4349562500000002</v>
      </c>
      <c r="H418" s="18">
        <f t="shared" si="60"/>
        <v>2.7419674501878282</v>
      </c>
      <c r="I418" s="18">
        <f t="shared" si="61"/>
        <v>-2.4977385779701398</v>
      </c>
      <c r="J418" s="18">
        <f t="shared" si="62"/>
        <v>68.166227647408533</v>
      </c>
      <c r="K418" s="18">
        <f t="shared" si="63"/>
        <v>1250.2805985910832</v>
      </c>
      <c r="L418" s="18">
        <f t="shared" si="64"/>
        <v>79.879827462217776</v>
      </c>
      <c r="M418" s="18">
        <f t="shared" si="65"/>
        <v>-6.3889520122309182E-2</v>
      </c>
      <c r="N418" s="18">
        <f t="shared" si="66"/>
        <v>-9.3687767594003053E-3</v>
      </c>
      <c r="O418" s="18">
        <f t="shared" si="67"/>
        <v>68.220410569577226</v>
      </c>
      <c r="P418" s="18">
        <f t="shared" si="68"/>
        <v>3435.227878553887</v>
      </c>
      <c r="Q418" s="18">
        <f t="shared" si="69"/>
        <v>3428.3791606740147</v>
      </c>
    </row>
    <row r="419" spans="1:17" ht="21" customHeight="1">
      <c r="A419" s="1" t="s">
        <v>392</v>
      </c>
      <c r="B419" s="1" t="s">
        <v>323</v>
      </c>
      <c r="C419" s="18">
        <v>68.148965645168275</v>
      </c>
      <c r="D419" s="18">
        <v>-2.9311723210822489</v>
      </c>
      <c r="E419" s="18">
        <v>3486.5252588686535</v>
      </c>
      <c r="F419" s="18">
        <v>1.32389775</v>
      </c>
      <c r="G419" s="18">
        <v>0</v>
      </c>
      <c r="H419" s="18">
        <f t="shared" si="60"/>
        <v>1.32389775</v>
      </c>
      <c r="I419" s="18">
        <f t="shared" si="61"/>
        <v>-2.9311723210822489</v>
      </c>
      <c r="J419" s="18">
        <f t="shared" si="62"/>
        <v>68.148965645168275</v>
      </c>
      <c r="K419" s="18">
        <f t="shared" si="63"/>
        <v>2633.5306173521735</v>
      </c>
      <c r="L419" s="18">
        <f t="shared" si="64"/>
        <v>147.30787812422403</v>
      </c>
      <c r="M419" s="18">
        <f t="shared" si="65"/>
        <v>-5.5935509977982162E-2</v>
      </c>
      <c r="N419" s="18">
        <f t="shared" si="66"/>
        <v>-3.005809461924706E-2</v>
      </c>
      <c r="O419" s="18">
        <f t="shared" si="67"/>
        <v>68.213872944578043</v>
      </c>
      <c r="P419" s="18">
        <f t="shared" si="68"/>
        <v>3491.9809685980117</v>
      </c>
      <c r="Q419" s="18">
        <f t="shared" si="69"/>
        <v>3488.1003961572692</v>
      </c>
    </row>
    <row r="420" spans="1:17" ht="21" customHeight="1">
      <c r="A420" s="1" t="s">
        <v>392</v>
      </c>
      <c r="B420" s="1" t="s">
        <v>324</v>
      </c>
      <c r="C420" s="18">
        <v>68.148965645168275</v>
      </c>
      <c r="D420" s="18">
        <v>-2.9311723210822489</v>
      </c>
      <c r="E420" s="18">
        <v>521.59883266509928</v>
      </c>
      <c r="F420" s="18">
        <v>1.32389775</v>
      </c>
      <c r="G420" s="18">
        <v>0</v>
      </c>
      <c r="H420" s="18">
        <f t="shared" si="60"/>
        <v>1.32389775</v>
      </c>
      <c r="I420" s="18">
        <f t="shared" si="61"/>
        <v>-2.9311723210822489</v>
      </c>
      <c r="J420" s="18">
        <f t="shared" si="62"/>
        <v>68.148965645168275</v>
      </c>
      <c r="K420" s="18">
        <f t="shared" si="63"/>
        <v>393.98724913997268</v>
      </c>
      <c r="L420" s="18">
        <f t="shared" si="64"/>
        <v>50.994059437627236</v>
      </c>
      <c r="M420" s="18">
        <f t="shared" si="65"/>
        <v>-0.12943073550969278</v>
      </c>
      <c r="N420" s="18">
        <f t="shared" si="66"/>
        <v>4.3541780209862525E-2</v>
      </c>
      <c r="O420" s="18">
        <f t="shared" si="67"/>
        <v>68.296884184594447</v>
      </c>
      <c r="P420" s="18">
        <f t="shared" si="68"/>
        <v>525.97392935352661</v>
      </c>
      <c r="Q420" s="18">
        <f t="shared" si="69"/>
        <v>522.09335691278352</v>
      </c>
    </row>
    <row r="421" spans="1:17" ht="21" customHeight="1">
      <c r="A421" s="1" t="s">
        <v>393</v>
      </c>
      <c r="B421" s="1" t="s">
        <v>319</v>
      </c>
      <c r="C421" s="18">
        <v>68.148965645168275</v>
      </c>
      <c r="D421" s="18">
        <v>1.7561236023801943</v>
      </c>
      <c r="E421" s="18">
        <v>2204.9999999995434</v>
      </c>
      <c r="F421" s="18">
        <v>1.32389775</v>
      </c>
      <c r="G421" s="18">
        <v>0</v>
      </c>
      <c r="H421" s="18">
        <f t="shared" si="60"/>
        <v>1.32389775</v>
      </c>
      <c r="I421" s="18">
        <f t="shared" si="61"/>
        <v>1.7561236023801943</v>
      </c>
      <c r="J421" s="18">
        <f t="shared" si="62"/>
        <v>68.148965645168275</v>
      </c>
      <c r="K421" s="18">
        <f t="shared" si="63"/>
        <v>1665.536481196938</v>
      </c>
      <c r="L421" s="18">
        <f t="shared" si="64"/>
        <v>-8.8368120167613711</v>
      </c>
      <c r="M421" s="18">
        <f t="shared" si="65"/>
        <v>5.3056850549504592E-3</v>
      </c>
      <c r="N421" s="18">
        <f t="shared" si="66"/>
        <v>4.6222810806643998E-2</v>
      </c>
      <c r="O421" s="18">
        <f t="shared" si="67"/>
        <v>68.176341085293501</v>
      </c>
      <c r="P421" s="18">
        <f t="shared" si="68"/>
        <v>2205.0310357713761</v>
      </c>
      <c r="Q421" s="18">
        <f t="shared" si="69"/>
        <v>2207.3559638572892</v>
      </c>
    </row>
    <row r="422" spans="1:17" ht="21" customHeight="1">
      <c r="A422" s="1" t="s">
        <v>393</v>
      </c>
      <c r="B422" s="1" t="s">
        <v>320</v>
      </c>
      <c r="C422" s="18">
        <v>68.148965645168275</v>
      </c>
      <c r="D422" s="18">
        <v>1.7561236023801943</v>
      </c>
      <c r="E422" s="18">
        <v>3396.8557802512514</v>
      </c>
      <c r="F422" s="18">
        <v>1.32389775</v>
      </c>
      <c r="G422" s="18">
        <v>3.4438949999999999</v>
      </c>
      <c r="H422" s="18">
        <f t="shared" si="60"/>
        <v>3.6895959160157443</v>
      </c>
      <c r="I422" s="18">
        <f t="shared" si="61"/>
        <v>0.6301308161744813</v>
      </c>
      <c r="J422" s="18">
        <f t="shared" si="62"/>
        <v>68.168676265332238</v>
      </c>
      <c r="K422" s="18">
        <f t="shared" si="63"/>
        <v>920.65794129547612</v>
      </c>
      <c r="L422" s="18">
        <f t="shared" si="64"/>
        <v>25.576116845180309</v>
      </c>
      <c r="M422" s="18">
        <f t="shared" si="65"/>
        <v>-2.778025985328671E-2</v>
      </c>
      <c r="N422" s="18">
        <f t="shared" si="66"/>
        <v>4.6263174964003562E-2</v>
      </c>
      <c r="O422" s="18">
        <f t="shared" si="67"/>
        <v>68.187161059241035</v>
      </c>
      <c r="P422" s="18">
        <f t="shared" si="68"/>
        <v>3398.1666141094602</v>
      </c>
      <c r="Q422" s="18">
        <f t="shared" si="69"/>
        <v>3400.4915421953738</v>
      </c>
    </row>
    <row r="423" spans="1:17" ht="21" customHeight="1">
      <c r="A423" s="1" t="s">
        <v>393</v>
      </c>
      <c r="B423" s="1" t="s">
        <v>321</v>
      </c>
      <c r="C423" s="18">
        <v>68.148965645168275</v>
      </c>
      <c r="D423" s="18">
        <v>1.7561236023801943</v>
      </c>
      <c r="E423" s="18">
        <v>3693.9713135907868</v>
      </c>
      <c r="F423" s="18">
        <v>3.8554321618301355</v>
      </c>
      <c r="G423" s="18">
        <v>0</v>
      </c>
      <c r="H423" s="18">
        <f t="shared" si="60"/>
        <v>3.8554321618301355</v>
      </c>
      <c r="I423" s="18">
        <f t="shared" si="61"/>
        <v>1.7561236023801943</v>
      </c>
      <c r="J423" s="18">
        <f t="shared" si="62"/>
        <v>68.148965645168275</v>
      </c>
      <c r="K423" s="18">
        <f t="shared" si="63"/>
        <v>958.12120627154161</v>
      </c>
      <c r="L423" s="18">
        <f t="shared" si="64"/>
        <v>9.3926908956681565</v>
      </c>
      <c r="M423" s="18">
        <f t="shared" si="65"/>
        <v>-9.8032387073647229E-3</v>
      </c>
      <c r="N423" s="18">
        <f t="shared" si="66"/>
        <v>6.1324469560741543E-2</v>
      </c>
      <c r="O423" s="18">
        <f t="shared" si="67"/>
        <v>68.185950377754239</v>
      </c>
      <c r="P423" s="18">
        <f t="shared" si="68"/>
        <v>3694.1488167783709</v>
      </c>
      <c r="Q423" s="18">
        <f t="shared" si="69"/>
        <v>3700.9194321951368</v>
      </c>
    </row>
    <row r="424" spans="1:17" ht="21" customHeight="1">
      <c r="A424" s="1" t="s">
        <v>393</v>
      </c>
      <c r="B424" s="1" t="s">
        <v>322</v>
      </c>
      <c r="C424" s="18">
        <v>68.148965645168275</v>
      </c>
      <c r="D424" s="18">
        <v>1.7561236023801943</v>
      </c>
      <c r="E424" s="18">
        <v>3428.3258075725289</v>
      </c>
      <c r="F424" s="18">
        <v>2.3365115147320541</v>
      </c>
      <c r="G424" s="18">
        <v>1.4349562500000002</v>
      </c>
      <c r="H424" s="18">
        <f t="shared" si="60"/>
        <v>2.7419674501878282</v>
      </c>
      <c r="I424" s="18">
        <f t="shared" si="61"/>
        <v>1.4964448312371414</v>
      </c>
      <c r="J424" s="18">
        <f t="shared" si="62"/>
        <v>68.155162251147388</v>
      </c>
      <c r="K424" s="18">
        <f t="shared" si="63"/>
        <v>1250.3160120801888</v>
      </c>
      <c r="L424" s="18">
        <f t="shared" si="64"/>
        <v>6.6306937509778088</v>
      </c>
      <c r="M424" s="18">
        <f t="shared" si="65"/>
        <v>-5.3032142969569127E-3</v>
      </c>
      <c r="N424" s="18">
        <f t="shared" si="66"/>
        <v>4.9207134760922915E-2</v>
      </c>
      <c r="O424" s="18">
        <f t="shared" si="67"/>
        <v>68.180024968733832</v>
      </c>
      <c r="P424" s="18">
        <f t="shared" si="68"/>
        <v>3428.3740169433768</v>
      </c>
      <c r="Q424" s="18">
        <f t="shared" si="69"/>
        <v>3432.47721996163</v>
      </c>
    </row>
    <row r="425" spans="1:17" ht="21" customHeight="1">
      <c r="A425" s="1" t="s">
        <v>393</v>
      </c>
      <c r="B425" s="1" t="s">
        <v>323</v>
      </c>
      <c r="C425" s="18">
        <v>68.148965645168275</v>
      </c>
      <c r="D425" s="18">
        <v>1.7561236023801943</v>
      </c>
      <c r="E425" s="18">
        <v>3487.1047735002585</v>
      </c>
      <c r="F425" s="18">
        <v>1.32389775</v>
      </c>
      <c r="G425" s="18">
        <v>0</v>
      </c>
      <c r="H425" s="18">
        <f t="shared" si="60"/>
        <v>1.32389775</v>
      </c>
      <c r="I425" s="18">
        <f t="shared" si="61"/>
        <v>1.7561236023801943</v>
      </c>
      <c r="J425" s="18">
        <f t="shared" si="62"/>
        <v>68.148965645168275</v>
      </c>
      <c r="K425" s="18">
        <f t="shared" si="63"/>
        <v>2633.9683510303257</v>
      </c>
      <c r="L425" s="18">
        <f t="shared" si="64"/>
        <v>-33.790571335889318</v>
      </c>
      <c r="M425" s="18">
        <f t="shared" si="65"/>
        <v>1.2828768926806393E-2</v>
      </c>
      <c r="N425" s="18">
        <f t="shared" si="66"/>
        <v>3.8701883772134939E-2</v>
      </c>
      <c r="O425" s="18">
        <f t="shared" si="67"/>
        <v>68.173488798011419</v>
      </c>
      <c r="P425" s="18">
        <f t="shared" si="68"/>
        <v>3487.3917266011758</v>
      </c>
      <c r="Q425" s="18">
        <f t="shared" si="69"/>
        <v>3489.7166546870885</v>
      </c>
    </row>
    <row r="426" spans="1:17" ht="21" customHeight="1">
      <c r="A426" s="1" t="s">
        <v>393</v>
      </c>
      <c r="B426" s="1" t="s">
        <v>324</v>
      </c>
      <c r="C426" s="18">
        <v>68.148965645168275</v>
      </c>
      <c r="D426" s="18">
        <v>1.7561236023801943</v>
      </c>
      <c r="E426" s="18">
        <v>521.80776045723655</v>
      </c>
      <c r="F426" s="18">
        <v>1.32389775</v>
      </c>
      <c r="G426" s="18">
        <v>0</v>
      </c>
      <c r="H426" s="18">
        <f t="shared" si="60"/>
        <v>1.32389775</v>
      </c>
      <c r="I426" s="18">
        <f t="shared" si="61"/>
        <v>1.7561236023801943</v>
      </c>
      <c r="J426" s="18">
        <f t="shared" si="62"/>
        <v>68.148965645168275</v>
      </c>
      <c r="K426" s="18">
        <f t="shared" si="63"/>
        <v>394.14506177477568</v>
      </c>
      <c r="L426" s="18">
        <f t="shared" si="64"/>
        <v>23.931559915008009</v>
      </c>
      <c r="M426" s="18">
        <f t="shared" si="65"/>
        <v>-6.0717644938256508E-2</v>
      </c>
      <c r="N426" s="18">
        <f t="shared" si="66"/>
        <v>0.11218561392360459</v>
      </c>
      <c r="O426" s="18">
        <f t="shared" si="67"/>
        <v>68.256481735372958</v>
      </c>
      <c r="P426" s="18">
        <f t="shared" si="68"/>
        <v>522.7699126944824</v>
      </c>
      <c r="Q426" s="18">
        <f t="shared" si="69"/>
        <v>525.09484078039543</v>
      </c>
    </row>
    <row r="427" spans="1:17" ht="21" customHeight="1">
      <c r="A427" s="1" t="s">
        <v>394</v>
      </c>
      <c r="B427" s="1" t="s">
        <v>319</v>
      </c>
      <c r="C427" s="18">
        <v>58.678112655688267</v>
      </c>
      <c r="D427" s="18">
        <v>-0.68088829361986392</v>
      </c>
      <c r="E427" s="18">
        <v>2204.9999999998354</v>
      </c>
      <c r="F427" s="18">
        <v>1.32389775</v>
      </c>
      <c r="G427" s="18">
        <v>0</v>
      </c>
      <c r="H427" s="18">
        <f t="shared" si="60"/>
        <v>1.32389775</v>
      </c>
      <c r="I427" s="18">
        <f t="shared" si="61"/>
        <v>-0.68088829361986392</v>
      </c>
      <c r="J427" s="18">
        <f t="shared" si="62"/>
        <v>58.678112655688267</v>
      </c>
      <c r="K427" s="18">
        <f t="shared" si="63"/>
        <v>1665.5364811971585</v>
      </c>
      <c r="L427" s="18">
        <f t="shared" si="64"/>
        <v>48.664153032675884</v>
      </c>
      <c r="M427" s="18">
        <f t="shared" si="65"/>
        <v>-2.9218305081913871E-2</v>
      </c>
      <c r="N427" s="18">
        <f t="shared" si="66"/>
        <v>6.0124528859401049E-3</v>
      </c>
      <c r="O427" s="18">
        <f t="shared" si="67"/>
        <v>58.685097458544256</v>
      </c>
      <c r="P427" s="18">
        <f t="shared" si="68"/>
        <v>2205.9412815224723</v>
      </c>
      <c r="Q427" s="18">
        <f t="shared" si="69"/>
        <v>2205.0398550425475</v>
      </c>
    </row>
    <row r="428" spans="1:17" ht="21" customHeight="1">
      <c r="A428" s="1" t="s">
        <v>394</v>
      </c>
      <c r="B428" s="1" t="s">
        <v>320</v>
      </c>
      <c r="C428" s="18">
        <v>58.678112655688267</v>
      </c>
      <c r="D428" s="18">
        <v>-0.68088829361986392</v>
      </c>
      <c r="E428" s="18">
        <v>3301.0005113431444</v>
      </c>
      <c r="F428" s="18">
        <v>1.32389775</v>
      </c>
      <c r="G428" s="18">
        <v>3.4438949999999999</v>
      </c>
      <c r="H428" s="18">
        <f t="shared" si="60"/>
        <v>3.6895959160157443</v>
      </c>
      <c r="I428" s="18">
        <f t="shared" si="61"/>
        <v>-0.24431577344602379</v>
      </c>
      <c r="J428" s="18">
        <f t="shared" si="62"/>
        <v>58.681554371922338</v>
      </c>
      <c r="K428" s="18">
        <f t="shared" si="63"/>
        <v>894.67805864978584</v>
      </c>
      <c r="L428" s="18">
        <f t="shared" si="64"/>
        <v>33.065016546803051</v>
      </c>
      <c r="M428" s="18">
        <f t="shared" si="65"/>
        <v>-3.69574465665376E-2</v>
      </c>
      <c r="N428" s="18">
        <f t="shared" si="66"/>
        <v>2.8632129264216891E-2</v>
      </c>
      <c r="O428" s="18">
        <f t="shared" si="67"/>
        <v>58.692582088605612</v>
      </c>
      <c r="P428" s="18">
        <f t="shared" si="68"/>
        <v>3303.2551084355005</v>
      </c>
      <c r="Q428" s="18">
        <f t="shared" si="69"/>
        <v>3302.3536819555757</v>
      </c>
    </row>
    <row r="429" spans="1:17" ht="21" customHeight="1">
      <c r="A429" s="1" t="s">
        <v>394</v>
      </c>
      <c r="B429" s="1" t="s">
        <v>321</v>
      </c>
      <c r="C429" s="18">
        <v>58.678112655688267</v>
      </c>
      <c r="D429" s="18">
        <v>-0.68088829361986392</v>
      </c>
      <c r="E429" s="18">
        <v>3606.4792333273481</v>
      </c>
      <c r="F429" s="18">
        <v>3.8554321618301355</v>
      </c>
      <c r="G429" s="18">
        <v>0</v>
      </c>
      <c r="H429" s="18">
        <f t="shared" si="60"/>
        <v>3.8554321618301355</v>
      </c>
      <c r="I429" s="18">
        <f t="shared" si="61"/>
        <v>-0.68088829361986392</v>
      </c>
      <c r="J429" s="18">
        <f t="shared" si="62"/>
        <v>58.678112655688267</v>
      </c>
      <c r="K429" s="18">
        <f t="shared" si="63"/>
        <v>935.42800961005321</v>
      </c>
      <c r="L429" s="18">
        <f t="shared" si="64"/>
        <v>40.191540388224716</v>
      </c>
      <c r="M429" s="18">
        <f t="shared" si="65"/>
        <v>-4.2965936421958485E-2</v>
      </c>
      <c r="N429" s="18">
        <f t="shared" si="66"/>
        <v>1.9762688392418296E-2</v>
      </c>
      <c r="O429" s="18">
        <f t="shared" si="67"/>
        <v>58.691683262651061</v>
      </c>
      <c r="P429" s="18">
        <f t="shared" si="68"/>
        <v>3609.8086550873386</v>
      </c>
      <c r="Q429" s="18">
        <f t="shared" si="69"/>
        <v>3607.1835364615026</v>
      </c>
    </row>
    <row r="430" spans="1:17" ht="21" customHeight="1">
      <c r="A430" s="1" t="s">
        <v>394</v>
      </c>
      <c r="B430" s="1" t="s">
        <v>322</v>
      </c>
      <c r="C430" s="18">
        <v>58.678112655688267</v>
      </c>
      <c r="D430" s="18">
        <v>-0.68088829361986392</v>
      </c>
      <c r="E430" s="18">
        <v>3391.7187031162712</v>
      </c>
      <c r="F430" s="18">
        <v>2.3365115147320541</v>
      </c>
      <c r="G430" s="18">
        <v>1.4349562500000002</v>
      </c>
      <c r="H430" s="18">
        <f t="shared" si="60"/>
        <v>2.7419674501878282</v>
      </c>
      <c r="I430" s="18">
        <f t="shared" si="61"/>
        <v>-0.58020504152231744</v>
      </c>
      <c r="J430" s="18">
        <f t="shared" si="62"/>
        <v>58.679194573646157</v>
      </c>
      <c r="K430" s="18">
        <f t="shared" si="63"/>
        <v>1236.9653413952576</v>
      </c>
      <c r="L430" s="18">
        <f t="shared" si="64"/>
        <v>41.569051890862916</v>
      </c>
      <c r="M430" s="18">
        <f t="shared" si="65"/>
        <v>-3.3605672285024854E-2</v>
      </c>
      <c r="N430" s="18">
        <f t="shared" si="66"/>
        <v>1.3832354157541346E-2</v>
      </c>
      <c r="O430" s="18">
        <f t="shared" si="67"/>
        <v>58.687564919984702</v>
      </c>
      <c r="P430" s="18">
        <f t="shared" si="68"/>
        <v>3393.6340872178939</v>
      </c>
      <c r="Q430" s="18">
        <f t="shared" si="69"/>
        <v>3392.0431838796053</v>
      </c>
    </row>
    <row r="431" spans="1:17" ht="21" customHeight="1">
      <c r="A431" s="1" t="s">
        <v>394</v>
      </c>
      <c r="B431" s="1" t="s">
        <v>323</v>
      </c>
      <c r="C431" s="18">
        <v>58.678112655688267</v>
      </c>
      <c r="D431" s="18">
        <v>-0.68088829361986392</v>
      </c>
      <c r="E431" s="18">
        <v>3519.3903050153322</v>
      </c>
      <c r="F431" s="18">
        <v>1.32389775</v>
      </c>
      <c r="G431" s="18">
        <v>0</v>
      </c>
      <c r="H431" s="18">
        <f t="shared" si="60"/>
        <v>1.32389775</v>
      </c>
      <c r="I431" s="18">
        <f t="shared" si="61"/>
        <v>-0.68088829361986392</v>
      </c>
      <c r="J431" s="18">
        <f t="shared" si="62"/>
        <v>58.678112655688267</v>
      </c>
      <c r="K431" s="18">
        <f t="shared" si="63"/>
        <v>2658.3550769047929</v>
      </c>
      <c r="L431" s="18">
        <f t="shared" si="64"/>
        <v>60.184722803426595</v>
      </c>
      <c r="M431" s="18">
        <f t="shared" si="65"/>
        <v>-2.2639835937004162E-2</v>
      </c>
      <c r="N431" s="18">
        <f t="shared" si="66"/>
        <v>-5.6674526319957315E-4</v>
      </c>
      <c r="O431" s="18">
        <f t="shared" si="67"/>
        <v>58.683254108833111</v>
      </c>
      <c r="P431" s="18">
        <f t="shared" si="68"/>
        <v>3520.2922967096952</v>
      </c>
      <c r="Q431" s="18">
        <f t="shared" si="69"/>
        <v>3519.3908702297704</v>
      </c>
    </row>
    <row r="432" spans="1:17" ht="21" customHeight="1">
      <c r="A432" s="1" t="s">
        <v>394</v>
      </c>
      <c r="B432" s="1" t="s">
        <v>324</v>
      </c>
      <c r="C432" s="18">
        <v>58.678112655688267</v>
      </c>
      <c r="D432" s="18">
        <v>-0.68088829361986392</v>
      </c>
      <c r="E432" s="18">
        <v>456.64447040463244</v>
      </c>
      <c r="F432" s="18">
        <v>1.32389775</v>
      </c>
      <c r="G432" s="18">
        <v>0</v>
      </c>
      <c r="H432" s="18">
        <f t="shared" si="60"/>
        <v>1.32389775</v>
      </c>
      <c r="I432" s="18">
        <f t="shared" si="61"/>
        <v>-0.68088829361986392</v>
      </c>
      <c r="J432" s="18">
        <f t="shared" si="62"/>
        <v>58.678112655688267</v>
      </c>
      <c r="K432" s="18">
        <f t="shared" si="63"/>
        <v>344.92427410246182</v>
      </c>
      <c r="L432" s="18">
        <f t="shared" si="64"/>
        <v>33.336572226617733</v>
      </c>
      <c r="M432" s="18">
        <f t="shared" si="65"/>
        <v>-9.6648959582110783E-2</v>
      </c>
      <c r="N432" s="18">
        <f t="shared" si="66"/>
        <v>7.3469866668597172E-2</v>
      </c>
      <c r="O432" s="18">
        <f t="shared" si="67"/>
        <v>58.75284084484597</v>
      </c>
      <c r="P432" s="18">
        <f t="shared" si="68"/>
        <v>458.77889398607061</v>
      </c>
      <c r="Q432" s="18">
        <f t="shared" si="69"/>
        <v>457.87746750614593</v>
      </c>
    </row>
    <row r="433" spans="1:17" ht="21" customHeight="1">
      <c r="A433" s="1" t="s">
        <v>395</v>
      </c>
      <c r="B433" s="1" t="s">
        <v>319</v>
      </c>
      <c r="C433" s="18">
        <v>58.678112654273534</v>
      </c>
      <c r="D433" s="18">
        <v>11.444019408052009</v>
      </c>
      <c r="E433" s="18">
        <v>2205.0000000025666</v>
      </c>
      <c r="F433" s="18">
        <v>1.32389775</v>
      </c>
      <c r="G433" s="18">
        <v>0</v>
      </c>
      <c r="H433" s="18">
        <f t="shared" si="60"/>
        <v>1.32389775</v>
      </c>
      <c r="I433" s="18">
        <f t="shared" si="61"/>
        <v>11.444019408052009</v>
      </c>
      <c r="J433" s="18">
        <f t="shared" si="62"/>
        <v>58.678112654273534</v>
      </c>
      <c r="K433" s="18">
        <f t="shared" si="63"/>
        <v>1665.5364811992215</v>
      </c>
      <c r="L433" s="18">
        <f t="shared" si="64"/>
        <v>-293.45001869424107</v>
      </c>
      <c r="M433" s="18">
        <f t="shared" si="65"/>
        <v>0.17618948729537934</v>
      </c>
      <c r="N433" s="18">
        <f t="shared" si="66"/>
        <v>0.2114202452623403</v>
      </c>
      <c r="O433" s="18">
        <f t="shared" si="67"/>
        <v>59.786642612679536</v>
      </c>
      <c r="P433" s="18">
        <f t="shared" si="68"/>
        <v>2239.3132429560237</v>
      </c>
      <c r="Q433" s="18">
        <f t="shared" si="69"/>
        <v>2254.4639545013001</v>
      </c>
    </row>
    <row r="434" spans="1:17" ht="21" customHeight="1">
      <c r="A434" s="1" t="s">
        <v>395</v>
      </c>
      <c r="B434" s="1" t="s">
        <v>320</v>
      </c>
      <c r="C434" s="18">
        <v>58.678112654273534</v>
      </c>
      <c r="D434" s="18">
        <v>11.444019408052009</v>
      </c>
      <c r="E434" s="18">
        <v>3341.9813317298795</v>
      </c>
      <c r="F434" s="18">
        <v>1.32389775</v>
      </c>
      <c r="G434" s="18">
        <v>3.4438949999999999</v>
      </c>
      <c r="H434" s="18">
        <f t="shared" si="60"/>
        <v>3.6895959160157443</v>
      </c>
      <c r="I434" s="18">
        <f t="shared" si="61"/>
        <v>4.1063335633884455</v>
      </c>
      <c r="J434" s="18">
        <f t="shared" si="62"/>
        <v>59.642472362785874</v>
      </c>
      <c r="K434" s="18">
        <f t="shared" si="63"/>
        <v>905.78518835167165</v>
      </c>
      <c r="L434" s="18">
        <f t="shared" si="64"/>
        <v>-32.480902869706128</v>
      </c>
      <c r="M434" s="18">
        <f t="shared" si="65"/>
        <v>3.5859388392974471E-2</v>
      </c>
      <c r="N434" s="18">
        <f t="shared" si="66"/>
        <v>0.10170554389406183</v>
      </c>
      <c r="O434" s="18">
        <f t="shared" si="67"/>
        <v>59.794413872066386</v>
      </c>
      <c r="P434" s="18">
        <f t="shared" si="68"/>
        <v>3344.1302817642104</v>
      </c>
      <c r="Q434" s="18">
        <f t="shared" si="69"/>
        <v>3359.2809933094863</v>
      </c>
    </row>
    <row r="435" spans="1:17" ht="21" customHeight="1">
      <c r="A435" s="1" t="s">
        <v>395</v>
      </c>
      <c r="B435" s="1" t="s">
        <v>321</v>
      </c>
      <c r="C435" s="18">
        <v>58.678112654273534</v>
      </c>
      <c r="D435" s="18">
        <v>11.444019408052009</v>
      </c>
      <c r="E435" s="18">
        <v>3576.326323908449</v>
      </c>
      <c r="F435" s="18">
        <v>3.8554321618301355</v>
      </c>
      <c r="G435" s="18">
        <v>0</v>
      </c>
      <c r="H435" s="18">
        <f t="shared" si="60"/>
        <v>3.8554321618301355</v>
      </c>
      <c r="I435" s="18">
        <f t="shared" si="61"/>
        <v>11.444019408052009</v>
      </c>
      <c r="J435" s="18">
        <f t="shared" si="62"/>
        <v>58.678112654273534</v>
      </c>
      <c r="K435" s="18">
        <f t="shared" si="63"/>
        <v>927.60711997868543</v>
      </c>
      <c r="L435" s="18">
        <f t="shared" si="64"/>
        <v>-150.41529819355083</v>
      </c>
      <c r="M435" s="18">
        <f t="shared" si="65"/>
        <v>0.16215410053882195</v>
      </c>
      <c r="N435" s="18">
        <f t="shared" si="66"/>
        <v>0.22541160621172132</v>
      </c>
      <c r="O435" s="18">
        <f t="shared" si="67"/>
        <v>59.79326700258207</v>
      </c>
      <c r="P435" s="18">
        <f t="shared" si="68"/>
        <v>3623.4473149890623</v>
      </c>
      <c r="Q435" s="18">
        <f t="shared" si="69"/>
        <v>3667.5689554754745</v>
      </c>
    </row>
    <row r="436" spans="1:17" ht="21" customHeight="1">
      <c r="A436" s="1" t="s">
        <v>395</v>
      </c>
      <c r="B436" s="1" t="s">
        <v>322</v>
      </c>
      <c r="C436" s="18">
        <v>58.678112654273534</v>
      </c>
      <c r="D436" s="18">
        <v>11.444019408052009</v>
      </c>
      <c r="E436" s="18">
        <v>3388.8087211385118</v>
      </c>
      <c r="F436" s="18">
        <v>2.3365115147320541</v>
      </c>
      <c r="G436" s="18">
        <v>1.4349562500000002</v>
      </c>
      <c r="H436" s="18">
        <f t="shared" si="60"/>
        <v>2.7419674501878282</v>
      </c>
      <c r="I436" s="18">
        <f t="shared" si="61"/>
        <v>9.75178721392151</v>
      </c>
      <c r="J436" s="18">
        <f t="shared" si="62"/>
        <v>58.982956275638507</v>
      </c>
      <c r="K436" s="18">
        <f t="shared" si="63"/>
        <v>1235.9040662230962</v>
      </c>
      <c r="L436" s="18">
        <f t="shared" si="64"/>
        <v>-173.90460059035269</v>
      </c>
      <c r="M436" s="18">
        <f t="shared" si="65"/>
        <v>0.14071043646761555</v>
      </c>
      <c r="N436" s="18">
        <f t="shared" si="66"/>
        <v>0.1884349790819056</v>
      </c>
      <c r="O436" s="18">
        <f t="shared" si="67"/>
        <v>59.789186785060494</v>
      </c>
      <c r="P436" s="18">
        <f t="shared" si="68"/>
        <v>3422.412345998016</v>
      </c>
      <c r="Q436" s="18">
        <f t="shared" si="69"/>
        <v>3449.1514291197464</v>
      </c>
    </row>
    <row r="437" spans="1:17" ht="21" customHeight="1">
      <c r="A437" s="1" t="s">
        <v>395</v>
      </c>
      <c r="B437" s="1" t="s">
        <v>323</v>
      </c>
      <c r="C437" s="18">
        <v>58.678112654273534</v>
      </c>
      <c r="D437" s="18">
        <v>11.444019408052009</v>
      </c>
      <c r="E437" s="18">
        <v>3499.2839789476238</v>
      </c>
      <c r="F437" s="18">
        <v>1.32389775</v>
      </c>
      <c r="G437" s="18">
        <v>0</v>
      </c>
      <c r="H437" s="18">
        <f t="shared" si="60"/>
        <v>1.32389775</v>
      </c>
      <c r="I437" s="18">
        <f t="shared" si="61"/>
        <v>11.444019408052009</v>
      </c>
      <c r="J437" s="18">
        <f t="shared" si="62"/>
        <v>58.678112654273534</v>
      </c>
      <c r="K437" s="18">
        <f t="shared" si="63"/>
        <v>2643.1678571457833</v>
      </c>
      <c r="L437" s="18">
        <f t="shared" si="64"/>
        <v>-482.93551305502353</v>
      </c>
      <c r="M437" s="18">
        <f t="shared" si="65"/>
        <v>0.18271087541769671</v>
      </c>
      <c r="N437" s="18">
        <f t="shared" si="66"/>
        <v>0.20491079453960856</v>
      </c>
      <c r="O437" s="18">
        <f t="shared" si="67"/>
        <v>59.784846701716468</v>
      </c>
      <c r="P437" s="18">
        <f t="shared" si="68"/>
        <v>3557.8554098918989</v>
      </c>
      <c r="Q437" s="18">
        <f t="shared" si="69"/>
        <v>3573.0061214371754</v>
      </c>
    </row>
    <row r="438" spans="1:17" ht="21" customHeight="1">
      <c r="A438" s="1" t="s">
        <v>395</v>
      </c>
      <c r="B438" s="1" t="s">
        <v>324</v>
      </c>
      <c r="C438" s="18">
        <v>58.678112654273534</v>
      </c>
      <c r="D438" s="18">
        <v>11.444019408052009</v>
      </c>
      <c r="E438" s="18">
        <v>450.95400833202541</v>
      </c>
      <c r="F438" s="18">
        <v>1.32389775</v>
      </c>
      <c r="G438" s="18">
        <v>0</v>
      </c>
      <c r="H438" s="18">
        <f t="shared" si="60"/>
        <v>1.32389775</v>
      </c>
      <c r="I438" s="18">
        <f t="shared" si="61"/>
        <v>11.444019408052009</v>
      </c>
      <c r="J438" s="18">
        <f t="shared" si="62"/>
        <v>58.678112654273534</v>
      </c>
      <c r="K438" s="18">
        <f t="shared" si="63"/>
        <v>340.62601007670372</v>
      </c>
      <c r="L438" s="18">
        <f t="shared" si="64"/>
        <v>-36.59873887983894</v>
      </c>
      <c r="M438" s="18">
        <f t="shared" si="65"/>
        <v>0.10744552029833972</v>
      </c>
      <c r="N438" s="18">
        <f t="shared" si="66"/>
        <v>0.27971102827014765</v>
      </c>
      <c r="O438" s="18">
        <f t="shared" si="67"/>
        <v>59.854904387427716</v>
      </c>
      <c r="P438" s="18">
        <f t="shared" si="68"/>
        <v>453.55954178201426</v>
      </c>
      <c r="Q438" s="18">
        <f t="shared" si="69"/>
        <v>468.71025332729073</v>
      </c>
    </row>
    <row r="439" spans="1:17" ht="21" customHeight="1">
      <c r="A439" s="1" t="s">
        <v>396</v>
      </c>
      <c r="B439" s="1" t="s">
        <v>319</v>
      </c>
      <c r="C439" s="18">
        <v>71.734052511280964</v>
      </c>
      <c r="D439" s="18">
        <v>10.66700911326061</v>
      </c>
      <c r="E439" s="18">
        <v>2204.9999999984275</v>
      </c>
      <c r="F439" s="18">
        <v>1.32389775</v>
      </c>
      <c r="G439" s="18">
        <v>0</v>
      </c>
      <c r="H439" s="18">
        <f t="shared" si="60"/>
        <v>1.32389775</v>
      </c>
      <c r="I439" s="18">
        <f t="shared" si="61"/>
        <v>10.66700911326061</v>
      </c>
      <c r="J439" s="18">
        <f t="shared" si="62"/>
        <v>71.734052511280964</v>
      </c>
      <c r="K439" s="18">
        <f t="shared" si="63"/>
        <v>1665.5364811960951</v>
      </c>
      <c r="L439" s="18">
        <f t="shared" si="64"/>
        <v>-210.87913401201996</v>
      </c>
      <c r="M439" s="18">
        <f t="shared" si="65"/>
        <v>0.12661333834043573</v>
      </c>
      <c r="N439" s="18">
        <f t="shared" si="66"/>
        <v>0.16968297585432887</v>
      </c>
      <c r="O439" s="18">
        <f t="shared" si="67"/>
        <v>72.528303927022435</v>
      </c>
      <c r="P439" s="18">
        <f t="shared" si="68"/>
        <v>2222.6977321968543</v>
      </c>
      <c r="Q439" s="18">
        <f t="shared" si="69"/>
        <v>2236.8197615611293</v>
      </c>
    </row>
    <row r="440" spans="1:17" ht="21" customHeight="1">
      <c r="A440" s="1" t="s">
        <v>396</v>
      </c>
      <c r="B440" s="1" t="s">
        <v>320</v>
      </c>
      <c r="C440" s="18">
        <v>71.734052511280964</v>
      </c>
      <c r="D440" s="18">
        <v>10.66700911326061</v>
      </c>
      <c r="E440" s="18">
        <v>3457.8885948264715</v>
      </c>
      <c r="F440" s="18">
        <v>1.32389775</v>
      </c>
      <c r="G440" s="18">
        <v>3.4438949999999999</v>
      </c>
      <c r="H440" s="18">
        <f t="shared" si="60"/>
        <v>3.6895959160157443</v>
      </c>
      <c r="I440" s="18">
        <f t="shared" si="61"/>
        <v>3.8275273731127348</v>
      </c>
      <c r="J440" s="18">
        <f t="shared" si="62"/>
        <v>72.421746784523719</v>
      </c>
      <c r="K440" s="18">
        <f t="shared" si="63"/>
        <v>937.19981091059833</v>
      </c>
      <c r="L440" s="18">
        <f t="shared" si="64"/>
        <v>-13.285295172516882</v>
      </c>
      <c r="M440" s="18">
        <f t="shared" si="65"/>
        <v>1.4175520543061865E-2</v>
      </c>
      <c r="N440" s="18">
        <f t="shared" si="66"/>
        <v>9.1450127239959933E-2</v>
      </c>
      <c r="O440" s="18">
        <f t="shared" si="67"/>
        <v>72.540814936381267</v>
      </c>
      <c r="P440" s="18">
        <f t="shared" si="68"/>
        <v>3458.2360240177236</v>
      </c>
      <c r="Q440" s="18">
        <f t="shared" si="69"/>
        <v>3472.3580533819991</v>
      </c>
    </row>
    <row r="441" spans="1:17" ht="21" customHeight="1">
      <c r="A441" s="1" t="s">
        <v>396</v>
      </c>
      <c r="B441" s="1" t="s">
        <v>321</v>
      </c>
      <c r="C441" s="18">
        <v>71.734052511280964</v>
      </c>
      <c r="D441" s="18">
        <v>10.66700911326061</v>
      </c>
      <c r="E441" s="18">
        <v>3708.8347511149323</v>
      </c>
      <c r="F441" s="18">
        <v>3.8554321618301355</v>
      </c>
      <c r="G441" s="18">
        <v>0</v>
      </c>
      <c r="H441" s="18">
        <f t="shared" si="60"/>
        <v>3.8554321618301355</v>
      </c>
      <c r="I441" s="18">
        <f t="shared" si="61"/>
        <v>10.66700911326061</v>
      </c>
      <c r="J441" s="18">
        <f t="shared" si="62"/>
        <v>71.734052511280964</v>
      </c>
      <c r="K441" s="18">
        <f t="shared" si="63"/>
        <v>961.97639990490325</v>
      </c>
      <c r="L441" s="18">
        <f t="shared" si="64"/>
        <v>-106.62616276645845</v>
      </c>
      <c r="M441" s="18">
        <f t="shared" si="65"/>
        <v>0.11084072621428036</v>
      </c>
      <c r="N441" s="18">
        <f t="shared" si="66"/>
        <v>0.18541017772927831</v>
      </c>
      <c r="O441" s="18">
        <f t="shared" si="67"/>
        <v>72.539260283646783</v>
      </c>
      <c r="P441" s="18">
        <f t="shared" si="68"/>
        <v>3731.6408393692791</v>
      </c>
      <c r="Q441" s="18">
        <f t="shared" si="69"/>
        <v>3772.7667693750791</v>
      </c>
    </row>
    <row r="442" spans="1:17" ht="21" customHeight="1">
      <c r="A442" s="1" t="s">
        <v>396</v>
      </c>
      <c r="B442" s="1" t="s">
        <v>322</v>
      </c>
      <c r="C442" s="18">
        <v>71.734052511280964</v>
      </c>
      <c r="D442" s="18">
        <v>10.66700911326061</v>
      </c>
      <c r="E442" s="18">
        <v>3441.0733233317633</v>
      </c>
      <c r="F442" s="18">
        <v>2.3365115147320541</v>
      </c>
      <c r="G442" s="18">
        <v>1.4349562500000002</v>
      </c>
      <c r="H442" s="18">
        <f t="shared" si="60"/>
        <v>2.7419674501878282</v>
      </c>
      <c r="I442" s="18">
        <f t="shared" si="61"/>
        <v>9.0896737739092703</v>
      </c>
      <c r="J442" s="18">
        <f t="shared" si="62"/>
        <v>71.950936087013531</v>
      </c>
      <c r="K442" s="18">
        <f t="shared" si="63"/>
        <v>1254.9650518630501</v>
      </c>
      <c r="L442" s="18">
        <f t="shared" si="64"/>
        <v>-122.12596818056139</v>
      </c>
      <c r="M442" s="18">
        <f t="shared" si="65"/>
        <v>9.7314238352103982E-2</v>
      </c>
      <c r="N442" s="18">
        <f t="shared" si="66"/>
        <v>0.15464725808854943</v>
      </c>
      <c r="O442" s="18">
        <f t="shared" si="67"/>
        <v>72.532596881020694</v>
      </c>
      <c r="P442" s="18">
        <f t="shared" si="68"/>
        <v>3457.3797729448056</v>
      </c>
      <c r="Q442" s="18">
        <f t="shared" si="69"/>
        <v>3482.3033625656903</v>
      </c>
    </row>
    <row r="443" spans="1:17" ht="21" customHeight="1">
      <c r="A443" s="1" t="s">
        <v>396</v>
      </c>
      <c r="B443" s="1" t="s">
        <v>323</v>
      </c>
      <c r="C443" s="18">
        <v>71.734052511280964</v>
      </c>
      <c r="D443" s="18">
        <v>10.66700911326061</v>
      </c>
      <c r="E443" s="18">
        <v>3464.054315944295</v>
      </c>
      <c r="F443" s="18">
        <v>1.32389775</v>
      </c>
      <c r="G443" s="18">
        <v>0</v>
      </c>
      <c r="H443" s="18">
        <f t="shared" si="60"/>
        <v>1.32389775</v>
      </c>
      <c r="I443" s="18">
        <f t="shared" si="61"/>
        <v>10.66700911326061</v>
      </c>
      <c r="J443" s="18">
        <f t="shared" si="62"/>
        <v>71.734052511280964</v>
      </c>
      <c r="K443" s="18">
        <f t="shared" si="63"/>
        <v>2616.5572952626403</v>
      </c>
      <c r="L443" s="18">
        <f t="shared" si="64"/>
        <v>-351.78880720886838</v>
      </c>
      <c r="M443" s="18">
        <f t="shared" si="65"/>
        <v>0.13444720199545912</v>
      </c>
      <c r="N443" s="18">
        <f t="shared" si="66"/>
        <v>0.16186263548937027</v>
      </c>
      <c r="O443" s="18">
        <f t="shared" si="67"/>
        <v>72.525041749418904</v>
      </c>
      <c r="P443" s="18">
        <f t="shared" si="68"/>
        <v>3495.4097148244905</v>
      </c>
      <c r="Q443" s="18">
        <f t="shared" si="69"/>
        <v>3509.531744188766</v>
      </c>
    </row>
    <row r="444" spans="1:17" ht="21" customHeight="1">
      <c r="A444" s="1" t="s">
        <v>396</v>
      </c>
      <c r="B444" s="1" t="s">
        <v>324</v>
      </c>
      <c r="C444" s="18">
        <v>71.734052511280964</v>
      </c>
      <c r="D444" s="18">
        <v>10.66700911326061</v>
      </c>
      <c r="E444" s="18">
        <v>542.00834124812241</v>
      </c>
      <c r="F444" s="18">
        <v>1.32389775</v>
      </c>
      <c r="G444" s="18">
        <v>0</v>
      </c>
      <c r="H444" s="18">
        <f t="shared" si="60"/>
        <v>1.32389775</v>
      </c>
      <c r="I444" s="18">
        <f t="shared" si="61"/>
        <v>10.66700911326061</v>
      </c>
      <c r="J444" s="18">
        <f t="shared" si="62"/>
        <v>71.734052511280964</v>
      </c>
      <c r="K444" s="18">
        <f t="shared" si="63"/>
        <v>409.40347639998816</v>
      </c>
      <c r="L444" s="18">
        <f t="shared" si="64"/>
        <v>-24.713036850748715</v>
      </c>
      <c r="M444" s="18">
        <f t="shared" si="65"/>
        <v>6.0363524677557991E-2</v>
      </c>
      <c r="N444" s="18">
        <f t="shared" si="66"/>
        <v>0.23557955640757836</v>
      </c>
      <c r="O444" s="18">
        <f t="shared" si="67"/>
        <v>72.613619527014592</v>
      </c>
      <c r="P444" s="18">
        <f t="shared" si="68"/>
        <v>542.9961139589235</v>
      </c>
      <c r="Q444" s="18">
        <f t="shared" si="69"/>
        <v>557.11814332319864</v>
      </c>
    </row>
    <row r="445" spans="1:17" ht="21" customHeight="1">
      <c r="A445" s="1" t="s">
        <v>397</v>
      </c>
      <c r="B445" s="1" t="s">
        <v>319</v>
      </c>
      <c r="C445" s="18">
        <v>71.734052511280964</v>
      </c>
      <c r="D445" s="18">
        <v>-5.046906357199715</v>
      </c>
      <c r="E445" s="18">
        <v>2205.000000000502</v>
      </c>
      <c r="F445" s="18">
        <v>1.32389775</v>
      </c>
      <c r="G445" s="18">
        <v>0</v>
      </c>
      <c r="H445" s="18">
        <f t="shared" si="60"/>
        <v>1.32389775</v>
      </c>
      <c r="I445" s="18">
        <f t="shared" si="61"/>
        <v>-5.046906357199715</v>
      </c>
      <c r="J445" s="18">
        <f t="shared" si="62"/>
        <v>71.734052511280964</v>
      </c>
      <c r="K445" s="18">
        <f t="shared" si="63"/>
        <v>1665.5364811976619</v>
      </c>
      <c r="L445" s="18">
        <f t="shared" si="64"/>
        <v>152.94167907847526</v>
      </c>
      <c r="M445" s="18">
        <f t="shared" si="65"/>
        <v>-9.1827276559260484E-2</v>
      </c>
      <c r="N445" s="18">
        <f t="shared" si="66"/>
        <v>-4.8757639045407836E-2</v>
      </c>
      <c r="O445" s="18">
        <f t="shared" si="67"/>
        <v>71.916903791017788</v>
      </c>
      <c r="P445" s="18">
        <f t="shared" si="68"/>
        <v>2214.3030886224915</v>
      </c>
      <c r="Q445" s="18">
        <f t="shared" si="69"/>
        <v>2207.6215006517341</v>
      </c>
    </row>
    <row r="446" spans="1:17" ht="21" customHeight="1">
      <c r="A446" s="1" t="s">
        <v>397</v>
      </c>
      <c r="B446" s="1" t="s">
        <v>320</v>
      </c>
      <c r="C446" s="18">
        <v>71.734052511280964</v>
      </c>
      <c r="D446" s="18">
        <v>-5.046906357199715</v>
      </c>
      <c r="E446" s="18">
        <v>3438.0396668748272</v>
      </c>
      <c r="F446" s="18">
        <v>1.32389775</v>
      </c>
      <c r="G446" s="18">
        <v>3.4438949999999999</v>
      </c>
      <c r="H446" s="18">
        <f t="shared" si="60"/>
        <v>3.6895959160157443</v>
      </c>
      <c r="I446" s="18">
        <f t="shared" si="61"/>
        <v>-1.8109267580642259</v>
      </c>
      <c r="J446" s="18">
        <f t="shared" si="62"/>
        <v>71.888567225578271</v>
      </c>
      <c r="K446" s="18">
        <f t="shared" si="63"/>
        <v>931.82010852490225</v>
      </c>
      <c r="L446" s="18">
        <f t="shared" si="64"/>
        <v>59.409228564695688</v>
      </c>
      <c r="M446" s="18">
        <f t="shared" si="65"/>
        <v>-6.3756113461365616E-2</v>
      </c>
      <c r="N446" s="18">
        <f t="shared" si="66"/>
        <v>1.3392433310585808E-2</v>
      </c>
      <c r="O446" s="18">
        <f t="shared" si="67"/>
        <v>71.929196641140067</v>
      </c>
      <c r="P446" s="18">
        <f t="shared" si="68"/>
        <v>3445.0295781582427</v>
      </c>
      <c r="Q446" s="18">
        <f t="shared" si="69"/>
        <v>3438.3479901874857</v>
      </c>
    </row>
    <row r="447" spans="1:17" ht="21" customHeight="1">
      <c r="A447" s="1" t="s">
        <v>397</v>
      </c>
      <c r="B447" s="1" t="s">
        <v>321</v>
      </c>
      <c r="C447" s="18">
        <v>71.734052511280964</v>
      </c>
      <c r="D447" s="18">
        <v>-5.046906357199715</v>
      </c>
      <c r="E447" s="18">
        <v>3723.8602615615819</v>
      </c>
      <c r="F447" s="18">
        <v>3.8554321618301355</v>
      </c>
      <c r="G447" s="18">
        <v>0</v>
      </c>
      <c r="H447" s="18">
        <f t="shared" si="60"/>
        <v>3.8554321618301355</v>
      </c>
      <c r="I447" s="18">
        <f t="shared" si="61"/>
        <v>-5.046906357199715</v>
      </c>
      <c r="J447" s="18">
        <f t="shared" si="62"/>
        <v>71.734052511280964</v>
      </c>
      <c r="K447" s="18">
        <f t="shared" si="63"/>
        <v>965.8736310883246</v>
      </c>
      <c r="L447" s="18">
        <f t="shared" si="64"/>
        <v>103.75032003641095</v>
      </c>
      <c r="M447" s="18">
        <f t="shared" si="65"/>
        <v>-0.10741603942485461</v>
      </c>
      <c r="N447" s="18">
        <f t="shared" si="66"/>
        <v>-3.3147470325962602E-2</v>
      </c>
      <c r="O447" s="18">
        <f t="shared" si="67"/>
        <v>71.927819738072287</v>
      </c>
      <c r="P447" s="18">
        <f t="shared" si="68"/>
        <v>3745.3642586235383</v>
      </c>
      <c r="Q447" s="18">
        <f t="shared" si="69"/>
        <v>3725.9062535362459</v>
      </c>
    </row>
    <row r="448" spans="1:17" ht="21" customHeight="1">
      <c r="A448" s="1" t="s">
        <v>397</v>
      </c>
      <c r="B448" s="1" t="s">
        <v>322</v>
      </c>
      <c r="C448" s="18">
        <v>71.734052511280964</v>
      </c>
      <c r="D448" s="18">
        <v>-5.046906357199715</v>
      </c>
      <c r="E448" s="18">
        <v>3442.343535044698</v>
      </c>
      <c r="F448" s="18">
        <v>2.3365115147320541</v>
      </c>
      <c r="G448" s="18">
        <v>1.4349562500000002</v>
      </c>
      <c r="H448" s="18">
        <f t="shared" si="60"/>
        <v>2.7419674501878282</v>
      </c>
      <c r="I448" s="18">
        <f t="shared" si="61"/>
        <v>-4.300618089599773</v>
      </c>
      <c r="J448" s="18">
        <f t="shared" si="62"/>
        <v>71.782659727241679</v>
      </c>
      <c r="K448" s="18">
        <f t="shared" si="63"/>
        <v>1255.4283001459019</v>
      </c>
      <c r="L448" s="18">
        <f t="shared" si="64"/>
        <v>111.05096952104296</v>
      </c>
      <c r="M448" s="18">
        <f t="shared" si="65"/>
        <v>-8.8456640262241162E-2</v>
      </c>
      <c r="N448" s="18">
        <f t="shared" si="66"/>
        <v>-3.1278815197361441E-2</v>
      </c>
      <c r="O448" s="18">
        <f t="shared" si="67"/>
        <v>71.921134111645642</v>
      </c>
      <c r="P448" s="18">
        <f t="shared" si="68"/>
        <v>3455.819760135551</v>
      </c>
      <c r="Q448" s="18">
        <f t="shared" si="69"/>
        <v>3444.0276053181788</v>
      </c>
    </row>
    <row r="449" spans="1:17" ht="21" customHeight="1">
      <c r="A449" s="1" t="s">
        <v>397</v>
      </c>
      <c r="B449" s="1" t="s">
        <v>323</v>
      </c>
      <c r="C449" s="18">
        <v>71.734052511280964</v>
      </c>
      <c r="D449" s="18">
        <v>-5.046906357199715</v>
      </c>
      <c r="E449" s="18">
        <v>3471.9828189899963</v>
      </c>
      <c r="F449" s="18">
        <v>1.32389775</v>
      </c>
      <c r="G449" s="18">
        <v>0</v>
      </c>
      <c r="H449" s="18">
        <f t="shared" si="60"/>
        <v>1.32389775</v>
      </c>
      <c r="I449" s="18">
        <f t="shared" si="61"/>
        <v>-5.046906357199715</v>
      </c>
      <c r="J449" s="18">
        <f t="shared" si="62"/>
        <v>71.734052511280964</v>
      </c>
      <c r="K449" s="18">
        <f t="shared" si="63"/>
        <v>2622.5460531147487</v>
      </c>
      <c r="L449" s="18">
        <f t="shared" si="64"/>
        <v>220.22072157788466</v>
      </c>
      <c r="M449" s="18">
        <f t="shared" si="65"/>
        <v>-8.3972108446420848E-2</v>
      </c>
      <c r="N449" s="18">
        <f t="shared" si="66"/>
        <v>-5.6619279913215963E-2</v>
      </c>
      <c r="O449" s="18">
        <f t="shared" si="67"/>
        <v>71.913603655589583</v>
      </c>
      <c r="P449" s="18">
        <f t="shared" si="68"/>
        <v>3484.2310358831796</v>
      </c>
      <c r="Q449" s="18">
        <f t="shared" si="69"/>
        <v>3477.5494479124222</v>
      </c>
    </row>
    <row r="450" spans="1:17" ht="21" customHeight="1">
      <c r="A450" s="1" t="s">
        <v>397</v>
      </c>
      <c r="B450" s="1" t="s">
        <v>324</v>
      </c>
      <c r="C450" s="18">
        <v>71.734052511280964</v>
      </c>
      <c r="D450" s="18">
        <v>-5.046906357199715</v>
      </c>
      <c r="E450" s="18">
        <v>545.10640569840621</v>
      </c>
      <c r="F450" s="18">
        <v>1.32389775</v>
      </c>
      <c r="G450" s="18">
        <v>0</v>
      </c>
      <c r="H450" s="18">
        <f t="shared" si="60"/>
        <v>1.32389775</v>
      </c>
      <c r="I450" s="18">
        <f t="shared" si="61"/>
        <v>-5.046906357199715</v>
      </c>
      <c r="J450" s="18">
        <f t="shared" si="62"/>
        <v>71.734052511280964</v>
      </c>
      <c r="K450" s="18">
        <f t="shared" si="63"/>
        <v>411.7435849546585</v>
      </c>
      <c r="L450" s="18">
        <f t="shared" si="64"/>
        <v>64.775214379761508</v>
      </c>
      <c r="M450" s="18">
        <f t="shared" si="65"/>
        <v>-0.15731930440857894</v>
      </c>
      <c r="N450" s="18">
        <f t="shared" si="66"/>
        <v>1.6900902371765596E-2</v>
      </c>
      <c r="O450" s="18">
        <f t="shared" si="67"/>
        <v>72.001905526979016</v>
      </c>
      <c r="P450" s="18">
        <f t="shared" si="68"/>
        <v>551.86584775573272</v>
      </c>
      <c r="Q450" s="18">
        <f t="shared" si="69"/>
        <v>545.18425978497532</v>
      </c>
    </row>
    <row r="451" spans="1:17" ht="21" customHeight="1">
      <c r="A451" s="1" t="s">
        <v>398</v>
      </c>
      <c r="B451" s="1" t="s">
        <v>319</v>
      </c>
      <c r="C451" s="18">
        <v>48.477318770994543</v>
      </c>
      <c r="D451" s="18">
        <v>3.4835405301433635</v>
      </c>
      <c r="E451" s="18">
        <v>2205.0000000004511</v>
      </c>
      <c r="F451" s="18">
        <v>1.32389775</v>
      </c>
      <c r="G451" s="18">
        <v>0</v>
      </c>
      <c r="H451" s="18">
        <f t="shared" si="60"/>
        <v>1.32389775</v>
      </c>
      <c r="I451" s="18">
        <f t="shared" si="61"/>
        <v>3.4835405301433635</v>
      </c>
      <c r="J451" s="18">
        <f t="shared" si="62"/>
        <v>48.477318770994543</v>
      </c>
      <c r="K451" s="18">
        <f t="shared" si="63"/>
        <v>1665.5364811976235</v>
      </c>
      <c r="L451" s="18">
        <f t="shared" si="64"/>
        <v>-95.338453661729488</v>
      </c>
      <c r="M451" s="18">
        <f t="shared" si="65"/>
        <v>5.7241888567445401E-2</v>
      </c>
      <c r="N451" s="18">
        <f t="shared" si="66"/>
        <v>8.6348017024107215E-2</v>
      </c>
      <c r="O451" s="18">
        <f t="shared" si="67"/>
        <v>48.604026598388934</v>
      </c>
      <c r="P451" s="18">
        <f t="shared" si="68"/>
        <v>2208.6134752803919</v>
      </c>
      <c r="Q451" s="18">
        <f t="shared" si="69"/>
        <v>2213.225326750282</v>
      </c>
    </row>
    <row r="452" spans="1:17" ht="21" customHeight="1">
      <c r="A452" s="1" t="s">
        <v>398</v>
      </c>
      <c r="B452" s="1" t="s">
        <v>320</v>
      </c>
      <c r="C452" s="18">
        <v>48.477318770994543</v>
      </c>
      <c r="D452" s="18">
        <v>3.4835405301433635</v>
      </c>
      <c r="E452" s="18">
        <v>3206.085465668707</v>
      </c>
      <c r="F452" s="18">
        <v>1.32389775</v>
      </c>
      <c r="G452" s="18">
        <v>3.4438949999999999</v>
      </c>
      <c r="H452" s="18">
        <f t="shared" si="60"/>
        <v>3.6895959160157443</v>
      </c>
      <c r="I452" s="18">
        <f t="shared" si="61"/>
        <v>1.249961127144452</v>
      </c>
      <c r="J452" s="18">
        <f t="shared" si="62"/>
        <v>48.586243804500867</v>
      </c>
      <c r="K452" s="18">
        <f t="shared" si="63"/>
        <v>868.95300695444121</v>
      </c>
      <c r="L452" s="18">
        <f t="shared" si="64"/>
        <v>1.9432510429092069</v>
      </c>
      <c r="M452" s="18">
        <f t="shared" si="65"/>
        <v>-2.2363131577391396E-3</v>
      </c>
      <c r="N452" s="18">
        <f t="shared" si="66"/>
        <v>5.3677232702224971E-2</v>
      </c>
      <c r="O452" s="18">
        <f t="shared" si="67"/>
        <v>48.608646968566852</v>
      </c>
      <c r="P452" s="18">
        <f t="shared" si="68"/>
        <v>3206.0934826435118</v>
      </c>
      <c r="Q452" s="18">
        <f t="shared" si="69"/>
        <v>3210.7053341134024</v>
      </c>
    </row>
    <row r="453" spans="1:17" ht="21" customHeight="1">
      <c r="A453" s="1" t="s">
        <v>398</v>
      </c>
      <c r="B453" s="1" t="s">
        <v>321</v>
      </c>
      <c r="C453" s="18">
        <v>48.477318770994543</v>
      </c>
      <c r="D453" s="18">
        <v>3.4835405301433635</v>
      </c>
      <c r="E453" s="18">
        <v>3511.6439832732585</v>
      </c>
      <c r="F453" s="18">
        <v>3.8554321618301355</v>
      </c>
      <c r="G453" s="18">
        <v>0</v>
      </c>
      <c r="H453" s="18">
        <f t="shared" si="60"/>
        <v>3.8554321618301355</v>
      </c>
      <c r="I453" s="18">
        <f t="shared" si="61"/>
        <v>3.4835405301433635</v>
      </c>
      <c r="J453" s="18">
        <f t="shared" si="62"/>
        <v>48.477318770994543</v>
      </c>
      <c r="K453" s="18">
        <f t="shared" si="63"/>
        <v>910.83018345894482</v>
      </c>
      <c r="L453" s="18">
        <f t="shared" si="64"/>
        <v>-41.148950273572211</v>
      </c>
      <c r="M453" s="18">
        <f t="shared" si="65"/>
        <v>4.5177411795144992E-2</v>
      </c>
      <c r="N453" s="18">
        <f t="shared" si="66"/>
        <v>9.8400635675252202E-2</v>
      </c>
      <c r="O453" s="18">
        <f t="shared" si="67"/>
        <v>48.608027047875602</v>
      </c>
      <c r="P453" s="18">
        <f t="shared" si="68"/>
        <v>3515.2282229453454</v>
      </c>
      <c r="Q453" s="18">
        <f t="shared" si="69"/>
        <v>3528.6587771422983</v>
      </c>
    </row>
    <row r="454" spans="1:17" ht="21" customHeight="1">
      <c r="A454" s="1" t="s">
        <v>398</v>
      </c>
      <c r="B454" s="1" t="s">
        <v>322</v>
      </c>
      <c r="C454" s="18">
        <v>48.477318770994543</v>
      </c>
      <c r="D454" s="18">
        <v>3.4835405301433635</v>
      </c>
      <c r="E454" s="18">
        <v>3354.7263142906413</v>
      </c>
      <c r="F454" s="18">
        <v>2.3365115147320541</v>
      </c>
      <c r="G454" s="18">
        <v>1.4349562500000002</v>
      </c>
      <c r="H454" s="18">
        <f t="shared" si="60"/>
        <v>2.7419674501878282</v>
      </c>
      <c r="I454" s="18">
        <f t="shared" si="61"/>
        <v>2.9684278564861226</v>
      </c>
      <c r="J454" s="18">
        <f t="shared" si="62"/>
        <v>48.511585481311663</v>
      </c>
      <c r="K454" s="18">
        <f t="shared" si="63"/>
        <v>1223.474156872591</v>
      </c>
      <c r="L454" s="18">
        <f t="shared" si="64"/>
        <v>-50.557155796013049</v>
      </c>
      <c r="M454" s="18">
        <f t="shared" si="65"/>
        <v>4.132261847299315E-2</v>
      </c>
      <c r="N454" s="18">
        <f t="shared" si="66"/>
        <v>8.0973301087585978E-2</v>
      </c>
      <c r="O454" s="18">
        <f t="shared" si="67"/>
        <v>48.60549179498863</v>
      </c>
      <c r="P454" s="18">
        <f t="shared" si="68"/>
        <v>3357.5909180946542</v>
      </c>
      <c r="Q454" s="18">
        <f t="shared" si="69"/>
        <v>3365.7302506553697</v>
      </c>
    </row>
    <row r="455" spans="1:17" ht="21" customHeight="1">
      <c r="A455" s="1" t="s">
        <v>398</v>
      </c>
      <c r="B455" s="1" t="s">
        <v>323</v>
      </c>
      <c r="C455" s="18">
        <v>48.477318770994543</v>
      </c>
      <c r="D455" s="18">
        <v>3.4835405301433635</v>
      </c>
      <c r="E455" s="18">
        <v>3546.2642558345669</v>
      </c>
      <c r="F455" s="18">
        <v>1.32389775</v>
      </c>
      <c r="G455" s="18">
        <v>0</v>
      </c>
      <c r="H455" s="18">
        <f t="shared" ref="H455:H518" si="70">SQRT(F455^2+G455^2)</f>
        <v>1.32389775</v>
      </c>
      <c r="I455" s="18">
        <f t="shared" ref="I455:I518" si="71">D455*F455/H455</f>
        <v>3.4835405301433635</v>
      </c>
      <c r="J455" s="18">
        <f t="shared" ref="J455:J518" si="72">SQRT(C455^2+D455^2-I455^2)</f>
        <v>48.477318770994543</v>
      </c>
      <c r="K455" s="18">
        <f t="shared" ref="K455:K518" si="73">E455/H455</f>
        <v>2678.6541905026784</v>
      </c>
      <c r="L455" s="18">
        <f t="shared" ref="L455:L518" si="74">J455/2-K455*ASINH(I455/(2*K455*SINH(J455/(2*K455))))</f>
        <v>-168.07934857489712</v>
      </c>
      <c r="M455" s="18">
        <f t="shared" ref="M455:M518" si="75">-L455/K455</f>
        <v>6.2747684703323064E-2</v>
      </c>
      <c r="N455" s="18">
        <f t="shared" ref="N455:N518" si="76">(J455-L455)/K455</f>
        <v>8.0845324534128266E-2</v>
      </c>
      <c r="O455" s="18">
        <f t="shared" ref="O455:O518" si="77">K455*(SINH(N455)-SINH(M455))</f>
        <v>48.602979663333336</v>
      </c>
      <c r="P455" s="18">
        <f t="shared" ref="P455:P518" si="78">E455*COSH(M455)</f>
        <v>3553.2478501081059</v>
      </c>
      <c r="Q455" s="18">
        <f t="shared" ref="Q455:Q518" si="79">E455*COSH(N455)</f>
        <v>3557.859701577996</v>
      </c>
    </row>
    <row r="456" spans="1:17" ht="21" customHeight="1">
      <c r="A456" s="1" t="s">
        <v>398</v>
      </c>
      <c r="B456" s="1" t="s">
        <v>324</v>
      </c>
      <c r="C456" s="18">
        <v>48.477318770994543</v>
      </c>
      <c r="D456" s="18">
        <v>3.4835405301433635</v>
      </c>
      <c r="E456" s="18">
        <v>383.06402859060881</v>
      </c>
      <c r="F456" s="18">
        <v>1.32389775</v>
      </c>
      <c r="G456" s="18">
        <v>0</v>
      </c>
      <c r="H456" s="18">
        <f t="shared" si="70"/>
        <v>1.32389775</v>
      </c>
      <c r="I456" s="18">
        <f t="shared" si="71"/>
        <v>3.4835405301433635</v>
      </c>
      <c r="J456" s="18">
        <f t="shared" si="72"/>
        <v>48.477318770994543</v>
      </c>
      <c r="K456" s="18">
        <f t="shared" si="73"/>
        <v>289.34563004628478</v>
      </c>
      <c r="L456" s="18">
        <f t="shared" si="74"/>
        <v>3.4886073836962304</v>
      </c>
      <c r="M456" s="18">
        <f t="shared" si="75"/>
        <v>-1.2056886371977278E-2</v>
      </c>
      <c r="N456" s="18">
        <f t="shared" si="76"/>
        <v>0.15548432986564115</v>
      </c>
      <c r="O456" s="18">
        <f t="shared" si="77"/>
        <v>48.658892375228447</v>
      </c>
      <c r="P456" s="18">
        <f t="shared" si="78"/>
        <v>383.09187165123967</v>
      </c>
      <c r="Q456" s="18">
        <f t="shared" si="79"/>
        <v>387.70372312113028</v>
      </c>
    </row>
    <row r="457" spans="1:17" ht="21" customHeight="1">
      <c r="A457" s="1" t="s">
        <v>399</v>
      </c>
      <c r="B457" s="1" t="s">
        <v>319</v>
      </c>
      <c r="C457" s="18">
        <v>53.07787276594383</v>
      </c>
      <c r="D457" s="18">
        <v>-0.93398503596163174</v>
      </c>
      <c r="E457" s="18">
        <v>2204.9999999999081</v>
      </c>
      <c r="F457" s="18">
        <v>1.32389775</v>
      </c>
      <c r="G457" s="18">
        <v>0</v>
      </c>
      <c r="H457" s="18">
        <f t="shared" si="70"/>
        <v>1.32389775</v>
      </c>
      <c r="I457" s="18">
        <f t="shared" si="71"/>
        <v>-0.93398503596163174</v>
      </c>
      <c r="J457" s="18">
        <f t="shared" si="72"/>
        <v>53.07787276594383</v>
      </c>
      <c r="K457" s="18">
        <f t="shared" si="73"/>
        <v>1665.5364811972133</v>
      </c>
      <c r="L457" s="18">
        <f t="shared" si="74"/>
        <v>55.843804647313888</v>
      </c>
      <c r="M457" s="18">
        <f t="shared" si="75"/>
        <v>-3.3529019194567564E-2</v>
      </c>
      <c r="N457" s="18">
        <f t="shared" si="76"/>
        <v>-1.6606852582309475E-3</v>
      </c>
      <c r="O457" s="18">
        <f t="shared" si="77"/>
        <v>53.08833530493223</v>
      </c>
      <c r="P457" s="18">
        <f t="shared" si="78"/>
        <v>2206.2395412460182</v>
      </c>
      <c r="Q457" s="18">
        <f t="shared" si="79"/>
        <v>2205.0030405583752</v>
      </c>
    </row>
    <row r="458" spans="1:17" ht="21" customHeight="1">
      <c r="A458" s="1" t="s">
        <v>399</v>
      </c>
      <c r="B458" s="1" t="s">
        <v>320</v>
      </c>
      <c r="C458" s="18">
        <v>53.07787276594383</v>
      </c>
      <c r="D458" s="18">
        <v>-0.93398503596163174</v>
      </c>
      <c r="E458" s="18">
        <v>3245.7040066868522</v>
      </c>
      <c r="F458" s="18">
        <v>1.32389775</v>
      </c>
      <c r="G458" s="18">
        <v>3.4438949999999999</v>
      </c>
      <c r="H458" s="18">
        <f t="shared" si="70"/>
        <v>3.6895959160157443</v>
      </c>
      <c r="I458" s="18">
        <f t="shared" si="71"/>
        <v>-0.33513173685928294</v>
      </c>
      <c r="J458" s="18">
        <f t="shared" si="72"/>
        <v>53.085031714449144</v>
      </c>
      <c r="K458" s="18">
        <f t="shared" si="73"/>
        <v>879.69091482293425</v>
      </c>
      <c r="L458" s="18">
        <f t="shared" si="74"/>
        <v>32.095223466613788</v>
      </c>
      <c r="M458" s="18">
        <f t="shared" si="75"/>
        <v>-3.6484659470507289E-2</v>
      </c>
      <c r="N458" s="18">
        <f t="shared" si="76"/>
        <v>2.3860435403109993E-2</v>
      </c>
      <c r="O458" s="18">
        <f t="shared" si="77"/>
        <v>53.094144387151054</v>
      </c>
      <c r="P458" s="18">
        <f t="shared" si="78"/>
        <v>3247.8644739247047</v>
      </c>
      <c r="Q458" s="18">
        <f t="shared" si="79"/>
        <v>3246.6279732370613</v>
      </c>
    </row>
    <row r="459" spans="1:17" ht="21" customHeight="1">
      <c r="A459" s="1" t="s">
        <v>399</v>
      </c>
      <c r="B459" s="1" t="s">
        <v>321</v>
      </c>
      <c r="C459" s="18">
        <v>53.07787276594383</v>
      </c>
      <c r="D459" s="18">
        <v>-0.93398503596163174</v>
      </c>
      <c r="E459" s="18">
        <v>3555.6957933304102</v>
      </c>
      <c r="F459" s="18">
        <v>3.8554321618301355</v>
      </c>
      <c r="G459" s="18">
        <v>0</v>
      </c>
      <c r="H459" s="18">
        <f t="shared" si="70"/>
        <v>3.8554321618301355</v>
      </c>
      <c r="I459" s="18">
        <f t="shared" si="71"/>
        <v>-0.93398503596163174</v>
      </c>
      <c r="J459" s="18">
        <f t="shared" si="72"/>
        <v>53.07787276594383</v>
      </c>
      <c r="K459" s="18">
        <f t="shared" si="73"/>
        <v>922.25609064861783</v>
      </c>
      <c r="L459" s="18">
        <f t="shared" si="74"/>
        <v>42.764343474047209</v>
      </c>
      <c r="M459" s="18">
        <f t="shared" si="75"/>
        <v>-4.6369271949151643E-2</v>
      </c>
      <c r="N459" s="18">
        <f t="shared" si="76"/>
        <v>1.1182934324286404E-2</v>
      </c>
      <c r="O459" s="18">
        <f t="shared" si="77"/>
        <v>53.093414049130331</v>
      </c>
      <c r="P459" s="18">
        <f t="shared" si="78"/>
        <v>3559.5190457317881</v>
      </c>
      <c r="Q459" s="18">
        <f t="shared" si="79"/>
        <v>3555.9181297854739</v>
      </c>
    </row>
    <row r="460" spans="1:17" ht="21" customHeight="1">
      <c r="A460" s="1" t="s">
        <v>399</v>
      </c>
      <c r="B460" s="1" t="s">
        <v>322</v>
      </c>
      <c r="C460" s="18">
        <v>53.07787276594383</v>
      </c>
      <c r="D460" s="18">
        <v>-0.93398503596163174</v>
      </c>
      <c r="E460" s="18">
        <v>3371.182953432628</v>
      </c>
      <c r="F460" s="18">
        <v>2.3365115147320541</v>
      </c>
      <c r="G460" s="18">
        <v>1.4349562500000002</v>
      </c>
      <c r="H460" s="18">
        <f t="shared" si="70"/>
        <v>2.7419674501878282</v>
      </c>
      <c r="I460" s="18">
        <f t="shared" si="71"/>
        <v>-0.79587625701475651</v>
      </c>
      <c r="J460" s="18">
        <f t="shared" si="72"/>
        <v>53.080123270284915</v>
      </c>
      <c r="K460" s="18">
        <f t="shared" si="73"/>
        <v>1229.4759200010553</v>
      </c>
      <c r="L460" s="18">
        <f t="shared" si="74"/>
        <v>44.972536758791911</v>
      </c>
      <c r="M460" s="18">
        <f t="shared" si="75"/>
        <v>-3.6578623482722061E-2</v>
      </c>
      <c r="N460" s="18">
        <f t="shared" si="76"/>
        <v>6.5943434756217468E-3</v>
      </c>
      <c r="O460" s="18">
        <f t="shared" si="77"/>
        <v>53.090211545025241</v>
      </c>
      <c r="P460" s="18">
        <f t="shared" si="78"/>
        <v>3373.4385190514381</v>
      </c>
      <c r="Q460" s="18">
        <f t="shared" si="79"/>
        <v>3371.2562522603257</v>
      </c>
    </row>
    <row r="461" spans="1:17" ht="21" customHeight="1">
      <c r="A461" s="1" t="s">
        <v>399</v>
      </c>
      <c r="B461" s="1" t="s">
        <v>323</v>
      </c>
      <c r="C461" s="18">
        <v>53.07787276594383</v>
      </c>
      <c r="D461" s="18">
        <v>-0.93398503596163174</v>
      </c>
      <c r="E461" s="18">
        <v>3536.296069284469</v>
      </c>
      <c r="F461" s="18">
        <v>1.32389775</v>
      </c>
      <c r="G461" s="18">
        <v>0</v>
      </c>
      <c r="H461" s="18">
        <f t="shared" si="70"/>
        <v>1.32389775</v>
      </c>
      <c r="I461" s="18">
        <f t="shared" si="71"/>
        <v>-0.93398503596163174</v>
      </c>
      <c r="J461" s="18">
        <f t="shared" si="72"/>
        <v>53.07787276594383</v>
      </c>
      <c r="K461" s="18">
        <f t="shared" si="73"/>
        <v>2671.1247672144386</v>
      </c>
      <c r="L461" s="18">
        <f t="shared" si="74"/>
        <v>73.538197371439253</v>
      </c>
      <c r="M461" s="18">
        <f t="shared" si="75"/>
        <v>-2.753079836406443E-2</v>
      </c>
      <c r="N461" s="18">
        <f t="shared" si="76"/>
        <v>-7.6598161406111745E-3</v>
      </c>
      <c r="O461" s="18">
        <f t="shared" si="77"/>
        <v>53.086962689817611</v>
      </c>
      <c r="P461" s="18">
        <f t="shared" si="78"/>
        <v>3537.6363126458432</v>
      </c>
      <c r="Q461" s="18">
        <f t="shared" si="79"/>
        <v>3536.3998119582002</v>
      </c>
    </row>
    <row r="462" spans="1:17" ht="21" customHeight="1">
      <c r="A462" s="1" t="s">
        <v>399</v>
      </c>
      <c r="B462" s="1" t="s">
        <v>324</v>
      </c>
      <c r="C462" s="18">
        <v>53.07787276594383</v>
      </c>
      <c r="D462" s="18">
        <v>-0.93398503596163174</v>
      </c>
      <c r="E462" s="18">
        <v>416.92184181546315</v>
      </c>
      <c r="F462" s="18">
        <v>1.32389775</v>
      </c>
      <c r="G462" s="18">
        <v>0</v>
      </c>
      <c r="H462" s="18">
        <f t="shared" si="70"/>
        <v>1.32389775</v>
      </c>
      <c r="I462" s="18">
        <f t="shared" si="71"/>
        <v>-0.93398503596163174</v>
      </c>
      <c r="J462" s="18">
        <f t="shared" si="72"/>
        <v>53.07787276594383</v>
      </c>
      <c r="K462" s="18">
        <f t="shared" si="73"/>
        <v>314.9199715880348</v>
      </c>
      <c r="L462" s="18">
        <f t="shared" si="74"/>
        <v>32.073588576095993</v>
      </c>
      <c r="M462" s="18">
        <f t="shared" si="75"/>
        <v>-0.10184679115255772</v>
      </c>
      <c r="N462" s="18">
        <f t="shared" si="76"/>
        <v>6.6697212259769822E-2</v>
      </c>
      <c r="O462" s="18">
        <f t="shared" si="77"/>
        <v>53.148926638379379</v>
      </c>
      <c r="P462" s="18">
        <f t="shared" si="78"/>
        <v>419.08602851360519</v>
      </c>
      <c r="Q462" s="18">
        <f t="shared" si="79"/>
        <v>417.84952782596184</v>
      </c>
    </row>
    <row r="463" spans="1:17" ht="21" customHeight="1">
      <c r="A463" s="1" t="s">
        <v>400</v>
      </c>
      <c r="B463" s="1" t="s">
        <v>319</v>
      </c>
      <c r="C463" s="18">
        <v>53.077872765916737</v>
      </c>
      <c r="D463" s="18">
        <v>6.0609978180554211</v>
      </c>
      <c r="E463" s="18">
        <v>2204.9999999994343</v>
      </c>
      <c r="F463" s="18">
        <v>1.32389775</v>
      </c>
      <c r="G463" s="18">
        <v>0</v>
      </c>
      <c r="H463" s="18">
        <f t="shared" si="70"/>
        <v>1.32389775</v>
      </c>
      <c r="I463" s="18">
        <f t="shared" si="71"/>
        <v>6.060997818055422</v>
      </c>
      <c r="J463" s="18">
        <f t="shared" si="72"/>
        <v>53.077872765916737</v>
      </c>
      <c r="K463" s="18">
        <f t="shared" si="73"/>
        <v>1665.5364811968554</v>
      </c>
      <c r="L463" s="18">
        <f t="shared" si="74"/>
        <v>-163.23087205326402</v>
      </c>
      <c r="M463" s="18">
        <f t="shared" si="75"/>
        <v>9.8004981515605244E-2</v>
      </c>
      <c r="N463" s="18">
        <f t="shared" si="76"/>
        <v>0.12987331545193245</v>
      </c>
      <c r="O463" s="18">
        <f t="shared" si="77"/>
        <v>53.425038249393097</v>
      </c>
      <c r="P463" s="18">
        <f t="shared" si="78"/>
        <v>2215.5979651773314</v>
      </c>
      <c r="Q463" s="18">
        <f t="shared" si="79"/>
        <v>2223.6221065514096</v>
      </c>
    </row>
    <row r="464" spans="1:17" ht="21" customHeight="1">
      <c r="A464" s="1" t="s">
        <v>400</v>
      </c>
      <c r="B464" s="1" t="s">
        <v>320</v>
      </c>
      <c r="C464" s="18">
        <v>53.077872765916737</v>
      </c>
      <c r="D464" s="18">
        <v>6.0609978180554211</v>
      </c>
      <c r="E464" s="18">
        <v>3259.193096526009</v>
      </c>
      <c r="F464" s="18">
        <v>1.32389775</v>
      </c>
      <c r="G464" s="18">
        <v>3.4438949999999999</v>
      </c>
      <c r="H464" s="18">
        <f t="shared" si="70"/>
        <v>3.6895959160157443</v>
      </c>
      <c r="I464" s="18">
        <f t="shared" si="71"/>
        <v>2.1748022159411566</v>
      </c>
      <c r="J464" s="18">
        <f t="shared" si="72"/>
        <v>53.378521028845071</v>
      </c>
      <c r="K464" s="18">
        <f t="shared" si="73"/>
        <v>883.34689508370036</v>
      </c>
      <c r="L464" s="18">
        <f t="shared" si="74"/>
        <v>-9.2855403352112234</v>
      </c>
      <c r="M464" s="18">
        <f t="shared" si="75"/>
        <v>1.051177106852386E-2</v>
      </c>
      <c r="N464" s="18">
        <f t="shared" si="76"/>
        <v>7.0939357700599198E-2</v>
      </c>
      <c r="O464" s="18">
        <f t="shared" si="77"/>
        <v>53.430921608063535</v>
      </c>
      <c r="P464" s="18">
        <f t="shared" si="78"/>
        <v>3259.373164253268</v>
      </c>
      <c r="Q464" s="18">
        <f t="shared" si="79"/>
        <v>3267.3973056273467</v>
      </c>
    </row>
    <row r="465" spans="1:17" ht="21" customHeight="1">
      <c r="A465" s="1" t="s">
        <v>400</v>
      </c>
      <c r="B465" s="1" t="s">
        <v>321</v>
      </c>
      <c r="C465" s="18">
        <v>53.077872765916737</v>
      </c>
      <c r="D465" s="18">
        <v>6.0609978180554211</v>
      </c>
      <c r="E465" s="18">
        <v>3545.82116222078</v>
      </c>
      <c r="F465" s="18">
        <v>3.8554321618301355</v>
      </c>
      <c r="G465" s="18">
        <v>0</v>
      </c>
      <c r="H465" s="18">
        <f t="shared" si="70"/>
        <v>3.8554321618301355</v>
      </c>
      <c r="I465" s="18">
        <f t="shared" si="71"/>
        <v>6.0609978180554211</v>
      </c>
      <c r="J465" s="18">
        <f t="shared" si="72"/>
        <v>53.077872765916737</v>
      </c>
      <c r="K465" s="18">
        <f t="shared" si="73"/>
        <v>919.69486516334234</v>
      </c>
      <c r="L465" s="18">
        <f t="shared" si="74"/>
        <v>-78.240249372470061</v>
      </c>
      <c r="M465" s="18">
        <f t="shared" si="75"/>
        <v>8.5071964991969604E-2</v>
      </c>
      <c r="N465" s="18">
        <f t="shared" si="76"/>
        <v>0.14278444635554646</v>
      </c>
      <c r="O465" s="18">
        <f t="shared" si="77"/>
        <v>53.430125585098402</v>
      </c>
      <c r="P465" s="18">
        <f t="shared" si="78"/>
        <v>3558.6598804972532</v>
      </c>
      <c r="Q465" s="18">
        <f t="shared" si="79"/>
        <v>3582.0276464177664</v>
      </c>
    </row>
    <row r="466" spans="1:17" ht="21" customHeight="1">
      <c r="A466" s="1" t="s">
        <v>400</v>
      </c>
      <c r="B466" s="1" t="s">
        <v>322</v>
      </c>
      <c r="C466" s="18">
        <v>53.077872765916737</v>
      </c>
      <c r="D466" s="18">
        <v>6.0609978180554211</v>
      </c>
      <c r="E466" s="18">
        <v>3370.1119997130545</v>
      </c>
      <c r="F466" s="18">
        <v>2.3365115147320541</v>
      </c>
      <c r="G466" s="18">
        <v>1.4349562500000002</v>
      </c>
      <c r="H466" s="18">
        <f t="shared" si="70"/>
        <v>2.7419674501878282</v>
      </c>
      <c r="I466" s="18">
        <f t="shared" si="71"/>
        <v>5.1647553991504385</v>
      </c>
      <c r="J466" s="18">
        <f t="shared" si="72"/>
        <v>53.172564105676386</v>
      </c>
      <c r="K466" s="18">
        <f t="shared" si="73"/>
        <v>1229.0853414332828</v>
      </c>
      <c r="L466" s="18">
        <f t="shared" si="74"/>
        <v>-92.6009907234004</v>
      </c>
      <c r="M466" s="18">
        <f t="shared" si="75"/>
        <v>7.5341384037185641E-2</v>
      </c>
      <c r="N466" s="18">
        <f t="shared" si="76"/>
        <v>0.11860328157447939</v>
      </c>
      <c r="O466" s="18">
        <f t="shared" si="77"/>
        <v>53.426933894814503</v>
      </c>
      <c r="P466" s="18">
        <f t="shared" si="78"/>
        <v>3379.681449100467</v>
      </c>
      <c r="Q466" s="18">
        <f t="shared" si="79"/>
        <v>3393.8430402931194</v>
      </c>
    </row>
    <row r="467" spans="1:17" ht="21" customHeight="1">
      <c r="A467" s="1" t="s">
        <v>400</v>
      </c>
      <c r="B467" s="1" t="s">
        <v>323</v>
      </c>
      <c r="C467" s="18">
        <v>53.077872765916737</v>
      </c>
      <c r="D467" s="18">
        <v>6.0609978180554211</v>
      </c>
      <c r="E467" s="18">
        <v>3529.0912404887595</v>
      </c>
      <c r="F467" s="18">
        <v>1.32389775</v>
      </c>
      <c r="G467" s="18">
        <v>0</v>
      </c>
      <c r="H467" s="18">
        <f t="shared" si="70"/>
        <v>1.32389775</v>
      </c>
      <c r="I467" s="18">
        <f t="shared" si="71"/>
        <v>6.060997818055422</v>
      </c>
      <c r="J467" s="18">
        <f t="shared" si="72"/>
        <v>53.077872765916737</v>
      </c>
      <c r="K467" s="18">
        <f t="shared" si="73"/>
        <v>2665.6826333368717</v>
      </c>
      <c r="L467" s="18">
        <f t="shared" si="74"/>
        <v>-277.19447438412641</v>
      </c>
      <c r="M467" s="18">
        <f t="shared" si="75"/>
        <v>0.10398630013848928</v>
      </c>
      <c r="N467" s="18">
        <f t="shared" si="76"/>
        <v>0.12389785003648839</v>
      </c>
      <c r="O467" s="18">
        <f t="shared" si="77"/>
        <v>53.423677831414665</v>
      </c>
      <c r="P467" s="18">
        <f t="shared" si="78"/>
        <v>3548.1887374260223</v>
      </c>
      <c r="Q467" s="18">
        <f t="shared" si="79"/>
        <v>3556.2128788001005</v>
      </c>
    </row>
    <row r="468" spans="1:17" ht="21" customHeight="1">
      <c r="A468" s="1" t="s">
        <v>400</v>
      </c>
      <c r="B468" s="1" t="s">
        <v>324</v>
      </c>
      <c r="C468" s="18">
        <v>53.077872765916737</v>
      </c>
      <c r="D468" s="18">
        <v>6.0609978180554211</v>
      </c>
      <c r="E468" s="18">
        <v>415.14182175314068</v>
      </c>
      <c r="F468" s="18">
        <v>1.32389775</v>
      </c>
      <c r="G468" s="18">
        <v>0</v>
      </c>
      <c r="H468" s="18">
        <f t="shared" si="70"/>
        <v>1.32389775</v>
      </c>
      <c r="I468" s="18">
        <f t="shared" si="71"/>
        <v>6.060997818055422</v>
      </c>
      <c r="J468" s="18">
        <f t="shared" si="72"/>
        <v>53.077872765916737</v>
      </c>
      <c r="K468" s="18">
        <f t="shared" si="73"/>
        <v>313.57544172360792</v>
      </c>
      <c r="L468" s="18">
        <f t="shared" si="74"/>
        <v>-9.1486521088680064</v>
      </c>
      <c r="M468" s="18">
        <f t="shared" si="75"/>
        <v>2.9175282536735844E-2</v>
      </c>
      <c r="N468" s="18">
        <f t="shared" si="76"/>
        <v>0.1984419587603819</v>
      </c>
      <c r="O468" s="18">
        <f t="shared" si="77"/>
        <v>53.4857849565877</v>
      </c>
      <c r="P468" s="18">
        <f t="shared" si="78"/>
        <v>415.31851804590798</v>
      </c>
      <c r="Q468" s="18">
        <f t="shared" si="79"/>
        <v>423.34265941998643</v>
      </c>
    </row>
    <row r="469" spans="1:17" ht="21" customHeight="1">
      <c r="A469" s="1" t="s">
        <v>401</v>
      </c>
      <c r="B469" s="1" t="s">
        <v>319</v>
      </c>
      <c r="C469" s="18">
        <v>71.769589566125873</v>
      </c>
      <c r="D469" s="18">
        <v>-0.86776176077191813</v>
      </c>
      <c r="E469" s="18">
        <v>2204.9999999996753</v>
      </c>
      <c r="F469" s="18">
        <v>1.32389775</v>
      </c>
      <c r="G469" s="18">
        <v>0</v>
      </c>
      <c r="H469" s="18">
        <f t="shared" si="70"/>
        <v>1.32389775</v>
      </c>
      <c r="I469" s="18">
        <f t="shared" si="71"/>
        <v>-0.86776176077191813</v>
      </c>
      <c r="J469" s="18">
        <f t="shared" si="72"/>
        <v>71.769589566125873</v>
      </c>
      <c r="K469" s="18">
        <f t="shared" si="73"/>
        <v>1665.5364811970376</v>
      </c>
      <c r="L469" s="18">
        <f t="shared" si="74"/>
        <v>56.020647043895522</v>
      </c>
      <c r="M469" s="18">
        <f t="shared" si="75"/>
        <v>-3.3635196632638711E-2</v>
      </c>
      <c r="N469" s="18">
        <f t="shared" si="76"/>
        <v>9.4557775827950816E-3</v>
      </c>
      <c r="O469" s="18">
        <f t="shared" si="77"/>
        <v>71.780387794711132</v>
      </c>
      <c r="P469" s="18">
        <f t="shared" si="78"/>
        <v>2206.2474050087794</v>
      </c>
      <c r="Q469" s="18">
        <f t="shared" si="79"/>
        <v>2205.0985771661576</v>
      </c>
    </row>
    <row r="470" spans="1:17" ht="21" customHeight="1">
      <c r="A470" s="1" t="s">
        <v>401</v>
      </c>
      <c r="B470" s="1" t="s">
        <v>320</v>
      </c>
      <c r="C470" s="18">
        <v>71.769589566125873</v>
      </c>
      <c r="D470" s="18">
        <v>-0.86776176077191813</v>
      </c>
      <c r="E470" s="18">
        <v>3432.8068016954549</v>
      </c>
      <c r="F470" s="18">
        <v>1.32389775</v>
      </c>
      <c r="G470" s="18">
        <v>3.4438949999999999</v>
      </c>
      <c r="H470" s="18">
        <f t="shared" si="70"/>
        <v>3.6895959160157443</v>
      </c>
      <c r="I470" s="18">
        <f t="shared" si="71"/>
        <v>-0.31136955611728795</v>
      </c>
      <c r="J470" s="18">
        <f t="shared" si="72"/>
        <v>71.774160015726721</v>
      </c>
      <c r="K470" s="18">
        <f t="shared" si="73"/>
        <v>930.40183256772832</v>
      </c>
      <c r="L470" s="18">
        <f t="shared" si="74"/>
        <v>39.922321603641059</v>
      </c>
      <c r="M470" s="18">
        <f t="shared" si="75"/>
        <v>-4.2908687629583886E-2</v>
      </c>
      <c r="N470" s="18">
        <f t="shared" si="76"/>
        <v>3.4234496641285382E-2</v>
      </c>
      <c r="O470" s="18">
        <f t="shared" si="77"/>
        <v>71.792633771435845</v>
      </c>
      <c r="P470" s="18">
        <f t="shared" si="78"/>
        <v>3435.9674521054394</v>
      </c>
      <c r="Q470" s="18">
        <f t="shared" si="79"/>
        <v>3434.8186242628171</v>
      </c>
    </row>
    <row r="471" spans="1:17" ht="21" customHeight="1">
      <c r="A471" s="1" t="s">
        <v>401</v>
      </c>
      <c r="B471" s="1" t="s">
        <v>321</v>
      </c>
      <c r="C471" s="18">
        <v>71.769589566125873</v>
      </c>
      <c r="D471" s="18">
        <v>-0.86776176077191813</v>
      </c>
      <c r="E471" s="18">
        <v>3728.467236069454</v>
      </c>
      <c r="F471" s="18">
        <v>3.8554321618301355</v>
      </c>
      <c r="G471" s="18">
        <v>0</v>
      </c>
      <c r="H471" s="18">
        <f t="shared" si="70"/>
        <v>3.8554321618301355</v>
      </c>
      <c r="I471" s="18">
        <f t="shared" si="71"/>
        <v>-0.86776176077191813</v>
      </c>
      <c r="J471" s="18">
        <f t="shared" si="72"/>
        <v>71.769589566125873</v>
      </c>
      <c r="K471" s="18">
        <f t="shared" si="73"/>
        <v>967.06856185470724</v>
      </c>
      <c r="L471" s="18">
        <f t="shared" si="74"/>
        <v>47.574594624575347</v>
      </c>
      <c r="M471" s="18">
        <f t="shared" si="75"/>
        <v>-4.9194645034612315E-2</v>
      </c>
      <c r="N471" s="18">
        <f t="shared" si="76"/>
        <v>2.5018903411716524E-2</v>
      </c>
      <c r="O471" s="18">
        <f t="shared" si="77"/>
        <v>71.791305408702215</v>
      </c>
      <c r="P471" s="18">
        <f t="shared" si="78"/>
        <v>3732.9798022366663</v>
      </c>
      <c r="Q471" s="18">
        <f t="shared" si="79"/>
        <v>3729.6342056353801</v>
      </c>
    </row>
    <row r="472" spans="1:17" ht="21" customHeight="1">
      <c r="A472" s="1" t="s">
        <v>401</v>
      </c>
      <c r="B472" s="1" t="s">
        <v>322</v>
      </c>
      <c r="C472" s="18">
        <v>71.769589566125873</v>
      </c>
      <c r="D472" s="18">
        <v>-0.86776176077191813</v>
      </c>
      <c r="E472" s="18">
        <v>3442.867211675718</v>
      </c>
      <c r="F472" s="18">
        <v>2.3365115147320541</v>
      </c>
      <c r="G472" s="18">
        <v>1.4349562500000002</v>
      </c>
      <c r="H472" s="18">
        <f t="shared" si="70"/>
        <v>2.7419674501878282</v>
      </c>
      <c r="I472" s="18">
        <f t="shared" si="71"/>
        <v>-0.73944544671704993</v>
      </c>
      <c r="J472" s="18">
        <f t="shared" si="72"/>
        <v>71.771026308636209</v>
      </c>
      <c r="K472" s="18">
        <f t="shared" si="73"/>
        <v>1255.6192858671161</v>
      </c>
      <c r="L472" s="18">
        <f t="shared" si="74"/>
        <v>48.819968862422407</v>
      </c>
      <c r="M472" s="18">
        <f t="shared" si="75"/>
        <v>-3.8881187484077151E-2</v>
      </c>
      <c r="N472" s="18">
        <f t="shared" si="76"/>
        <v>1.8278675474759108E-2</v>
      </c>
      <c r="O472" s="18">
        <f t="shared" si="77"/>
        <v>71.784605860797583</v>
      </c>
      <c r="P472" s="18">
        <f t="shared" si="78"/>
        <v>3445.4699111781902</v>
      </c>
      <c r="Q472" s="18">
        <f t="shared" si="79"/>
        <v>3443.4423758321027</v>
      </c>
    </row>
    <row r="473" spans="1:17" ht="21" customHeight="1">
      <c r="A473" s="1" t="s">
        <v>401</v>
      </c>
      <c r="B473" s="1" t="s">
        <v>323</v>
      </c>
      <c r="C473" s="18">
        <v>71.769589566125873</v>
      </c>
      <c r="D473" s="18">
        <v>-0.86776176077191813</v>
      </c>
      <c r="E473" s="18">
        <v>3474.0920259535005</v>
      </c>
      <c r="F473" s="18">
        <v>1.32389775</v>
      </c>
      <c r="G473" s="18">
        <v>0</v>
      </c>
      <c r="H473" s="18">
        <f t="shared" si="70"/>
        <v>1.32389775</v>
      </c>
      <c r="I473" s="18">
        <f t="shared" si="71"/>
        <v>-0.86776176077191813</v>
      </c>
      <c r="J473" s="18">
        <f t="shared" si="72"/>
        <v>71.769589566125873</v>
      </c>
      <c r="K473" s="18">
        <f t="shared" si="73"/>
        <v>2624.1392327719423</v>
      </c>
      <c r="L473" s="18">
        <f t="shared" si="74"/>
        <v>67.611341519280117</v>
      </c>
      <c r="M473" s="18">
        <f t="shared" si="75"/>
        <v>-2.5765150215699723E-2</v>
      </c>
      <c r="N473" s="18">
        <f t="shared" si="76"/>
        <v>1.584614106947861E-3</v>
      </c>
      <c r="O473" s="18">
        <f t="shared" si="77"/>
        <v>71.777072106897876</v>
      </c>
      <c r="P473" s="18">
        <f t="shared" si="78"/>
        <v>3475.2452155228184</v>
      </c>
      <c r="Q473" s="18">
        <f t="shared" si="79"/>
        <v>3474.096387680197</v>
      </c>
    </row>
    <row r="474" spans="1:17" ht="21" customHeight="1">
      <c r="A474" s="1" t="s">
        <v>401</v>
      </c>
      <c r="B474" s="1" t="s">
        <v>324</v>
      </c>
      <c r="C474" s="18">
        <v>71.769589566125873</v>
      </c>
      <c r="D474" s="18">
        <v>-0.86776176077191813</v>
      </c>
      <c r="E474" s="18">
        <v>546.22580728360163</v>
      </c>
      <c r="F474" s="18">
        <v>1.32389775</v>
      </c>
      <c r="G474" s="18">
        <v>0</v>
      </c>
      <c r="H474" s="18">
        <f t="shared" si="70"/>
        <v>1.32389775</v>
      </c>
      <c r="I474" s="18">
        <f t="shared" si="71"/>
        <v>-0.86776176077191813</v>
      </c>
      <c r="J474" s="18">
        <f t="shared" si="72"/>
        <v>71.769589566125873</v>
      </c>
      <c r="K474" s="18">
        <f t="shared" si="73"/>
        <v>412.58911972892292</v>
      </c>
      <c r="L474" s="18">
        <f t="shared" si="74"/>
        <v>40.866979867088673</v>
      </c>
      <c r="M474" s="18">
        <f t="shared" si="75"/>
        <v>-9.9050066792694083E-2</v>
      </c>
      <c r="N474" s="18">
        <f t="shared" si="76"/>
        <v>7.4899235635056655E-2</v>
      </c>
      <c r="O474" s="18">
        <f t="shared" si="77"/>
        <v>71.86534761054557</v>
      </c>
      <c r="P474" s="18">
        <f t="shared" si="78"/>
        <v>548.90748636865578</v>
      </c>
      <c r="Q474" s="18">
        <f t="shared" si="79"/>
        <v>547.75865852603374</v>
      </c>
    </row>
    <row r="475" spans="1:17" ht="21" customHeight="1">
      <c r="A475" s="1" t="s">
        <v>402</v>
      </c>
      <c r="B475" s="1" t="s">
        <v>319</v>
      </c>
      <c r="C475" s="18">
        <v>67.989603143173724</v>
      </c>
      <c r="D475" s="18">
        <v>3.5628549348747587</v>
      </c>
      <c r="E475" s="18">
        <v>2205.0000000002401</v>
      </c>
      <c r="F475" s="18">
        <v>1.32389775</v>
      </c>
      <c r="G475" s="18">
        <v>0</v>
      </c>
      <c r="H475" s="18">
        <f t="shared" si="70"/>
        <v>1.32389775</v>
      </c>
      <c r="I475" s="18">
        <f t="shared" si="71"/>
        <v>3.5628549348747582</v>
      </c>
      <c r="J475" s="18">
        <f t="shared" si="72"/>
        <v>67.989603143173724</v>
      </c>
      <c r="K475" s="18">
        <f t="shared" si="73"/>
        <v>1665.5364811974641</v>
      </c>
      <c r="L475" s="18">
        <f t="shared" si="74"/>
        <v>-53.238254982596146</v>
      </c>
      <c r="M475" s="18">
        <f t="shared" si="75"/>
        <v>3.1964628564797121E-2</v>
      </c>
      <c r="N475" s="18">
        <f t="shared" si="76"/>
        <v>7.2786071931976629E-2</v>
      </c>
      <c r="O475" s="18">
        <f t="shared" si="77"/>
        <v>68.087605523166445</v>
      </c>
      <c r="P475" s="18">
        <f t="shared" si="78"/>
        <v>2206.1265614870936</v>
      </c>
      <c r="Q475" s="18">
        <f t="shared" si="79"/>
        <v>2210.8434171189506</v>
      </c>
    </row>
    <row r="476" spans="1:17" ht="21" customHeight="1">
      <c r="A476" s="1" t="s">
        <v>402</v>
      </c>
      <c r="B476" s="1" t="s">
        <v>320</v>
      </c>
      <c r="C476" s="18">
        <v>67.989603143173724</v>
      </c>
      <c r="D476" s="18">
        <v>3.5628549348747587</v>
      </c>
      <c r="E476" s="18">
        <v>3397.6259039189745</v>
      </c>
      <c r="F476" s="18">
        <v>1.32389775</v>
      </c>
      <c r="G476" s="18">
        <v>3.4438949999999999</v>
      </c>
      <c r="H476" s="18">
        <f t="shared" si="70"/>
        <v>3.6895959160157443</v>
      </c>
      <c r="I476" s="18">
        <f t="shared" si="71"/>
        <v>1.278420656143463</v>
      </c>
      <c r="J476" s="18">
        <f t="shared" si="72"/>
        <v>68.070887400409035</v>
      </c>
      <c r="K476" s="18">
        <f t="shared" si="73"/>
        <v>920.86666975389073</v>
      </c>
      <c r="L476" s="18">
        <f t="shared" si="74"/>
        <v>16.745852234707417</v>
      </c>
      <c r="M476" s="18">
        <f t="shared" si="75"/>
        <v>-1.8184882551111212E-2</v>
      </c>
      <c r="N476" s="18">
        <f t="shared" si="76"/>
        <v>5.5735576985774353E-2</v>
      </c>
      <c r="O476" s="18">
        <f t="shared" si="77"/>
        <v>68.098387639005537</v>
      </c>
      <c r="P476" s="18">
        <f t="shared" si="78"/>
        <v>3398.1876997763211</v>
      </c>
      <c r="Q476" s="18">
        <f t="shared" si="79"/>
        <v>3402.9045554081777</v>
      </c>
    </row>
    <row r="477" spans="1:17" ht="21" customHeight="1">
      <c r="A477" s="1" t="s">
        <v>402</v>
      </c>
      <c r="B477" s="1" t="s">
        <v>321</v>
      </c>
      <c r="C477" s="18">
        <v>67.989603143173724</v>
      </c>
      <c r="D477" s="18">
        <v>3.5628549348747587</v>
      </c>
      <c r="E477" s="18">
        <v>3690.665223451354</v>
      </c>
      <c r="F477" s="18">
        <v>3.8554321618301355</v>
      </c>
      <c r="G477" s="18">
        <v>0</v>
      </c>
      <c r="H477" s="18">
        <f t="shared" si="70"/>
        <v>3.8554321618301355</v>
      </c>
      <c r="I477" s="18">
        <f t="shared" si="71"/>
        <v>3.5628549348747587</v>
      </c>
      <c r="J477" s="18">
        <f t="shared" si="72"/>
        <v>67.989603143173724</v>
      </c>
      <c r="K477" s="18">
        <f t="shared" si="73"/>
        <v>957.26369147147227</v>
      </c>
      <c r="L477" s="18">
        <f t="shared" si="74"/>
        <v>-16.135169779123061</v>
      </c>
      <c r="M477" s="18">
        <f t="shared" si="75"/>
        <v>1.6855512146627689E-2</v>
      </c>
      <c r="N477" s="18">
        <f t="shared" si="76"/>
        <v>8.7880459346560122E-2</v>
      </c>
      <c r="O477" s="18">
        <f t="shared" si="77"/>
        <v>68.09716318540508</v>
      </c>
      <c r="P477" s="18">
        <f t="shared" si="78"/>
        <v>3691.1895101563186</v>
      </c>
      <c r="Q477" s="18">
        <f t="shared" si="79"/>
        <v>3704.9258556601703</v>
      </c>
    </row>
    <row r="478" spans="1:17" ht="21" customHeight="1">
      <c r="A478" s="1" t="s">
        <v>402</v>
      </c>
      <c r="B478" s="1" t="s">
        <v>322</v>
      </c>
      <c r="C478" s="18">
        <v>67.989603143173724</v>
      </c>
      <c r="D478" s="18">
        <v>3.5628549348747587</v>
      </c>
      <c r="E478" s="18">
        <v>3427.522654432094</v>
      </c>
      <c r="F478" s="18">
        <v>2.3365115147320541</v>
      </c>
      <c r="G478" s="18">
        <v>1.4349562500000002</v>
      </c>
      <c r="H478" s="18">
        <f t="shared" si="70"/>
        <v>2.7419674501878282</v>
      </c>
      <c r="I478" s="18">
        <f t="shared" si="71"/>
        <v>3.0360140052299118</v>
      </c>
      <c r="J478" s="18">
        <f t="shared" si="72"/>
        <v>68.015165145820731</v>
      </c>
      <c r="K478" s="18">
        <f t="shared" si="73"/>
        <v>1250.0231008202904</v>
      </c>
      <c r="L478" s="18">
        <f t="shared" si="74"/>
        <v>-21.76469759091129</v>
      </c>
      <c r="M478" s="18">
        <f t="shared" si="75"/>
        <v>1.7411436297960298E-2</v>
      </c>
      <c r="N478" s="18">
        <f t="shared" si="76"/>
        <v>7.1822562861291642E-2</v>
      </c>
      <c r="O478" s="18">
        <f t="shared" si="77"/>
        <v>68.091273295185474</v>
      </c>
      <c r="P478" s="18">
        <f t="shared" si="78"/>
        <v>3428.0422082092064</v>
      </c>
      <c r="Q478" s="18">
        <f t="shared" si="79"/>
        <v>3436.3668597898609</v>
      </c>
    </row>
    <row r="479" spans="1:17" ht="21" customHeight="1">
      <c r="A479" s="1" t="s">
        <v>402</v>
      </c>
      <c r="B479" s="1" t="s">
        <v>323</v>
      </c>
      <c r="C479" s="18">
        <v>67.989603143173724</v>
      </c>
      <c r="D479" s="18">
        <v>3.5628549348747587</v>
      </c>
      <c r="E479" s="18">
        <v>3486.6567312033467</v>
      </c>
      <c r="F479" s="18">
        <v>1.32389775</v>
      </c>
      <c r="G479" s="18">
        <v>0</v>
      </c>
      <c r="H479" s="18">
        <f t="shared" si="70"/>
        <v>1.32389775</v>
      </c>
      <c r="I479" s="18">
        <f t="shared" si="71"/>
        <v>3.5628549348747582</v>
      </c>
      <c r="J479" s="18">
        <f t="shared" si="72"/>
        <v>67.989603143173724</v>
      </c>
      <c r="K479" s="18">
        <f t="shared" si="73"/>
        <v>2633.6299243679105</v>
      </c>
      <c r="L479" s="18">
        <f t="shared" si="74"/>
        <v>-103.94822987378473</v>
      </c>
      <c r="M479" s="18">
        <f t="shared" si="75"/>
        <v>3.9469565906733471E-2</v>
      </c>
      <c r="N479" s="18">
        <f t="shared" si="76"/>
        <v>6.5285494908030678E-2</v>
      </c>
      <c r="O479" s="18">
        <f t="shared" si="77"/>
        <v>68.084776625395804</v>
      </c>
      <c r="P479" s="18">
        <f t="shared" si="78"/>
        <v>3489.3729220176074</v>
      </c>
      <c r="Q479" s="18">
        <f t="shared" si="79"/>
        <v>3494.0897776494644</v>
      </c>
    </row>
    <row r="480" spans="1:17" ht="21" customHeight="1">
      <c r="A480" s="1" t="s">
        <v>402</v>
      </c>
      <c r="B480" s="1" t="s">
        <v>324</v>
      </c>
      <c r="C480" s="18">
        <v>67.989603143173724</v>
      </c>
      <c r="D480" s="18">
        <v>3.5628549348747587</v>
      </c>
      <c r="E480" s="18">
        <v>520.36354819686221</v>
      </c>
      <c r="F480" s="18">
        <v>1.32389775</v>
      </c>
      <c r="G480" s="18">
        <v>0</v>
      </c>
      <c r="H480" s="18">
        <f t="shared" si="70"/>
        <v>1.32389775</v>
      </c>
      <c r="I480" s="18">
        <f t="shared" si="71"/>
        <v>3.5628549348747582</v>
      </c>
      <c r="J480" s="18">
        <f t="shared" si="72"/>
        <v>67.989603143173724</v>
      </c>
      <c r="K480" s="18">
        <f t="shared" si="73"/>
        <v>393.05418276967555</v>
      </c>
      <c r="L480" s="18">
        <f t="shared" si="74"/>
        <v>13.432644417628381</v>
      </c>
      <c r="M480" s="18">
        <f t="shared" si="75"/>
        <v>-3.417504508659492E-2</v>
      </c>
      <c r="N480" s="18">
        <f t="shared" si="76"/>
        <v>0.138802641257007</v>
      </c>
      <c r="O480" s="18">
        <f t="shared" si="77"/>
        <v>68.167570838761435</v>
      </c>
      <c r="P480" s="18">
        <f t="shared" si="78"/>
        <v>520.66745283733871</v>
      </c>
      <c r="Q480" s="18">
        <f t="shared" si="79"/>
        <v>525.38430846919584</v>
      </c>
    </row>
    <row r="481" spans="1:17" ht="21" customHeight="1">
      <c r="A481" s="1" t="s">
        <v>403</v>
      </c>
      <c r="B481" s="1" t="s">
        <v>319</v>
      </c>
      <c r="C481" s="18">
        <v>80.009261635417346</v>
      </c>
      <c r="D481" s="18">
        <v>10.21281888419062</v>
      </c>
      <c r="E481" s="18">
        <v>2204.99999999799</v>
      </c>
      <c r="F481" s="18">
        <v>1.32389775</v>
      </c>
      <c r="G481" s="18">
        <v>0</v>
      </c>
      <c r="H481" s="18">
        <f t="shared" si="70"/>
        <v>1.32389775</v>
      </c>
      <c r="I481" s="18">
        <f t="shared" si="71"/>
        <v>10.21281888419062</v>
      </c>
      <c r="J481" s="18">
        <f t="shared" si="72"/>
        <v>80.009261635417346</v>
      </c>
      <c r="K481" s="18">
        <f t="shared" si="73"/>
        <v>1665.5364811957645</v>
      </c>
      <c r="L481" s="18">
        <f t="shared" si="74"/>
        <v>-172.00013010097155</v>
      </c>
      <c r="M481" s="18">
        <f t="shared" si="75"/>
        <v>0.10327010668507532</v>
      </c>
      <c r="N481" s="18">
        <f t="shared" si="76"/>
        <v>0.15130823886574965</v>
      </c>
      <c r="O481" s="18">
        <f t="shared" si="77"/>
        <v>80.666069383807084</v>
      </c>
      <c r="P481" s="18">
        <f t="shared" si="78"/>
        <v>2216.7683014372346</v>
      </c>
      <c r="Q481" s="18">
        <f t="shared" si="79"/>
        <v>2230.289029379172</v>
      </c>
    </row>
    <row r="482" spans="1:17" ht="21" customHeight="1">
      <c r="A482" s="1" t="s">
        <v>403</v>
      </c>
      <c r="B482" s="1" t="s">
        <v>320</v>
      </c>
      <c r="C482" s="18">
        <v>80.009261635417346</v>
      </c>
      <c r="D482" s="18">
        <v>10.21281888419062</v>
      </c>
      <c r="E482" s="18">
        <v>3535.1716351298037</v>
      </c>
      <c r="F482" s="18">
        <v>1.32389775</v>
      </c>
      <c r="G482" s="18">
        <v>3.4438949999999999</v>
      </c>
      <c r="H482" s="18">
        <f t="shared" si="70"/>
        <v>3.6895959160157443</v>
      </c>
      <c r="I482" s="18">
        <f t="shared" si="71"/>
        <v>3.664555211384231</v>
      </c>
      <c r="J482" s="18">
        <f t="shared" si="72"/>
        <v>80.575149097650836</v>
      </c>
      <c r="K482" s="18">
        <f t="shared" si="73"/>
        <v>958.14601804614483</v>
      </c>
      <c r="L482" s="18">
        <f t="shared" si="74"/>
        <v>-3.2610427812775526</v>
      </c>
      <c r="M482" s="18">
        <f t="shared" si="75"/>
        <v>3.4034924947321538E-3</v>
      </c>
      <c r="N482" s="18">
        <f t="shared" si="76"/>
        <v>8.7498346076611042E-2</v>
      </c>
      <c r="O482" s="18">
        <f t="shared" si="77"/>
        <v>80.682158188696604</v>
      </c>
      <c r="P482" s="18">
        <f t="shared" si="78"/>
        <v>3535.1921104415119</v>
      </c>
      <c r="Q482" s="18">
        <f t="shared" si="79"/>
        <v>3548.7128383834493</v>
      </c>
    </row>
    <row r="483" spans="1:17" ht="21" customHeight="1">
      <c r="A483" s="1" t="s">
        <v>403</v>
      </c>
      <c r="B483" s="1" t="s">
        <v>321</v>
      </c>
      <c r="C483" s="18">
        <v>80.009261635417346</v>
      </c>
      <c r="D483" s="18">
        <v>10.21281888419062</v>
      </c>
      <c r="E483" s="18">
        <v>3791.2534224514493</v>
      </c>
      <c r="F483" s="18">
        <v>3.8554321618301355</v>
      </c>
      <c r="G483" s="18">
        <v>0</v>
      </c>
      <c r="H483" s="18">
        <f t="shared" si="70"/>
        <v>3.8554321618301355</v>
      </c>
      <c r="I483" s="18">
        <f t="shared" si="71"/>
        <v>10.21281888419062</v>
      </c>
      <c r="J483" s="18">
        <f t="shared" si="72"/>
        <v>80.009261635417346</v>
      </c>
      <c r="K483" s="18">
        <f t="shared" si="73"/>
        <v>983.35368470127059</v>
      </c>
      <c r="L483" s="18">
        <f t="shared" si="74"/>
        <v>-85.143279652783733</v>
      </c>
      <c r="M483" s="18">
        <f t="shared" si="75"/>
        <v>8.6584594106289534E-2</v>
      </c>
      <c r="N483" s="18">
        <f t="shared" si="76"/>
        <v>0.16794826099459031</v>
      </c>
      <c r="O483" s="18">
        <f t="shared" si="77"/>
        <v>80.680331588875802</v>
      </c>
      <c r="P483" s="18">
        <f t="shared" si="78"/>
        <v>3805.4736116635968</v>
      </c>
      <c r="Q483" s="18">
        <f t="shared" si="79"/>
        <v>3844.8484420526506</v>
      </c>
    </row>
    <row r="484" spans="1:17" ht="21" customHeight="1">
      <c r="A484" s="1" t="s">
        <v>403</v>
      </c>
      <c r="B484" s="1" t="s">
        <v>322</v>
      </c>
      <c r="C484" s="18">
        <v>80.009261635417346</v>
      </c>
      <c r="D484" s="18">
        <v>10.21281888419062</v>
      </c>
      <c r="E484" s="18">
        <v>3475.3981145298685</v>
      </c>
      <c r="F484" s="18">
        <v>2.3365115147320541</v>
      </c>
      <c r="G484" s="18">
        <v>1.4349562500000002</v>
      </c>
      <c r="H484" s="18">
        <f t="shared" si="70"/>
        <v>2.7419674501878282</v>
      </c>
      <c r="I484" s="18">
        <f t="shared" si="71"/>
        <v>8.7026448542085166</v>
      </c>
      <c r="J484" s="18">
        <f t="shared" si="72"/>
        <v>80.187577526369168</v>
      </c>
      <c r="K484" s="18">
        <f t="shared" si="73"/>
        <v>1267.483359181306</v>
      </c>
      <c r="L484" s="18">
        <f t="shared" si="74"/>
        <v>-97.172975238177344</v>
      </c>
      <c r="M484" s="18">
        <f t="shared" si="75"/>
        <v>7.6666075758930197E-2</v>
      </c>
      <c r="N484" s="18">
        <f t="shared" si="76"/>
        <v>0.13993126732575598</v>
      </c>
      <c r="O484" s="18">
        <f t="shared" si="77"/>
        <v>80.671733485939185</v>
      </c>
      <c r="P484" s="18">
        <f t="shared" si="78"/>
        <v>3485.6167696889574</v>
      </c>
      <c r="Q484" s="18">
        <f t="shared" si="79"/>
        <v>3509.4791386097418</v>
      </c>
    </row>
    <row r="485" spans="1:17" ht="21" customHeight="1">
      <c r="A485" s="1" t="s">
        <v>403</v>
      </c>
      <c r="B485" s="1" t="s">
        <v>323</v>
      </c>
      <c r="C485" s="18">
        <v>80.009261635417346</v>
      </c>
      <c r="D485" s="18">
        <v>10.21281888419062</v>
      </c>
      <c r="E485" s="18">
        <v>3435.2809059802585</v>
      </c>
      <c r="F485" s="18">
        <v>1.32389775</v>
      </c>
      <c r="G485" s="18">
        <v>0</v>
      </c>
      <c r="H485" s="18">
        <f t="shared" si="70"/>
        <v>1.32389775</v>
      </c>
      <c r="I485" s="18">
        <f t="shared" si="71"/>
        <v>10.21281888419062</v>
      </c>
      <c r="J485" s="18">
        <f t="shared" si="72"/>
        <v>80.009261635417346</v>
      </c>
      <c r="K485" s="18">
        <f t="shared" si="73"/>
        <v>2594.8234340456115</v>
      </c>
      <c r="L485" s="18">
        <f t="shared" si="74"/>
        <v>-290.30687155244794</v>
      </c>
      <c r="M485" s="18">
        <f t="shared" si="75"/>
        <v>0.1118792391588001</v>
      </c>
      <c r="N485" s="18">
        <f t="shared" si="76"/>
        <v>0.14271342255087552</v>
      </c>
      <c r="O485" s="18">
        <f t="shared" si="77"/>
        <v>80.661582029412202</v>
      </c>
      <c r="P485" s="18">
        <f t="shared" si="78"/>
        <v>3456.8029851760552</v>
      </c>
      <c r="Q485" s="18">
        <f t="shared" si="79"/>
        <v>3470.3237131179917</v>
      </c>
    </row>
    <row r="486" spans="1:17" ht="21" customHeight="1">
      <c r="A486" s="1" t="s">
        <v>403</v>
      </c>
      <c r="B486" s="1" t="s">
        <v>324</v>
      </c>
      <c r="C486" s="18">
        <v>80.009261635417346</v>
      </c>
      <c r="D486" s="18">
        <v>10.21281888419062</v>
      </c>
      <c r="E486" s="18">
        <v>597.10191878950445</v>
      </c>
      <c r="F486" s="18">
        <v>1.32389775</v>
      </c>
      <c r="G486" s="18">
        <v>0</v>
      </c>
      <c r="H486" s="18">
        <f t="shared" si="70"/>
        <v>1.32389775</v>
      </c>
      <c r="I486" s="18">
        <f t="shared" si="71"/>
        <v>10.21281888419062</v>
      </c>
      <c r="J486" s="18">
        <f t="shared" si="72"/>
        <v>80.009261635417346</v>
      </c>
      <c r="K486" s="18">
        <f t="shared" si="73"/>
        <v>451.01815362213921</v>
      </c>
      <c r="L486" s="18">
        <f t="shared" si="74"/>
        <v>-17.33577447399972</v>
      </c>
      <c r="M486" s="18">
        <f t="shared" si="75"/>
        <v>3.8436977169933488E-2</v>
      </c>
      <c r="N486" s="18">
        <f t="shared" si="76"/>
        <v>0.21583396439286623</v>
      </c>
      <c r="O486" s="18">
        <f t="shared" si="77"/>
        <v>80.762546756910268</v>
      </c>
      <c r="P486" s="18">
        <f t="shared" si="78"/>
        <v>597.54305264630659</v>
      </c>
      <c r="Q486" s="18">
        <f t="shared" si="79"/>
        <v>611.06378058824419</v>
      </c>
    </row>
    <row r="487" spans="1:17" ht="21" customHeight="1">
      <c r="A487" s="1" t="s">
        <v>404</v>
      </c>
      <c r="B487" s="1" t="s">
        <v>319</v>
      </c>
      <c r="C487" s="18">
        <v>80.009261636514026</v>
      </c>
      <c r="D487" s="18">
        <v>4.2704102342599075</v>
      </c>
      <c r="E487" s="18">
        <v>2204.99999999996</v>
      </c>
      <c r="F487" s="18">
        <v>1.32389775</v>
      </c>
      <c r="G487" s="18">
        <v>0</v>
      </c>
      <c r="H487" s="18">
        <f t="shared" si="70"/>
        <v>1.32389775</v>
      </c>
      <c r="I487" s="18">
        <f t="shared" si="71"/>
        <v>4.2704102342599075</v>
      </c>
      <c r="J487" s="18">
        <f t="shared" si="72"/>
        <v>80.009261636514026</v>
      </c>
      <c r="K487" s="18">
        <f t="shared" si="73"/>
        <v>1665.5364811972527</v>
      </c>
      <c r="L487" s="18">
        <f t="shared" si="74"/>
        <v>-48.840939566397637</v>
      </c>
      <c r="M487" s="18">
        <f t="shared" si="75"/>
        <v>2.9324448979519718E-2</v>
      </c>
      <c r="N487" s="18">
        <f t="shared" si="76"/>
        <v>7.7362581160809574E-2</v>
      </c>
      <c r="O487" s="18">
        <f t="shared" si="77"/>
        <v>80.130827301459405</v>
      </c>
      <c r="P487" s="18">
        <f t="shared" si="78"/>
        <v>2205.948133387556</v>
      </c>
      <c r="Q487" s="18">
        <f t="shared" si="79"/>
        <v>2211.6017198882701</v>
      </c>
    </row>
    <row r="488" spans="1:17" ht="21" customHeight="1">
      <c r="A488" s="1" t="s">
        <v>404</v>
      </c>
      <c r="B488" s="1" t="s">
        <v>320</v>
      </c>
      <c r="C488" s="18">
        <v>80.009261636514026</v>
      </c>
      <c r="D488" s="18">
        <v>4.2704102342599075</v>
      </c>
      <c r="E488" s="18">
        <v>3518.921487145788</v>
      </c>
      <c r="F488" s="18">
        <v>1.32389775</v>
      </c>
      <c r="G488" s="18">
        <v>3.4438949999999999</v>
      </c>
      <c r="H488" s="18">
        <f t="shared" si="70"/>
        <v>3.6895959160157443</v>
      </c>
      <c r="I488" s="18">
        <f t="shared" si="71"/>
        <v>1.5323050625063459</v>
      </c>
      <c r="J488" s="18">
        <f t="shared" si="72"/>
        <v>80.108491387520488</v>
      </c>
      <c r="K488" s="18">
        <f t="shared" si="73"/>
        <v>953.7417015968889</v>
      </c>
      <c r="L488" s="18">
        <f t="shared" si="74"/>
        <v>21.817668255379072</v>
      </c>
      <c r="M488" s="18">
        <f t="shared" si="75"/>
        <v>-2.2875866934253638E-2</v>
      </c>
      <c r="N488" s="18">
        <f t="shared" si="76"/>
        <v>6.1118039647991375E-2</v>
      </c>
      <c r="O488" s="18">
        <f t="shared" si="77"/>
        <v>80.146691166315534</v>
      </c>
      <c r="P488" s="18">
        <f t="shared" si="78"/>
        <v>3519.842262409747</v>
      </c>
      <c r="Q488" s="18">
        <f t="shared" si="79"/>
        <v>3525.4958489104606</v>
      </c>
    </row>
    <row r="489" spans="1:17" ht="21" customHeight="1">
      <c r="A489" s="1" t="s">
        <v>404</v>
      </c>
      <c r="B489" s="1" t="s">
        <v>321</v>
      </c>
      <c r="C489" s="18">
        <v>80.009261636514026</v>
      </c>
      <c r="D489" s="18">
        <v>4.2704102342599075</v>
      </c>
      <c r="E489" s="18">
        <v>3803.6517249672534</v>
      </c>
      <c r="F489" s="18">
        <v>3.8554321618301355</v>
      </c>
      <c r="G489" s="18">
        <v>0</v>
      </c>
      <c r="H489" s="18">
        <f t="shared" si="70"/>
        <v>3.8554321618301355</v>
      </c>
      <c r="I489" s="18">
        <f t="shared" si="71"/>
        <v>4.2704102342599075</v>
      </c>
      <c r="J489" s="18">
        <f t="shared" si="72"/>
        <v>80.009261636514026</v>
      </c>
      <c r="K489" s="18">
        <f t="shared" si="73"/>
        <v>986.56948567905749</v>
      </c>
      <c r="L489" s="18">
        <f t="shared" si="74"/>
        <v>-12.613102105474482</v>
      </c>
      <c r="M489" s="18">
        <f t="shared" si="75"/>
        <v>1.2784808661290453E-2</v>
      </c>
      <c r="N489" s="18">
        <f t="shared" si="76"/>
        <v>9.3883264267226318E-2</v>
      </c>
      <c r="O489" s="18">
        <f t="shared" si="77"/>
        <v>80.145041296514734</v>
      </c>
      <c r="P489" s="18">
        <f t="shared" si="78"/>
        <v>3803.9625851728451</v>
      </c>
      <c r="Q489" s="18">
        <f t="shared" si="79"/>
        <v>3820.4268621342194</v>
      </c>
    </row>
    <row r="490" spans="1:17" ht="21" customHeight="1">
      <c r="A490" s="1" t="s">
        <v>404</v>
      </c>
      <c r="B490" s="1" t="s">
        <v>322</v>
      </c>
      <c r="C490" s="18">
        <v>80.009261636514026</v>
      </c>
      <c r="D490" s="18">
        <v>4.2704102342599075</v>
      </c>
      <c r="E490" s="18">
        <v>3476.3381957545462</v>
      </c>
      <c r="F490" s="18">
        <v>2.3365115147320541</v>
      </c>
      <c r="G490" s="18">
        <v>1.4349562500000002</v>
      </c>
      <c r="H490" s="18">
        <f t="shared" si="70"/>
        <v>2.7419674501878282</v>
      </c>
      <c r="I490" s="18">
        <f t="shared" si="71"/>
        <v>3.6389427906207956</v>
      </c>
      <c r="J490" s="18">
        <f t="shared" si="72"/>
        <v>80.040467555828386</v>
      </c>
      <c r="K490" s="18">
        <f t="shared" si="73"/>
        <v>1267.8262083367958</v>
      </c>
      <c r="L490" s="18">
        <f t="shared" si="74"/>
        <v>-17.590547831855595</v>
      </c>
      <c r="M490" s="18">
        <f t="shared" si="75"/>
        <v>1.3874573436158765E-2</v>
      </c>
      <c r="N490" s="18">
        <f t="shared" si="76"/>
        <v>7.700662342022549E-2</v>
      </c>
      <c r="O490" s="18">
        <f t="shared" si="77"/>
        <v>80.136424103122977</v>
      </c>
      <c r="P490" s="18">
        <f t="shared" si="78"/>
        <v>3476.6728052578819</v>
      </c>
      <c r="Q490" s="18">
        <f t="shared" si="79"/>
        <v>3486.6506679428594</v>
      </c>
    </row>
    <row r="491" spans="1:17" ht="21" customHeight="1">
      <c r="A491" s="1" t="s">
        <v>404</v>
      </c>
      <c r="B491" s="1" t="s">
        <v>323</v>
      </c>
      <c r="C491" s="18">
        <v>80.009261636514026</v>
      </c>
      <c r="D491" s="18">
        <v>4.2704102342599075</v>
      </c>
      <c r="E491" s="18">
        <v>3440.8323185380577</v>
      </c>
      <c r="F491" s="18">
        <v>1.32389775</v>
      </c>
      <c r="G491" s="18">
        <v>0</v>
      </c>
      <c r="H491" s="18">
        <f t="shared" si="70"/>
        <v>1.32389775</v>
      </c>
      <c r="I491" s="18">
        <f t="shared" si="71"/>
        <v>4.2704102342599075</v>
      </c>
      <c r="J491" s="18">
        <f t="shared" si="72"/>
        <v>80.009261636514026</v>
      </c>
      <c r="K491" s="18">
        <f t="shared" si="73"/>
        <v>2599.0166676679205</v>
      </c>
      <c r="L491" s="18">
        <f t="shared" si="74"/>
        <v>-98.643902720456751</v>
      </c>
      <c r="M491" s="18">
        <f t="shared" si="75"/>
        <v>3.7954317087534967E-2</v>
      </c>
      <c r="N491" s="18">
        <f t="shared" si="76"/>
        <v>6.8738752844272832E-2</v>
      </c>
      <c r="O491" s="18">
        <f t="shared" si="77"/>
        <v>80.126299766799463</v>
      </c>
      <c r="P491" s="18">
        <f t="shared" si="78"/>
        <v>3443.3109274683984</v>
      </c>
      <c r="Q491" s="18">
        <f t="shared" si="79"/>
        <v>3448.9645139691124</v>
      </c>
    </row>
    <row r="492" spans="1:17" ht="21" customHeight="1">
      <c r="A492" s="1" t="s">
        <v>404</v>
      </c>
      <c r="B492" s="1" t="s">
        <v>324</v>
      </c>
      <c r="C492" s="18">
        <v>80.009261636514026</v>
      </c>
      <c r="D492" s="18">
        <v>4.2704102342599075</v>
      </c>
      <c r="E492" s="18">
        <v>599.77574333750567</v>
      </c>
      <c r="F492" s="18">
        <v>1.32389775</v>
      </c>
      <c r="G492" s="18">
        <v>0</v>
      </c>
      <c r="H492" s="18">
        <f t="shared" si="70"/>
        <v>1.32389775</v>
      </c>
      <c r="I492" s="18">
        <f t="shared" si="71"/>
        <v>4.2704102342599075</v>
      </c>
      <c r="J492" s="18">
        <f t="shared" si="72"/>
        <v>80.009261636514026</v>
      </c>
      <c r="K492" s="18">
        <f t="shared" si="73"/>
        <v>453.03781454232825</v>
      </c>
      <c r="L492" s="18">
        <f t="shared" si="74"/>
        <v>15.867030847387024</v>
      </c>
      <c r="M492" s="18">
        <f t="shared" si="75"/>
        <v>-3.5023634535709461E-2</v>
      </c>
      <c r="N492" s="18">
        <f t="shared" si="76"/>
        <v>0.14158250973801229</v>
      </c>
      <c r="O492" s="18">
        <f t="shared" si="77"/>
        <v>80.227015609499531</v>
      </c>
      <c r="P492" s="18">
        <f t="shared" si="78"/>
        <v>600.14363989209608</v>
      </c>
      <c r="Q492" s="18">
        <f t="shared" si="79"/>
        <v>605.79722639280976</v>
      </c>
    </row>
    <row r="493" spans="1:17" ht="21" customHeight="1">
      <c r="A493" s="1" t="s">
        <v>405</v>
      </c>
      <c r="B493" s="1" t="s">
        <v>319</v>
      </c>
      <c r="C493" s="18">
        <v>80.009261635417346</v>
      </c>
      <c r="D493" s="18">
        <v>10.474196554515311</v>
      </c>
      <c r="E493" s="18">
        <v>2205.0000000008122</v>
      </c>
      <c r="F493" s="18">
        <v>1.32389775</v>
      </c>
      <c r="G493" s="18">
        <v>0</v>
      </c>
      <c r="H493" s="18">
        <f t="shared" si="70"/>
        <v>1.32389775</v>
      </c>
      <c r="I493" s="18">
        <f t="shared" si="71"/>
        <v>10.474196554515311</v>
      </c>
      <c r="J493" s="18">
        <f t="shared" si="72"/>
        <v>80.009261635417346</v>
      </c>
      <c r="K493" s="18">
        <f t="shared" si="73"/>
        <v>1665.5364811978964</v>
      </c>
      <c r="L493" s="18">
        <f t="shared" si="74"/>
        <v>-177.39575715502525</v>
      </c>
      <c r="M493" s="18">
        <f t="shared" si="75"/>
        <v>0.10650967970838902</v>
      </c>
      <c r="N493" s="18">
        <f t="shared" si="76"/>
        <v>0.15454781188900185</v>
      </c>
      <c r="O493" s="18">
        <f t="shared" si="77"/>
        <v>80.699577903075152</v>
      </c>
      <c r="P493" s="18">
        <f t="shared" si="78"/>
        <v>2217.5189320184172</v>
      </c>
      <c r="Q493" s="18">
        <f t="shared" si="79"/>
        <v>2231.3856972699978</v>
      </c>
    </row>
    <row r="494" spans="1:17" ht="21" customHeight="1">
      <c r="A494" s="1" t="s">
        <v>405</v>
      </c>
      <c r="B494" s="1" t="s">
        <v>320</v>
      </c>
      <c r="C494" s="18">
        <v>80.009261635417346</v>
      </c>
      <c r="D494" s="18">
        <v>10.474196554515311</v>
      </c>
      <c r="E494" s="18">
        <v>3536.1881265749826</v>
      </c>
      <c r="F494" s="18">
        <v>1.32389775</v>
      </c>
      <c r="G494" s="18">
        <v>3.4438949999999999</v>
      </c>
      <c r="H494" s="18">
        <f t="shared" si="70"/>
        <v>3.6895959160157443</v>
      </c>
      <c r="I494" s="18">
        <f t="shared" si="71"/>
        <v>3.7583425305161251</v>
      </c>
      <c r="J494" s="18">
        <f t="shared" si="72"/>
        <v>80.604377066823119</v>
      </c>
      <c r="K494" s="18">
        <f t="shared" si="73"/>
        <v>958.42152015215231</v>
      </c>
      <c r="L494" s="18">
        <f t="shared" si="74"/>
        <v>-4.3568284429352815</v>
      </c>
      <c r="M494" s="18">
        <f t="shared" si="75"/>
        <v>4.5458374539040208E-3</v>
      </c>
      <c r="N494" s="18">
        <f t="shared" si="76"/>
        <v>8.8647013577356396E-2</v>
      </c>
      <c r="O494" s="18">
        <f t="shared" si="77"/>
        <v>80.715680799173256</v>
      </c>
      <c r="P494" s="18">
        <f t="shared" si="78"/>
        <v>3536.224663661947</v>
      </c>
      <c r="Q494" s="18">
        <f t="shared" si="79"/>
        <v>3550.0914289135285</v>
      </c>
    </row>
    <row r="495" spans="1:17" ht="21" customHeight="1">
      <c r="A495" s="1" t="s">
        <v>405</v>
      </c>
      <c r="B495" s="1" t="s">
        <v>321</v>
      </c>
      <c r="C495" s="18">
        <v>80.009261635417346</v>
      </c>
      <c r="D495" s="18">
        <v>10.474196554515311</v>
      </c>
      <c r="E495" s="18">
        <v>3790.4822506902647</v>
      </c>
      <c r="F495" s="18">
        <v>3.8554321618301355</v>
      </c>
      <c r="G495" s="18">
        <v>0</v>
      </c>
      <c r="H495" s="18">
        <f t="shared" si="70"/>
        <v>3.8554321618301355</v>
      </c>
      <c r="I495" s="18">
        <f t="shared" si="71"/>
        <v>10.474196554515311</v>
      </c>
      <c r="J495" s="18">
        <f t="shared" si="72"/>
        <v>80.009261635417346</v>
      </c>
      <c r="K495" s="18">
        <f t="shared" si="73"/>
        <v>983.15366256916843</v>
      </c>
      <c r="L495" s="18">
        <f t="shared" si="74"/>
        <v>-88.302244521226115</v>
      </c>
      <c r="M495" s="18">
        <f t="shared" si="75"/>
        <v>8.9815303429247748E-2</v>
      </c>
      <c r="N495" s="18">
        <f t="shared" si="76"/>
        <v>0.1711955237158079</v>
      </c>
      <c r="O495" s="18">
        <f t="shared" si="77"/>
        <v>80.713843093613633</v>
      </c>
      <c r="P495" s="18">
        <f t="shared" si="78"/>
        <v>3805.7810406364374</v>
      </c>
      <c r="Q495" s="18">
        <f t="shared" si="79"/>
        <v>3846.163594902047</v>
      </c>
    </row>
    <row r="496" spans="1:17" ht="21" customHeight="1">
      <c r="A496" s="1" t="s">
        <v>405</v>
      </c>
      <c r="B496" s="1" t="s">
        <v>322</v>
      </c>
      <c r="C496" s="18">
        <v>80.009261635417346</v>
      </c>
      <c r="D496" s="18">
        <v>10.474196554515311</v>
      </c>
      <c r="E496" s="18">
        <v>3475.3417008798979</v>
      </c>
      <c r="F496" s="18">
        <v>2.3365115147320541</v>
      </c>
      <c r="G496" s="18">
        <v>1.4349562500000002</v>
      </c>
      <c r="H496" s="18">
        <f t="shared" si="70"/>
        <v>2.7419674501878282</v>
      </c>
      <c r="I496" s="18">
        <f t="shared" si="71"/>
        <v>8.9253724932130005</v>
      </c>
      <c r="J496" s="18">
        <f t="shared" si="72"/>
        <v>80.196810826644992</v>
      </c>
      <c r="K496" s="18">
        <f t="shared" si="73"/>
        <v>1267.4627850311763</v>
      </c>
      <c r="L496" s="18">
        <f t="shared" si="74"/>
        <v>-100.6488131647009</v>
      </c>
      <c r="M496" s="18">
        <f t="shared" si="75"/>
        <v>7.9409679205867334E-2</v>
      </c>
      <c r="N496" s="18">
        <f t="shared" si="76"/>
        <v>0.14268318259687407</v>
      </c>
      <c r="O496" s="18">
        <f t="shared" si="77"/>
        <v>80.705246207309287</v>
      </c>
      <c r="P496" s="18">
        <f t="shared" si="78"/>
        <v>3486.3050338675871</v>
      </c>
      <c r="Q496" s="18">
        <f t="shared" si="79"/>
        <v>3510.7781147247792</v>
      </c>
    </row>
    <row r="497" spans="1:17" ht="21" customHeight="1">
      <c r="A497" s="1" t="s">
        <v>405</v>
      </c>
      <c r="B497" s="1" t="s">
        <v>323</v>
      </c>
      <c r="C497" s="18">
        <v>80.009261635417346</v>
      </c>
      <c r="D497" s="18">
        <v>10.474196554515311</v>
      </c>
      <c r="E497" s="18">
        <v>3434.9339912465621</v>
      </c>
      <c r="F497" s="18">
        <v>1.32389775</v>
      </c>
      <c r="G497" s="18">
        <v>0</v>
      </c>
      <c r="H497" s="18">
        <f t="shared" si="70"/>
        <v>1.32389775</v>
      </c>
      <c r="I497" s="18">
        <f t="shared" si="71"/>
        <v>10.474196554515311</v>
      </c>
      <c r="J497" s="18">
        <f t="shared" si="72"/>
        <v>80.009261635417346</v>
      </c>
      <c r="K497" s="18">
        <f t="shared" si="73"/>
        <v>2594.5613936171144</v>
      </c>
      <c r="L497" s="18">
        <f t="shared" si="74"/>
        <v>-298.67925057805479</v>
      </c>
      <c r="M497" s="18">
        <f t="shared" si="75"/>
        <v>0.1151174342271631</v>
      </c>
      <c r="N497" s="18">
        <f t="shared" si="76"/>
        <v>0.14595473174968396</v>
      </c>
      <c r="O497" s="18">
        <f t="shared" si="77"/>
        <v>80.695093046897483</v>
      </c>
      <c r="P497" s="18">
        <f t="shared" si="78"/>
        <v>3457.7190501942532</v>
      </c>
      <c r="Q497" s="18">
        <f t="shared" si="79"/>
        <v>3471.5858154458338</v>
      </c>
    </row>
    <row r="498" spans="1:17" ht="21" customHeight="1">
      <c r="A498" s="1" t="s">
        <v>405</v>
      </c>
      <c r="B498" s="1" t="s">
        <v>324</v>
      </c>
      <c r="C498" s="18">
        <v>80.009261635417346</v>
      </c>
      <c r="D498" s="18">
        <v>10.474196554515311</v>
      </c>
      <c r="E498" s="18">
        <v>596.93578965356028</v>
      </c>
      <c r="F498" s="18">
        <v>1.32389775</v>
      </c>
      <c r="G498" s="18">
        <v>0</v>
      </c>
      <c r="H498" s="18">
        <f t="shared" si="70"/>
        <v>1.32389775</v>
      </c>
      <c r="I498" s="18">
        <f t="shared" si="71"/>
        <v>10.474196554515311</v>
      </c>
      <c r="J498" s="18">
        <f t="shared" si="72"/>
        <v>80.009261635417346</v>
      </c>
      <c r="K498" s="18">
        <f t="shared" si="73"/>
        <v>450.89266875297602</v>
      </c>
      <c r="L498" s="18">
        <f t="shared" si="74"/>
        <v>-18.778733773999214</v>
      </c>
      <c r="M498" s="18">
        <f t="shared" si="75"/>
        <v>4.1647902206827063E-2</v>
      </c>
      <c r="N498" s="18">
        <f t="shared" si="76"/>
        <v>0.21909425957763376</v>
      </c>
      <c r="O498" s="18">
        <f t="shared" si="77"/>
        <v>80.796073219218499</v>
      </c>
      <c r="P498" s="18">
        <f t="shared" si="78"/>
        <v>597.45357130802893</v>
      </c>
      <c r="Q498" s="18">
        <f t="shared" si="79"/>
        <v>611.32033655960959</v>
      </c>
    </row>
    <row r="499" spans="1:17" ht="21" customHeight="1">
      <c r="A499" s="1" t="s">
        <v>406</v>
      </c>
      <c r="B499" s="1" t="s">
        <v>319</v>
      </c>
      <c r="C499" s="18">
        <v>74.263003342249718</v>
      </c>
      <c r="D499" s="18">
        <v>8.4082858061582559</v>
      </c>
      <c r="E499" s="18">
        <v>2204.9999999988049</v>
      </c>
      <c r="F499" s="18">
        <v>1.32389775</v>
      </c>
      <c r="G499" s="18">
        <v>0</v>
      </c>
      <c r="H499" s="18">
        <f t="shared" si="70"/>
        <v>1.32389775</v>
      </c>
      <c r="I499" s="18">
        <f t="shared" si="71"/>
        <v>8.4082858061582559</v>
      </c>
      <c r="J499" s="18">
        <f t="shared" si="72"/>
        <v>74.263003342249718</v>
      </c>
      <c r="K499" s="18">
        <f t="shared" si="73"/>
        <v>1665.53648119638</v>
      </c>
      <c r="L499" s="18">
        <f t="shared" si="74"/>
        <v>-151.02954076720422</v>
      </c>
      <c r="M499" s="18">
        <f t="shared" si="75"/>
        <v>9.0679215059112625E-2</v>
      </c>
      <c r="N499" s="18">
        <f t="shared" si="76"/>
        <v>0.13526725271584741</v>
      </c>
      <c r="O499" s="18">
        <f t="shared" si="77"/>
        <v>74.743606345738982</v>
      </c>
      <c r="P499" s="18">
        <f t="shared" si="78"/>
        <v>2214.0717625057605</v>
      </c>
      <c r="Q499" s="18">
        <f t="shared" si="79"/>
        <v>2225.203473165891</v>
      </c>
    </row>
    <row r="500" spans="1:17" ht="21" customHeight="1">
      <c r="A500" s="1" t="s">
        <v>406</v>
      </c>
      <c r="B500" s="1" t="s">
        <v>320</v>
      </c>
      <c r="C500" s="18">
        <v>74.263003342249718</v>
      </c>
      <c r="D500" s="18">
        <v>8.4082858061582559</v>
      </c>
      <c r="E500" s="18">
        <v>3472.8490383347862</v>
      </c>
      <c r="F500" s="18">
        <v>1.32389775</v>
      </c>
      <c r="G500" s="18">
        <v>3.4438949999999999</v>
      </c>
      <c r="H500" s="18">
        <f t="shared" si="70"/>
        <v>3.6895959160157443</v>
      </c>
      <c r="I500" s="18">
        <f t="shared" si="71"/>
        <v>3.0170541472602688</v>
      </c>
      <c r="J500" s="18">
        <f t="shared" si="72"/>
        <v>74.676571425591945</v>
      </c>
      <c r="K500" s="18">
        <f t="shared" si="73"/>
        <v>941.25457567314993</v>
      </c>
      <c r="L500" s="18">
        <f t="shared" si="74"/>
        <v>-0.66961851404426653</v>
      </c>
      <c r="M500" s="18">
        <f t="shared" si="75"/>
        <v>7.1141063358484127E-4</v>
      </c>
      <c r="N500" s="18">
        <f t="shared" si="76"/>
        <v>8.004868383853693E-2</v>
      </c>
      <c r="O500" s="18">
        <f t="shared" si="77"/>
        <v>74.75706427001434</v>
      </c>
      <c r="P500" s="18">
        <f t="shared" si="78"/>
        <v>3472.8499171481099</v>
      </c>
      <c r="Q500" s="18">
        <f t="shared" si="79"/>
        <v>3483.9816278082399</v>
      </c>
    </row>
    <row r="501" spans="1:17" ht="21" customHeight="1">
      <c r="A501" s="1" t="s">
        <v>406</v>
      </c>
      <c r="B501" s="1" t="s">
        <v>321</v>
      </c>
      <c r="C501" s="18">
        <v>74.263003342249718</v>
      </c>
      <c r="D501" s="18">
        <v>8.4082858061582559</v>
      </c>
      <c r="E501" s="18">
        <v>3740.5958877520952</v>
      </c>
      <c r="F501" s="18">
        <v>3.8554321618301355</v>
      </c>
      <c r="G501" s="18">
        <v>0</v>
      </c>
      <c r="H501" s="18">
        <f t="shared" si="70"/>
        <v>3.8554321618301355</v>
      </c>
      <c r="I501" s="18">
        <f t="shared" si="71"/>
        <v>8.4082858061582559</v>
      </c>
      <c r="J501" s="18">
        <f t="shared" si="72"/>
        <v>74.263003342249718</v>
      </c>
      <c r="K501" s="18">
        <f t="shared" si="73"/>
        <v>970.21442233766902</v>
      </c>
      <c r="L501" s="18">
        <f t="shared" si="74"/>
        <v>-72.459158945591099</v>
      </c>
      <c r="M501" s="18">
        <f t="shared" si="75"/>
        <v>7.4683654744077538E-2</v>
      </c>
      <c r="N501" s="18">
        <f t="shared" si="76"/>
        <v>0.15122653189830271</v>
      </c>
      <c r="O501" s="18">
        <f t="shared" si="77"/>
        <v>74.75550863173315</v>
      </c>
      <c r="P501" s="18">
        <f t="shared" si="78"/>
        <v>3751.0326015469391</v>
      </c>
      <c r="Q501" s="18">
        <f t="shared" si="79"/>
        <v>3783.4501770698625</v>
      </c>
    </row>
    <row r="502" spans="1:17" ht="21" customHeight="1">
      <c r="A502" s="1" t="s">
        <v>406</v>
      </c>
      <c r="B502" s="1" t="s">
        <v>322</v>
      </c>
      <c r="C502" s="18">
        <v>74.263003342249718</v>
      </c>
      <c r="D502" s="18">
        <v>8.4082858061582559</v>
      </c>
      <c r="E502" s="18">
        <v>3452.0110639361428</v>
      </c>
      <c r="F502" s="18">
        <v>2.3365115147320541</v>
      </c>
      <c r="G502" s="18">
        <v>1.4349562500000002</v>
      </c>
      <c r="H502" s="18">
        <f t="shared" si="70"/>
        <v>2.7419674501878282</v>
      </c>
      <c r="I502" s="18">
        <f t="shared" si="71"/>
        <v>7.1649488778216819</v>
      </c>
      <c r="J502" s="18">
        <f t="shared" si="72"/>
        <v>74.393255360867471</v>
      </c>
      <c r="K502" s="18">
        <f t="shared" si="73"/>
        <v>1258.9540636960062</v>
      </c>
      <c r="L502" s="18">
        <f t="shared" si="74"/>
        <v>-83.851278581129506</v>
      </c>
      <c r="M502" s="18">
        <f t="shared" si="75"/>
        <v>6.6603922255082923E-2</v>
      </c>
      <c r="N502" s="18">
        <f t="shared" si="76"/>
        <v>0.12569524060109594</v>
      </c>
      <c r="O502" s="18">
        <f t="shared" si="77"/>
        <v>74.748267679737353</v>
      </c>
      <c r="P502" s="18">
        <f t="shared" si="78"/>
        <v>3459.6705977009724</v>
      </c>
      <c r="Q502" s="18">
        <f t="shared" si="79"/>
        <v>3479.3166543062184</v>
      </c>
    </row>
    <row r="503" spans="1:17" ht="21" customHeight="1">
      <c r="A503" s="1" t="s">
        <v>406</v>
      </c>
      <c r="B503" s="1" t="s">
        <v>323</v>
      </c>
      <c r="C503" s="18">
        <v>74.263003342249718</v>
      </c>
      <c r="D503" s="18">
        <v>8.4082858061582559</v>
      </c>
      <c r="E503" s="18">
        <v>3458.9457105098618</v>
      </c>
      <c r="F503" s="18">
        <v>1.32389775</v>
      </c>
      <c r="G503" s="18">
        <v>0</v>
      </c>
      <c r="H503" s="18">
        <f t="shared" si="70"/>
        <v>1.32389775</v>
      </c>
      <c r="I503" s="18">
        <f t="shared" si="71"/>
        <v>8.4082858061582559</v>
      </c>
      <c r="J503" s="18">
        <f t="shared" si="72"/>
        <v>74.263003342249718</v>
      </c>
      <c r="K503" s="18">
        <f t="shared" si="73"/>
        <v>2612.6985339387893</v>
      </c>
      <c r="L503" s="18">
        <f t="shared" si="74"/>
        <v>-258.04795391233779</v>
      </c>
      <c r="M503" s="18">
        <f t="shared" si="75"/>
        <v>9.876683075383981E-2</v>
      </c>
      <c r="N503" s="18">
        <f t="shared" si="76"/>
        <v>0.12719070070193292</v>
      </c>
      <c r="O503" s="18">
        <f t="shared" si="77"/>
        <v>74.739977589549724</v>
      </c>
      <c r="P503" s="18">
        <f t="shared" si="78"/>
        <v>3475.8302414007999</v>
      </c>
      <c r="Q503" s="18">
        <f t="shared" si="79"/>
        <v>3486.961952060929</v>
      </c>
    </row>
    <row r="504" spans="1:17" ht="21" customHeight="1">
      <c r="A504" s="1" t="s">
        <v>406</v>
      </c>
      <c r="B504" s="1" t="s">
        <v>324</v>
      </c>
      <c r="C504" s="18">
        <v>74.263003342249718</v>
      </c>
      <c r="D504" s="18">
        <v>8.4082858061582559</v>
      </c>
      <c r="E504" s="18">
        <v>560.39892843614916</v>
      </c>
      <c r="F504" s="18">
        <v>1.32389775</v>
      </c>
      <c r="G504" s="18">
        <v>0</v>
      </c>
      <c r="H504" s="18">
        <f t="shared" si="70"/>
        <v>1.32389775</v>
      </c>
      <c r="I504" s="18">
        <f t="shared" si="71"/>
        <v>8.4082858061582559</v>
      </c>
      <c r="J504" s="18">
        <f t="shared" si="72"/>
        <v>74.263003342249718</v>
      </c>
      <c r="K504" s="18">
        <f t="shared" si="73"/>
        <v>423.29472078651781</v>
      </c>
      <c r="L504" s="18">
        <f t="shared" si="74"/>
        <v>-10.632396306213387</v>
      </c>
      <c r="M504" s="18">
        <f t="shared" si="75"/>
        <v>2.5118187834843497E-2</v>
      </c>
      <c r="N504" s="18">
        <f t="shared" si="76"/>
        <v>0.20055860722930866</v>
      </c>
      <c r="O504" s="18">
        <f t="shared" si="77"/>
        <v>74.83216629562304</v>
      </c>
      <c r="P504" s="18">
        <f t="shared" si="78"/>
        <v>560.57572211859247</v>
      </c>
      <c r="Q504" s="18">
        <f t="shared" si="79"/>
        <v>571.70743277872225</v>
      </c>
    </row>
    <row r="505" spans="1:17" ht="21" customHeight="1">
      <c r="A505" s="1" t="s">
        <v>407</v>
      </c>
      <c r="B505" s="1" t="s">
        <v>319</v>
      </c>
      <c r="C505" s="18">
        <v>74.263003343684531</v>
      </c>
      <c r="D505" s="18">
        <v>7.3235260013701922</v>
      </c>
      <c r="E505" s="18">
        <v>2204.999999998493</v>
      </c>
      <c r="F505" s="18">
        <v>1.32389775</v>
      </c>
      <c r="G505" s="18">
        <v>0</v>
      </c>
      <c r="H505" s="18">
        <f t="shared" si="70"/>
        <v>1.32389775</v>
      </c>
      <c r="I505" s="18">
        <f t="shared" si="71"/>
        <v>7.3235260013701922</v>
      </c>
      <c r="J505" s="18">
        <f t="shared" si="72"/>
        <v>74.263003343684531</v>
      </c>
      <c r="K505" s="18">
        <f t="shared" si="73"/>
        <v>1665.5364811961445</v>
      </c>
      <c r="L505" s="18">
        <f t="shared" si="74"/>
        <v>-126.83856661683211</v>
      </c>
      <c r="M505" s="18">
        <f t="shared" si="75"/>
        <v>7.6154781386559595E-2</v>
      </c>
      <c r="N505" s="18">
        <f t="shared" si="76"/>
        <v>0.12074281904416216</v>
      </c>
      <c r="O505" s="18">
        <f t="shared" si="77"/>
        <v>74.629360527038358</v>
      </c>
      <c r="P505" s="18">
        <f t="shared" si="78"/>
        <v>2211.397095469807</v>
      </c>
      <c r="Q505" s="18">
        <f t="shared" si="79"/>
        <v>2221.0926950650878</v>
      </c>
    </row>
    <row r="506" spans="1:17" ht="21" customHeight="1">
      <c r="A506" s="1" t="s">
        <v>407</v>
      </c>
      <c r="B506" s="1" t="s">
        <v>320</v>
      </c>
      <c r="C506" s="18">
        <v>74.263003343684531</v>
      </c>
      <c r="D506" s="18">
        <v>7.3235260013701922</v>
      </c>
      <c r="E506" s="18">
        <v>3469.2197754366352</v>
      </c>
      <c r="F506" s="18">
        <v>1.32389775</v>
      </c>
      <c r="G506" s="18">
        <v>3.4438949999999999</v>
      </c>
      <c r="H506" s="18">
        <f t="shared" si="70"/>
        <v>3.6895959160157443</v>
      </c>
      <c r="I506" s="18">
        <f t="shared" si="71"/>
        <v>2.6278215327575514</v>
      </c>
      <c r="J506" s="18">
        <f t="shared" si="72"/>
        <v>74.576955238926331</v>
      </c>
      <c r="K506" s="18">
        <f t="shared" si="73"/>
        <v>940.27092787518995</v>
      </c>
      <c r="L506" s="18">
        <f t="shared" si="74"/>
        <v>4.1722685581853654</v>
      </c>
      <c r="M506" s="18">
        <f t="shared" si="75"/>
        <v>-4.4373046475166414E-3</v>
      </c>
      <c r="N506" s="18">
        <f t="shared" si="76"/>
        <v>7.4877021711008782E-2</v>
      </c>
      <c r="O506" s="18">
        <f t="shared" si="77"/>
        <v>74.642775490475401</v>
      </c>
      <c r="P506" s="18">
        <f t="shared" si="78"/>
        <v>3469.2539293933401</v>
      </c>
      <c r="Q506" s="18">
        <f t="shared" si="79"/>
        <v>3478.9495289886204</v>
      </c>
    </row>
    <row r="507" spans="1:17" ht="21" customHeight="1">
      <c r="A507" s="1" t="s">
        <v>407</v>
      </c>
      <c r="B507" s="1" t="s">
        <v>321</v>
      </c>
      <c r="C507" s="18">
        <v>74.263003343684531</v>
      </c>
      <c r="D507" s="18">
        <v>7.3235260013701922</v>
      </c>
      <c r="E507" s="18">
        <v>3743.3543573575325</v>
      </c>
      <c r="F507" s="18">
        <v>3.8554321618301355</v>
      </c>
      <c r="G507" s="18">
        <v>0</v>
      </c>
      <c r="H507" s="18">
        <f t="shared" si="70"/>
        <v>3.8554321618301355</v>
      </c>
      <c r="I507" s="18">
        <f t="shared" si="71"/>
        <v>7.3235260013701922</v>
      </c>
      <c r="J507" s="18">
        <f t="shared" si="72"/>
        <v>74.263003343684531</v>
      </c>
      <c r="K507" s="18">
        <f t="shared" si="73"/>
        <v>970.92989844764884</v>
      </c>
      <c r="L507" s="18">
        <f t="shared" si="74"/>
        <v>-58.440051778224849</v>
      </c>
      <c r="M507" s="18">
        <f t="shared" si="75"/>
        <v>6.0189774639405495E-2</v>
      </c>
      <c r="N507" s="18">
        <f t="shared" si="76"/>
        <v>0.13667624751702354</v>
      </c>
      <c r="O507" s="18">
        <f t="shared" si="77"/>
        <v>74.641254447222664</v>
      </c>
      <c r="P507" s="18">
        <f t="shared" si="78"/>
        <v>3750.1371335858739</v>
      </c>
      <c r="Q507" s="18">
        <f t="shared" si="79"/>
        <v>3778.3724912695557</v>
      </c>
    </row>
    <row r="508" spans="1:17" ht="21" customHeight="1">
      <c r="A508" s="1" t="s">
        <v>407</v>
      </c>
      <c r="B508" s="1" t="s">
        <v>322</v>
      </c>
      <c r="C508" s="18">
        <v>74.263003343684531</v>
      </c>
      <c r="D508" s="18">
        <v>7.3235260013701922</v>
      </c>
      <c r="E508" s="18">
        <v>3452.2383517636908</v>
      </c>
      <c r="F508" s="18">
        <v>2.3365115147320541</v>
      </c>
      <c r="G508" s="18">
        <v>1.4349562500000002</v>
      </c>
      <c r="H508" s="18">
        <f t="shared" si="70"/>
        <v>2.7419674501878282</v>
      </c>
      <c r="I508" s="18">
        <f t="shared" si="71"/>
        <v>6.240592983504925</v>
      </c>
      <c r="J508" s="18">
        <f t="shared" si="72"/>
        <v>74.361836300155161</v>
      </c>
      <c r="K508" s="18">
        <f t="shared" si="73"/>
        <v>1259.0369559373173</v>
      </c>
      <c r="L508" s="18">
        <f t="shared" si="74"/>
        <v>-68.34102619842912</v>
      </c>
      <c r="M508" s="18">
        <f t="shared" si="75"/>
        <v>5.4280397311730351E-2</v>
      </c>
      <c r="N508" s="18">
        <f t="shared" si="76"/>
        <v>0.11334287037853155</v>
      </c>
      <c r="O508" s="18">
        <f t="shared" si="77"/>
        <v>74.634009360462571</v>
      </c>
      <c r="P508" s="18">
        <f t="shared" si="78"/>
        <v>3457.32537173639</v>
      </c>
      <c r="Q508" s="18">
        <f t="shared" si="79"/>
        <v>3474.4368745670308</v>
      </c>
    </row>
    <row r="509" spans="1:17" ht="21" customHeight="1">
      <c r="A509" s="1" t="s">
        <v>407</v>
      </c>
      <c r="B509" s="1" t="s">
        <v>323</v>
      </c>
      <c r="C509" s="18">
        <v>74.263003343684531</v>
      </c>
      <c r="D509" s="18">
        <v>7.3235260013701922</v>
      </c>
      <c r="E509" s="18">
        <v>3460.3314597754052</v>
      </c>
      <c r="F509" s="18">
        <v>1.32389775</v>
      </c>
      <c r="G509" s="18">
        <v>0</v>
      </c>
      <c r="H509" s="18">
        <f t="shared" si="70"/>
        <v>1.32389775</v>
      </c>
      <c r="I509" s="18">
        <f t="shared" si="71"/>
        <v>7.3235260013701922</v>
      </c>
      <c r="J509" s="18">
        <f t="shared" si="72"/>
        <v>74.263003343684531</v>
      </c>
      <c r="K509" s="18">
        <f t="shared" si="73"/>
        <v>2613.7452531930094</v>
      </c>
      <c r="L509" s="18">
        <f t="shared" si="74"/>
        <v>-220.20120224481656</v>
      </c>
      <c r="M509" s="18">
        <f t="shared" si="75"/>
        <v>8.4247384849695614E-2</v>
      </c>
      <c r="N509" s="18">
        <f t="shared" si="76"/>
        <v>0.11265987197060505</v>
      </c>
      <c r="O509" s="18">
        <f t="shared" si="77"/>
        <v>74.625724223268008</v>
      </c>
      <c r="P509" s="18">
        <f t="shared" si="78"/>
        <v>3472.6187868592942</v>
      </c>
      <c r="Q509" s="18">
        <f t="shared" si="79"/>
        <v>3482.314386454575</v>
      </c>
    </row>
    <row r="510" spans="1:17" ht="21" customHeight="1">
      <c r="A510" s="1" t="s">
        <v>407</v>
      </c>
      <c r="B510" s="1" t="s">
        <v>324</v>
      </c>
      <c r="C510" s="18">
        <v>74.263003343684531</v>
      </c>
      <c r="D510" s="18">
        <v>7.3235260013701922</v>
      </c>
      <c r="E510" s="18">
        <v>560.97606496786284</v>
      </c>
      <c r="F510" s="18">
        <v>1.32389775</v>
      </c>
      <c r="G510" s="18">
        <v>0</v>
      </c>
      <c r="H510" s="18">
        <f t="shared" si="70"/>
        <v>1.32389775</v>
      </c>
      <c r="I510" s="18">
        <f t="shared" si="71"/>
        <v>7.3235260013701922</v>
      </c>
      <c r="J510" s="18">
        <f t="shared" si="72"/>
        <v>74.263003343684531</v>
      </c>
      <c r="K510" s="18">
        <f t="shared" si="73"/>
        <v>423.7306581779921</v>
      </c>
      <c r="L510" s="18">
        <f t="shared" si="74"/>
        <v>-4.5345432795906433</v>
      </c>
      <c r="M510" s="18">
        <f t="shared" si="75"/>
        <v>1.0701475553099736E-2</v>
      </c>
      <c r="N510" s="18">
        <f t="shared" si="76"/>
        <v>0.18596140048515325</v>
      </c>
      <c r="O510" s="18">
        <f t="shared" si="77"/>
        <v>74.717860813691388</v>
      </c>
      <c r="P510" s="18">
        <f t="shared" si="78"/>
        <v>561.00818720679308</v>
      </c>
      <c r="Q510" s="18">
        <f t="shared" si="79"/>
        <v>570.70378680207352</v>
      </c>
    </row>
    <row r="511" spans="1:17" ht="21" customHeight="1">
      <c r="A511" s="1" t="s">
        <v>408</v>
      </c>
      <c r="B511" s="1" t="s">
        <v>319</v>
      </c>
      <c r="C511" s="18">
        <v>74.263003342249718</v>
      </c>
      <c r="D511" s="18">
        <v>12.25415953349866</v>
      </c>
      <c r="E511" s="18">
        <v>2205.0000000005966</v>
      </c>
      <c r="F511" s="18">
        <v>1.32389775</v>
      </c>
      <c r="G511" s="18">
        <v>0</v>
      </c>
      <c r="H511" s="18">
        <f t="shared" si="70"/>
        <v>1.32389775</v>
      </c>
      <c r="I511" s="18">
        <f t="shared" si="71"/>
        <v>12.25415953349866</v>
      </c>
      <c r="J511" s="18">
        <f t="shared" si="72"/>
        <v>74.263003342249718</v>
      </c>
      <c r="K511" s="18">
        <f t="shared" si="73"/>
        <v>1665.5364811977336</v>
      </c>
      <c r="L511" s="18">
        <f t="shared" si="74"/>
        <v>-236.44452967561381</v>
      </c>
      <c r="M511" s="18">
        <f t="shared" si="75"/>
        <v>0.14196298450669778</v>
      </c>
      <c r="N511" s="18">
        <f t="shared" si="76"/>
        <v>0.18655102216339631</v>
      </c>
      <c r="O511" s="18">
        <f t="shared" si="77"/>
        <v>75.273314296908566</v>
      </c>
      <c r="P511" s="18">
        <f t="shared" si="78"/>
        <v>2227.2565629039527</v>
      </c>
      <c r="Q511" s="18">
        <f t="shared" si="79"/>
        <v>2243.4798171384932</v>
      </c>
    </row>
    <row r="512" spans="1:17" ht="21" customHeight="1">
      <c r="A512" s="1" t="s">
        <v>408</v>
      </c>
      <c r="B512" s="1" t="s">
        <v>320</v>
      </c>
      <c r="C512" s="18">
        <v>74.263003342249718</v>
      </c>
      <c r="D512" s="18">
        <v>12.25415953349866</v>
      </c>
      <c r="E512" s="18">
        <v>3489.6623874409561</v>
      </c>
      <c r="F512" s="18">
        <v>1.32389775</v>
      </c>
      <c r="G512" s="18">
        <v>3.4438949999999999</v>
      </c>
      <c r="H512" s="18">
        <f t="shared" si="70"/>
        <v>3.6895959160157443</v>
      </c>
      <c r="I512" s="18">
        <f t="shared" si="71"/>
        <v>4.397027372054013</v>
      </c>
      <c r="J512" s="18">
        <f t="shared" si="72"/>
        <v>75.138700025837792</v>
      </c>
      <c r="K512" s="18">
        <f t="shared" si="73"/>
        <v>945.81153786870811</v>
      </c>
      <c r="L512" s="18">
        <f t="shared" si="74"/>
        <v>-17.732348434955476</v>
      </c>
      <c r="M512" s="18">
        <f t="shared" si="75"/>
        <v>1.8748289405428012E-2</v>
      </c>
      <c r="N512" s="18">
        <f t="shared" si="76"/>
        <v>9.8191917461769293E-2</v>
      </c>
      <c r="O512" s="18">
        <f t="shared" si="77"/>
        <v>75.286971552610709</v>
      </c>
      <c r="P512" s="18">
        <f t="shared" si="78"/>
        <v>3490.2757107012608</v>
      </c>
      <c r="Q512" s="18">
        <f t="shared" si="79"/>
        <v>3506.4989649358008</v>
      </c>
    </row>
    <row r="513" spans="1:17" ht="21" customHeight="1">
      <c r="A513" s="1" t="s">
        <v>408</v>
      </c>
      <c r="B513" s="1" t="s">
        <v>321</v>
      </c>
      <c r="C513" s="18">
        <v>74.263003342249718</v>
      </c>
      <c r="D513" s="18">
        <v>12.25415953349866</v>
      </c>
      <c r="E513" s="18">
        <v>3727.9088294885196</v>
      </c>
      <c r="F513" s="18">
        <v>3.8554321618301355</v>
      </c>
      <c r="G513" s="18">
        <v>0</v>
      </c>
      <c r="H513" s="18">
        <f t="shared" si="70"/>
        <v>3.8554321618301355</v>
      </c>
      <c r="I513" s="18">
        <f t="shared" si="71"/>
        <v>12.25415953349866</v>
      </c>
      <c r="J513" s="18">
        <f t="shared" si="72"/>
        <v>74.263003342249718</v>
      </c>
      <c r="K513" s="18">
        <f t="shared" si="73"/>
        <v>966.92372554129395</v>
      </c>
      <c r="L513" s="18">
        <f t="shared" si="74"/>
        <v>-121.66684644441682</v>
      </c>
      <c r="M513" s="18">
        <f t="shared" si="75"/>
        <v>0.12582879417536938</v>
      </c>
      <c r="N513" s="18">
        <f t="shared" si="76"/>
        <v>0.20263216695503355</v>
      </c>
      <c r="O513" s="18">
        <f t="shared" si="77"/>
        <v>75.285254812393262</v>
      </c>
      <c r="P513" s="18">
        <f t="shared" si="78"/>
        <v>3757.4595648135141</v>
      </c>
      <c r="Q513" s="18">
        <f t="shared" si="79"/>
        <v>3804.7046455951618</v>
      </c>
    </row>
    <row r="514" spans="1:17" ht="21" customHeight="1">
      <c r="A514" s="1" t="s">
        <v>408</v>
      </c>
      <c r="B514" s="1" t="s">
        <v>322</v>
      </c>
      <c r="C514" s="18">
        <v>74.263003342249718</v>
      </c>
      <c r="D514" s="18">
        <v>12.25415953349866</v>
      </c>
      <c r="E514" s="18">
        <v>3451.0099872540404</v>
      </c>
      <c r="F514" s="18">
        <v>2.3365115147320541</v>
      </c>
      <c r="G514" s="18">
        <v>1.4349562500000002</v>
      </c>
      <c r="H514" s="18">
        <f t="shared" si="70"/>
        <v>2.7419674501878282</v>
      </c>
      <c r="I514" s="18">
        <f t="shared" si="71"/>
        <v>10.442131561927136</v>
      </c>
      <c r="J514" s="18">
        <f t="shared" si="72"/>
        <v>74.539385426275373</v>
      </c>
      <c r="K514" s="18">
        <f t="shared" si="73"/>
        <v>1258.5889693977374</v>
      </c>
      <c r="L514" s="18">
        <f t="shared" si="74"/>
        <v>-138.44732801332151</v>
      </c>
      <c r="M514" s="18">
        <f t="shared" si="75"/>
        <v>0.11000201922917822</v>
      </c>
      <c r="N514" s="18">
        <f t="shared" si="76"/>
        <v>0.16922658518254433</v>
      </c>
      <c r="O514" s="18">
        <f t="shared" si="77"/>
        <v>75.2780333930762</v>
      </c>
      <c r="P514" s="18">
        <f t="shared" si="78"/>
        <v>3471.9104268444594</v>
      </c>
      <c r="Q514" s="18">
        <f t="shared" si="79"/>
        <v>3500.5424116978429</v>
      </c>
    </row>
    <row r="515" spans="1:17" ht="21" customHeight="1">
      <c r="A515" s="1" t="s">
        <v>408</v>
      </c>
      <c r="B515" s="1" t="s">
        <v>323</v>
      </c>
      <c r="C515" s="18">
        <v>74.263003342249718</v>
      </c>
      <c r="D515" s="18">
        <v>12.25415953349866</v>
      </c>
      <c r="E515" s="18">
        <v>3452.5424589615595</v>
      </c>
      <c r="F515" s="18">
        <v>1.32389775</v>
      </c>
      <c r="G515" s="18">
        <v>0</v>
      </c>
      <c r="H515" s="18">
        <f t="shared" si="70"/>
        <v>1.32389775</v>
      </c>
      <c r="I515" s="18">
        <f t="shared" si="71"/>
        <v>12.25415953349866</v>
      </c>
      <c r="J515" s="18">
        <f t="shared" si="72"/>
        <v>74.263003342249718</v>
      </c>
      <c r="K515" s="18">
        <f t="shared" si="73"/>
        <v>2607.8618677020636</v>
      </c>
      <c r="L515" s="18">
        <f t="shared" si="74"/>
        <v>-391.24889752904579</v>
      </c>
      <c r="M515" s="18">
        <f t="shared" si="75"/>
        <v>0.15002669519217965</v>
      </c>
      <c r="N515" s="18">
        <f t="shared" si="76"/>
        <v>0.17850328141861466</v>
      </c>
      <c r="O515" s="18">
        <f t="shared" si="77"/>
        <v>75.269720235900337</v>
      </c>
      <c r="P515" s="18">
        <f t="shared" si="78"/>
        <v>3491.4703214232459</v>
      </c>
      <c r="Q515" s="18">
        <f t="shared" si="79"/>
        <v>3507.6935756577859</v>
      </c>
    </row>
    <row r="516" spans="1:17" ht="21" customHeight="1">
      <c r="A516" s="1" t="s">
        <v>408</v>
      </c>
      <c r="B516" s="1" t="s">
        <v>324</v>
      </c>
      <c r="C516" s="18">
        <v>74.263003342249718</v>
      </c>
      <c r="D516" s="18">
        <v>12.25415953349866</v>
      </c>
      <c r="E516" s="18">
        <v>557.74791493601356</v>
      </c>
      <c r="F516" s="18">
        <v>1.32389775</v>
      </c>
      <c r="G516" s="18">
        <v>0</v>
      </c>
      <c r="H516" s="18">
        <f t="shared" si="70"/>
        <v>1.32389775</v>
      </c>
      <c r="I516" s="18">
        <f t="shared" si="71"/>
        <v>12.25415953349866</v>
      </c>
      <c r="J516" s="18">
        <f t="shared" si="72"/>
        <v>74.263003342249718</v>
      </c>
      <c r="K516" s="18">
        <f t="shared" si="73"/>
        <v>421.2922900851018</v>
      </c>
      <c r="L516" s="18">
        <f t="shared" si="74"/>
        <v>-31.985664776385853</v>
      </c>
      <c r="M516" s="18">
        <f t="shared" si="75"/>
        <v>7.5922739459401672E-2</v>
      </c>
      <c r="N516" s="18">
        <f t="shared" si="76"/>
        <v>0.25219703901339652</v>
      </c>
      <c r="O516" s="18">
        <f t="shared" si="77"/>
        <v>75.362147901910149</v>
      </c>
      <c r="P516" s="18">
        <f t="shared" si="78"/>
        <v>559.35618991482681</v>
      </c>
      <c r="Q516" s="18">
        <f t="shared" si="79"/>
        <v>575.57944414936685</v>
      </c>
    </row>
    <row r="517" spans="1:17" ht="21" customHeight="1">
      <c r="A517" s="1" t="s">
        <v>409</v>
      </c>
      <c r="B517" s="1" t="s">
        <v>319</v>
      </c>
      <c r="C517" s="18">
        <v>37.018144822710298</v>
      </c>
      <c r="D517" s="18">
        <v>-3.8243858315828216</v>
      </c>
      <c r="E517" s="18">
        <v>2204.9999999974307</v>
      </c>
      <c r="F517" s="18">
        <v>1.32389775</v>
      </c>
      <c r="G517" s="18">
        <v>0</v>
      </c>
      <c r="H517" s="18">
        <f t="shared" si="70"/>
        <v>1.32389775</v>
      </c>
      <c r="I517" s="18">
        <f t="shared" si="71"/>
        <v>-3.8243858315828221</v>
      </c>
      <c r="J517" s="18">
        <f t="shared" si="72"/>
        <v>37.018144822710298</v>
      </c>
      <c r="K517" s="18">
        <f t="shared" si="73"/>
        <v>1665.536481195342</v>
      </c>
      <c r="L517" s="18">
        <f t="shared" si="74"/>
        <v>190.26935555490002</v>
      </c>
      <c r="M517" s="18">
        <f t="shared" si="75"/>
        <v>-0.11423908014212047</v>
      </c>
      <c r="N517" s="18">
        <f t="shared" si="76"/>
        <v>-9.2013121575219153E-2</v>
      </c>
      <c r="O517" s="18">
        <f t="shared" si="77"/>
        <v>37.215929193231922</v>
      </c>
      <c r="P517" s="18">
        <f t="shared" si="78"/>
        <v>2219.4039053024858</v>
      </c>
      <c r="Q517" s="18">
        <f t="shared" si="79"/>
        <v>2214.3408095049217</v>
      </c>
    </row>
    <row r="518" spans="1:17" ht="21" customHeight="1">
      <c r="A518" s="1" t="s">
        <v>409</v>
      </c>
      <c r="B518" s="1" t="s">
        <v>320</v>
      </c>
      <c r="C518" s="18">
        <v>37.018144822710298</v>
      </c>
      <c r="D518" s="18">
        <v>-3.8243858315828216</v>
      </c>
      <c r="E518" s="18">
        <v>3106.2712087679047</v>
      </c>
      <c r="F518" s="18">
        <v>1.32389775</v>
      </c>
      <c r="G518" s="18">
        <v>3.4438949999999999</v>
      </c>
      <c r="H518" s="18">
        <f t="shared" si="70"/>
        <v>3.6895959160157443</v>
      </c>
      <c r="I518" s="18">
        <f t="shared" si="71"/>
        <v>-1.3722629558393005</v>
      </c>
      <c r="J518" s="18">
        <f t="shared" si="72"/>
        <v>37.189862428946896</v>
      </c>
      <c r="K518" s="18">
        <f t="shared" si="73"/>
        <v>841.9001103303068</v>
      </c>
      <c r="L518" s="18">
        <f t="shared" si="74"/>
        <v>49.650503687290126</v>
      </c>
      <c r="M518" s="18">
        <f t="shared" si="75"/>
        <v>-5.8974340397473637E-2</v>
      </c>
      <c r="N518" s="18">
        <f t="shared" si="76"/>
        <v>-1.4800617205590443E-2</v>
      </c>
      <c r="O518" s="18">
        <f t="shared" si="77"/>
        <v>37.218193011950419</v>
      </c>
      <c r="P518" s="18">
        <f t="shared" si="78"/>
        <v>3111.6745379743666</v>
      </c>
      <c r="Q518" s="18">
        <f t="shared" si="79"/>
        <v>3106.6114421768025</v>
      </c>
    </row>
    <row r="519" spans="1:17" ht="21" customHeight="1">
      <c r="A519" s="1" t="s">
        <v>409</v>
      </c>
      <c r="B519" s="1" t="s">
        <v>321</v>
      </c>
      <c r="C519" s="18">
        <v>37.018144822710298</v>
      </c>
      <c r="D519" s="18">
        <v>-3.8243858315828216</v>
      </c>
      <c r="E519" s="18">
        <v>3414.7386605109432</v>
      </c>
      <c r="F519" s="18">
        <v>3.8554321618301355</v>
      </c>
      <c r="G519" s="18">
        <v>0</v>
      </c>
      <c r="H519" s="18">
        <f t="shared" ref="H519:H582" si="80">SQRT(F519^2+G519^2)</f>
        <v>3.8554321618301355</v>
      </c>
      <c r="I519" s="18">
        <f t="shared" ref="I519:I582" si="81">D519*F519/H519</f>
        <v>-3.8243858315828216</v>
      </c>
      <c r="J519" s="18">
        <f t="shared" ref="J519:J582" si="82">SQRT(C519^2+D519^2-I519^2)</f>
        <v>37.018144822710298</v>
      </c>
      <c r="K519" s="18">
        <f t="shared" ref="K519:K582" si="83">E519/H519</f>
        <v>885.69543365794834</v>
      </c>
      <c r="L519" s="18">
        <f t="shared" ref="L519:L582" si="84">J519/2-K519*ASINH(I519/(2*K519*SINH(J519/(2*K519))))</f>
        <v>109.84263792494846</v>
      </c>
      <c r="M519" s="18">
        <f t="shared" ref="M519:M582" si="85">-L519/K519</f>
        <v>-0.12401852121027103</v>
      </c>
      <c r="N519" s="18">
        <f t="shared" ref="N519:N582" si="86">(J519-L519)/K519</f>
        <v>-8.222295197060106E-2</v>
      </c>
      <c r="O519" s="18">
        <f t="shared" ref="O519:O582" si="87">K519*(SINH(N519)-SINH(M519))</f>
        <v>37.21785148202963</v>
      </c>
      <c r="P519" s="18">
        <f t="shared" ref="P519:P582" si="88">E519*COSH(M519)</f>
        <v>3441.0326898901835</v>
      </c>
      <c r="Q519" s="18">
        <f t="shared" ref="Q519:Q582" si="89">E519*COSH(N519)</f>
        <v>3426.2880297558518</v>
      </c>
    </row>
    <row r="520" spans="1:17" ht="21" customHeight="1">
      <c r="A520" s="1" t="s">
        <v>409</v>
      </c>
      <c r="B520" s="1" t="s">
        <v>322</v>
      </c>
      <c r="C520" s="18">
        <v>37.018144822710298</v>
      </c>
      <c r="D520" s="18">
        <v>-3.8243858315828216</v>
      </c>
      <c r="E520" s="18">
        <v>3318.4015067758064</v>
      </c>
      <c r="F520" s="18">
        <v>2.3365115147320541</v>
      </c>
      <c r="G520" s="18">
        <v>1.4349562500000002</v>
      </c>
      <c r="H520" s="18">
        <f t="shared" si="80"/>
        <v>2.7419674501878282</v>
      </c>
      <c r="I520" s="18">
        <f t="shared" si="81"/>
        <v>-3.2588722129649197</v>
      </c>
      <c r="J520" s="18">
        <f t="shared" si="82"/>
        <v>37.072209605087338</v>
      </c>
      <c r="K520" s="18">
        <f t="shared" si="83"/>
        <v>1210.2264403424963</v>
      </c>
      <c r="L520" s="18">
        <f t="shared" si="84"/>
        <v>124.7816683721077</v>
      </c>
      <c r="M520" s="18">
        <f t="shared" si="85"/>
        <v>-0.10310605041548609</v>
      </c>
      <c r="N520" s="18">
        <f t="shared" si="86"/>
        <v>-7.2473593241111495E-2</v>
      </c>
      <c r="O520" s="18">
        <f t="shared" si="87"/>
        <v>37.216615167358079</v>
      </c>
      <c r="P520" s="18">
        <f t="shared" si="88"/>
        <v>3336.0558655397954</v>
      </c>
      <c r="Q520" s="18">
        <f t="shared" si="89"/>
        <v>3327.1201440075238</v>
      </c>
    </row>
    <row r="521" spans="1:17" ht="21" customHeight="1">
      <c r="A521" s="1" t="s">
        <v>409</v>
      </c>
      <c r="B521" s="1" t="s">
        <v>323</v>
      </c>
      <c r="C521" s="18">
        <v>37.018144822710298</v>
      </c>
      <c r="D521" s="18">
        <v>-3.8243858315828216</v>
      </c>
      <c r="E521" s="18">
        <v>3569.8625961011667</v>
      </c>
      <c r="F521" s="18">
        <v>1.32389775</v>
      </c>
      <c r="G521" s="18">
        <v>0</v>
      </c>
      <c r="H521" s="18">
        <f t="shared" si="80"/>
        <v>1.32389775</v>
      </c>
      <c r="I521" s="18">
        <f t="shared" si="81"/>
        <v>-3.8243858315828221</v>
      </c>
      <c r="J521" s="18">
        <f t="shared" si="82"/>
        <v>37.018144822710298</v>
      </c>
      <c r="K521" s="18">
        <f t="shared" si="83"/>
        <v>2696.4790869243238</v>
      </c>
      <c r="L521" s="18">
        <f t="shared" si="84"/>
        <v>296.58997419669532</v>
      </c>
      <c r="M521" s="18">
        <f t="shared" si="85"/>
        <v>-0.10999157220796167</v>
      </c>
      <c r="N521" s="18">
        <f t="shared" si="86"/>
        <v>-9.6263245887087359E-2</v>
      </c>
      <c r="O521" s="18">
        <f t="shared" si="87"/>
        <v>37.21546043339562</v>
      </c>
      <c r="P521" s="18">
        <f t="shared" si="88"/>
        <v>3591.4787352252729</v>
      </c>
      <c r="Q521" s="18">
        <f t="shared" si="89"/>
        <v>3586.4156394277084</v>
      </c>
    </row>
    <row r="522" spans="1:17" ht="21" customHeight="1">
      <c r="A522" s="1" t="s">
        <v>409</v>
      </c>
      <c r="B522" s="1" t="s">
        <v>324</v>
      </c>
      <c r="C522" s="18">
        <v>37.018144822710298</v>
      </c>
      <c r="D522" s="18">
        <v>-3.8243858315828216</v>
      </c>
      <c r="E522" s="18">
        <v>297.45673505521222</v>
      </c>
      <c r="F522" s="18">
        <v>1.32389775</v>
      </c>
      <c r="G522" s="18">
        <v>0</v>
      </c>
      <c r="H522" s="18">
        <f t="shared" si="80"/>
        <v>1.32389775</v>
      </c>
      <c r="I522" s="18">
        <f t="shared" si="81"/>
        <v>-3.8243858315828221</v>
      </c>
      <c r="J522" s="18">
        <f t="shared" si="82"/>
        <v>37.018144822710298</v>
      </c>
      <c r="K522" s="18">
        <f t="shared" si="83"/>
        <v>224.68255955205922</v>
      </c>
      <c r="L522" s="18">
        <f t="shared" si="84"/>
        <v>41.654089435573781</v>
      </c>
      <c r="M522" s="18">
        <f t="shared" si="85"/>
        <v>-0.1853908443922746</v>
      </c>
      <c r="N522" s="18">
        <f t="shared" si="86"/>
        <v>-2.063330870943425E-2</v>
      </c>
      <c r="O522" s="18">
        <f t="shared" si="87"/>
        <v>37.256833127251198</v>
      </c>
      <c r="P522" s="18">
        <f t="shared" si="88"/>
        <v>302.5831517370064</v>
      </c>
      <c r="Q522" s="18">
        <f t="shared" si="89"/>
        <v>297.52005593944193</v>
      </c>
    </row>
    <row r="523" spans="1:17" ht="21" customHeight="1">
      <c r="A523" s="1" t="s">
        <v>410</v>
      </c>
      <c r="B523" s="1" t="s">
        <v>319</v>
      </c>
      <c r="C523" s="18">
        <v>70.695133423470992</v>
      </c>
      <c r="D523" s="18">
        <v>-1.9822057922384371</v>
      </c>
      <c r="E523" s="18">
        <v>2204.9999999995644</v>
      </c>
      <c r="F523" s="18">
        <v>1.32389775</v>
      </c>
      <c r="G523" s="18">
        <v>0</v>
      </c>
      <c r="H523" s="18">
        <f t="shared" si="80"/>
        <v>1.32389775</v>
      </c>
      <c r="I523" s="18">
        <f t="shared" si="81"/>
        <v>-1.9822057922384371</v>
      </c>
      <c r="J523" s="18">
        <f t="shared" si="82"/>
        <v>70.695133423470992</v>
      </c>
      <c r="K523" s="18">
        <f t="shared" si="83"/>
        <v>1665.5364811969537</v>
      </c>
      <c r="L523" s="18">
        <f t="shared" si="84"/>
        <v>82.037568487265716</v>
      </c>
      <c r="M523" s="18">
        <f t="shared" si="85"/>
        <v>-4.9255942102396123E-2</v>
      </c>
      <c r="N523" s="18">
        <f t="shared" si="86"/>
        <v>-6.8100790296970106E-3</v>
      </c>
      <c r="O523" s="18">
        <f t="shared" si="87"/>
        <v>70.728222320716498</v>
      </c>
      <c r="P523" s="18">
        <f t="shared" si="88"/>
        <v>2207.6753688225258</v>
      </c>
      <c r="Q523" s="18">
        <f t="shared" si="89"/>
        <v>2205.051131034144</v>
      </c>
    </row>
    <row r="524" spans="1:17" ht="21" customHeight="1">
      <c r="A524" s="1" t="s">
        <v>410</v>
      </c>
      <c r="B524" s="1" t="s">
        <v>320</v>
      </c>
      <c r="C524" s="18">
        <v>70.695133423470992</v>
      </c>
      <c r="D524" s="18">
        <v>-1.9822057922384371</v>
      </c>
      <c r="E524" s="18">
        <v>3422.7069248909875</v>
      </c>
      <c r="F524" s="18">
        <v>1.32389775</v>
      </c>
      <c r="G524" s="18">
        <v>3.4438949999999999</v>
      </c>
      <c r="H524" s="18">
        <f t="shared" si="80"/>
        <v>3.6895959160157443</v>
      </c>
      <c r="I524" s="18">
        <f t="shared" si="81"/>
        <v>-0.71125344024536152</v>
      </c>
      <c r="J524" s="18">
        <f t="shared" si="82"/>
        <v>70.719340693397925</v>
      </c>
      <c r="K524" s="18">
        <f t="shared" si="83"/>
        <v>927.66443881666044</v>
      </c>
      <c r="L524" s="18">
        <f t="shared" si="84"/>
        <v>44.68715640741938</v>
      </c>
      <c r="M524" s="18">
        <f t="shared" si="85"/>
        <v>-4.8171682062560076E-2</v>
      </c>
      <c r="N524" s="18">
        <f t="shared" si="86"/>
        <v>2.8062069857054672E-2</v>
      </c>
      <c r="O524" s="18">
        <f t="shared" si="87"/>
        <v>70.74004230899628</v>
      </c>
      <c r="P524" s="18">
        <f t="shared" si="88"/>
        <v>3426.6789073412174</v>
      </c>
      <c r="Q524" s="18">
        <f t="shared" si="89"/>
        <v>3424.0546695528365</v>
      </c>
    </row>
    <row r="525" spans="1:17" ht="21" customHeight="1">
      <c r="A525" s="1" t="s">
        <v>410</v>
      </c>
      <c r="B525" s="1" t="s">
        <v>321</v>
      </c>
      <c r="C525" s="18">
        <v>70.695133423470992</v>
      </c>
      <c r="D525" s="18">
        <v>-1.9822057922384371</v>
      </c>
      <c r="E525" s="18">
        <v>3717.7836607181143</v>
      </c>
      <c r="F525" s="18">
        <v>3.8554321618301355</v>
      </c>
      <c r="G525" s="18">
        <v>0</v>
      </c>
      <c r="H525" s="18">
        <f t="shared" si="80"/>
        <v>3.8554321618301355</v>
      </c>
      <c r="I525" s="18">
        <f t="shared" si="81"/>
        <v>-1.9822057922384371</v>
      </c>
      <c r="J525" s="18">
        <f t="shared" si="82"/>
        <v>70.695133423470992</v>
      </c>
      <c r="K525" s="18">
        <f t="shared" si="83"/>
        <v>964.29751702681222</v>
      </c>
      <c r="L525" s="18">
        <f t="shared" si="84"/>
        <v>62.375706283207023</v>
      </c>
      <c r="M525" s="18">
        <f t="shared" si="85"/>
        <v>-6.4685125888873027E-2</v>
      </c>
      <c r="N525" s="18">
        <f t="shared" si="86"/>
        <v>8.6274484724538063E-3</v>
      </c>
      <c r="O525" s="18">
        <f t="shared" si="87"/>
        <v>70.738744111280383</v>
      </c>
      <c r="P525" s="18">
        <f t="shared" si="88"/>
        <v>3725.564284187752</v>
      </c>
      <c r="Q525" s="18">
        <f t="shared" si="89"/>
        <v>3717.9220242249899</v>
      </c>
    </row>
    <row r="526" spans="1:17" ht="21" customHeight="1">
      <c r="A526" s="1" t="s">
        <v>410</v>
      </c>
      <c r="B526" s="1" t="s">
        <v>322</v>
      </c>
      <c r="C526" s="18">
        <v>70.695133423470992</v>
      </c>
      <c r="D526" s="18">
        <v>-1.9822057922384371</v>
      </c>
      <c r="E526" s="18">
        <v>3438.4901593605282</v>
      </c>
      <c r="F526" s="18">
        <v>2.3365115147320541</v>
      </c>
      <c r="G526" s="18">
        <v>1.4349562500000002</v>
      </c>
      <c r="H526" s="18">
        <f t="shared" si="80"/>
        <v>2.7419674501878282</v>
      </c>
      <c r="I526" s="18">
        <f t="shared" si="81"/>
        <v>-1.6890961480291906</v>
      </c>
      <c r="J526" s="18">
        <f t="shared" si="82"/>
        <v>70.70274382064575</v>
      </c>
      <c r="K526" s="18">
        <f t="shared" si="83"/>
        <v>1254.0229677507614</v>
      </c>
      <c r="L526" s="18">
        <f t="shared" si="84"/>
        <v>65.303299823848889</v>
      </c>
      <c r="M526" s="18">
        <f t="shared" si="85"/>
        <v>-5.207504288456382E-2</v>
      </c>
      <c r="N526" s="18">
        <f t="shared" si="86"/>
        <v>4.3056978505596304E-3</v>
      </c>
      <c r="O526" s="18">
        <f t="shared" si="87"/>
        <v>70.732279530866975</v>
      </c>
      <c r="P526" s="18">
        <f t="shared" si="88"/>
        <v>3443.1534792108555</v>
      </c>
      <c r="Q526" s="18">
        <f t="shared" si="89"/>
        <v>3438.5220325527221</v>
      </c>
    </row>
    <row r="527" spans="1:17" ht="21" customHeight="1">
      <c r="A527" s="1" t="s">
        <v>410</v>
      </c>
      <c r="B527" s="1" t="s">
        <v>323</v>
      </c>
      <c r="C527" s="18">
        <v>70.695133423470992</v>
      </c>
      <c r="D527" s="18">
        <v>-1.9822057922384371</v>
      </c>
      <c r="E527" s="18">
        <v>3477.7821100622705</v>
      </c>
      <c r="F527" s="18">
        <v>1.32389775</v>
      </c>
      <c r="G527" s="18">
        <v>0</v>
      </c>
      <c r="H527" s="18">
        <f t="shared" si="80"/>
        <v>1.32389775</v>
      </c>
      <c r="I527" s="18">
        <f t="shared" si="81"/>
        <v>-1.9822057922384371</v>
      </c>
      <c r="J527" s="18">
        <f t="shared" si="82"/>
        <v>70.695133423470992</v>
      </c>
      <c r="K527" s="18">
        <f t="shared" si="83"/>
        <v>2626.9265206185828</v>
      </c>
      <c r="L527" s="18">
        <f t="shared" si="84"/>
        <v>108.99153064240325</v>
      </c>
      <c r="M527" s="18">
        <f t="shared" si="85"/>
        <v>-4.1490132969816823E-2</v>
      </c>
      <c r="N527" s="18">
        <f t="shared" si="86"/>
        <v>-1.4578404427511092E-2</v>
      </c>
      <c r="O527" s="18">
        <f t="shared" si="87"/>
        <v>70.725049814916574</v>
      </c>
      <c r="P527" s="18">
        <f t="shared" si="88"/>
        <v>3480.7759206957198</v>
      </c>
      <c r="Q527" s="18">
        <f t="shared" si="89"/>
        <v>3478.151682907338</v>
      </c>
    </row>
    <row r="528" spans="1:17" ht="21" customHeight="1">
      <c r="A528" s="1" t="s">
        <v>410</v>
      </c>
      <c r="B528" s="1" t="s">
        <v>324</v>
      </c>
      <c r="C528" s="18">
        <v>70.695133423470992</v>
      </c>
      <c r="D528" s="18">
        <v>-1.9822057922384371</v>
      </c>
      <c r="E528" s="18">
        <v>538.92577227145898</v>
      </c>
      <c r="F528" s="18">
        <v>1.32389775</v>
      </c>
      <c r="G528" s="18">
        <v>0</v>
      </c>
      <c r="H528" s="18">
        <f t="shared" si="80"/>
        <v>1.32389775</v>
      </c>
      <c r="I528" s="18">
        <f t="shared" si="81"/>
        <v>-1.9822057922384371</v>
      </c>
      <c r="J528" s="18">
        <f t="shared" si="82"/>
        <v>70.695133423470992</v>
      </c>
      <c r="K528" s="18">
        <f t="shared" si="83"/>
        <v>407.07507227915374</v>
      </c>
      <c r="L528" s="18">
        <f t="shared" si="84"/>
        <v>46.745637776738668</v>
      </c>
      <c r="M528" s="18">
        <f t="shared" si="85"/>
        <v>-0.11483296561250161</v>
      </c>
      <c r="N528" s="18">
        <f t="shared" si="86"/>
        <v>5.8833117716205523E-2</v>
      </c>
      <c r="O528" s="18">
        <f t="shared" si="87"/>
        <v>70.81175586299851</v>
      </c>
      <c r="P528" s="18">
        <f t="shared" si="88"/>
        <v>542.48298064208257</v>
      </c>
      <c r="Q528" s="18">
        <f t="shared" si="89"/>
        <v>539.85874285370119</v>
      </c>
    </row>
    <row r="529" spans="1:17" ht="21" customHeight="1">
      <c r="A529" s="1" t="s">
        <v>411</v>
      </c>
      <c r="B529" s="1" t="s">
        <v>319</v>
      </c>
      <c r="C529" s="18">
        <v>55.408298670155602</v>
      </c>
      <c r="D529" s="18">
        <v>8.1878684792349308</v>
      </c>
      <c r="E529" s="18">
        <v>2205.0000000008367</v>
      </c>
      <c r="F529" s="18">
        <v>1.32389775</v>
      </c>
      <c r="G529" s="18">
        <v>0</v>
      </c>
      <c r="H529" s="18">
        <f t="shared" si="80"/>
        <v>1.32389775</v>
      </c>
      <c r="I529" s="18">
        <f t="shared" si="81"/>
        <v>8.1878684792349308</v>
      </c>
      <c r="J529" s="18">
        <f t="shared" si="82"/>
        <v>55.408298670155602</v>
      </c>
      <c r="K529" s="18">
        <f t="shared" si="83"/>
        <v>1665.5364811979148</v>
      </c>
      <c r="L529" s="18">
        <f t="shared" si="84"/>
        <v>-217.51941651652996</v>
      </c>
      <c r="M529" s="18">
        <f t="shared" si="85"/>
        <v>0.130600211386593</v>
      </c>
      <c r="N529" s="18">
        <f t="shared" si="86"/>
        <v>0.16386774968170373</v>
      </c>
      <c r="O529" s="18">
        <f t="shared" si="87"/>
        <v>56.01253348790533</v>
      </c>
      <c r="P529" s="18">
        <f t="shared" si="88"/>
        <v>2223.8314413699409</v>
      </c>
      <c r="Q529" s="18">
        <f t="shared" si="89"/>
        <v>2234.6713420268961</v>
      </c>
    </row>
    <row r="530" spans="1:17" ht="21" customHeight="1">
      <c r="A530" s="1" t="s">
        <v>411</v>
      </c>
      <c r="B530" s="1" t="s">
        <v>320</v>
      </c>
      <c r="C530" s="18">
        <v>55.408298670155602</v>
      </c>
      <c r="D530" s="18">
        <v>8.1878684792349308</v>
      </c>
      <c r="E530" s="18">
        <v>3291.685253019773</v>
      </c>
      <c r="F530" s="18">
        <v>1.32389775</v>
      </c>
      <c r="G530" s="18">
        <v>3.4438949999999999</v>
      </c>
      <c r="H530" s="18">
        <f t="shared" si="80"/>
        <v>3.6895959160157443</v>
      </c>
      <c r="I530" s="18">
        <f t="shared" si="81"/>
        <v>2.9379641846147333</v>
      </c>
      <c r="J530" s="18">
        <f t="shared" si="82"/>
        <v>55.932898353333499</v>
      </c>
      <c r="K530" s="18">
        <f t="shared" si="83"/>
        <v>892.15332192104654</v>
      </c>
      <c r="L530" s="18">
        <f t="shared" si="84"/>
        <v>-18.866133328143974</v>
      </c>
      <c r="M530" s="18">
        <f t="shared" si="85"/>
        <v>2.1146738867171513E-2</v>
      </c>
      <c r="N530" s="18">
        <f t="shared" si="86"/>
        <v>8.3841005624924428E-2</v>
      </c>
      <c r="O530" s="18">
        <f t="shared" si="87"/>
        <v>56.019154001957084</v>
      </c>
      <c r="P530" s="18">
        <f t="shared" si="88"/>
        <v>3292.4212758658582</v>
      </c>
      <c r="Q530" s="18">
        <f t="shared" si="89"/>
        <v>3303.2611765228139</v>
      </c>
    </row>
    <row r="531" spans="1:17" ht="21" customHeight="1">
      <c r="A531" s="1" t="s">
        <v>411</v>
      </c>
      <c r="B531" s="1" t="s">
        <v>321</v>
      </c>
      <c r="C531" s="18">
        <v>55.408298670155602</v>
      </c>
      <c r="D531" s="18">
        <v>8.1878684792349308</v>
      </c>
      <c r="E531" s="18">
        <v>3559.7024880160552</v>
      </c>
      <c r="F531" s="18">
        <v>3.8554321618301355</v>
      </c>
      <c r="G531" s="18">
        <v>0</v>
      </c>
      <c r="H531" s="18">
        <f t="shared" si="80"/>
        <v>3.8554321618301355</v>
      </c>
      <c r="I531" s="18">
        <f t="shared" si="81"/>
        <v>8.1878684792349308</v>
      </c>
      <c r="J531" s="18">
        <f t="shared" si="82"/>
        <v>55.408298670155602</v>
      </c>
      <c r="K531" s="18">
        <f t="shared" si="83"/>
        <v>923.29532425913567</v>
      </c>
      <c r="L531" s="18">
        <f t="shared" si="84"/>
        <v>-108.22226881692211</v>
      </c>
      <c r="M531" s="18">
        <f t="shared" si="85"/>
        <v>0.11721305845858267</v>
      </c>
      <c r="N531" s="18">
        <f t="shared" si="86"/>
        <v>0.17722451656340515</v>
      </c>
      <c r="O531" s="18">
        <f t="shared" si="87"/>
        <v>56.018231300566981</v>
      </c>
      <c r="P531" s="18">
        <f t="shared" si="88"/>
        <v>3584.1836976819513</v>
      </c>
      <c r="Q531" s="18">
        <f t="shared" si="89"/>
        <v>3615.7514691536294</v>
      </c>
    </row>
    <row r="532" spans="1:17" ht="21" customHeight="1">
      <c r="A532" s="1" t="s">
        <v>411</v>
      </c>
      <c r="B532" s="1" t="s">
        <v>322</v>
      </c>
      <c r="C532" s="18">
        <v>55.408298670155602</v>
      </c>
      <c r="D532" s="18">
        <v>8.1878684792349308</v>
      </c>
      <c r="E532" s="18">
        <v>3377.8456276925472</v>
      </c>
      <c r="F532" s="18">
        <v>2.3365115147320541</v>
      </c>
      <c r="G532" s="18">
        <v>1.4349562500000002</v>
      </c>
      <c r="H532" s="18">
        <f t="shared" si="80"/>
        <v>2.7419674501878282</v>
      </c>
      <c r="I532" s="18">
        <f t="shared" si="81"/>
        <v>6.9771247581854219</v>
      </c>
      <c r="J532" s="18">
        <f t="shared" si="82"/>
        <v>55.573739138761688</v>
      </c>
      <c r="K532" s="18">
        <f t="shared" si="83"/>
        <v>1231.905808167475</v>
      </c>
      <c r="L532" s="18">
        <f t="shared" si="84"/>
        <v>-126.45894134168888</v>
      </c>
      <c r="M532" s="18">
        <f t="shared" si="85"/>
        <v>0.10265309287712771</v>
      </c>
      <c r="N532" s="18">
        <f t="shared" si="86"/>
        <v>0.14776509638446611</v>
      </c>
      <c r="O532" s="18">
        <f t="shared" si="87"/>
        <v>56.014681639885602</v>
      </c>
      <c r="P532" s="18">
        <f t="shared" si="88"/>
        <v>3395.6585517799144</v>
      </c>
      <c r="Q532" s="18">
        <f t="shared" si="89"/>
        <v>3414.7896007627587</v>
      </c>
    </row>
    <row r="533" spans="1:17" ht="21" customHeight="1">
      <c r="A533" s="1" t="s">
        <v>411</v>
      </c>
      <c r="B533" s="1" t="s">
        <v>323</v>
      </c>
      <c r="C533" s="18">
        <v>55.408298670155602</v>
      </c>
      <c r="D533" s="18">
        <v>8.1878684792349308</v>
      </c>
      <c r="E533" s="18">
        <v>3517.5250693848875</v>
      </c>
      <c r="F533" s="18">
        <v>1.32389775</v>
      </c>
      <c r="G533" s="18">
        <v>0</v>
      </c>
      <c r="H533" s="18">
        <f t="shared" si="80"/>
        <v>1.32389775</v>
      </c>
      <c r="I533" s="18">
        <f t="shared" si="81"/>
        <v>8.1878684792349308</v>
      </c>
      <c r="J533" s="18">
        <f t="shared" si="82"/>
        <v>55.408298670155602</v>
      </c>
      <c r="K533" s="18">
        <f t="shared" si="83"/>
        <v>2656.9461798578382</v>
      </c>
      <c r="L533" s="18">
        <f t="shared" si="84"/>
        <v>-363.49948504879546</v>
      </c>
      <c r="M533" s="18">
        <f t="shared" si="85"/>
        <v>0.13681100799273427</v>
      </c>
      <c r="N533" s="18">
        <f t="shared" si="86"/>
        <v>0.15766513710163488</v>
      </c>
      <c r="O533" s="18">
        <f t="shared" si="87"/>
        <v>56.010999069930314</v>
      </c>
      <c r="P533" s="18">
        <f t="shared" si="88"/>
        <v>3550.4956492546739</v>
      </c>
      <c r="Q533" s="18">
        <f t="shared" si="89"/>
        <v>3561.3355499116292</v>
      </c>
    </row>
    <row r="534" spans="1:17" ht="21" customHeight="1">
      <c r="A534" s="1" t="s">
        <v>411</v>
      </c>
      <c r="B534" s="1" t="s">
        <v>324</v>
      </c>
      <c r="C534" s="18">
        <v>55.408298670155602</v>
      </c>
      <c r="D534" s="18">
        <v>8.1878684792349308</v>
      </c>
      <c r="E534" s="18">
        <v>430.43261300581514</v>
      </c>
      <c r="F534" s="18">
        <v>1.32389775</v>
      </c>
      <c r="G534" s="18">
        <v>0</v>
      </c>
      <c r="H534" s="18">
        <f t="shared" si="80"/>
        <v>1.32389775</v>
      </c>
      <c r="I534" s="18">
        <f t="shared" si="81"/>
        <v>8.1878684792349308</v>
      </c>
      <c r="J534" s="18">
        <f t="shared" si="82"/>
        <v>55.408298670155602</v>
      </c>
      <c r="K534" s="18">
        <f t="shared" si="83"/>
        <v>325.12526968628441</v>
      </c>
      <c r="L534" s="18">
        <f t="shared" si="84"/>
        <v>-20.110061331225239</v>
      </c>
      <c r="M534" s="18">
        <f t="shared" si="85"/>
        <v>6.1853270742780388E-2</v>
      </c>
      <c r="N534" s="18">
        <f t="shared" si="86"/>
        <v>0.23227465547125581</v>
      </c>
      <c r="O534" s="18">
        <f t="shared" si="87"/>
        <v>56.076362433832664</v>
      </c>
      <c r="P534" s="18">
        <f t="shared" si="88"/>
        <v>431.25625592666245</v>
      </c>
      <c r="Q534" s="18">
        <f t="shared" si="89"/>
        <v>442.09615658361741</v>
      </c>
    </row>
    <row r="535" spans="1:17" ht="21" customHeight="1">
      <c r="A535" s="1" t="s">
        <v>412</v>
      </c>
      <c r="B535" s="1" t="s">
        <v>319</v>
      </c>
      <c r="C535" s="18">
        <v>55.408298670127913</v>
      </c>
      <c r="D535" s="18">
        <v>8.7587365964745008</v>
      </c>
      <c r="E535" s="18">
        <v>2204.9999999983875</v>
      </c>
      <c r="F535" s="18">
        <v>1.32389775</v>
      </c>
      <c r="G535" s="18">
        <v>0</v>
      </c>
      <c r="H535" s="18">
        <f t="shared" si="80"/>
        <v>1.32389775</v>
      </c>
      <c r="I535" s="18">
        <f t="shared" si="81"/>
        <v>8.7587365964745008</v>
      </c>
      <c r="J535" s="18">
        <f t="shared" si="82"/>
        <v>55.408298670127913</v>
      </c>
      <c r="K535" s="18">
        <f t="shared" si="83"/>
        <v>1665.5364811960649</v>
      </c>
      <c r="L535" s="18">
        <f t="shared" si="84"/>
        <v>-234.48129984988213</v>
      </c>
      <c r="M535" s="18">
        <f t="shared" si="85"/>
        <v>0.14078424729639968</v>
      </c>
      <c r="N535" s="18">
        <f t="shared" si="86"/>
        <v>0.17405178559153073</v>
      </c>
      <c r="O535" s="18">
        <f t="shared" si="87"/>
        <v>56.098825159390131</v>
      </c>
      <c r="P535" s="18">
        <f t="shared" si="88"/>
        <v>2226.8878912989489</v>
      </c>
      <c r="Q535" s="18">
        <f t="shared" si="89"/>
        <v>2238.4835629718641</v>
      </c>
    </row>
    <row r="536" spans="1:17" ht="21" customHeight="1">
      <c r="A536" s="1" t="s">
        <v>412</v>
      </c>
      <c r="B536" s="1" t="s">
        <v>320</v>
      </c>
      <c r="C536" s="18">
        <v>55.408298670127913</v>
      </c>
      <c r="D536" s="18">
        <v>8.7587365964745008</v>
      </c>
      <c r="E536" s="18">
        <v>3295.0321471597053</v>
      </c>
      <c r="F536" s="18">
        <v>1.32389775</v>
      </c>
      <c r="G536" s="18">
        <v>3.4438949999999999</v>
      </c>
      <c r="H536" s="18">
        <f t="shared" si="80"/>
        <v>3.6895959160157443</v>
      </c>
      <c r="I536" s="18">
        <f t="shared" si="81"/>
        <v>3.1428026095163775</v>
      </c>
      <c r="J536" s="18">
        <f t="shared" si="82"/>
        <v>56.008194222293376</v>
      </c>
      <c r="K536" s="18">
        <f t="shared" si="83"/>
        <v>893.0604386395479</v>
      </c>
      <c r="L536" s="18">
        <f t="shared" si="84"/>
        <v>-22.073979680739139</v>
      </c>
      <c r="M536" s="18">
        <f t="shared" si="85"/>
        <v>2.4717229344931847E-2</v>
      </c>
      <c r="N536" s="18">
        <f t="shared" si="86"/>
        <v>8.7432127238756346E-2</v>
      </c>
      <c r="O536" s="18">
        <f t="shared" si="87"/>
        <v>56.105466126924775</v>
      </c>
      <c r="P536" s="18">
        <f t="shared" si="88"/>
        <v>3296.0387342254426</v>
      </c>
      <c r="Q536" s="18">
        <f t="shared" si="89"/>
        <v>3307.6344058983582</v>
      </c>
    </row>
    <row r="537" spans="1:17" ht="21" customHeight="1">
      <c r="A537" s="1" t="s">
        <v>412</v>
      </c>
      <c r="B537" s="1" t="s">
        <v>321</v>
      </c>
      <c r="C537" s="18">
        <v>55.408298670127913</v>
      </c>
      <c r="D537" s="18">
        <v>8.7587365964745008</v>
      </c>
      <c r="E537" s="18">
        <v>3557.2734800430726</v>
      </c>
      <c r="F537" s="18">
        <v>3.8554321618301355</v>
      </c>
      <c r="G537" s="18">
        <v>0</v>
      </c>
      <c r="H537" s="18">
        <f t="shared" si="80"/>
        <v>3.8554321618301355</v>
      </c>
      <c r="I537" s="18">
        <f t="shared" si="81"/>
        <v>8.7587365964745008</v>
      </c>
      <c r="J537" s="18">
        <f t="shared" si="82"/>
        <v>55.408298670127913</v>
      </c>
      <c r="K537" s="18">
        <f t="shared" si="83"/>
        <v>922.66530202789772</v>
      </c>
      <c r="L537" s="18">
        <f t="shared" si="84"/>
        <v>-117.52499045681111</v>
      </c>
      <c r="M537" s="18">
        <f t="shared" si="85"/>
        <v>0.1273755393190863</v>
      </c>
      <c r="N537" s="18">
        <f t="shared" si="86"/>
        <v>0.18742797496216046</v>
      </c>
      <c r="O537" s="18">
        <f t="shared" si="87"/>
        <v>56.104525428785507</v>
      </c>
      <c r="P537" s="18">
        <f t="shared" si="88"/>
        <v>3586.1700594363688</v>
      </c>
      <c r="Q537" s="18">
        <f t="shared" si="89"/>
        <v>3619.9387742074155</v>
      </c>
    </row>
    <row r="538" spans="1:17" ht="21" customHeight="1">
      <c r="A538" s="1" t="s">
        <v>412</v>
      </c>
      <c r="B538" s="1" t="s">
        <v>322</v>
      </c>
      <c r="C538" s="18">
        <v>55.408298670127913</v>
      </c>
      <c r="D538" s="18">
        <v>8.7587365964745008</v>
      </c>
      <c r="E538" s="18">
        <v>3377.6086585740886</v>
      </c>
      <c r="F538" s="18">
        <v>2.3365115147320541</v>
      </c>
      <c r="G538" s="18">
        <v>1.4349562500000002</v>
      </c>
      <c r="H538" s="18">
        <f t="shared" si="80"/>
        <v>2.7419674501878282</v>
      </c>
      <c r="I538" s="18">
        <f t="shared" si="81"/>
        <v>7.4635783553031754</v>
      </c>
      <c r="J538" s="18">
        <f t="shared" si="82"/>
        <v>55.597572127016214</v>
      </c>
      <c r="K538" s="18">
        <f t="shared" si="83"/>
        <v>1231.8193851435831</v>
      </c>
      <c r="L538" s="18">
        <f t="shared" si="84"/>
        <v>-137.05760195202072</v>
      </c>
      <c r="M538" s="18">
        <f t="shared" si="85"/>
        <v>0.11126436521864368</v>
      </c>
      <c r="N538" s="18">
        <f t="shared" si="86"/>
        <v>0.15639888152643472</v>
      </c>
      <c r="O538" s="18">
        <f t="shared" si="87"/>
        <v>56.100978677169728</v>
      </c>
      <c r="P538" s="18">
        <f t="shared" si="88"/>
        <v>3398.5372266416948</v>
      </c>
      <c r="Q538" s="18">
        <f t="shared" si="89"/>
        <v>3419.002115553862</v>
      </c>
    </row>
    <row r="539" spans="1:17" ht="21" customHeight="1">
      <c r="A539" s="1" t="s">
        <v>412</v>
      </c>
      <c r="B539" s="1" t="s">
        <v>323</v>
      </c>
      <c r="C539" s="18">
        <v>55.408298670127913</v>
      </c>
      <c r="D539" s="18">
        <v>8.7587365964745008</v>
      </c>
      <c r="E539" s="18">
        <v>3515.8117957326158</v>
      </c>
      <c r="F539" s="18">
        <v>1.32389775</v>
      </c>
      <c r="G539" s="18">
        <v>0</v>
      </c>
      <c r="H539" s="18">
        <f t="shared" si="80"/>
        <v>1.32389775</v>
      </c>
      <c r="I539" s="18">
        <f t="shared" si="81"/>
        <v>8.7587365964745008</v>
      </c>
      <c r="J539" s="18">
        <f t="shared" si="82"/>
        <v>55.408298670127913</v>
      </c>
      <c r="K539" s="18">
        <f t="shared" si="83"/>
        <v>2655.6520665834018</v>
      </c>
      <c r="L539" s="18">
        <f t="shared" si="84"/>
        <v>-390.35493076645025</v>
      </c>
      <c r="M539" s="18">
        <f t="shared" si="85"/>
        <v>0.14699023854757329</v>
      </c>
      <c r="N539" s="18">
        <f t="shared" si="86"/>
        <v>0.16785452998369235</v>
      </c>
      <c r="O539" s="18">
        <f t="shared" si="87"/>
        <v>56.097294068519531</v>
      </c>
      <c r="P539" s="18">
        <f t="shared" si="88"/>
        <v>3553.8617749437217</v>
      </c>
      <c r="Q539" s="18">
        <f t="shared" si="89"/>
        <v>3565.4574466166373</v>
      </c>
    </row>
    <row r="540" spans="1:17" ht="21" customHeight="1">
      <c r="A540" s="1" t="s">
        <v>412</v>
      </c>
      <c r="B540" s="1" t="s">
        <v>324</v>
      </c>
      <c r="C540" s="18">
        <v>55.408298670127913</v>
      </c>
      <c r="D540" s="18">
        <v>8.7587365964745008</v>
      </c>
      <c r="E540" s="18">
        <v>429.98662329775209</v>
      </c>
      <c r="F540" s="18">
        <v>1.32389775</v>
      </c>
      <c r="G540" s="18">
        <v>0</v>
      </c>
      <c r="H540" s="18">
        <f t="shared" si="80"/>
        <v>1.32389775</v>
      </c>
      <c r="I540" s="18">
        <f t="shared" si="81"/>
        <v>8.7587365964745008</v>
      </c>
      <c r="J540" s="18">
        <f t="shared" si="82"/>
        <v>55.408298670127913</v>
      </c>
      <c r="K540" s="18">
        <f t="shared" si="83"/>
        <v>324.78839343729686</v>
      </c>
      <c r="L540" s="18">
        <f t="shared" si="84"/>
        <v>-23.364289252881772</v>
      </c>
      <c r="M540" s="18">
        <f t="shared" si="85"/>
        <v>7.1936958724457753E-2</v>
      </c>
      <c r="N540" s="18">
        <f t="shared" si="86"/>
        <v>0.24253510751829682</v>
      </c>
      <c r="O540" s="18">
        <f t="shared" si="87"/>
        <v>56.162693598938993</v>
      </c>
      <c r="P540" s="18">
        <f t="shared" si="88"/>
        <v>431.09967765625146</v>
      </c>
      <c r="Q540" s="18">
        <f t="shared" si="89"/>
        <v>442.69534932916667</v>
      </c>
    </row>
    <row r="541" spans="1:17" ht="21" customHeight="1">
      <c r="A541" s="1" t="s">
        <v>413</v>
      </c>
      <c r="B541" s="1" t="s">
        <v>319</v>
      </c>
      <c r="C541" s="18">
        <v>63.217131351994695</v>
      </c>
      <c r="D541" s="18">
        <v>3.647411362687853</v>
      </c>
      <c r="E541" s="18">
        <v>2204.9999999995953</v>
      </c>
      <c r="F541" s="18">
        <v>1.32389775</v>
      </c>
      <c r="G541" s="18">
        <v>0</v>
      </c>
      <c r="H541" s="18">
        <f t="shared" si="80"/>
        <v>1.32389775</v>
      </c>
      <c r="I541" s="18">
        <f t="shared" si="81"/>
        <v>3.647411362687853</v>
      </c>
      <c r="J541" s="18">
        <f t="shared" si="82"/>
        <v>63.217131351994695</v>
      </c>
      <c r="K541" s="18">
        <f t="shared" si="83"/>
        <v>1665.5364811969771</v>
      </c>
      <c r="L541" s="18">
        <f t="shared" si="84"/>
        <v>-64.428174810565338</v>
      </c>
      <c r="M541" s="18">
        <f t="shared" si="85"/>
        <v>3.8683136357519174E-2</v>
      </c>
      <c r="N541" s="18">
        <f t="shared" si="86"/>
        <v>7.6639153572201982E-2</v>
      </c>
      <c r="O541" s="18">
        <f t="shared" si="87"/>
        <v>63.326054016484342</v>
      </c>
      <c r="P541" s="18">
        <f t="shared" si="88"/>
        <v>2206.6499702383294</v>
      </c>
      <c r="Q541" s="18">
        <f t="shared" si="89"/>
        <v>2211.4787699347162</v>
      </c>
    </row>
    <row r="542" spans="1:17" ht="21" customHeight="1">
      <c r="A542" s="1" t="s">
        <v>413</v>
      </c>
      <c r="B542" s="1" t="s">
        <v>320</v>
      </c>
      <c r="C542" s="18">
        <v>63.217131351994695</v>
      </c>
      <c r="D542" s="18">
        <v>3.647411362687853</v>
      </c>
      <c r="E542" s="18">
        <v>3350.0866362166353</v>
      </c>
      <c r="F542" s="18">
        <v>1.32389775</v>
      </c>
      <c r="G542" s="18">
        <v>3.4438949999999999</v>
      </c>
      <c r="H542" s="18">
        <f t="shared" si="80"/>
        <v>3.6895959160157443</v>
      </c>
      <c r="I542" s="18">
        <f t="shared" si="81"/>
        <v>1.3087611235219823</v>
      </c>
      <c r="J542" s="18">
        <f t="shared" si="82"/>
        <v>63.308739130909665</v>
      </c>
      <c r="K542" s="18">
        <f t="shared" si="83"/>
        <v>907.98198840003806</v>
      </c>
      <c r="L542" s="18">
        <f t="shared" si="84"/>
        <v>12.889088630366334</v>
      </c>
      <c r="M542" s="18">
        <f t="shared" si="85"/>
        <v>-1.4195313117475265E-2</v>
      </c>
      <c r="N542" s="18">
        <f t="shared" si="86"/>
        <v>5.5529350961452631E-2</v>
      </c>
      <c r="O542" s="18">
        <f t="shared" si="87"/>
        <v>63.335087576727453</v>
      </c>
      <c r="P542" s="18">
        <f t="shared" si="88"/>
        <v>3350.4241746952971</v>
      </c>
      <c r="Q542" s="18">
        <f t="shared" si="89"/>
        <v>3355.2529743916839</v>
      </c>
    </row>
    <row r="543" spans="1:17" ht="21" customHeight="1">
      <c r="A543" s="1" t="s">
        <v>413</v>
      </c>
      <c r="B543" s="1" t="s">
        <v>321</v>
      </c>
      <c r="C543" s="18">
        <v>63.217131351994695</v>
      </c>
      <c r="D543" s="18">
        <v>3.647411362687853</v>
      </c>
      <c r="E543" s="18">
        <v>3645.6733683639941</v>
      </c>
      <c r="F543" s="18">
        <v>3.8554321618301355</v>
      </c>
      <c r="G543" s="18">
        <v>0</v>
      </c>
      <c r="H543" s="18">
        <f t="shared" si="80"/>
        <v>3.8554321618301355</v>
      </c>
      <c r="I543" s="18">
        <f t="shared" si="81"/>
        <v>3.647411362687853</v>
      </c>
      <c r="J543" s="18">
        <f t="shared" si="82"/>
        <v>63.217131351994695</v>
      </c>
      <c r="K543" s="18">
        <f t="shared" si="83"/>
        <v>945.59396076455118</v>
      </c>
      <c r="L543" s="18">
        <f t="shared" si="84"/>
        <v>-22.908592105783242</v>
      </c>
      <c r="M543" s="18">
        <f t="shared" si="85"/>
        <v>2.4226669222020741E-2</v>
      </c>
      <c r="N543" s="18">
        <f t="shared" si="86"/>
        <v>9.1081084515537494E-2</v>
      </c>
      <c r="O543" s="18">
        <f t="shared" si="87"/>
        <v>63.334019505210925</v>
      </c>
      <c r="P543" s="18">
        <f t="shared" si="88"/>
        <v>3646.7433009660931</v>
      </c>
      <c r="Q543" s="18">
        <f t="shared" si="89"/>
        <v>3660.8056480412251</v>
      </c>
    </row>
    <row r="544" spans="1:17" ht="21" customHeight="1">
      <c r="A544" s="1" t="s">
        <v>413</v>
      </c>
      <c r="B544" s="1" t="s">
        <v>322</v>
      </c>
      <c r="C544" s="18">
        <v>63.217131351994695</v>
      </c>
      <c r="D544" s="18">
        <v>3.647411362687853</v>
      </c>
      <c r="E544" s="18">
        <v>3408.7526361612227</v>
      </c>
      <c r="F544" s="18">
        <v>2.3365115147320541</v>
      </c>
      <c r="G544" s="18">
        <v>1.4349562500000002</v>
      </c>
      <c r="H544" s="18">
        <f t="shared" si="80"/>
        <v>2.7419674501878282</v>
      </c>
      <c r="I544" s="18">
        <f t="shared" si="81"/>
        <v>3.1080670367917453</v>
      </c>
      <c r="J544" s="18">
        <f t="shared" si="82"/>
        <v>63.245942362485387</v>
      </c>
      <c r="K544" s="18">
        <f t="shared" si="83"/>
        <v>1243.1776445514402</v>
      </c>
      <c r="L544" s="18">
        <f t="shared" si="84"/>
        <v>-29.438808299413484</v>
      </c>
      <c r="M544" s="18">
        <f t="shared" si="85"/>
        <v>2.3680290929005171E-2</v>
      </c>
      <c r="N544" s="18">
        <f t="shared" si="86"/>
        <v>7.4554711523421191E-2</v>
      </c>
      <c r="O544" s="18">
        <f t="shared" si="87"/>
        <v>63.329078049768604</v>
      </c>
      <c r="P544" s="18">
        <f t="shared" si="88"/>
        <v>3409.7084203742847</v>
      </c>
      <c r="Q544" s="18">
        <f t="shared" si="89"/>
        <v>3418.2306390221693</v>
      </c>
    </row>
    <row r="545" spans="1:17" ht="21" customHeight="1">
      <c r="A545" s="1" t="s">
        <v>413</v>
      </c>
      <c r="B545" s="1" t="s">
        <v>323</v>
      </c>
      <c r="C545" s="18">
        <v>63.217131351994695</v>
      </c>
      <c r="D545" s="18">
        <v>3.647411362687853</v>
      </c>
      <c r="E545" s="18">
        <v>3502.8881738895388</v>
      </c>
      <c r="F545" s="18">
        <v>1.32389775</v>
      </c>
      <c r="G545" s="18">
        <v>0</v>
      </c>
      <c r="H545" s="18">
        <f t="shared" si="80"/>
        <v>1.32389775</v>
      </c>
      <c r="I545" s="18">
        <f t="shared" si="81"/>
        <v>3.647411362687853</v>
      </c>
      <c r="J545" s="18">
        <f t="shared" si="82"/>
        <v>63.217131351994695</v>
      </c>
      <c r="K545" s="18">
        <f t="shared" si="83"/>
        <v>2645.8902690102304</v>
      </c>
      <c r="L545" s="18">
        <f t="shared" si="84"/>
        <v>-120.96201981219514</v>
      </c>
      <c r="M545" s="18">
        <f t="shared" si="85"/>
        <v>4.5716944965160773E-2</v>
      </c>
      <c r="N545" s="18">
        <f t="shared" si="86"/>
        <v>6.9609519835864997E-2</v>
      </c>
      <c r="O545" s="18">
        <f t="shared" si="87"/>
        <v>63.323766657557009</v>
      </c>
      <c r="P545" s="18">
        <f t="shared" si="88"/>
        <v>3506.5493980458045</v>
      </c>
      <c r="Q545" s="18">
        <f t="shared" si="89"/>
        <v>3511.3781977421909</v>
      </c>
    </row>
    <row r="546" spans="1:17" ht="21" customHeight="1">
      <c r="A546" s="1" t="s">
        <v>413</v>
      </c>
      <c r="B546" s="1" t="s">
        <v>324</v>
      </c>
      <c r="C546" s="18">
        <v>63.217131351994695</v>
      </c>
      <c r="D546" s="18">
        <v>3.647411362687853</v>
      </c>
      <c r="E546" s="18">
        <v>487.68656304154786</v>
      </c>
      <c r="F546" s="18">
        <v>1.32389775</v>
      </c>
      <c r="G546" s="18">
        <v>0</v>
      </c>
      <c r="H546" s="18">
        <f t="shared" si="80"/>
        <v>1.32389775</v>
      </c>
      <c r="I546" s="18">
        <f t="shared" si="81"/>
        <v>3.647411362687853</v>
      </c>
      <c r="J546" s="18">
        <f t="shared" si="82"/>
        <v>63.217131351994695</v>
      </c>
      <c r="K546" s="18">
        <f t="shared" si="83"/>
        <v>368.37177421107322</v>
      </c>
      <c r="L546" s="18">
        <f t="shared" si="84"/>
        <v>10.392569027391691</v>
      </c>
      <c r="M546" s="18">
        <f t="shared" si="85"/>
        <v>-2.8212175185379041E-2</v>
      </c>
      <c r="N546" s="18">
        <f t="shared" si="86"/>
        <v>0.14340013546840069</v>
      </c>
      <c r="O546" s="18">
        <f t="shared" si="87"/>
        <v>63.39974011596513</v>
      </c>
      <c r="P546" s="18">
        <f t="shared" si="88"/>
        <v>487.88065732453117</v>
      </c>
      <c r="Q546" s="18">
        <f t="shared" si="89"/>
        <v>492.70945702091797</v>
      </c>
    </row>
    <row r="547" spans="1:17" ht="21" customHeight="1">
      <c r="A547" s="1" t="s">
        <v>414</v>
      </c>
      <c r="B547" s="1" t="s">
        <v>319</v>
      </c>
      <c r="C547" s="18">
        <v>45.08917939789221</v>
      </c>
      <c r="D547" s="18">
        <v>-4.2660643030325449</v>
      </c>
      <c r="E547" s="18">
        <v>2205.0000000018463</v>
      </c>
      <c r="F547" s="18">
        <v>1.32389775</v>
      </c>
      <c r="G547" s="18">
        <v>0</v>
      </c>
      <c r="H547" s="18">
        <f t="shared" si="80"/>
        <v>1.32389775</v>
      </c>
      <c r="I547" s="18">
        <f t="shared" si="81"/>
        <v>-4.2660643030325449</v>
      </c>
      <c r="J547" s="18">
        <f t="shared" si="82"/>
        <v>45.08917939789221</v>
      </c>
      <c r="K547" s="18">
        <f t="shared" si="83"/>
        <v>1665.5364811986774</v>
      </c>
      <c r="L547" s="18">
        <f t="shared" si="84"/>
        <v>179.88857892251394</v>
      </c>
      <c r="M547" s="18">
        <f t="shared" si="85"/>
        <v>-0.10800638770340781</v>
      </c>
      <c r="N547" s="18">
        <f t="shared" si="86"/>
        <v>-8.0934522327368863E-2</v>
      </c>
      <c r="O547" s="18">
        <f t="shared" si="87"/>
        <v>45.291915080002582</v>
      </c>
      <c r="P547" s="18">
        <f t="shared" si="88"/>
        <v>2217.8735885268043</v>
      </c>
      <c r="Q547" s="18">
        <f t="shared" si="89"/>
        <v>2212.2257555946644</v>
      </c>
    </row>
    <row r="548" spans="1:17" ht="21" customHeight="1">
      <c r="A548" s="1" t="s">
        <v>414</v>
      </c>
      <c r="B548" s="1" t="s">
        <v>320</v>
      </c>
      <c r="C548" s="18">
        <v>45.08917939789221</v>
      </c>
      <c r="D548" s="18">
        <v>-4.2660643030325449</v>
      </c>
      <c r="E548" s="18">
        <v>3177.7410628034795</v>
      </c>
      <c r="F548" s="18">
        <v>1.32389775</v>
      </c>
      <c r="G548" s="18">
        <v>3.4438949999999999</v>
      </c>
      <c r="H548" s="18">
        <f t="shared" si="80"/>
        <v>3.6895959160157443</v>
      </c>
      <c r="I548" s="18">
        <f t="shared" si="81"/>
        <v>-1.5307456590636586</v>
      </c>
      <c r="J548" s="18">
        <f t="shared" si="82"/>
        <v>45.264668574288422</v>
      </c>
      <c r="K548" s="18">
        <f t="shared" si="83"/>
        <v>861.27075569700935</v>
      </c>
      <c r="L548" s="18">
        <f t="shared" si="84"/>
        <v>51.749606506712425</v>
      </c>
      <c r="M548" s="18">
        <f t="shared" si="85"/>
        <v>-6.0085177819409988E-2</v>
      </c>
      <c r="N548" s="18">
        <f t="shared" si="86"/>
        <v>-7.5294997415486049E-3</v>
      </c>
      <c r="O548" s="18">
        <f t="shared" si="87"/>
        <v>45.29575090471932</v>
      </c>
      <c r="P548" s="18">
        <f t="shared" si="88"/>
        <v>3183.4789745803237</v>
      </c>
      <c r="Q548" s="18">
        <f t="shared" si="89"/>
        <v>3177.8311416481829</v>
      </c>
    </row>
    <row r="549" spans="1:17" ht="21" customHeight="1">
      <c r="A549" s="1" t="s">
        <v>414</v>
      </c>
      <c r="B549" s="1" t="s">
        <v>321</v>
      </c>
      <c r="C549" s="18">
        <v>45.08917939789221</v>
      </c>
      <c r="D549" s="18">
        <v>-4.2660643030325449</v>
      </c>
      <c r="E549" s="18">
        <v>3480.1453314164119</v>
      </c>
      <c r="F549" s="18">
        <v>3.8554321618301355</v>
      </c>
      <c r="G549" s="18">
        <v>0</v>
      </c>
      <c r="H549" s="18">
        <f t="shared" si="80"/>
        <v>3.8554321618301355</v>
      </c>
      <c r="I549" s="18">
        <f t="shared" si="81"/>
        <v>-4.2660643030325449</v>
      </c>
      <c r="J549" s="18">
        <f t="shared" si="82"/>
        <v>45.08917939789221</v>
      </c>
      <c r="K549" s="18">
        <f t="shared" si="83"/>
        <v>902.66024283109709</v>
      </c>
      <c r="L549" s="18">
        <f t="shared" si="84"/>
        <v>107.81307100802158</v>
      </c>
      <c r="M549" s="18">
        <f t="shared" si="85"/>
        <v>-0.1194392595267932</v>
      </c>
      <c r="N549" s="18">
        <f t="shared" si="86"/>
        <v>-6.9487819041860771E-2</v>
      </c>
      <c r="O549" s="18">
        <f t="shared" si="87"/>
        <v>45.295211281662588</v>
      </c>
      <c r="P549" s="18">
        <f t="shared" si="88"/>
        <v>3504.9982743318737</v>
      </c>
      <c r="Q549" s="18">
        <f t="shared" si="89"/>
        <v>3488.5507528135272</v>
      </c>
    </row>
    <row r="550" spans="1:17" ht="21" customHeight="1">
      <c r="A550" s="1" t="s">
        <v>414</v>
      </c>
      <c r="B550" s="1" t="s">
        <v>322</v>
      </c>
      <c r="C550" s="18">
        <v>45.08917939789221</v>
      </c>
      <c r="D550" s="18">
        <v>-4.2660643030325449</v>
      </c>
      <c r="E550" s="18">
        <v>3343.1476311797187</v>
      </c>
      <c r="F550" s="18">
        <v>2.3365115147320541</v>
      </c>
      <c r="G550" s="18">
        <v>1.4349562500000002</v>
      </c>
      <c r="H550" s="18">
        <f t="shared" si="80"/>
        <v>2.7419674501878282</v>
      </c>
      <c r="I550" s="18">
        <f t="shared" si="81"/>
        <v>-3.6352394941596105</v>
      </c>
      <c r="J550" s="18">
        <f t="shared" si="82"/>
        <v>45.144417564445526</v>
      </c>
      <c r="K550" s="18">
        <f t="shared" si="83"/>
        <v>1219.2513922624096</v>
      </c>
      <c r="L550" s="18">
        <f t="shared" si="84"/>
        <v>120.64064441292017</v>
      </c>
      <c r="M550" s="18">
        <f t="shared" si="85"/>
        <v>-9.894648895094775E-2</v>
      </c>
      <c r="N550" s="18">
        <f t="shared" si="86"/>
        <v>-6.192014815614514E-2</v>
      </c>
      <c r="O550" s="18">
        <f t="shared" si="87"/>
        <v>45.293114809573737</v>
      </c>
      <c r="P550" s="18">
        <f t="shared" si="88"/>
        <v>3359.5263766384778</v>
      </c>
      <c r="Q550" s="18">
        <f t="shared" si="89"/>
        <v>3349.5586682718545</v>
      </c>
    </row>
    <row r="551" spans="1:17" ht="21" customHeight="1">
      <c r="A551" s="1" t="s">
        <v>414</v>
      </c>
      <c r="B551" s="1" t="s">
        <v>323</v>
      </c>
      <c r="C551" s="18">
        <v>45.08917939789221</v>
      </c>
      <c r="D551" s="18">
        <v>-4.2660643030325449</v>
      </c>
      <c r="E551" s="18">
        <v>3552.6905744559863</v>
      </c>
      <c r="F551" s="18">
        <v>1.32389775</v>
      </c>
      <c r="G551" s="18">
        <v>0</v>
      </c>
      <c r="H551" s="18">
        <f t="shared" si="80"/>
        <v>1.32389775</v>
      </c>
      <c r="I551" s="18">
        <f t="shared" si="81"/>
        <v>-4.2660643030325449</v>
      </c>
      <c r="J551" s="18">
        <f t="shared" si="82"/>
        <v>45.08917939789221</v>
      </c>
      <c r="K551" s="18">
        <f t="shared" si="83"/>
        <v>2683.5082803456585</v>
      </c>
      <c r="L551" s="18">
        <f t="shared" si="84"/>
        <v>276.06158322844533</v>
      </c>
      <c r="M551" s="18">
        <f t="shared" si="85"/>
        <v>-0.10287338602617849</v>
      </c>
      <c r="N551" s="18">
        <f t="shared" si="86"/>
        <v>-8.6071060604591063E-2</v>
      </c>
      <c r="O551" s="18">
        <f t="shared" si="87"/>
        <v>45.291072343933223</v>
      </c>
      <c r="P551" s="18">
        <f t="shared" si="88"/>
        <v>3571.5061034446462</v>
      </c>
      <c r="Q551" s="18">
        <f t="shared" si="89"/>
        <v>3565.8582705125059</v>
      </c>
    </row>
    <row r="552" spans="1:17" ht="21" customHeight="1">
      <c r="A552" s="1" t="s">
        <v>414</v>
      </c>
      <c r="B552" s="1" t="s">
        <v>324</v>
      </c>
      <c r="C552" s="18">
        <v>45.08917939789221</v>
      </c>
      <c r="D552" s="18">
        <v>-4.2660643030325449</v>
      </c>
      <c r="E552" s="18">
        <v>357.82003572528356</v>
      </c>
      <c r="F552" s="18">
        <v>1.32389775</v>
      </c>
      <c r="G552" s="18">
        <v>0</v>
      </c>
      <c r="H552" s="18">
        <f t="shared" si="80"/>
        <v>1.32389775</v>
      </c>
      <c r="I552" s="18">
        <f t="shared" si="81"/>
        <v>-4.2660643030325449</v>
      </c>
      <c r="J552" s="18">
        <f t="shared" si="82"/>
        <v>45.08917939789221</v>
      </c>
      <c r="K552" s="18">
        <f t="shared" si="83"/>
        <v>270.27769759808382</v>
      </c>
      <c r="L552" s="18">
        <f t="shared" si="84"/>
        <v>48.04912615277955</v>
      </c>
      <c r="M552" s="18">
        <f t="shared" si="85"/>
        <v>-0.17777688125873764</v>
      </c>
      <c r="N552" s="18">
        <f t="shared" si="86"/>
        <v>-1.0951502033619239E-2</v>
      </c>
      <c r="O552" s="18">
        <f t="shared" si="87"/>
        <v>45.342616206242788</v>
      </c>
      <c r="P552" s="18">
        <f t="shared" si="88"/>
        <v>363.4893265158679</v>
      </c>
      <c r="Q552" s="18">
        <f t="shared" si="89"/>
        <v>357.84149358372781</v>
      </c>
    </row>
    <row r="553" spans="1:17" ht="21" customHeight="1">
      <c r="A553" s="1" t="s">
        <v>415</v>
      </c>
      <c r="B553" s="1" t="s">
        <v>319</v>
      </c>
      <c r="C553" s="18">
        <v>52.391482165823611</v>
      </c>
      <c r="D553" s="18">
        <v>1.4241639868427232</v>
      </c>
      <c r="E553" s="18">
        <v>2204.9999999992597</v>
      </c>
      <c r="F553" s="18">
        <v>1.32389775</v>
      </c>
      <c r="G553" s="18">
        <v>0</v>
      </c>
      <c r="H553" s="18">
        <f t="shared" si="80"/>
        <v>1.32389775</v>
      </c>
      <c r="I553" s="18">
        <f t="shared" si="81"/>
        <v>1.4241639868427232</v>
      </c>
      <c r="J553" s="18">
        <f t="shared" si="82"/>
        <v>52.391482165823611</v>
      </c>
      <c r="K553" s="18">
        <f t="shared" si="83"/>
        <v>1665.5364811967236</v>
      </c>
      <c r="L553" s="18">
        <f t="shared" si="84"/>
        <v>-19.071298486657906</v>
      </c>
      <c r="M553" s="18">
        <f t="shared" si="85"/>
        <v>1.145054383495387E-2</v>
      </c>
      <c r="N553" s="18">
        <f t="shared" si="86"/>
        <v>4.2906763952197537E-2</v>
      </c>
      <c r="O553" s="18">
        <f t="shared" si="87"/>
        <v>52.412994474921142</v>
      </c>
      <c r="P553" s="18">
        <f t="shared" si="88"/>
        <v>2205.1445558156147</v>
      </c>
      <c r="Q553" s="18">
        <f t="shared" si="89"/>
        <v>2207.0300033134267</v>
      </c>
    </row>
    <row r="554" spans="1:17" ht="21" customHeight="1">
      <c r="A554" s="1" t="s">
        <v>415</v>
      </c>
      <c r="B554" s="1" t="s">
        <v>320</v>
      </c>
      <c r="C554" s="18">
        <v>52.391482165823611</v>
      </c>
      <c r="D554" s="18">
        <v>1.4241639868427232</v>
      </c>
      <c r="E554" s="18">
        <v>3239.4329066999271</v>
      </c>
      <c r="F554" s="18">
        <v>1.32389775</v>
      </c>
      <c r="G554" s="18">
        <v>3.4438949999999999</v>
      </c>
      <c r="H554" s="18">
        <f t="shared" si="80"/>
        <v>3.6895959160157443</v>
      </c>
      <c r="I554" s="18">
        <f t="shared" si="81"/>
        <v>0.51101734193378401</v>
      </c>
      <c r="J554" s="18">
        <f t="shared" si="82"/>
        <v>52.408343876423686</v>
      </c>
      <c r="K554" s="18">
        <f t="shared" si="83"/>
        <v>877.99124360427754</v>
      </c>
      <c r="L554" s="18">
        <f t="shared" si="84"/>
        <v>17.644560818523704</v>
      </c>
      <c r="M554" s="18">
        <f t="shared" si="85"/>
        <v>-2.0096511152081997E-2</v>
      </c>
      <c r="N554" s="18">
        <f t="shared" si="86"/>
        <v>3.9594680825277673E-2</v>
      </c>
      <c r="O554" s="18">
        <f t="shared" si="87"/>
        <v>52.418615718178273</v>
      </c>
      <c r="P554" s="18">
        <f t="shared" si="88"/>
        <v>3240.0870832123946</v>
      </c>
      <c r="Q554" s="18">
        <f t="shared" si="89"/>
        <v>3241.9725307102062</v>
      </c>
    </row>
    <row r="555" spans="1:17" ht="21" customHeight="1">
      <c r="A555" s="1" t="s">
        <v>415</v>
      </c>
      <c r="B555" s="1" t="s">
        <v>321</v>
      </c>
      <c r="C555" s="18">
        <v>52.391482165823611</v>
      </c>
      <c r="D555" s="18">
        <v>1.4241639868427232</v>
      </c>
      <c r="E555" s="18">
        <v>3549.2556691321206</v>
      </c>
      <c r="F555" s="18">
        <v>3.8554321618301355</v>
      </c>
      <c r="G555" s="18">
        <v>0</v>
      </c>
      <c r="H555" s="18">
        <f t="shared" si="80"/>
        <v>3.8554321618301355</v>
      </c>
      <c r="I555" s="18">
        <f t="shared" si="81"/>
        <v>1.4241639868427232</v>
      </c>
      <c r="J555" s="18">
        <f t="shared" si="82"/>
        <v>52.391482165823611</v>
      </c>
      <c r="K555" s="18">
        <f t="shared" si="83"/>
        <v>920.5856879731283</v>
      </c>
      <c r="L555" s="18">
        <f t="shared" si="84"/>
        <v>1.177805516888295</v>
      </c>
      <c r="M555" s="18">
        <f t="shared" si="85"/>
        <v>-1.279408894006915E-3</v>
      </c>
      <c r="N555" s="18">
        <f t="shared" si="86"/>
        <v>5.5631623778220451E-2</v>
      </c>
      <c r="O555" s="18">
        <f t="shared" si="87"/>
        <v>52.417903251739794</v>
      </c>
      <c r="P555" s="18">
        <f t="shared" si="88"/>
        <v>3549.2585739979586</v>
      </c>
      <c r="Q555" s="18">
        <f t="shared" si="89"/>
        <v>3554.7493416365523</v>
      </c>
    </row>
    <row r="556" spans="1:17" ht="21" customHeight="1">
      <c r="A556" s="1" t="s">
        <v>415</v>
      </c>
      <c r="B556" s="1" t="s">
        <v>322</v>
      </c>
      <c r="C556" s="18">
        <v>52.391482165823611</v>
      </c>
      <c r="D556" s="18">
        <v>1.4241639868427232</v>
      </c>
      <c r="E556" s="18">
        <v>3368.7023576122656</v>
      </c>
      <c r="F556" s="18">
        <v>2.3365115147320541</v>
      </c>
      <c r="G556" s="18">
        <v>1.4349562500000002</v>
      </c>
      <c r="H556" s="18">
        <f t="shared" si="80"/>
        <v>2.7419674501878282</v>
      </c>
      <c r="I556" s="18">
        <f t="shared" si="81"/>
        <v>1.2135722303693974</v>
      </c>
      <c r="J556" s="18">
        <f t="shared" si="82"/>
        <v>52.396783193578877</v>
      </c>
      <c r="K556" s="18">
        <f t="shared" si="83"/>
        <v>1228.5712426606324</v>
      </c>
      <c r="L556" s="18">
        <f t="shared" si="84"/>
        <v>-2.2520899526433524</v>
      </c>
      <c r="M556" s="18">
        <f t="shared" si="85"/>
        <v>1.8330967504710234E-3</v>
      </c>
      <c r="N556" s="18">
        <f t="shared" si="86"/>
        <v>4.4481647664056434E-2</v>
      </c>
      <c r="O556" s="18">
        <f t="shared" si="87"/>
        <v>52.414805246667107</v>
      </c>
      <c r="P556" s="18">
        <f t="shared" si="88"/>
        <v>3368.7080174442822</v>
      </c>
      <c r="Q556" s="18">
        <f t="shared" si="89"/>
        <v>3372.0355929984071</v>
      </c>
    </row>
    <row r="557" spans="1:17" ht="21" customHeight="1">
      <c r="A557" s="1" t="s">
        <v>415</v>
      </c>
      <c r="B557" s="1" t="s">
        <v>323</v>
      </c>
      <c r="C557" s="18">
        <v>52.391482165823611</v>
      </c>
      <c r="D557" s="18">
        <v>1.4241639868427232</v>
      </c>
      <c r="E557" s="18">
        <v>3538.0303437231842</v>
      </c>
      <c r="F557" s="18">
        <v>1.32389775</v>
      </c>
      <c r="G557" s="18">
        <v>0</v>
      </c>
      <c r="H557" s="18">
        <f t="shared" si="80"/>
        <v>1.32389775</v>
      </c>
      <c r="I557" s="18">
        <f t="shared" si="81"/>
        <v>1.4241639868427232</v>
      </c>
      <c r="J557" s="18">
        <f t="shared" si="82"/>
        <v>52.391482165823611</v>
      </c>
      <c r="K557" s="18">
        <f t="shared" si="83"/>
        <v>2672.4347433351136</v>
      </c>
      <c r="L557" s="18">
        <f t="shared" si="84"/>
        <v>-46.439268860032101</v>
      </c>
      <c r="M557" s="18">
        <f t="shared" si="85"/>
        <v>1.7377138572176085E-2</v>
      </c>
      <c r="N557" s="18">
        <f t="shared" si="86"/>
        <v>3.6981539501510174E-2</v>
      </c>
      <c r="O557" s="18">
        <f t="shared" si="87"/>
        <v>52.411673886075121</v>
      </c>
      <c r="P557" s="18">
        <f t="shared" si="88"/>
        <v>3538.5645377343017</v>
      </c>
      <c r="Q557" s="18">
        <f t="shared" si="89"/>
        <v>3540.4499852321146</v>
      </c>
    </row>
    <row r="558" spans="1:17" ht="21" customHeight="1">
      <c r="A558" s="1" t="s">
        <v>415</v>
      </c>
      <c r="B558" s="1" t="s">
        <v>324</v>
      </c>
      <c r="C558" s="18">
        <v>52.391482165823611</v>
      </c>
      <c r="D558" s="18">
        <v>1.4241639868427232</v>
      </c>
      <c r="E558" s="18">
        <v>411.9396873665944</v>
      </c>
      <c r="F558" s="18">
        <v>1.32389775</v>
      </c>
      <c r="G558" s="18">
        <v>0</v>
      </c>
      <c r="H558" s="18">
        <f t="shared" si="80"/>
        <v>1.32389775</v>
      </c>
      <c r="I558" s="18">
        <f t="shared" si="81"/>
        <v>1.4241639868427232</v>
      </c>
      <c r="J558" s="18">
        <f t="shared" si="82"/>
        <v>52.391482165823611</v>
      </c>
      <c r="K558" s="18">
        <f t="shared" si="83"/>
        <v>311.15672442724099</v>
      </c>
      <c r="L558" s="18">
        <f t="shared" si="84"/>
        <v>17.748551131170402</v>
      </c>
      <c r="M558" s="18">
        <f t="shared" si="85"/>
        <v>-5.704055139364541E-2</v>
      </c>
      <c r="N558" s="18">
        <f t="shared" si="86"/>
        <v>0.11133595489032699</v>
      </c>
      <c r="O558" s="18">
        <f t="shared" si="87"/>
        <v>52.472723156879034</v>
      </c>
      <c r="P558" s="18">
        <f t="shared" si="88"/>
        <v>412.61001761762208</v>
      </c>
      <c r="Q558" s="18">
        <f t="shared" si="89"/>
        <v>414.49546511543417</v>
      </c>
    </row>
    <row r="559" spans="1:17" ht="21" customHeight="1">
      <c r="A559" s="1" t="s">
        <v>416</v>
      </c>
      <c r="B559" s="1" t="s">
        <v>319</v>
      </c>
      <c r="C559" s="18">
        <v>48.254927655986386</v>
      </c>
      <c r="D559" s="18">
        <v>7.9125804008112031</v>
      </c>
      <c r="E559" s="18">
        <v>2204.9999999985621</v>
      </c>
      <c r="F559" s="18">
        <v>1.32389775</v>
      </c>
      <c r="G559" s="18">
        <v>0</v>
      </c>
      <c r="H559" s="18">
        <f t="shared" si="80"/>
        <v>1.32389775</v>
      </c>
      <c r="I559" s="18">
        <f t="shared" si="81"/>
        <v>7.9125804008112031</v>
      </c>
      <c r="J559" s="18">
        <f t="shared" si="82"/>
        <v>48.254927655986386</v>
      </c>
      <c r="K559" s="18">
        <f t="shared" si="83"/>
        <v>1665.5364811961967</v>
      </c>
      <c r="L559" s="18">
        <f t="shared" si="84"/>
        <v>-247.75943120454698</v>
      </c>
      <c r="M559" s="18">
        <f t="shared" si="85"/>
        <v>0.1487565322055299</v>
      </c>
      <c r="N559" s="18">
        <f t="shared" si="86"/>
        <v>0.17772913544825772</v>
      </c>
      <c r="O559" s="18">
        <f t="shared" si="87"/>
        <v>48.901021050233041</v>
      </c>
      <c r="P559" s="18">
        <f t="shared" si="88"/>
        <v>2229.4416994240178</v>
      </c>
      <c r="Q559" s="18">
        <f t="shared" si="89"/>
        <v>2239.9171468133454</v>
      </c>
    </row>
    <row r="560" spans="1:17" ht="21" customHeight="1">
      <c r="A560" s="1" t="s">
        <v>416</v>
      </c>
      <c r="B560" s="1" t="s">
        <v>320</v>
      </c>
      <c r="C560" s="18">
        <v>48.254927655986386</v>
      </c>
      <c r="D560" s="18">
        <v>7.9125804008112031</v>
      </c>
      <c r="E560" s="18">
        <v>3226.3601005695537</v>
      </c>
      <c r="F560" s="18">
        <v>1.32389775</v>
      </c>
      <c r="G560" s="18">
        <v>3.4438949999999999</v>
      </c>
      <c r="H560" s="18">
        <f t="shared" si="80"/>
        <v>3.6895959160157443</v>
      </c>
      <c r="I560" s="18">
        <f t="shared" si="81"/>
        <v>2.8391855443725911</v>
      </c>
      <c r="J560" s="18">
        <f t="shared" si="82"/>
        <v>48.816861811554489</v>
      </c>
      <c r="K560" s="18">
        <f t="shared" si="83"/>
        <v>874.44808971210546</v>
      </c>
      <c r="L560" s="18">
        <f t="shared" si="84"/>
        <v>-26.414193121528783</v>
      </c>
      <c r="M560" s="18">
        <f t="shared" si="85"/>
        <v>3.0206702298618007E-2</v>
      </c>
      <c r="N560" s="18">
        <f t="shared" si="86"/>
        <v>8.6032613963227464E-2</v>
      </c>
      <c r="O560" s="18">
        <f t="shared" si="87"/>
        <v>48.905684227012955</v>
      </c>
      <c r="P560" s="18">
        <f t="shared" si="88"/>
        <v>3227.8321503460006</v>
      </c>
      <c r="Q560" s="18">
        <f t="shared" si="89"/>
        <v>3238.3075977353283</v>
      </c>
    </row>
    <row r="561" spans="1:17" ht="21" customHeight="1">
      <c r="A561" s="1" t="s">
        <v>416</v>
      </c>
      <c r="B561" s="1" t="s">
        <v>321</v>
      </c>
      <c r="C561" s="18">
        <v>48.254927655986386</v>
      </c>
      <c r="D561" s="18">
        <v>7.9125804008112031</v>
      </c>
      <c r="E561" s="18">
        <v>3493.7667769664649</v>
      </c>
      <c r="F561" s="18">
        <v>3.8554321618301355</v>
      </c>
      <c r="G561" s="18">
        <v>0</v>
      </c>
      <c r="H561" s="18">
        <f t="shared" si="80"/>
        <v>3.8554321618301355</v>
      </c>
      <c r="I561" s="18">
        <f t="shared" si="81"/>
        <v>7.9125804008112031</v>
      </c>
      <c r="J561" s="18">
        <f t="shared" si="82"/>
        <v>48.254927655986386</v>
      </c>
      <c r="K561" s="18">
        <f t="shared" si="83"/>
        <v>906.19329567142699</v>
      </c>
      <c r="L561" s="18">
        <f t="shared" si="84"/>
        <v>-123.78990292357766</v>
      </c>
      <c r="M561" s="18">
        <f t="shared" si="85"/>
        <v>0.13660430232145762</v>
      </c>
      <c r="N561" s="18">
        <f t="shared" si="86"/>
        <v>0.18985445092273678</v>
      </c>
      <c r="O561" s="18">
        <f t="shared" si="87"/>
        <v>48.904981883521401</v>
      </c>
      <c r="P561" s="18">
        <f t="shared" si="88"/>
        <v>3526.4156293059782</v>
      </c>
      <c r="Q561" s="18">
        <f t="shared" si="89"/>
        <v>3556.9220462663325</v>
      </c>
    </row>
    <row r="562" spans="1:17" ht="21" customHeight="1">
      <c r="A562" s="1" t="s">
        <v>416</v>
      </c>
      <c r="B562" s="1" t="s">
        <v>322</v>
      </c>
      <c r="C562" s="18">
        <v>48.254927655986386</v>
      </c>
      <c r="D562" s="18">
        <v>7.9125804008112031</v>
      </c>
      <c r="E562" s="18">
        <v>3352.2421148780386</v>
      </c>
      <c r="F562" s="18">
        <v>2.3365115147320541</v>
      </c>
      <c r="G562" s="18">
        <v>1.4349562500000002</v>
      </c>
      <c r="H562" s="18">
        <f t="shared" si="80"/>
        <v>2.7419674501878282</v>
      </c>
      <c r="I562" s="18">
        <f t="shared" si="81"/>
        <v>6.7425436492588959</v>
      </c>
      <c r="J562" s="18">
        <f t="shared" si="82"/>
        <v>48.432273091623728</v>
      </c>
      <c r="K562" s="18">
        <f t="shared" si="83"/>
        <v>1222.5681652962021</v>
      </c>
      <c r="L562" s="18">
        <f t="shared" si="84"/>
        <v>-145.42875831848312</v>
      </c>
      <c r="M562" s="18">
        <f t="shared" si="85"/>
        <v>0.11895349678375508</v>
      </c>
      <c r="N562" s="18">
        <f t="shared" si="86"/>
        <v>0.15856868918481815</v>
      </c>
      <c r="O562" s="18">
        <f t="shared" si="87"/>
        <v>48.902492340415797</v>
      </c>
      <c r="P562" s="18">
        <f t="shared" si="88"/>
        <v>3375.987097246069</v>
      </c>
      <c r="Q562" s="18">
        <f t="shared" si="89"/>
        <v>3394.4749324638083</v>
      </c>
    </row>
    <row r="563" spans="1:17" ht="21" customHeight="1">
      <c r="A563" s="1" t="s">
        <v>416</v>
      </c>
      <c r="B563" s="1" t="s">
        <v>323</v>
      </c>
      <c r="C563" s="18">
        <v>48.254927655986386</v>
      </c>
      <c r="D563" s="18">
        <v>7.9125804008112031</v>
      </c>
      <c r="E563" s="18">
        <v>3534.2254188824554</v>
      </c>
      <c r="F563" s="18">
        <v>1.32389775</v>
      </c>
      <c r="G563" s="18">
        <v>0</v>
      </c>
      <c r="H563" s="18">
        <f t="shared" si="80"/>
        <v>1.32389775</v>
      </c>
      <c r="I563" s="18">
        <f t="shared" si="81"/>
        <v>7.9125804008112031</v>
      </c>
      <c r="J563" s="18">
        <f t="shared" si="82"/>
        <v>48.254927655986386</v>
      </c>
      <c r="K563" s="18">
        <f t="shared" si="83"/>
        <v>2669.5607110764072</v>
      </c>
      <c r="L563" s="18">
        <f t="shared" si="84"/>
        <v>-411.66841887002875</v>
      </c>
      <c r="M563" s="18">
        <f t="shared" si="85"/>
        <v>0.15420829995060792</v>
      </c>
      <c r="N563" s="18">
        <f t="shared" si="86"/>
        <v>0.17228428056261252</v>
      </c>
      <c r="O563" s="18">
        <f t="shared" si="87"/>
        <v>48.900003832238632</v>
      </c>
      <c r="P563" s="18">
        <f t="shared" si="88"/>
        <v>3576.3310530507233</v>
      </c>
      <c r="Q563" s="18">
        <f t="shared" si="89"/>
        <v>3586.8065004400519</v>
      </c>
    </row>
    <row r="564" spans="1:17" ht="21" customHeight="1">
      <c r="A564" s="1" t="s">
        <v>416</v>
      </c>
      <c r="B564" s="1" t="s">
        <v>324</v>
      </c>
      <c r="C564" s="18">
        <v>48.254927655986386</v>
      </c>
      <c r="D564" s="18">
        <v>7.9125804008112031</v>
      </c>
      <c r="E564" s="18">
        <v>378.70656594481261</v>
      </c>
      <c r="F564" s="18">
        <v>1.32389775</v>
      </c>
      <c r="G564" s="18">
        <v>0</v>
      </c>
      <c r="H564" s="18">
        <f t="shared" si="80"/>
        <v>1.32389775</v>
      </c>
      <c r="I564" s="18">
        <f t="shared" si="81"/>
        <v>7.9125804008112031</v>
      </c>
      <c r="J564" s="18">
        <f t="shared" si="82"/>
        <v>48.254927655986386</v>
      </c>
      <c r="K564" s="18">
        <f t="shared" si="83"/>
        <v>286.05424092971879</v>
      </c>
      <c r="L564" s="18">
        <f t="shared" si="84"/>
        <v>-22.515621536426384</v>
      </c>
      <c r="M564" s="18">
        <f t="shared" si="85"/>
        <v>7.8711021599425585E-2</v>
      </c>
      <c r="N564" s="18">
        <f t="shared" si="86"/>
        <v>0.24740255191602115</v>
      </c>
      <c r="O564" s="18">
        <f t="shared" si="87"/>
        <v>48.955838401661275</v>
      </c>
      <c r="P564" s="18">
        <f t="shared" si="88"/>
        <v>379.88029578497861</v>
      </c>
      <c r="Q564" s="18">
        <f t="shared" si="89"/>
        <v>390.35574317430667</v>
      </c>
    </row>
    <row r="565" spans="1:17" ht="21" customHeight="1">
      <c r="A565" s="1" t="s">
        <v>417</v>
      </c>
      <c r="B565" s="1" t="s">
        <v>319</v>
      </c>
      <c r="C565" s="18">
        <v>49.360111463419344</v>
      </c>
      <c r="D565" s="18">
        <v>7.0698471562017406</v>
      </c>
      <c r="E565" s="18">
        <v>2204.9999999972615</v>
      </c>
      <c r="F565" s="18">
        <v>1.32389775</v>
      </c>
      <c r="G565" s="18">
        <v>0</v>
      </c>
      <c r="H565" s="18">
        <f t="shared" si="80"/>
        <v>1.32389775</v>
      </c>
      <c r="I565" s="18">
        <f t="shared" si="81"/>
        <v>7.0698471562017415</v>
      </c>
      <c r="J565" s="18">
        <f t="shared" si="82"/>
        <v>49.360111463419344</v>
      </c>
      <c r="K565" s="18">
        <f t="shared" si="83"/>
        <v>1665.5364811952143</v>
      </c>
      <c r="L565" s="18">
        <f t="shared" si="84"/>
        <v>-213.05782622413628</v>
      </c>
      <c r="M565" s="18">
        <f t="shared" si="85"/>
        <v>0.12792144070674619</v>
      </c>
      <c r="N565" s="18">
        <f t="shared" si="86"/>
        <v>0.15755760420164472</v>
      </c>
      <c r="O565" s="18">
        <f t="shared" si="87"/>
        <v>49.865636202126076</v>
      </c>
      <c r="P565" s="18">
        <f t="shared" si="88"/>
        <v>2223.0658096672005</v>
      </c>
      <c r="Q565" s="18">
        <f t="shared" si="89"/>
        <v>2232.4255644101399</v>
      </c>
    </row>
    <row r="566" spans="1:17" ht="21" customHeight="1">
      <c r="A566" s="1" t="s">
        <v>417</v>
      </c>
      <c r="B566" s="1" t="s">
        <v>320</v>
      </c>
      <c r="C566" s="18">
        <v>49.360111463419344</v>
      </c>
      <c r="D566" s="18">
        <v>7.0698471562017406</v>
      </c>
      <c r="E566" s="18">
        <v>3230.5347149873069</v>
      </c>
      <c r="F566" s="18">
        <v>1.32389775</v>
      </c>
      <c r="G566" s="18">
        <v>3.4438949999999999</v>
      </c>
      <c r="H566" s="18">
        <f t="shared" si="80"/>
        <v>3.6895959160157443</v>
      </c>
      <c r="I566" s="18">
        <f t="shared" si="81"/>
        <v>2.5367966996902549</v>
      </c>
      <c r="J566" s="18">
        <f t="shared" si="82"/>
        <v>49.799277153365146</v>
      </c>
      <c r="K566" s="18">
        <f t="shared" si="83"/>
        <v>875.57954543592393</v>
      </c>
      <c r="L566" s="18">
        <f t="shared" si="84"/>
        <v>-19.677490940112715</v>
      </c>
      <c r="M566" s="18">
        <f t="shared" si="85"/>
        <v>2.2473675912924509E-2</v>
      </c>
      <c r="N566" s="18">
        <f t="shared" si="86"/>
        <v>7.9349464541097203E-2</v>
      </c>
      <c r="O566" s="18">
        <f t="shared" si="87"/>
        <v>49.870551859062964</v>
      </c>
      <c r="P566" s="18">
        <f t="shared" si="88"/>
        <v>3231.3505661239765</v>
      </c>
      <c r="Q566" s="18">
        <f t="shared" si="89"/>
        <v>3240.7103208669164</v>
      </c>
    </row>
    <row r="567" spans="1:17" ht="21" customHeight="1">
      <c r="A567" s="1" t="s">
        <v>417</v>
      </c>
      <c r="B567" s="1" t="s">
        <v>321</v>
      </c>
      <c r="C567" s="18">
        <v>49.360111463419344</v>
      </c>
      <c r="D567" s="18">
        <v>7.0698471562017406</v>
      </c>
      <c r="E567" s="18">
        <v>3507.8277525682943</v>
      </c>
      <c r="F567" s="18">
        <v>3.8554321618301355</v>
      </c>
      <c r="G567" s="18">
        <v>0</v>
      </c>
      <c r="H567" s="18">
        <f t="shared" si="80"/>
        <v>3.8554321618301355</v>
      </c>
      <c r="I567" s="18">
        <f t="shared" si="81"/>
        <v>7.0698471562017406</v>
      </c>
      <c r="J567" s="18">
        <f t="shared" si="82"/>
        <v>49.360111463419344</v>
      </c>
      <c r="K567" s="18">
        <f t="shared" si="83"/>
        <v>909.84035130919358</v>
      </c>
      <c r="L567" s="18">
        <f t="shared" si="84"/>
        <v>-105.17902384788468</v>
      </c>
      <c r="M567" s="18">
        <f t="shared" si="85"/>
        <v>0.11560162581989222</v>
      </c>
      <c r="N567" s="18">
        <f t="shared" si="86"/>
        <v>0.16985302431237911</v>
      </c>
      <c r="O567" s="18">
        <f t="shared" si="87"/>
        <v>49.869840352398441</v>
      </c>
      <c r="P567" s="18">
        <f t="shared" si="88"/>
        <v>3531.2927085599567</v>
      </c>
      <c r="Q567" s="18">
        <f t="shared" si="89"/>
        <v>3558.5500246652009</v>
      </c>
    </row>
    <row r="568" spans="1:17" ht="21" customHeight="1">
      <c r="A568" s="1" t="s">
        <v>417</v>
      </c>
      <c r="B568" s="1" t="s">
        <v>322</v>
      </c>
      <c r="C568" s="18">
        <v>49.360111463419344</v>
      </c>
      <c r="D568" s="18">
        <v>7.0698471562017406</v>
      </c>
      <c r="E568" s="18">
        <v>3356.4925123687635</v>
      </c>
      <c r="F568" s="18">
        <v>2.3365115147320541</v>
      </c>
      <c r="G568" s="18">
        <v>1.4349562500000002</v>
      </c>
      <c r="H568" s="18">
        <f t="shared" si="80"/>
        <v>2.7419674501878282</v>
      </c>
      <c r="I568" s="18">
        <f t="shared" si="81"/>
        <v>6.0244257409873612</v>
      </c>
      <c r="J568" s="18">
        <f t="shared" si="82"/>
        <v>49.498582171457841</v>
      </c>
      <c r="K568" s="18">
        <f t="shared" si="83"/>
        <v>1224.1182921915574</v>
      </c>
      <c r="L568" s="18">
        <f t="shared" si="84"/>
        <v>-123.86152194686065</v>
      </c>
      <c r="M568" s="18">
        <f t="shared" si="85"/>
        <v>0.10118427503040535</v>
      </c>
      <c r="N568" s="18">
        <f t="shared" si="86"/>
        <v>0.14162038523903542</v>
      </c>
      <c r="O568" s="18">
        <f t="shared" si="87"/>
        <v>49.867195672694947</v>
      </c>
      <c r="P568" s="18">
        <f t="shared" si="88"/>
        <v>3373.6894944635865</v>
      </c>
      <c r="Q568" s="18">
        <f t="shared" si="89"/>
        <v>3390.2082737514475</v>
      </c>
    </row>
    <row r="569" spans="1:17" ht="21" customHeight="1">
      <c r="A569" s="1" t="s">
        <v>417</v>
      </c>
      <c r="B569" s="1" t="s">
        <v>323</v>
      </c>
      <c r="C569" s="18">
        <v>49.360111463419344</v>
      </c>
      <c r="D569" s="18">
        <v>7.0698471562017406</v>
      </c>
      <c r="E569" s="18">
        <v>3535.0175476406785</v>
      </c>
      <c r="F569" s="18">
        <v>1.32389775</v>
      </c>
      <c r="G569" s="18">
        <v>0</v>
      </c>
      <c r="H569" s="18">
        <f t="shared" si="80"/>
        <v>1.32389775</v>
      </c>
      <c r="I569" s="18">
        <f t="shared" si="81"/>
        <v>7.0698471562017415</v>
      </c>
      <c r="J569" s="18">
        <f t="shared" si="82"/>
        <v>49.360111463419344</v>
      </c>
      <c r="K569" s="18">
        <f t="shared" si="83"/>
        <v>2670.159041844945</v>
      </c>
      <c r="L569" s="18">
        <f t="shared" si="84"/>
        <v>-356.46563459563095</v>
      </c>
      <c r="M569" s="18">
        <f t="shared" si="85"/>
        <v>0.13349977623405204</v>
      </c>
      <c r="N569" s="18">
        <f t="shared" si="86"/>
        <v>0.15198560823502302</v>
      </c>
      <c r="O569" s="18">
        <f t="shared" si="87"/>
        <v>49.864543772464877</v>
      </c>
      <c r="P569" s="18">
        <f t="shared" si="88"/>
        <v>3566.5652376394428</v>
      </c>
      <c r="Q569" s="18">
        <f t="shared" si="89"/>
        <v>3575.9249923823827</v>
      </c>
    </row>
    <row r="570" spans="1:17" ht="21" customHeight="1">
      <c r="A570" s="1" t="s">
        <v>417</v>
      </c>
      <c r="B570" s="1" t="s">
        <v>324</v>
      </c>
      <c r="C570" s="18">
        <v>49.360111463419344</v>
      </c>
      <c r="D570" s="18">
        <v>7.0698471562017406</v>
      </c>
      <c r="E570" s="18">
        <v>387.48573851302501</v>
      </c>
      <c r="F570" s="18">
        <v>1.32389775</v>
      </c>
      <c r="G570" s="18">
        <v>0</v>
      </c>
      <c r="H570" s="18">
        <f t="shared" si="80"/>
        <v>1.32389775</v>
      </c>
      <c r="I570" s="18">
        <f t="shared" si="81"/>
        <v>7.0698471562017415</v>
      </c>
      <c r="J570" s="18">
        <f t="shared" si="82"/>
        <v>49.360111463419344</v>
      </c>
      <c r="K570" s="18">
        <f t="shared" si="83"/>
        <v>292.68554804404266</v>
      </c>
      <c r="L570" s="18">
        <f t="shared" si="84"/>
        <v>-17.050121197803271</v>
      </c>
      <c r="M570" s="18">
        <f t="shared" si="85"/>
        <v>5.825405904646036E-2</v>
      </c>
      <c r="N570" s="18">
        <f t="shared" si="86"/>
        <v>0.22689959618788333</v>
      </c>
      <c r="O570" s="18">
        <f t="shared" si="87"/>
        <v>49.921772846143931</v>
      </c>
      <c r="P570" s="18">
        <f t="shared" si="88"/>
        <v>388.14339774838953</v>
      </c>
      <c r="Q570" s="18">
        <f t="shared" si="89"/>
        <v>397.50315249132893</v>
      </c>
    </row>
    <row r="571" spans="1:17" ht="21" customHeight="1">
      <c r="A571" s="1" t="s">
        <v>418</v>
      </c>
      <c r="B571" s="1" t="s">
        <v>319</v>
      </c>
      <c r="C571" s="18">
        <v>71.762611659101765</v>
      </c>
      <c r="D571" s="18">
        <v>5.6222217626749629</v>
      </c>
      <c r="E571" s="18">
        <v>2205.0000000005775</v>
      </c>
      <c r="F571" s="18">
        <v>1.32389775</v>
      </c>
      <c r="G571" s="18">
        <v>0</v>
      </c>
      <c r="H571" s="18">
        <f t="shared" si="80"/>
        <v>1.32389775</v>
      </c>
      <c r="I571" s="18">
        <f t="shared" si="81"/>
        <v>5.6222217626749629</v>
      </c>
      <c r="J571" s="18">
        <f t="shared" si="82"/>
        <v>71.762611659101765</v>
      </c>
      <c r="K571" s="18">
        <f t="shared" si="83"/>
        <v>1665.536481197719</v>
      </c>
      <c r="L571" s="18">
        <f t="shared" si="84"/>
        <v>-94.461504862375335</v>
      </c>
      <c r="M571" s="18">
        <f t="shared" si="85"/>
        <v>5.6715362244390027E-2</v>
      </c>
      <c r="N571" s="18">
        <f t="shared" si="86"/>
        <v>9.9802146874586717E-2</v>
      </c>
      <c r="O571" s="18">
        <f t="shared" si="87"/>
        <v>71.988044665260617</v>
      </c>
      <c r="P571" s="18">
        <f t="shared" si="88"/>
        <v>2208.5472878344763</v>
      </c>
      <c r="Q571" s="18">
        <f t="shared" si="89"/>
        <v>2215.9905345760822</v>
      </c>
    </row>
    <row r="572" spans="1:17" ht="21" customHeight="1">
      <c r="A572" s="1" t="s">
        <v>418</v>
      </c>
      <c r="B572" s="1" t="s">
        <v>320</v>
      </c>
      <c r="C572" s="18">
        <v>71.762611659101765</v>
      </c>
      <c r="D572" s="18">
        <v>5.6222217626749629</v>
      </c>
      <c r="E572" s="18">
        <v>3439.7090960582764</v>
      </c>
      <c r="F572" s="18">
        <v>1.32389775</v>
      </c>
      <c r="G572" s="18">
        <v>3.4438949999999999</v>
      </c>
      <c r="H572" s="18">
        <f t="shared" si="80"/>
        <v>3.6895959160157443</v>
      </c>
      <c r="I572" s="18">
        <f t="shared" si="81"/>
        <v>2.0173609552463132</v>
      </c>
      <c r="J572" s="18">
        <f t="shared" si="82"/>
        <v>71.954235903524065</v>
      </c>
      <c r="K572" s="18">
        <f t="shared" si="83"/>
        <v>932.27257790676674</v>
      </c>
      <c r="L572" s="18">
        <f t="shared" si="84"/>
        <v>9.8491573081903816</v>
      </c>
      <c r="M572" s="18">
        <f t="shared" si="85"/>
        <v>-1.0564675548330201E-2</v>
      </c>
      <c r="N572" s="18">
        <f t="shared" si="86"/>
        <v>6.6616867284435555E-2</v>
      </c>
      <c r="O572" s="18">
        <f t="shared" si="87"/>
        <v>72.000364371625182</v>
      </c>
      <c r="P572" s="18">
        <f t="shared" si="88"/>
        <v>3439.9010548848814</v>
      </c>
      <c r="Q572" s="18">
        <f t="shared" si="89"/>
        <v>3447.3443016264882</v>
      </c>
    </row>
    <row r="573" spans="1:17" ht="21" customHeight="1">
      <c r="A573" s="1" t="s">
        <v>418</v>
      </c>
      <c r="B573" s="1" t="s">
        <v>321</v>
      </c>
      <c r="C573" s="18">
        <v>71.762611659101765</v>
      </c>
      <c r="D573" s="18">
        <v>5.6222217626749629</v>
      </c>
      <c r="E573" s="18">
        <v>3723.0763853800745</v>
      </c>
      <c r="F573" s="18">
        <v>3.8554321618301355</v>
      </c>
      <c r="G573" s="18">
        <v>0</v>
      </c>
      <c r="H573" s="18">
        <f t="shared" si="80"/>
        <v>3.8554321618301355</v>
      </c>
      <c r="I573" s="18">
        <f t="shared" si="81"/>
        <v>5.6222217626749629</v>
      </c>
      <c r="J573" s="18">
        <f t="shared" si="82"/>
        <v>71.762611659101765</v>
      </c>
      <c r="K573" s="18">
        <f t="shared" si="83"/>
        <v>965.67031375615409</v>
      </c>
      <c r="L573" s="18">
        <f t="shared" si="84"/>
        <v>-39.679331474057477</v>
      </c>
      <c r="M573" s="18">
        <f t="shared" si="85"/>
        <v>4.1089936087728894E-2</v>
      </c>
      <c r="N573" s="18">
        <f t="shared" si="86"/>
        <v>0.1154037165124038</v>
      </c>
      <c r="O573" s="18">
        <f t="shared" si="87"/>
        <v>71.998974135142745</v>
      </c>
      <c r="P573" s="18">
        <f t="shared" si="88"/>
        <v>3726.2198167739089</v>
      </c>
      <c r="Q573" s="18">
        <f t="shared" si="89"/>
        <v>3747.8959113786664</v>
      </c>
    </row>
    <row r="574" spans="1:17" ht="21" customHeight="1">
      <c r="A574" s="1" t="s">
        <v>418</v>
      </c>
      <c r="B574" s="1" t="s">
        <v>322</v>
      </c>
      <c r="C574" s="18">
        <v>71.762611659101765</v>
      </c>
      <c r="D574" s="18">
        <v>5.6222217626749629</v>
      </c>
      <c r="E574" s="18">
        <v>3442.3664742421179</v>
      </c>
      <c r="F574" s="18">
        <v>2.3365115147320541</v>
      </c>
      <c r="G574" s="18">
        <v>1.4349562500000002</v>
      </c>
      <c r="H574" s="18">
        <f t="shared" si="80"/>
        <v>2.7419674501878282</v>
      </c>
      <c r="I574" s="18">
        <f t="shared" si="81"/>
        <v>4.7908613524815324</v>
      </c>
      <c r="J574" s="18">
        <f t="shared" si="82"/>
        <v>71.822903430486875</v>
      </c>
      <c r="K574" s="18">
        <f t="shared" si="83"/>
        <v>1255.4366661086044</v>
      </c>
      <c r="L574" s="18">
        <f t="shared" si="84"/>
        <v>-47.757587718767205</v>
      </c>
      <c r="M574" s="18">
        <f t="shared" si="85"/>
        <v>3.804061886036697E-2</v>
      </c>
      <c r="N574" s="18">
        <f t="shared" si="86"/>
        <v>9.5250118446763204E-2</v>
      </c>
      <c r="O574" s="18">
        <f t="shared" si="87"/>
        <v>71.992283757700122</v>
      </c>
      <c r="P574" s="18">
        <f t="shared" si="88"/>
        <v>3444.8574793967869</v>
      </c>
      <c r="Q574" s="18">
        <f t="shared" si="89"/>
        <v>3457.993865283654</v>
      </c>
    </row>
    <row r="575" spans="1:17" ht="21" customHeight="1">
      <c r="A575" s="1" t="s">
        <v>418</v>
      </c>
      <c r="B575" s="1" t="s">
        <v>323</v>
      </c>
      <c r="C575" s="18">
        <v>71.762611659101765</v>
      </c>
      <c r="D575" s="18">
        <v>5.6222217626749629</v>
      </c>
      <c r="E575" s="18">
        <v>3471.3242037305245</v>
      </c>
      <c r="F575" s="18">
        <v>1.32389775</v>
      </c>
      <c r="G575" s="18">
        <v>0</v>
      </c>
      <c r="H575" s="18">
        <f t="shared" si="80"/>
        <v>1.32389775</v>
      </c>
      <c r="I575" s="18">
        <f t="shared" si="81"/>
        <v>5.6222217626749629</v>
      </c>
      <c r="J575" s="18">
        <f t="shared" si="82"/>
        <v>71.762611659101765</v>
      </c>
      <c r="K575" s="18">
        <f t="shared" si="83"/>
        <v>2622.0485711457131</v>
      </c>
      <c r="L575" s="18">
        <f t="shared" si="84"/>
        <v>-169.3263987794362</v>
      </c>
      <c r="M575" s="18">
        <f t="shared" si="85"/>
        <v>6.4577903187143654E-2</v>
      </c>
      <c r="N575" s="18">
        <f t="shared" si="86"/>
        <v>9.1946813301476443E-2</v>
      </c>
      <c r="O575" s="18">
        <f t="shared" si="87"/>
        <v>71.984743384598787</v>
      </c>
      <c r="P575" s="18">
        <f t="shared" si="88"/>
        <v>3478.5649609019038</v>
      </c>
      <c r="Q575" s="18">
        <f t="shared" si="89"/>
        <v>3486.0082076435096</v>
      </c>
    </row>
    <row r="576" spans="1:17" ht="21" customHeight="1">
      <c r="A576" s="1" t="s">
        <v>418</v>
      </c>
      <c r="B576" s="1" t="s">
        <v>324</v>
      </c>
      <c r="C576" s="18">
        <v>71.762611659101765</v>
      </c>
      <c r="D576" s="18">
        <v>5.6222217626749629</v>
      </c>
      <c r="E576" s="18">
        <v>545.07943755164683</v>
      </c>
      <c r="F576" s="18">
        <v>1.32389775</v>
      </c>
      <c r="G576" s="18">
        <v>0</v>
      </c>
      <c r="H576" s="18">
        <f t="shared" si="80"/>
        <v>1.32389775</v>
      </c>
      <c r="I576" s="18">
        <f t="shared" si="81"/>
        <v>5.6222217626749629</v>
      </c>
      <c r="J576" s="18">
        <f t="shared" si="82"/>
        <v>71.762611659101765</v>
      </c>
      <c r="K576" s="18">
        <f t="shared" si="83"/>
        <v>411.72321469059591</v>
      </c>
      <c r="L576" s="18">
        <f t="shared" si="84"/>
        <v>3.6985428021428177</v>
      </c>
      <c r="M576" s="18">
        <f t="shared" si="85"/>
        <v>-8.9830805506612484E-3</v>
      </c>
      <c r="N576" s="18">
        <f t="shared" si="86"/>
        <v>0.16531511080352398</v>
      </c>
      <c r="O576" s="18">
        <f t="shared" si="87"/>
        <v>72.073106771620957</v>
      </c>
      <c r="P576" s="18">
        <f t="shared" si="88"/>
        <v>545.10143049278577</v>
      </c>
      <c r="Q576" s="18">
        <f t="shared" si="89"/>
        <v>552.54467723439211</v>
      </c>
    </row>
    <row r="577" spans="1:17" ht="21" customHeight="1">
      <c r="A577" s="1" t="s">
        <v>419</v>
      </c>
      <c r="B577" s="1" t="s">
        <v>319</v>
      </c>
      <c r="C577" s="18">
        <v>71.762611657379509</v>
      </c>
      <c r="D577" s="18">
        <v>-2.0845813219097185</v>
      </c>
      <c r="E577" s="18">
        <v>2204.9999999998809</v>
      </c>
      <c r="F577" s="18">
        <v>1.32389775</v>
      </c>
      <c r="G577" s="18">
        <v>0</v>
      </c>
      <c r="H577" s="18">
        <f t="shared" si="80"/>
        <v>1.32389775</v>
      </c>
      <c r="I577" s="18">
        <f t="shared" si="81"/>
        <v>-2.0845813219097185</v>
      </c>
      <c r="J577" s="18">
        <f t="shared" si="82"/>
        <v>71.762611657379509</v>
      </c>
      <c r="K577" s="18">
        <f t="shared" si="83"/>
        <v>1665.5364811971929</v>
      </c>
      <c r="L577" s="18">
        <f t="shared" si="84"/>
        <v>84.251754366977423</v>
      </c>
      <c r="M577" s="18">
        <f t="shared" si="85"/>
        <v>-5.0585355120181454E-2</v>
      </c>
      <c r="N577" s="18">
        <f t="shared" si="86"/>
        <v>-7.4985704910052039E-3</v>
      </c>
      <c r="O577" s="18">
        <f t="shared" si="87"/>
        <v>71.798430875745851</v>
      </c>
      <c r="P577" s="18">
        <f t="shared" si="88"/>
        <v>2207.821764798874</v>
      </c>
      <c r="Q577" s="18">
        <f t="shared" si="89"/>
        <v>2205.0619922771061</v>
      </c>
    </row>
    <row r="578" spans="1:17" ht="21" customHeight="1">
      <c r="A578" s="1" t="s">
        <v>419</v>
      </c>
      <c r="B578" s="1" t="s">
        <v>320</v>
      </c>
      <c r="C578" s="18">
        <v>71.762611657379509</v>
      </c>
      <c r="D578" s="18">
        <v>-2.0845813219097185</v>
      </c>
      <c r="E578" s="18">
        <v>3433.549498564711</v>
      </c>
      <c r="F578" s="18">
        <v>1.32389775</v>
      </c>
      <c r="G578" s="18">
        <v>3.4438949999999999</v>
      </c>
      <c r="H578" s="18">
        <f t="shared" si="80"/>
        <v>3.6895959160157443</v>
      </c>
      <c r="I578" s="18">
        <f t="shared" si="81"/>
        <v>-0.74798774299069481</v>
      </c>
      <c r="J578" s="18">
        <f t="shared" si="82"/>
        <v>71.788985405226697</v>
      </c>
      <c r="K578" s="18">
        <f t="shared" si="83"/>
        <v>930.60312747539899</v>
      </c>
      <c r="L578" s="18">
        <f t="shared" si="84"/>
        <v>45.588104849313147</v>
      </c>
      <c r="M578" s="18">
        <f t="shared" si="85"/>
        <v>-4.8987697873944976E-2</v>
      </c>
      <c r="N578" s="18">
        <f t="shared" si="86"/>
        <v>2.8154730821712378E-2</v>
      </c>
      <c r="O578" s="18">
        <f t="shared" si="87"/>
        <v>71.810682935667927</v>
      </c>
      <c r="P578" s="18">
        <f t="shared" si="88"/>
        <v>3437.6702292162863</v>
      </c>
      <c r="Q578" s="18">
        <f t="shared" si="89"/>
        <v>3434.910456694518</v>
      </c>
    </row>
    <row r="579" spans="1:17" ht="21" customHeight="1">
      <c r="A579" s="1" t="s">
        <v>419</v>
      </c>
      <c r="B579" s="1" t="s">
        <v>321</v>
      </c>
      <c r="C579" s="18">
        <v>71.762611657379509</v>
      </c>
      <c r="D579" s="18">
        <v>-2.0845813219097185</v>
      </c>
      <c r="E579" s="18">
        <v>3727.7791393088373</v>
      </c>
      <c r="F579" s="18">
        <v>3.8554321618301355</v>
      </c>
      <c r="G579" s="18">
        <v>0</v>
      </c>
      <c r="H579" s="18">
        <f t="shared" si="80"/>
        <v>3.8554321618301355</v>
      </c>
      <c r="I579" s="18">
        <f t="shared" si="81"/>
        <v>-2.0845813219097185</v>
      </c>
      <c r="J579" s="18">
        <f t="shared" si="82"/>
        <v>71.762611657379509</v>
      </c>
      <c r="K579" s="18">
        <f t="shared" si="83"/>
        <v>966.89008724233327</v>
      </c>
      <c r="L579" s="18">
        <f t="shared" si="84"/>
        <v>63.957420502533182</v>
      </c>
      <c r="M579" s="18">
        <f t="shared" si="85"/>
        <v>-6.6147560458444776E-2</v>
      </c>
      <c r="N579" s="18">
        <f t="shared" si="86"/>
        <v>8.072469929966403E-3</v>
      </c>
      <c r="O579" s="18">
        <f t="shared" si="87"/>
        <v>71.809347579458986</v>
      </c>
      <c r="P579" s="18">
        <f t="shared" si="88"/>
        <v>3735.9375617774026</v>
      </c>
      <c r="Q579" s="18">
        <f t="shared" si="89"/>
        <v>3727.9005999049623</v>
      </c>
    </row>
    <row r="580" spans="1:17" ht="21" customHeight="1">
      <c r="A580" s="1" t="s">
        <v>419</v>
      </c>
      <c r="B580" s="1" t="s">
        <v>322</v>
      </c>
      <c r="C580" s="18">
        <v>71.762611657379509</v>
      </c>
      <c r="D580" s="18">
        <v>-2.0845813219097185</v>
      </c>
      <c r="E580" s="18">
        <v>3442.78315996737</v>
      </c>
      <c r="F580" s="18">
        <v>2.3365115147320541</v>
      </c>
      <c r="G580" s="18">
        <v>1.4349562500000002</v>
      </c>
      <c r="H580" s="18">
        <f t="shared" si="80"/>
        <v>2.7419674501878282</v>
      </c>
      <c r="I580" s="18">
        <f t="shared" si="81"/>
        <v>-1.776333363003189</v>
      </c>
      <c r="J580" s="18">
        <f t="shared" si="82"/>
        <v>71.770903233545809</v>
      </c>
      <c r="K580" s="18">
        <f t="shared" si="83"/>
        <v>1255.588632072031</v>
      </c>
      <c r="L580" s="18">
        <f t="shared" si="84"/>
        <v>66.953930817210761</v>
      </c>
      <c r="M580" s="18">
        <f t="shared" si="85"/>
        <v>-5.3324734795281041E-2</v>
      </c>
      <c r="N580" s="18">
        <f t="shared" si="86"/>
        <v>3.836425635987047E-3</v>
      </c>
      <c r="O580" s="18">
        <f t="shared" si="87"/>
        <v>71.802650450216433</v>
      </c>
      <c r="P580" s="18">
        <f t="shared" si="88"/>
        <v>3447.6791439800372</v>
      </c>
      <c r="Q580" s="18">
        <f t="shared" si="89"/>
        <v>3442.8084957179994</v>
      </c>
    </row>
    <row r="581" spans="1:17" ht="21" customHeight="1">
      <c r="A581" s="1" t="s">
        <v>419</v>
      </c>
      <c r="B581" s="1" t="s">
        <v>323</v>
      </c>
      <c r="C581" s="18">
        <v>71.762611657379509</v>
      </c>
      <c r="D581" s="18">
        <v>-2.0845813219097185</v>
      </c>
      <c r="E581" s="18">
        <v>3473.7920137276269</v>
      </c>
      <c r="F581" s="18">
        <v>1.32389775</v>
      </c>
      <c r="G581" s="18">
        <v>0</v>
      </c>
      <c r="H581" s="18">
        <f t="shared" si="80"/>
        <v>1.32389775</v>
      </c>
      <c r="I581" s="18">
        <f t="shared" si="81"/>
        <v>-2.0845813219097185</v>
      </c>
      <c r="J581" s="18">
        <f t="shared" si="82"/>
        <v>71.762611657379509</v>
      </c>
      <c r="K581" s="18">
        <f t="shared" si="83"/>
        <v>2623.9126199343013</v>
      </c>
      <c r="L581" s="18">
        <f t="shared" si="84"/>
        <v>112.08839713918286</v>
      </c>
      <c r="M581" s="18">
        <f t="shared" si="85"/>
        <v>-4.2718037288143149E-2</v>
      </c>
      <c r="N581" s="18">
        <f t="shared" si="86"/>
        <v>-1.5368570270001235E-2</v>
      </c>
      <c r="O581" s="18">
        <f t="shared" si="87"/>
        <v>71.795117696391387</v>
      </c>
      <c r="P581" s="18">
        <f t="shared" si="88"/>
        <v>3476.9620369195877</v>
      </c>
      <c r="Q581" s="18">
        <f t="shared" si="89"/>
        <v>3474.2022643978198</v>
      </c>
    </row>
    <row r="582" spans="1:17" ht="21" customHeight="1">
      <c r="A582" s="1" t="s">
        <v>419</v>
      </c>
      <c r="B582" s="1" t="s">
        <v>324</v>
      </c>
      <c r="C582" s="18">
        <v>71.762611657379509</v>
      </c>
      <c r="D582" s="18">
        <v>-2.0845813219097185</v>
      </c>
      <c r="E582" s="18">
        <v>546.05066195100471</v>
      </c>
      <c r="F582" s="18">
        <v>1.32389775</v>
      </c>
      <c r="G582" s="18">
        <v>0</v>
      </c>
      <c r="H582" s="18">
        <f t="shared" si="80"/>
        <v>1.32389775</v>
      </c>
      <c r="I582" s="18">
        <f t="shared" si="81"/>
        <v>-2.0845813219097185</v>
      </c>
      <c r="J582" s="18">
        <f t="shared" si="82"/>
        <v>71.762611657379509</v>
      </c>
      <c r="K582" s="18">
        <f t="shared" si="83"/>
        <v>412.456824517607</v>
      </c>
      <c r="L582" s="18">
        <f t="shared" si="84"/>
        <v>47.845695425769954</v>
      </c>
      <c r="M582" s="18">
        <f t="shared" si="85"/>
        <v>-0.11600170631611773</v>
      </c>
      <c r="N582" s="18">
        <f t="shared" si="86"/>
        <v>5.7986472304299541E-2</v>
      </c>
      <c r="O582" s="18">
        <f t="shared" si="87"/>
        <v>71.883394397401972</v>
      </c>
      <c r="P582" s="18">
        <f t="shared" si="88"/>
        <v>549.72872056420067</v>
      </c>
      <c r="Q582" s="18">
        <f t="shared" si="89"/>
        <v>546.9689480424322</v>
      </c>
    </row>
    <row r="583" spans="1:17" ht="21" customHeight="1">
      <c r="A583" s="1" t="s">
        <v>420</v>
      </c>
      <c r="B583" s="1" t="s">
        <v>319</v>
      </c>
      <c r="C583" s="18">
        <v>71.762611659079596</v>
      </c>
      <c r="D583" s="18">
        <v>-7.876349070385368</v>
      </c>
      <c r="E583" s="18">
        <v>2205.0000000003893</v>
      </c>
      <c r="F583" s="18">
        <v>1.32389775</v>
      </c>
      <c r="G583" s="18">
        <v>0</v>
      </c>
      <c r="H583" s="18">
        <f t="shared" ref="H583:H646" si="90">SQRT(F583^2+G583^2)</f>
        <v>1.32389775</v>
      </c>
      <c r="I583" s="18">
        <f t="shared" ref="I583:I646" si="91">D583*F583/H583</f>
        <v>-7.876349070385368</v>
      </c>
      <c r="J583" s="18">
        <f t="shared" ref="J583:J646" si="92">SQRT(C583^2+D583^2-I583^2)</f>
        <v>71.762611659079596</v>
      </c>
      <c r="K583" s="18">
        <f t="shared" ref="K583:K646" si="93">E583/H583</f>
        <v>1665.5364811975769</v>
      </c>
      <c r="L583" s="18">
        <f t="shared" ref="L583:L646" si="94">J583/2-K583*ASINH(I583/(2*K583*SINH(J583/(2*K583))))</f>
        <v>218.3041807792477</v>
      </c>
      <c r="M583" s="18">
        <f t="shared" ref="M583:M646" si="95">-L583/K583</f>
        <v>-0.13107138945541416</v>
      </c>
      <c r="N583" s="18">
        <f t="shared" ref="N583:N646" si="96">(J583-L583)/K583</f>
        <v>-8.7984604825227103E-2</v>
      </c>
      <c r="O583" s="18">
        <f t="shared" ref="O583:O646" si="97">K583*(SINH(N583)-SINH(M583))</f>
        <v>72.199072513808915</v>
      </c>
      <c r="P583" s="18">
        <f t="shared" ref="P583:P646" si="98">E583*COSH(M583)</f>
        <v>2223.9677610619719</v>
      </c>
      <c r="Q583" s="18">
        <f t="shared" ref="Q583:Q646" si="99">E583*COSH(N583)</f>
        <v>2213.5402802494737</v>
      </c>
    </row>
    <row r="584" spans="1:17" ht="21" customHeight="1">
      <c r="A584" s="1" t="s">
        <v>420</v>
      </c>
      <c r="B584" s="1" t="s">
        <v>320</v>
      </c>
      <c r="C584" s="18">
        <v>71.762611659079596</v>
      </c>
      <c r="D584" s="18">
        <v>-7.876349070385368</v>
      </c>
      <c r="E584" s="18">
        <v>3446.560940205075</v>
      </c>
      <c r="F584" s="18">
        <v>1.32389775</v>
      </c>
      <c r="G584" s="18">
        <v>3.4438949999999999</v>
      </c>
      <c r="H584" s="18">
        <f t="shared" si="90"/>
        <v>3.6895959160157443</v>
      </c>
      <c r="I584" s="18">
        <f t="shared" si="91"/>
        <v>-2.8261850484044397</v>
      </c>
      <c r="J584" s="18">
        <f t="shared" si="92"/>
        <v>72.138214455880473</v>
      </c>
      <c r="K584" s="18">
        <f t="shared" si="93"/>
        <v>934.12964960317015</v>
      </c>
      <c r="L584" s="18">
        <f t="shared" si="94"/>
        <v>72.647403363462786</v>
      </c>
      <c r="M584" s="18">
        <f t="shared" si="95"/>
        <v>-7.7770150422186365E-2</v>
      </c>
      <c r="N584" s="18">
        <f t="shared" si="96"/>
        <v>-5.4509447141370905E-4</v>
      </c>
      <c r="O584" s="18">
        <f t="shared" si="97"/>
        <v>72.211467538946138</v>
      </c>
      <c r="P584" s="18">
        <f t="shared" si="98"/>
        <v>3456.9889330524352</v>
      </c>
      <c r="Q584" s="18">
        <f t="shared" si="99"/>
        <v>3446.5614522399378</v>
      </c>
    </row>
    <row r="585" spans="1:17" ht="21" customHeight="1">
      <c r="A585" s="1" t="s">
        <v>420</v>
      </c>
      <c r="B585" s="1" t="s">
        <v>321</v>
      </c>
      <c r="C585" s="18">
        <v>71.762611659079596</v>
      </c>
      <c r="D585" s="18">
        <v>-7.876349070385368</v>
      </c>
      <c r="E585" s="18">
        <v>3717.8699835370335</v>
      </c>
      <c r="F585" s="18">
        <v>3.8554321618301355</v>
      </c>
      <c r="G585" s="18">
        <v>0</v>
      </c>
      <c r="H585" s="18">
        <f t="shared" si="90"/>
        <v>3.8554321618301355</v>
      </c>
      <c r="I585" s="18">
        <f t="shared" si="91"/>
        <v>-7.876349070385368</v>
      </c>
      <c r="J585" s="18">
        <f t="shared" si="92"/>
        <v>71.762611659079596</v>
      </c>
      <c r="K585" s="18">
        <f t="shared" si="93"/>
        <v>964.31990694713647</v>
      </c>
      <c r="L585" s="18">
        <f t="shared" si="94"/>
        <v>141.48519866539237</v>
      </c>
      <c r="M585" s="18">
        <f t="shared" si="95"/>
        <v>-0.14672018864912692</v>
      </c>
      <c r="N585" s="18">
        <f t="shared" si="96"/>
        <v>-7.2302341270794629E-2</v>
      </c>
      <c r="O585" s="18">
        <f t="shared" si="97"/>
        <v>72.21001605446753</v>
      </c>
      <c r="P585" s="18">
        <f t="shared" si="98"/>
        <v>3757.9587688703014</v>
      </c>
      <c r="Q585" s="18">
        <f t="shared" si="99"/>
        <v>3727.5920393465362</v>
      </c>
    </row>
    <row r="586" spans="1:17" ht="21" customHeight="1">
      <c r="A586" s="1" t="s">
        <v>420</v>
      </c>
      <c r="B586" s="1" t="s">
        <v>322</v>
      </c>
      <c r="C586" s="18">
        <v>71.762611659079596</v>
      </c>
      <c r="D586" s="18">
        <v>-7.876349070385368</v>
      </c>
      <c r="E586" s="18">
        <v>3441.9170824129924</v>
      </c>
      <c r="F586" s="18">
        <v>2.3365115147320541</v>
      </c>
      <c r="G586" s="18">
        <v>1.4349562500000002</v>
      </c>
      <c r="H586" s="18">
        <f t="shared" si="90"/>
        <v>2.7419674501878282</v>
      </c>
      <c r="I586" s="18">
        <f t="shared" si="91"/>
        <v>-6.7116698616330694</v>
      </c>
      <c r="J586" s="18">
        <f t="shared" si="92"/>
        <v>71.880893111305141</v>
      </c>
      <c r="K586" s="18">
        <f t="shared" si="93"/>
        <v>1255.2727721757662</v>
      </c>
      <c r="L586" s="18">
        <f t="shared" si="94"/>
        <v>152.96231253708464</v>
      </c>
      <c r="M586" s="18">
        <f t="shared" si="95"/>
        <v>-0.12185583558221759</v>
      </c>
      <c r="N586" s="18">
        <f t="shared" si="96"/>
        <v>-6.4592669595820953E-2</v>
      </c>
      <c r="O586" s="18">
        <f t="shared" si="97"/>
        <v>72.203333279124763</v>
      </c>
      <c r="P586" s="18">
        <f t="shared" si="98"/>
        <v>3467.5029650415017</v>
      </c>
      <c r="Q586" s="18">
        <f t="shared" si="99"/>
        <v>3449.0997847444978</v>
      </c>
    </row>
    <row r="587" spans="1:17" ht="21" customHeight="1">
      <c r="A587" s="1" t="s">
        <v>420</v>
      </c>
      <c r="B587" s="1" t="s">
        <v>323</v>
      </c>
      <c r="C587" s="18">
        <v>71.762611659079596</v>
      </c>
      <c r="D587" s="18">
        <v>-7.876349070385368</v>
      </c>
      <c r="E587" s="18">
        <v>3468.5844000956022</v>
      </c>
      <c r="F587" s="18">
        <v>1.32389775</v>
      </c>
      <c r="G587" s="18">
        <v>0</v>
      </c>
      <c r="H587" s="18">
        <f t="shared" si="90"/>
        <v>1.32389775</v>
      </c>
      <c r="I587" s="18">
        <f t="shared" si="91"/>
        <v>-7.876349070385368</v>
      </c>
      <c r="J587" s="18">
        <f t="shared" si="92"/>
        <v>71.762611659079596</v>
      </c>
      <c r="K587" s="18">
        <f t="shared" si="93"/>
        <v>2619.9790732294864</v>
      </c>
      <c r="L587" s="18">
        <f t="shared" si="94"/>
        <v>322.85554051648717</v>
      </c>
      <c r="M587" s="18">
        <f t="shared" si="95"/>
        <v>-0.12322828980405674</v>
      </c>
      <c r="N587" s="18">
        <f t="shared" si="96"/>
        <v>-9.5837761233680707E-2</v>
      </c>
      <c r="O587" s="18">
        <f t="shared" si="97"/>
        <v>72.195784401443802</v>
      </c>
      <c r="P587" s="18">
        <f t="shared" si="98"/>
        <v>3494.9533366330902</v>
      </c>
      <c r="Q587" s="18">
        <f t="shared" si="99"/>
        <v>3484.5258558205924</v>
      </c>
    </row>
    <row r="588" spans="1:17" ht="21" customHeight="1">
      <c r="A588" s="1" t="s">
        <v>420</v>
      </c>
      <c r="B588" s="1" t="s">
        <v>324</v>
      </c>
      <c r="C588" s="18">
        <v>71.762611659079596</v>
      </c>
      <c r="D588" s="18">
        <v>-7.876349070385368</v>
      </c>
      <c r="E588" s="18">
        <v>544.0050780128031</v>
      </c>
      <c r="F588" s="18">
        <v>1.32389775</v>
      </c>
      <c r="G588" s="18">
        <v>0</v>
      </c>
      <c r="H588" s="18">
        <f t="shared" si="90"/>
        <v>1.32389775</v>
      </c>
      <c r="I588" s="18">
        <f t="shared" si="91"/>
        <v>-7.876349070385368</v>
      </c>
      <c r="J588" s="18">
        <f t="shared" si="92"/>
        <v>71.762611659079596</v>
      </c>
      <c r="K588" s="18">
        <f t="shared" si="93"/>
        <v>410.91170221627999</v>
      </c>
      <c r="L588" s="18">
        <f t="shared" si="94"/>
        <v>80.834187148805881</v>
      </c>
      <c r="M588" s="18">
        <f t="shared" si="95"/>
        <v>-0.19671911681468607</v>
      </c>
      <c r="N588" s="18">
        <f t="shared" si="96"/>
        <v>-2.2076702709604355E-2</v>
      </c>
      <c r="O588" s="18">
        <f t="shared" si="97"/>
        <v>72.284243572700817</v>
      </c>
      <c r="P588" s="18">
        <f t="shared" si="98"/>
        <v>554.56513302543033</v>
      </c>
      <c r="Q588" s="18">
        <f t="shared" si="99"/>
        <v>544.13765221293249</v>
      </c>
    </row>
    <row r="589" spans="1:17" ht="21" customHeight="1">
      <c r="A589" s="1" t="s">
        <v>421</v>
      </c>
      <c r="B589" s="1" t="s">
        <v>319</v>
      </c>
      <c r="C589" s="18">
        <v>71.762611657379509</v>
      </c>
      <c r="D589" s="18">
        <v>11.808546337087501</v>
      </c>
      <c r="E589" s="18">
        <v>2205.000000002562</v>
      </c>
      <c r="F589" s="18">
        <v>1.32389775</v>
      </c>
      <c r="G589" s="18">
        <v>0</v>
      </c>
      <c r="H589" s="18">
        <f t="shared" si="90"/>
        <v>1.32389775</v>
      </c>
      <c r="I589" s="18">
        <f t="shared" si="91"/>
        <v>11.808546337087501</v>
      </c>
      <c r="J589" s="18">
        <f t="shared" si="92"/>
        <v>71.762611657379509</v>
      </c>
      <c r="K589" s="18">
        <f t="shared" si="93"/>
        <v>1665.5364811992181</v>
      </c>
      <c r="L589" s="18">
        <f t="shared" si="94"/>
        <v>-236.94004111262487</v>
      </c>
      <c r="M589" s="18">
        <f t="shared" si="95"/>
        <v>0.14226049311271977</v>
      </c>
      <c r="N589" s="18">
        <f t="shared" si="96"/>
        <v>0.18534727774184362</v>
      </c>
      <c r="O589" s="18">
        <f t="shared" si="97"/>
        <v>72.733149000484957</v>
      </c>
      <c r="P589" s="18">
        <f t="shared" si="98"/>
        <v>2227.3501032398349</v>
      </c>
      <c r="Q589" s="18">
        <f t="shared" si="99"/>
        <v>2242.9834111662753</v>
      </c>
    </row>
    <row r="590" spans="1:17" ht="21" customHeight="1">
      <c r="A590" s="1" t="s">
        <v>421</v>
      </c>
      <c r="B590" s="1" t="s">
        <v>320</v>
      </c>
      <c r="C590" s="18">
        <v>71.762611657379509</v>
      </c>
      <c r="D590" s="18">
        <v>11.808546337087501</v>
      </c>
      <c r="E590" s="18">
        <v>3463.8861402831917</v>
      </c>
      <c r="F590" s="18">
        <v>1.32389775</v>
      </c>
      <c r="G590" s="18">
        <v>3.4438949999999999</v>
      </c>
      <c r="H590" s="18">
        <f t="shared" si="90"/>
        <v>3.6895959160157443</v>
      </c>
      <c r="I590" s="18">
        <f t="shared" si="91"/>
        <v>4.2371328140786497</v>
      </c>
      <c r="J590" s="18">
        <f t="shared" si="92"/>
        <v>72.604138339345795</v>
      </c>
      <c r="K590" s="18">
        <f t="shared" si="93"/>
        <v>938.82533999108284</v>
      </c>
      <c r="L590" s="18">
        <f t="shared" si="94"/>
        <v>-18.442519136665702</v>
      </c>
      <c r="M590" s="18">
        <f t="shared" si="95"/>
        <v>1.9644249415808133E-2</v>
      </c>
      <c r="N590" s="18">
        <f t="shared" si="96"/>
        <v>9.6979335343543527E-2</v>
      </c>
      <c r="O590" s="18">
        <f t="shared" si="97"/>
        <v>72.745734799052912</v>
      </c>
      <c r="P590" s="18">
        <f t="shared" si="98"/>
        <v>3464.5545126061006</v>
      </c>
      <c r="Q590" s="18">
        <f t="shared" si="99"/>
        <v>3480.1878205325411</v>
      </c>
    </row>
    <row r="591" spans="1:17" ht="21" customHeight="1">
      <c r="A591" s="1" t="s">
        <v>421</v>
      </c>
      <c r="B591" s="1" t="s">
        <v>321</v>
      </c>
      <c r="C591" s="18">
        <v>71.762611657379509</v>
      </c>
      <c r="D591" s="18">
        <v>11.808546337087501</v>
      </c>
      <c r="E591" s="18">
        <v>3704.8213667588088</v>
      </c>
      <c r="F591" s="18">
        <v>3.8554321618301355</v>
      </c>
      <c r="G591" s="18">
        <v>0</v>
      </c>
      <c r="H591" s="18">
        <f t="shared" si="90"/>
        <v>3.8554321618301355</v>
      </c>
      <c r="I591" s="18">
        <f t="shared" si="91"/>
        <v>11.808546337087501</v>
      </c>
      <c r="J591" s="18">
        <f t="shared" si="92"/>
        <v>71.762611657379509</v>
      </c>
      <c r="K591" s="18">
        <f t="shared" si="93"/>
        <v>960.93543116581952</v>
      </c>
      <c r="L591" s="18">
        <f t="shared" si="94"/>
        <v>-121.49946883265966</v>
      </c>
      <c r="M591" s="18">
        <f t="shared" si="95"/>
        <v>0.1264387438448959</v>
      </c>
      <c r="N591" s="18">
        <f t="shared" si="96"/>
        <v>0.20111869561888365</v>
      </c>
      <c r="O591" s="18">
        <f t="shared" si="97"/>
        <v>72.744127512420178</v>
      </c>
      <c r="P591" s="18">
        <f t="shared" si="98"/>
        <v>3734.4748779932497</v>
      </c>
      <c r="Q591" s="18">
        <f t="shared" si="99"/>
        <v>3780.0019273257176</v>
      </c>
    </row>
    <row r="592" spans="1:17" ht="21" customHeight="1">
      <c r="A592" s="1" t="s">
        <v>421</v>
      </c>
      <c r="B592" s="1" t="s">
        <v>322</v>
      </c>
      <c r="C592" s="18">
        <v>71.762611657379509</v>
      </c>
      <c r="D592" s="18">
        <v>11.808546337087501</v>
      </c>
      <c r="E592" s="18">
        <v>3440.8468790304605</v>
      </c>
      <c r="F592" s="18">
        <v>2.3365115147320541</v>
      </c>
      <c r="G592" s="18">
        <v>1.4349562500000002</v>
      </c>
      <c r="H592" s="18">
        <f t="shared" si="90"/>
        <v>2.7419674501878282</v>
      </c>
      <c r="I592" s="18">
        <f t="shared" si="91"/>
        <v>10.062411385285394</v>
      </c>
      <c r="J592" s="18">
        <f t="shared" si="92"/>
        <v>72.028203334501427</v>
      </c>
      <c r="K592" s="18">
        <f t="shared" si="93"/>
        <v>1254.8824672571361</v>
      </c>
      <c r="L592" s="18">
        <f t="shared" si="94"/>
        <v>-138.70511134185517</v>
      </c>
      <c r="M592" s="18">
        <f t="shared" si="95"/>
        <v>0.11053235259954693</v>
      </c>
      <c r="N592" s="18">
        <f t="shared" si="96"/>
        <v>0.16793071875246429</v>
      </c>
      <c r="O592" s="18">
        <f t="shared" si="97"/>
        <v>72.737464386941525</v>
      </c>
      <c r="P592" s="18">
        <f t="shared" si="98"/>
        <v>3461.8873906489785</v>
      </c>
      <c r="Q592" s="18">
        <f t="shared" si="99"/>
        <v>3489.47819513783</v>
      </c>
    </row>
    <row r="593" spans="1:17" ht="21" customHeight="1">
      <c r="A593" s="1" t="s">
        <v>421</v>
      </c>
      <c r="B593" s="1" t="s">
        <v>323</v>
      </c>
      <c r="C593" s="18">
        <v>71.762611657379509</v>
      </c>
      <c r="D593" s="18">
        <v>11.808546337087501</v>
      </c>
      <c r="E593" s="18">
        <v>3461.6822571196408</v>
      </c>
      <c r="F593" s="18">
        <v>1.32389775</v>
      </c>
      <c r="G593" s="18">
        <v>0</v>
      </c>
      <c r="H593" s="18">
        <f t="shared" si="90"/>
        <v>1.32389775</v>
      </c>
      <c r="I593" s="18">
        <f t="shared" si="91"/>
        <v>11.808546337087501</v>
      </c>
      <c r="J593" s="18">
        <f t="shared" si="92"/>
        <v>71.762611657379509</v>
      </c>
      <c r="K593" s="18">
        <f t="shared" si="93"/>
        <v>2614.7655716762424</v>
      </c>
      <c r="L593" s="18">
        <f t="shared" si="94"/>
        <v>-392.4469686370723</v>
      </c>
      <c r="M593" s="18">
        <f t="shared" si="95"/>
        <v>0.15008877770464413</v>
      </c>
      <c r="N593" s="18">
        <f t="shared" si="96"/>
        <v>0.17753391941628707</v>
      </c>
      <c r="O593" s="18">
        <f t="shared" si="97"/>
        <v>72.729893869653125</v>
      </c>
      <c r="P593" s="18">
        <f t="shared" si="98"/>
        <v>3500.7455420476049</v>
      </c>
      <c r="Q593" s="18">
        <f t="shared" si="99"/>
        <v>3516.3788499740454</v>
      </c>
    </row>
    <row r="594" spans="1:17" ht="21" customHeight="1">
      <c r="A594" s="1" t="s">
        <v>421</v>
      </c>
      <c r="B594" s="1" t="s">
        <v>324</v>
      </c>
      <c r="C594" s="18">
        <v>71.762611657379509</v>
      </c>
      <c r="D594" s="18">
        <v>11.808546337087501</v>
      </c>
      <c r="E594" s="18">
        <v>541.31654350618282</v>
      </c>
      <c r="F594" s="18">
        <v>1.32389775</v>
      </c>
      <c r="G594" s="18">
        <v>0</v>
      </c>
      <c r="H594" s="18">
        <f t="shared" si="90"/>
        <v>1.32389775</v>
      </c>
      <c r="I594" s="18">
        <f t="shared" si="91"/>
        <v>11.808546337087501</v>
      </c>
      <c r="J594" s="18">
        <f t="shared" si="92"/>
        <v>71.762611657379509</v>
      </c>
      <c r="K594" s="18">
        <f t="shared" si="93"/>
        <v>408.88093019735311</v>
      </c>
      <c r="L594" s="18">
        <f t="shared" si="94"/>
        <v>-31.014980419100986</v>
      </c>
      <c r="M594" s="18">
        <f t="shared" si="95"/>
        <v>7.585333070958114E-2</v>
      </c>
      <c r="N594" s="18">
        <f t="shared" si="96"/>
        <v>0.25136313407150879</v>
      </c>
      <c r="O594" s="18">
        <f t="shared" si="97"/>
        <v>72.818592197645273</v>
      </c>
      <c r="P594" s="18">
        <f t="shared" si="98"/>
        <v>542.87458435356064</v>
      </c>
      <c r="Q594" s="18">
        <f t="shared" si="99"/>
        <v>558.50789228000156</v>
      </c>
    </row>
    <row r="595" spans="1:17" ht="21" customHeight="1">
      <c r="A595" s="1" t="s">
        <v>422</v>
      </c>
      <c r="B595" s="1" t="s">
        <v>319</v>
      </c>
      <c r="C595" s="18">
        <v>71.762611659101765</v>
      </c>
      <c r="D595" s="18">
        <v>-1.6785918091276475</v>
      </c>
      <c r="E595" s="18">
        <v>2205.0000000000346</v>
      </c>
      <c r="F595" s="18">
        <v>1.32389775</v>
      </c>
      <c r="G595" s="18">
        <v>0</v>
      </c>
      <c r="H595" s="18">
        <f t="shared" si="90"/>
        <v>1.32389775</v>
      </c>
      <c r="I595" s="18">
        <f t="shared" si="91"/>
        <v>-1.6785918091276477</v>
      </c>
      <c r="J595" s="18">
        <f t="shared" si="92"/>
        <v>71.762611659101765</v>
      </c>
      <c r="K595" s="18">
        <f t="shared" si="93"/>
        <v>1665.5364811973088</v>
      </c>
      <c r="L595" s="18">
        <f t="shared" si="94"/>
        <v>74.833132719832406</v>
      </c>
      <c r="M595" s="18">
        <f t="shared" si="95"/>
        <v>-4.4930347407363243E-2</v>
      </c>
      <c r="N595" s="18">
        <f t="shared" si="96"/>
        <v>-1.8435627771559392E-3</v>
      </c>
      <c r="O595" s="18">
        <f t="shared" si="97"/>
        <v>71.787790519283504</v>
      </c>
      <c r="P595" s="18">
        <f t="shared" si="98"/>
        <v>2207.2260310132624</v>
      </c>
      <c r="Q595" s="18">
        <f t="shared" si="99"/>
        <v>2205.0037470939897</v>
      </c>
    </row>
    <row r="596" spans="1:17" ht="21" customHeight="1">
      <c r="A596" s="1" t="s">
        <v>422</v>
      </c>
      <c r="B596" s="1" t="s">
        <v>320</v>
      </c>
      <c r="C596" s="18">
        <v>71.762611659101765</v>
      </c>
      <c r="D596" s="18">
        <v>-1.6785918091276475</v>
      </c>
      <c r="E596" s="18">
        <v>3433.2037608711616</v>
      </c>
      <c r="F596" s="18">
        <v>1.32389775</v>
      </c>
      <c r="G596" s="18">
        <v>3.4438949999999999</v>
      </c>
      <c r="H596" s="18">
        <f t="shared" si="90"/>
        <v>3.6895959160157443</v>
      </c>
      <c r="I596" s="18">
        <f t="shared" si="91"/>
        <v>-0.60231092234953543</v>
      </c>
      <c r="J596" s="18">
        <f t="shared" si="92"/>
        <v>71.779713876202777</v>
      </c>
      <c r="K596" s="18">
        <f t="shared" si="93"/>
        <v>930.50942136193305</v>
      </c>
      <c r="L596" s="18">
        <f t="shared" si="94"/>
        <v>43.695829531575008</v>
      </c>
      <c r="M596" s="18">
        <f t="shared" si="95"/>
        <v>-4.6959040422847022E-2</v>
      </c>
      <c r="N596" s="18">
        <f t="shared" si="96"/>
        <v>3.0181192903477545E-2</v>
      </c>
      <c r="O596" s="18">
        <f t="shared" si="97"/>
        <v>71.800038783984377</v>
      </c>
      <c r="P596" s="18">
        <f t="shared" si="98"/>
        <v>3436.9898237041052</v>
      </c>
      <c r="Q596" s="18">
        <f t="shared" si="99"/>
        <v>3434.7675397848329</v>
      </c>
    </row>
    <row r="597" spans="1:17" ht="21" customHeight="1">
      <c r="A597" s="1" t="s">
        <v>422</v>
      </c>
      <c r="B597" s="1" t="s">
        <v>321</v>
      </c>
      <c r="C597" s="18">
        <v>71.762611659101765</v>
      </c>
      <c r="D597" s="18">
        <v>-1.6785918091276475</v>
      </c>
      <c r="E597" s="18">
        <v>3728.0437339852397</v>
      </c>
      <c r="F597" s="18">
        <v>3.8554321618301355</v>
      </c>
      <c r="G597" s="18">
        <v>0</v>
      </c>
      <c r="H597" s="18">
        <f t="shared" si="90"/>
        <v>3.8554321618301355</v>
      </c>
      <c r="I597" s="18">
        <f t="shared" si="91"/>
        <v>-1.6785918091276475</v>
      </c>
      <c r="J597" s="18">
        <f t="shared" si="92"/>
        <v>71.762611659101765</v>
      </c>
      <c r="K597" s="18">
        <f t="shared" si="93"/>
        <v>966.95871630006172</v>
      </c>
      <c r="L597" s="18">
        <f t="shared" si="94"/>
        <v>58.492086475992366</v>
      </c>
      <c r="M597" s="18">
        <f t="shared" si="95"/>
        <v>-6.0490779482090522E-2</v>
      </c>
      <c r="N597" s="18">
        <f t="shared" si="96"/>
        <v>1.3723983205702193E-2</v>
      </c>
      <c r="O597" s="18">
        <f t="shared" si="97"/>
        <v>71.798706503141176</v>
      </c>
      <c r="P597" s="18">
        <f t="shared" si="98"/>
        <v>3734.8665206026772</v>
      </c>
      <c r="Q597" s="18">
        <f t="shared" si="99"/>
        <v>3728.3948237551817</v>
      </c>
    </row>
    <row r="598" spans="1:17" ht="21" customHeight="1">
      <c r="A598" s="1" t="s">
        <v>422</v>
      </c>
      <c r="B598" s="1" t="s">
        <v>322</v>
      </c>
      <c r="C598" s="18">
        <v>71.762611659101765</v>
      </c>
      <c r="D598" s="18">
        <v>-1.6785918091276475</v>
      </c>
      <c r="E598" s="18">
        <v>3442.8069053961171</v>
      </c>
      <c r="F598" s="18">
        <v>2.3365115147320541</v>
      </c>
      <c r="G598" s="18">
        <v>1.4349562500000002</v>
      </c>
      <c r="H598" s="18">
        <f t="shared" si="90"/>
        <v>2.7419674501878282</v>
      </c>
      <c r="I598" s="18">
        <f t="shared" si="91"/>
        <v>-1.4303776984270886</v>
      </c>
      <c r="J598" s="18">
        <f t="shared" si="92"/>
        <v>71.767988143994685</v>
      </c>
      <c r="K598" s="18">
        <f t="shared" si="93"/>
        <v>1255.5972920686131</v>
      </c>
      <c r="L598" s="18">
        <f t="shared" si="94"/>
        <v>60.90371551053191</v>
      </c>
      <c r="M598" s="18">
        <f t="shared" si="95"/>
        <v>-4.8505771631756414E-2</v>
      </c>
      <c r="N598" s="18">
        <f t="shared" si="96"/>
        <v>8.6526728769570245E-3</v>
      </c>
      <c r="O598" s="18">
        <f t="shared" si="97"/>
        <v>71.792008997233978</v>
      </c>
      <c r="P598" s="18">
        <f t="shared" si="98"/>
        <v>3446.857834611928</v>
      </c>
      <c r="Q598" s="18">
        <f t="shared" si="99"/>
        <v>3442.9357855213666</v>
      </c>
    </row>
    <row r="599" spans="1:17" ht="21" customHeight="1">
      <c r="A599" s="1" t="s">
        <v>422</v>
      </c>
      <c r="B599" s="1" t="s">
        <v>323</v>
      </c>
      <c r="C599" s="18">
        <v>71.762611659101765</v>
      </c>
      <c r="D599" s="18">
        <v>-1.6785918091276475</v>
      </c>
      <c r="E599" s="18">
        <v>3473.9306656418557</v>
      </c>
      <c r="F599" s="18">
        <v>1.32389775</v>
      </c>
      <c r="G599" s="18">
        <v>0</v>
      </c>
      <c r="H599" s="18">
        <f t="shared" si="90"/>
        <v>1.32389775</v>
      </c>
      <c r="I599" s="18">
        <f t="shared" si="91"/>
        <v>-1.6785918091276477</v>
      </c>
      <c r="J599" s="18">
        <f t="shared" si="92"/>
        <v>71.762611659101765</v>
      </c>
      <c r="K599" s="18">
        <f t="shared" si="93"/>
        <v>2624.017350012005</v>
      </c>
      <c r="L599" s="18">
        <f t="shared" si="94"/>
        <v>97.251915762538374</v>
      </c>
      <c r="M599" s="18">
        <f t="shared" si="95"/>
        <v>-3.7062222840139929E-2</v>
      </c>
      <c r="N599" s="18">
        <f t="shared" si="96"/>
        <v>-9.7138473963672509E-3</v>
      </c>
      <c r="O599" s="18">
        <f t="shared" si="97"/>
        <v>71.784476670343665</v>
      </c>
      <c r="P599" s="18">
        <f t="shared" si="98"/>
        <v>3476.3168488686106</v>
      </c>
      <c r="Q599" s="18">
        <f t="shared" si="99"/>
        <v>3474.0945649493378</v>
      </c>
    </row>
    <row r="600" spans="1:17" ht="21" customHeight="1">
      <c r="A600" s="1" t="s">
        <v>422</v>
      </c>
      <c r="B600" s="1" t="s">
        <v>324</v>
      </c>
      <c r="C600" s="18">
        <v>71.762611659101765</v>
      </c>
      <c r="D600" s="18">
        <v>-1.6785918091276475</v>
      </c>
      <c r="E600" s="18">
        <v>546.10532903568082</v>
      </c>
      <c r="F600" s="18">
        <v>1.32389775</v>
      </c>
      <c r="G600" s="18">
        <v>0</v>
      </c>
      <c r="H600" s="18">
        <f t="shared" si="90"/>
        <v>1.32389775</v>
      </c>
      <c r="I600" s="18">
        <f t="shared" si="91"/>
        <v>-1.6785918091276477</v>
      </c>
      <c r="J600" s="18">
        <f t="shared" si="92"/>
        <v>71.762611659101765</v>
      </c>
      <c r="K600" s="18">
        <f t="shared" si="93"/>
        <v>412.49811704542952</v>
      </c>
      <c r="L600" s="18">
        <f t="shared" si="94"/>
        <v>45.516973186707389</v>
      </c>
      <c r="M600" s="18">
        <f t="shared" si="95"/>
        <v>-0.11034468111691885</v>
      </c>
      <c r="N600" s="18">
        <f t="shared" si="96"/>
        <v>6.3626080672518251E-2</v>
      </c>
      <c r="O600" s="18">
        <f t="shared" si="97"/>
        <v>71.872748489461273</v>
      </c>
      <c r="P600" s="18">
        <f t="shared" si="98"/>
        <v>549.43337905016324</v>
      </c>
      <c r="Q600" s="18">
        <f t="shared" si="99"/>
        <v>547.21109513089073</v>
      </c>
    </row>
    <row r="601" spans="1:17" ht="21" customHeight="1">
      <c r="A601" s="1" t="s">
        <v>423</v>
      </c>
      <c r="B601" s="1" t="s">
        <v>319</v>
      </c>
      <c r="C601" s="18">
        <v>45.536313382471739</v>
      </c>
      <c r="D601" s="18">
        <v>4.0532620798659078</v>
      </c>
      <c r="E601" s="18">
        <v>2205.0000000012833</v>
      </c>
      <c r="F601" s="18">
        <v>1.32389775</v>
      </c>
      <c r="G601" s="18">
        <v>0</v>
      </c>
      <c r="H601" s="18">
        <f t="shared" si="90"/>
        <v>1.32389775</v>
      </c>
      <c r="I601" s="18">
        <f t="shared" si="91"/>
        <v>4.0532620798659078</v>
      </c>
      <c r="J601" s="18">
        <f t="shared" si="92"/>
        <v>45.536313382471739</v>
      </c>
      <c r="K601" s="18">
        <f t="shared" si="93"/>
        <v>1665.5364811982522</v>
      </c>
      <c r="L601" s="18">
        <f t="shared" si="94"/>
        <v>-125.28430918473879</v>
      </c>
      <c r="M601" s="18">
        <f t="shared" si="95"/>
        <v>7.5221594122396138E-2</v>
      </c>
      <c r="N601" s="18">
        <f t="shared" si="96"/>
        <v>0.10256192193659756</v>
      </c>
      <c r="O601" s="18">
        <f t="shared" si="97"/>
        <v>45.717763914076464</v>
      </c>
      <c r="P601" s="18">
        <f t="shared" si="98"/>
        <v>2211.2412048119659</v>
      </c>
      <c r="Q601" s="18">
        <f t="shared" si="99"/>
        <v>2216.6073093596606</v>
      </c>
    </row>
    <row r="602" spans="1:17" ht="21" customHeight="1">
      <c r="A602" s="1" t="s">
        <v>423</v>
      </c>
      <c r="B602" s="1" t="s">
        <v>320</v>
      </c>
      <c r="C602" s="18">
        <v>45.536313382471739</v>
      </c>
      <c r="D602" s="18">
        <v>4.0532620798659078</v>
      </c>
      <c r="E602" s="18">
        <v>3180.9039058783492</v>
      </c>
      <c r="F602" s="18">
        <v>1.32389775</v>
      </c>
      <c r="G602" s="18">
        <v>3.4438949999999999</v>
      </c>
      <c r="H602" s="18">
        <f t="shared" si="90"/>
        <v>3.6895959160157443</v>
      </c>
      <c r="I602" s="18">
        <f t="shared" si="91"/>
        <v>1.4543881416394915</v>
      </c>
      <c r="J602" s="18">
        <f t="shared" si="92"/>
        <v>45.693210929942452</v>
      </c>
      <c r="K602" s="18">
        <f t="shared" si="93"/>
        <v>862.1279886154274</v>
      </c>
      <c r="L602" s="18">
        <f t="shared" si="94"/>
        <v>-4.5865821940011173</v>
      </c>
      <c r="M602" s="18">
        <f t="shared" si="95"/>
        <v>5.3200710968299989E-3</v>
      </c>
      <c r="N602" s="18">
        <f t="shared" si="96"/>
        <v>5.8320567001533763E-2</v>
      </c>
      <c r="O602" s="18">
        <f t="shared" si="97"/>
        <v>45.721696822456487</v>
      </c>
      <c r="P602" s="18">
        <f t="shared" si="98"/>
        <v>3180.9489207950119</v>
      </c>
      <c r="Q602" s="18">
        <f t="shared" si="99"/>
        <v>3186.3150253427061</v>
      </c>
    </row>
    <row r="603" spans="1:17" ht="21" customHeight="1">
      <c r="A603" s="1" t="s">
        <v>423</v>
      </c>
      <c r="B603" s="1" t="s">
        <v>321</v>
      </c>
      <c r="C603" s="18">
        <v>45.536313382471739</v>
      </c>
      <c r="D603" s="18">
        <v>4.0532620798659078</v>
      </c>
      <c r="E603" s="18">
        <v>3484.626033127317</v>
      </c>
      <c r="F603" s="18">
        <v>3.8554321618301355</v>
      </c>
      <c r="G603" s="18">
        <v>0</v>
      </c>
      <c r="H603" s="18">
        <f t="shared" si="90"/>
        <v>3.8554321618301355</v>
      </c>
      <c r="I603" s="18">
        <f t="shared" si="91"/>
        <v>4.0532620798659078</v>
      </c>
      <c r="J603" s="18">
        <f t="shared" si="92"/>
        <v>45.536313382471739</v>
      </c>
      <c r="K603" s="18">
        <f t="shared" si="93"/>
        <v>903.82242167975267</v>
      </c>
      <c r="L603" s="18">
        <f t="shared" si="94"/>
        <v>-57.568228414555179</v>
      </c>
      <c r="M603" s="18">
        <f t="shared" si="95"/>
        <v>6.3694180442619153E-2</v>
      </c>
      <c r="N603" s="18">
        <f t="shared" si="96"/>
        <v>0.11407610535419919</v>
      </c>
      <c r="O603" s="18">
        <f t="shared" si="97"/>
        <v>45.721148526635375</v>
      </c>
      <c r="P603" s="18">
        <f t="shared" si="98"/>
        <v>3491.6968975457125</v>
      </c>
      <c r="Q603" s="18">
        <f t="shared" si="99"/>
        <v>3507.3239745287538</v>
      </c>
    </row>
    <row r="604" spans="1:17" ht="21" customHeight="1">
      <c r="A604" s="1" t="s">
        <v>423</v>
      </c>
      <c r="B604" s="1" t="s">
        <v>322</v>
      </c>
      <c r="C604" s="18">
        <v>45.536313382471739</v>
      </c>
      <c r="D604" s="18">
        <v>4.0532620798659078</v>
      </c>
      <c r="E604" s="18">
        <v>3344.6905335390265</v>
      </c>
      <c r="F604" s="18">
        <v>2.3365115147320541</v>
      </c>
      <c r="G604" s="18">
        <v>1.4349562500000002</v>
      </c>
      <c r="H604" s="18">
        <f t="shared" si="90"/>
        <v>2.7419674501878282</v>
      </c>
      <c r="I604" s="18">
        <f t="shared" si="91"/>
        <v>3.4539044295309731</v>
      </c>
      <c r="J604" s="18">
        <f t="shared" si="92"/>
        <v>45.585691989333895</v>
      </c>
      <c r="K604" s="18">
        <f t="shared" si="93"/>
        <v>1219.8140912686295</v>
      </c>
      <c r="L604" s="18">
        <f t="shared" si="94"/>
        <v>-69.535601785300571</v>
      </c>
      <c r="M604" s="18">
        <f t="shared" si="95"/>
        <v>5.7005081580080982E-2</v>
      </c>
      <c r="N604" s="18">
        <f t="shared" si="96"/>
        <v>9.4376097635424233E-2</v>
      </c>
      <c r="O604" s="18">
        <f t="shared" si="97"/>
        <v>45.718996390761568</v>
      </c>
      <c r="P604" s="18">
        <f t="shared" si="98"/>
        <v>3350.1264239343845</v>
      </c>
      <c r="Q604" s="18">
        <f t="shared" si="99"/>
        <v>3359.5969174562183</v>
      </c>
    </row>
    <row r="605" spans="1:17" ht="21" customHeight="1">
      <c r="A605" s="1" t="s">
        <v>423</v>
      </c>
      <c r="B605" s="1" t="s">
        <v>323</v>
      </c>
      <c r="C605" s="18">
        <v>45.536313382471739</v>
      </c>
      <c r="D605" s="18">
        <v>4.0532620798659078</v>
      </c>
      <c r="E605" s="18">
        <v>3552.1976798458127</v>
      </c>
      <c r="F605" s="18">
        <v>1.32389775</v>
      </c>
      <c r="G605" s="18">
        <v>0</v>
      </c>
      <c r="H605" s="18">
        <f t="shared" si="90"/>
        <v>1.32389775</v>
      </c>
      <c r="I605" s="18">
        <f t="shared" si="91"/>
        <v>4.0532620798659078</v>
      </c>
      <c r="J605" s="18">
        <f t="shared" si="92"/>
        <v>45.536313382471739</v>
      </c>
      <c r="K605" s="18">
        <f t="shared" si="93"/>
        <v>2683.1359746973003</v>
      </c>
      <c r="L605" s="18">
        <f t="shared" si="94"/>
        <v>-215.74507128013735</v>
      </c>
      <c r="M605" s="18">
        <f t="shared" si="95"/>
        <v>8.0407803896139399E-2</v>
      </c>
      <c r="N605" s="18">
        <f t="shared" si="96"/>
        <v>9.7379106808810054E-2</v>
      </c>
      <c r="O605" s="18">
        <f t="shared" si="97"/>
        <v>45.716895565138103</v>
      </c>
      <c r="P605" s="18">
        <f t="shared" si="98"/>
        <v>3563.687084111174</v>
      </c>
      <c r="Q605" s="18">
        <f t="shared" si="99"/>
        <v>3569.0531886588687</v>
      </c>
    </row>
    <row r="606" spans="1:17" ht="21" customHeight="1">
      <c r="A606" s="1" t="s">
        <v>423</v>
      </c>
      <c r="B606" s="1" t="s">
        <v>324</v>
      </c>
      <c r="C606" s="18">
        <v>45.536313382471739</v>
      </c>
      <c r="D606" s="18">
        <v>4.0532620798659078</v>
      </c>
      <c r="E606" s="18">
        <v>361.22898210810069</v>
      </c>
      <c r="F606" s="18">
        <v>1.32389775</v>
      </c>
      <c r="G606" s="18">
        <v>0</v>
      </c>
      <c r="H606" s="18">
        <f t="shared" si="90"/>
        <v>1.32389775</v>
      </c>
      <c r="I606" s="18">
        <f t="shared" si="91"/>
        <v>4.0532620798659078</v>
      </c>
      <c r="J606" s="18">
        <f t="shared" si="92"/>
        <v>45.536313382471739</v>
      </c>
      <c r="K606" s="18">
        <f t="shared" si="93"/>
        <v>272.85262937269943</v>
      </c>
      <c r="L606" s="18">
        <f t="shared" si="94"/>
        <v>-1.4588949826187338</v>
      </c>
      <c r="M606" s="18">
        <f t="shared" si="95"/>
        <v>5.3468239832351978E-3</v>
      </c>
      <c r="N606" s="18">
        <f t="shared" si="96"/>
        <v>0.1722365969979274</v>
      </c>
      <c r="O606" s="18">
        <f t="shared" si="97"/>
        <v>45.769006952255324</v>
      </c>
      <c r="P606" s="18">
        <f t="shared" si="98"/>
        <v>361.23414562260342</v>
      </c>
      <c r="Q606" s="18">
        <f t="shared" si="99"/>
        <v>366.60025017029824</v>
      </c>
    </row>
    <row r="607" spans="1:17" ht="21" customHeight="1">
      <c r="A607" s="1" t="s">
        <v>424</v>
      </c>
      <c r="B607" s="1" t="s">
        <v>319</v>
      </c>
      <c r="C607" s="18">
        <v>45.536313382471739</v>
      </c>
      <c r="D607" s="18">
        <v>-2.3445481751842632</v>
      </c>
      <c r="E607" s="18">
        <v>2204.9999999985512</v>
      </c>
      <c r="F607" s="18">
        <v>1.32389775</v>
      </c>
      <c r="G607" s="18">
        <v>0</v>
      </c>
      <c r="H607" s="18">
        <f t="shared" si="90"/>
        <v>1.32389775</v>
      </c>
      <c r="I607" s="18">
        <f t="shared" si="91"/>
        <v>-2.3445481751842632</v>
      </c>
      <c r="J607" s="18">
        <f t="shared" si="92"/>
        <v>45.536313382471739</v>
      </c>
      <c r="K607" s="18">
        <f t="shared" si="93"/>
        <v>1665.5364811961886</v>
      </c>
      <c r="L607" s="18">
        <f t="shared" si="94"/>
        <v>108.48185472376164</v>
      </c>
      <c r="M607" s="18">
        <f t="shared" si="95"/>
        <v>-6.5133280446580163E-2</v>
      </c>
      <c r="N607" s="18">
        <f t="shared" si="96"/>
        <v>-3.7792952632344869E-2</v>
      </c>
      <c r="O607" s="18">
        <f t="shared" si="97"/>
        <v>45.598047216530141</v>
      </c>
      <c r="P607" s="18">
        <f t="shared" si="98"/>
        <v>2209.6788382557411</v>
      </c>
      <c r="Q607" s="18">
        <f t="shared" si="99"/>
        <v>2206.5748962018479</v>
      </c>
    </row>
    <row r="608" spans="1:17" ht="21" customHeight="1">
      <c r="A608" s="1" t="s">
        <v>424</v>
      </c>
      <c r="B608" s="1" t="s">
        <v>320</v>
      </c>
      <c r="C608" s="18">
        <v>45.536313382471739</v>
      </c>
      <c r="D608" s="18">
        <v>-2.3445481751842632</v>
      </c>
      <c r="E608" s="18">
        <v>3175.5020750109725</v>
      </c>
      <c r="F608" s="18">
        <v>1.32389775</v>
      </c>
      <c r="G608" s="18">
        <v>3.4438949999999999</v>
      </c>
      <c r="H608" s="18">
        <f t="shared" si="90"/>
        <v>3.6895959160157443</v>
      </c>
      <c r="I608" s="18">
        <f t="shared" si="91"/>
        <v>-0.84126883391742313</v>
      </c>
      <c r="J608" s="18">
        <f t="shared" si="92"/>
        <v>45.588869358227278</v>
      </c>
      <c r="K608" s="18">
        <f t="shared" si="93"/>
        <v>860.66391748397143</v>
      </c>
      <c r="L608" s="18">
        <f t="shared" si="94"/>
        <v>38.673837452849703</v>
      </c>
      <c r="M608" s="18">
        <f t="shared" si="95"/>
        <v>-4.4934888830830931E-2</v>
      </c>
      <c r="N608" s="18">
        <f t="shared" si="96"/>
        <v>8.0345321383899614E-3</v>
      </c>
      <c r="O608" s="18">
        <f t="shared" si="97"/>
        <v>45.601959746931001</v>
      </c>
      <c r="P608" s="18">
        <f t="shared" si="98"/>
        <v>3178.7085128309977</v>
      </c>
      <c r="Q608" s="18">
        <f t="shared" si="99"/>
        <v>3175.6045707771045</v>
      </c>
    </row>
    <row r="609" spans="1:17" ht="21" customHeight="1">
      <c r="A609" s="1" t="s">
        <v>424</v>
      </c>
      <c r="B609" s="1" t="s">
        <v>321</v>
      </c>
      <c r="C609" s="18">
        <v>45.536313382471739</v>
      </c>
      <c r="D609" s="18">
        <v>-2.3445481751842632</v>
      </c>
      <c r="E609" s="18">
        <v>3488.47113326616</v>
      </c>
      <c r="F609" s="18">
        <v>3.8554321618301355</v>
      </c>
      <c r="G609" s="18">
        <v>0</v>
      </c>
      <c r="H609" s="18">
        <f t="shared" si="90"/>
        <v>3.8554321618301355</v>
      </c>
      <c r="I609" s="18">
        <f t="shared" si="91"/>
        <v>-2.3445481751842632</v>
      </c>
      <c r="J609" s="18">
        <f t="shared" si="92"/>
        <v>45.536313382471739</v>
      </c>
      <c r="K609" s="18">
        <f t="shared" si="93"/>
        <v>904.8197418185714</v>
      </c>
      <c r="L609" s="18">
        <f t="shared" si="94"/>
        <v>69.329540039561223</v>
      </c>
      <c r="M609" s="18">
        <f t="shared" si="95"/>
        <v>-7.6622488254088877E-2</v>
      </c>
      <c r="N609" s="18">
        <f t="shared" si="96"/>
        <v>-2.629609584917782E-2</v>
      </c>
      <c r="O609" s="18">
        <f t="shared" si="97"/>
        <v>45.601430116947107</v>
      </c>
      <c r="P609" s="18">
        <f t="shared" si="98"/>
        <v>3498.7165613403595</v>
      </c>
      <c r="Q609" s="18">
        <f t="shared" si="99"/>
        <v>3489.6773149007936</v>
      </c>
    </row>
    <row r="610" spans="1:17" ht="21" customHeight="1">
      <c r="A610" s="1" t="s">
        <v>424</v>
      </c>
      <c r="B610" s="1" t="s">
        <v>322</v>
      </c>
      <c r="C610" s="18">
        <v>45.536313382471739</v>
      </c>
      <c r="D610" s="18">
        <v>-2.3445481751842632</v>
      </c>
      <c r="E610" s="18">
        <v>3345.1405995467712</v>
      </c>
      <c r="F610" s="18">
        <v>2.3365115147320541</v>
      </c>
      <c r="G610" s="18">
        <v>1.4349562500000002</v>
      </c>
      <c r="H610" s="18">
        <f t="shared" si="90"/>
        <v>2.7419674501878282</v>
      </c>
      <c r="I610" s="18">
        <f t="shared" si="91"/>
        <v>-1.9978588030965874</v>
      </c>
      <c r="J610" s="18">
        <f t="shared" si="92"/>
        <v>45.552840776567649</v>
      </c>
      <c r="K610" s="18">
        <f t="shared" si="93"/>
        <v>1219.9782310755093</v>
      </c>
      <c r="L610" s="18">
        <f t="shared" si="94"/>
        <v>76.262043914782765</v>
      </c>
      <c r="M610" s="18">
        <f t="shared" si="95"/>
        <v>-6.251098746864657E-2</v>
      </c>
      <c r="N610" s="18">
        <f t="shared" si="96"/>
        <v>-2.5171927134423108E-2</v>
      </c>
      <c r="O610" s="18">
        <f t="shared" si="97"/>
        <v>45.599274580790848</v>
      </c>
      <c r="P610" s="18">
        <f t="shared" si="98"/>
        <v>3351.6785032026942</v>
      </c>
      <c r="Q610" s="18">
        <f t="shared" si="99"/>
        <v>3346.2004393945322</v>
      </c>
    </row>
    <row r="611" spans="1:17" ht="21" customHeight="1">
      <c r="A611" s="1" t="s">
        <v>424</v>
      </c>
      <c r="B611" s="1" t="s">
        <v>323</v>
      </c>
      <c r="C611" s="18">
        <v>45.536313382471739</v>
      </c>
      <c r="D611" s="18">
        <v>-2.3445481751842632</v>
      </c>
      <c r="E611" s="18">
        <v>3555.36630376427</v>
      </c>
      <c r="F611" s="18">
        <v>1.32389775</v>
      </c>
      <c r="G611" s="18">
        <v>0</v>
      </c>
      <c r="H611" s="18">
        <f t="shared" si="90"/>
        <v>1.32389775</v>
      </c>
      <c r="I611" s="18">
        <f t="shared" si="91"/>
        <v>-2.3445481751842632</v>
      </c>
      <c r="J611" s="18">
        <f t="shared" si="92"/>
        <v>45.536313382471739</v>
      </c>
      <c r="K611" s="18">
        <f t="shared" si="93"/>
        <v>2685.5293800176564</v>
      </c>
      <c r="L611" s="18">
        <f t="shared" si="94"/>
        <v>160.97651464837014</v>
      </c>
      <c r="M611" s="18">
        <f t="shared" si="95"/>
        <v>-5.9942190856728507E-2</v>
      </c>
      <c r="N611" s="18">
        <f t="shared" si="96"/>
        <v>-4.2986013158098239E-2</v>
      </c>
      <c r="O611" s="18">
        <f t="shared" si="97"/>
        <v>45.597175615354715</v>
      </c>
      <c r="P611" s="18">
        <f t="shared" si="98"/>
        <v>3561.7555498294655</v>
      </c>
      <c r="Q611" s="18">
        <f t="shared" si="99"/>
        <v>3558.6516077755718</v>
      </c>
    </row>
    <row r="612" spans="1:17" ht="21" customHeight="1">
      <c r="A612" s="1" t="s">
        <v>424</v>
      </c>
      <c r="B612" s="1" t="s">
        <v>324</v>
      </c>
      <c r="C612" s="18">
        <v>45.536313382471739</v>
      </c>
      <c r="D612" s="18">
        <v>-2.3445481751842632</v>
      </c>
      <c r="E612" s="18">
        <v>361.86991429637089</v>
      </c>
      <c r="F612" s="18">
        <v>1.32389775</v>
      </c>
      <c r="G612" s="18">
        <v>0</v>
      </c>
      <c r="H612" s="18">
        <f t="shared" si="90"/>
        <v>1.32389775</v>
      </c>
      <c r="I612" s="18">
        <f t="shared" si="91"/>
        <v>-2.3445481751842632</v>
      </c>
      <c r="J612" s="18">
        <f t="shared" si="92"/>
        <v>45.536313382471739</v>
      </c>
      <c r="K612" s="18">
        <f t="shared" si="93"/>
        <v>273.3367545162539</v>
      </c>
      <c r="L612" s="18">
        <f t="shared" si="94"/>
        <v>36.819115825408723</v>
      </c>
      <c r="M612" s="18">
        <f t="shared" si="95"/>
        <v>-0.13470239628245562</v>
      </c>
      <c r="N612" s="18">
        <f t="shared" si="96"/>
        <v>3.1891787010095089E-2</v>
      </c>
      <c r="O612" s="18">
        <f t="shared" si="97"/>
        <v>45.649237728130281</v>
      </c>
      <c r="P612" s="18">
        <f t="shared" si="98"/>
        <v>365.15789837441753</v>
      </c>
      <c r="Q612" s="18">
        <f t="shared" si="99"/>
        <v>362.05395632052443</v>
      </c>
    </row>
    <row r="613" spans="1:17" ht="21" customHeight="1">
      <c r="A613" s="1" t="s">
        <v>425</v>
      </c>
      <c r="B613" s="1" t="s">
        <v>319</v>
      </c>
      <c r="C613" s="18">
        <v>47.97911935509179</v>
      </c>
      <c r="D613" s="18">
        <v>8.3717504220338927</v>
      </c>
      <c r="E613" s="18">
        <v>2205.0000000006257</v>
      </c>
      <c r="F613" s="18">
        <v>1.32389775</v>
      </c>
      <c r="G613" s="18">
        <v>0</v>
      </c>
      <c r="H613" s="18">
        <f t="shared" si="90"/>
        <v>1.32389775</v>
      </c>
      <c r="I613" s="18">
        <f t="shared" si="91"/>
        <v>8.3717504220338927</v>
      </c>
      <c r="J613" s="18">
        <f t="shared" si="92"/>
        <v>47.97911935509179</v>
      </c>
      <c r="K613" s="18">
        <f t="shared" si="93"/>
        <v>1665.5364811977554</v>
      </c>
      <c r="L613" s="18">
        <f t="shared" si="94"/>
        <v>-265.16079927349364</v>
      </c>
      <c r="M613" s="18">
        <f t="shared" si="95"/>
        <v>0.1592044378894695</v>
      </c>
      <c r="N613" s="18">
        <f t="shared" si="96"/>
        <v>0.18801144385825383</v>
      </c>
      <c r="O613" s="18">
        <f t="shared" si="97"/>
        <v>48.705659784065396</v>
      </c>
      <c r="P613" s="18">
        <f t="shared" si="98"/>
        <v>2233.0030959286373</v>
      </c>
      <c r="Q613" s="18">
        <f t="shared" si="99"/>
        <v>2244.0864374759299</v>
      </c>
    </row>
    <row r="614" spans="1:17" ht="21" customHeight="1">
      <c r="A614" s="1" t="s">
        <v>425</v>
      </c>
      <c r="B614" s="1" t="s">
        <v>320</v>
      </c>
      <c r="C614" s="18">
        <v>47.97911935509179</v>
      </c>
      <c r="D614" s="18">
        <v>8.3717504220338927</v>
      </c>
      <c r="E614" s="18">
        <v>3227.3305850441893</v>
      </c>
      <c r="F614" s="18">
        <v>1.32389775</v>
      </c>
      <c r="G614" s="18">
        <v>3.4438949999999999</v>
      </c>
      <c r="H614" s="18">
        <f t="shared" si="90"/>
        <v>3.6895959160157443</v>
      </c>
      <c r="I614" s="18">
        <f t="shared" si="91"/>
        <v>3.0039445509958997</v>
      </c>
      <c r="J614" s="18">
        <f t="shared" si="92"/>
        <v>48.611299266256097</v>
      </c>
      <c r="K614" s="18">
        <f t="shared" si="93"/>
        <v>874.7111224389206</v>
      </c>
      <c r="L614" s="18">
        <f t="shared" si="94"/>
        <v>-29.70600719695198</v>
      </c>
      <c r="M614" s="18">
        <f t="shared" si="95"/>
        <v>3.3960934570174385E-2</v>
      </c>
      <c r="N614" s="18">
        <f t="shared" si="96"/>
        <v>8.9535052720993408E-2</v>
      </c>
      <c r="O614" s="18">
        <f t="shared" si="97"/>
        <v>48.710269456965598</v>
      </c>
      <c r="P614" s="18">
        <f t="shared" si="98"/>
        <v>3229.1918768473806</v>
      </c>
      <c r="Q614" s="18">
        <f t="shared" si="99"/>
        <v>3240.2752183946727</v>
      </c>
    </row>
    <row r="615" spans="1:17" ht="21" customHeight="1">
      <c r="A615" s="1" t="s">
        <v>425</v>
      </c>
      <c r="B615" s="1" t="s">
        <v>321</v>
      </c>
      <c r="C615" s="18">
        <v>47.97911935509179</v>
      </c>
      <c r="D615" s="18">
        <v>8.3717504220338927</v>
      </c>
      <c r="E615" s="18">
        <v>3488.8771542760342</v>
      </c>
      <c r="F615" s="18">
        <v>3.8554321618301355</v>
      </c>
      <c r="G615" s="18">
        <v>0</v>
      </c>
      <c r="H615" s="18">
        <f t="shared" si="90"/>
        <v>3.8554321618301355</v>
      </c>
      <c r="I615" s="18">
        <f t="shared" si="91"/>
        <v>8.371750422033891</v>
      </c>
      <c r="J615" s="18">
        <f t="shared" si="92"/>
        <v>47.97911935509179</v>
      </c>
      <c r="K615" s="18">
        <f t="shared" si="93"/>
        <v>904.92505323187913</v>
      </c>
      <c r="L615" s="18">
        <f t="shared" si="94"/>
        <v>-133.09977582603318</v>
      </c>
      <c r="M615" s="18">
        <f t="shared" si="95"/>
        <v>0.14708375610850452</v>
      </c>
      <c r="N615" s="18">
        <f t="shared" si="96"/>
        <v>0.20010374840923439</v>
      </c>
      <c r="O615" s="18">
        <f t="shared" si="97"/>
        <v>48.709561846018417</v>
      </c>
      <c r="P615" s="18">
        <f t="shared" si="98"/>
        <v>3526.6837795192528</v>
      </c>
      <c r="Q615" s="18">
        <f t="shared" si="99"/>
        <v>3558.9604953471776</v>
      </c>
    </row>
    <row r="616" spans="1:17" ht="21" customHeight="1">
      <c r="A616" s="1" t="s">
        <v>425</v>
      </c>
      <c r="B616" s="1" t="s">
        <v>322</v>
      </c>
      <c r="C616" s="18">
        <v>47.97911935509179</v>
      </c>
      <c r="D616" s="18">
        <v>8.3717504220338927</v>
      </c>
      <c r="E616" s="18">
        <v>3351.0494876885932</v>
      </c>
      <c r="F616" s="18">
        <v>2.3365115147320541</v>
      </c>
      <c r="G616" s="18">
        <v>1.4349562500000002</v>
      </c>
      <c r="H616" s="18">
        <f t="shared" si="90"/>
        <v>2.7419674501878282</v>
      </c>
      <c r="I616" s="18">
        <f t="shared" si="91"/>
        <v>7.133815997051749</v>
      </c>
      <c r="J616" s="18">
        <f t="shared" si="92"/>
        <v>48.178737722559489</v>
      </c>
      <c r="K616" s="18">
        <f t="shared" si="93"/>
        <v>1222.1332122155725</v>
      </c>
      <c r="L616" s="18">
        <f t="shared" si="94"/>
        <v>-156.20524739256896</v>
      </c>
      <c r="M616" s="18">
        <f t="shared" si="95"/>
        <v>0.12781360152171028</v>
      </c>
      <c r="N616" s="18">
        <f t="shared" si="96"/>
        <v>0.16723543969859569</v>
      </c>
      <c r="O616" s="18">
        <f t="shared" si="97"/>
        <v>48.707111644269006</v>
      </c>
      <c r="P616" s="18">
        <f t="shared" si="98"/>
        <v>3378.4586739031647</v>
      </c>
      <c r="Q616" s="18">
        <f t="shared" si="99"/>
        <v>3398.0193651627101</v>
      </c>
    </row>
    <row r="617" spans="1:17" ht="21" customHeight="1">
      <c r="A617" s="1" t="s">
        <v>425</v>
      </c>
      <c r="B617" s="1" t="s">
        <v>323</v>
      </c>
      <c r="C617" s="18">
        <v>47.97911935509179</v>
      </c>
      <c r="D617" s="18">
        <v>8.3717504220338927</v>
      </c>
      <c r="E617" s="18">
        <v>3532.8869480488374</v>
      </c>
      <c r="F617" s="18">
        <v>1.32389775</v>
      </c>
      <c r="G617" s="18">
        <v>0</v>
      </c>
      <c r="H617" s="18">
        <f t="shared" si="90"/>
        <v>1.32389775</v>
      </c>
      <c r="I617" s="18">
        <f t="shared" si="91"/>
        <v>8.3717504220338927</v>
      </c>
      <c r="J617" s="18">
        <f t="shared" si="92"/>
        <v>47.97911935509179</v>
      </c>
      <c r="K617" s="18">
        <f t="shared" si="93"/>
        <v>2668.5497033655638</v>
      </c>
      <c r="L617" s="18">
        <f t="shared" si="94"/>
        <v>-439.30154113001532</v>
      </c>
      <c r="M617" s="18">
        <f t="shared" si="95"/>
        <v>0.16462183206704753</v>
      </c>
      <c r="N617" s="18">
        <f t="shared" si="96"/>
        <v>0.18260130582186673</v>
      </c>
      <c r="O617" s="18">
        <f t="shared" si="97"/>
        <v>48.704662118765796</v>
      </c>
      <c r="P617" s="18">
        <f t="shared" si="98"/>
        <v>3580.8663884928205</v>
      </c>
      <c r="Q617" s="18">
        <f t="shared" si="99"/>
        <v>3591.9497300401126</v>
      </c>
    </row>
    <row r="618" spans="1:17" ht="21" customHeight="1">
      <c r="A618" s="1" t="s">
        <v>425</v>
      </c>
      <c r="B618" s="1" t="s">
        <v>324</v>
      </c>
      <c r="C618" s="18">
        <v>47.97911935509179</v>
      </c>
      <c r="D618" s="18">
        <v>8.3717504220338927</v>
      </c>
      <c r="E618" s="18">
        <v>376.2757345876513</v>
      </c>
      <c r="F618" s="18">
        <v>1.32389775</v>
      </c>
      <c r="G618" s="18">
        <v>0</v>
      </c>
      <c r="H618" s="18">
        <f t="shared" si="90"/>
        <v>1.32389775</v>
      </c>
      <c r="I618" s="18">
        <f t="shared" si="91"/>
        <v>8.3717504220338927</v>
      </c>
      <c r="J618" s="18">
        <f t="shared" si="92"/>
        <v>47.97911935509179</v>
      </c>
      <c r="K618" s="18">
        <f t="shared" si="93"/>
        <v>284.21812378459839</v>
      </c>
      <c r="L618" s="18">
        <f t="shared" si="94"/>
        <v>-25.296691227038576</v>
      </c>
      <c r="M618" s="18">
        <f t="shared" si="95"/>
        <v>8.9004497286071335E-2</v>
      </c>
      <c r="N618" s="18">
        <f t="shared" si="96"/>
        <v>0.25781540461390218</v>
      </c>
      <c r="O618" s="18">
        <f t="shared" si="97"/>
        <v>48.760167995280042</v>
      </c>
      <c r="P618" s="18">
        <f t="shared" si="98"/>
        <v>377.76710938713734</v>
      </c>
      <c r="Q618" s="18">
        <f t="shared" si="99"/>
        <v>388.85045093442955</v>
      </c>
    </row>
    <row r="619" spans="1:17" ht="21" customHeight="1">
      <c r="A619" s="1" t="s">
        <v>426</v>
      </c>
      <c r="B619" s="1" t="s">
        <v>319</v>
      </c>
      <c r="C619" s="18">
        <v>47.979119354327771</v>
      </c>
      <c r="D619" s="18">
        <v>0.9437602203051032</v>
      </c>
      <c r="E619" s="18">
        <v>2205.0000000000173</v>
      </c>
      <c r="F619" s="18">
        <v>1.32389775</v>
      </c>
      <c r="G619" s="18">
        <v>0</v>
      </c>
      <c r="H619" s="18">
        <f t="shared" si="90"/>
        <v>1.32389775</v>
      </c>
      <c r="I619" s="18">
        <f t="shared" si="91"/>
        <v>0.94376022030510309</v>
      </c>
      <c r="J619" s="18">
        <f t="shared" si="92"/>
        <v>47.979119354327771</v>
      </c>
      <c r="K619" s="18">
        <f t="shared" si="93"/>
        <v>1665.5364811972959</v>
      </c>
      <c r="L619" s="18">
        <f t="shared" si="94"/>
        <v>-8.7686779264641963</v>
      </c>
      <c r="M619" s="18">
        <f t="shared" si="95"/>
        <v>5.2647768604628222E-3</v>
      </c>
      <c r="N619" s="18">
        <f t="shared" si="96"/>
        <v>3.4071782828796381E-2</v>
      </c>
      <c r="O619" s="18">
        <f t="shared" si="97"/>
        <v>47.990059107615316</v>
      </c>
      <c r="P619" s="18">
        <f t="shared" si="98"/>
        <v>2205.030559028221</v>
      </c>
      <c r="Q619" s="18">
        <f t="shared" si="99"/>
        <v>2206.2800010604224</v>
      </c>
    </row>
    <row r="620" spans="1:17" ht="21" customHeight="1">
      <c r="A620" s="1" t="s">
        <v>426</v>
      </c>
      <c r="B620" s="1" t="s">
        <v>320</v>
      </c>
      <c r="C620" s="18">
        <v>47.979119354327771</v>
      </c>
      <c r="D620" s="18">
        <v>0.9437602203051032</v>
      </c>
      <c r="E620" s="18">
        <v>3196.349256571033</v>
      </c>
      <c r="F620" s="18">
        <v>1.32389775</v>
      </c>
      <c r="G620" s="18">
        <v>3.4438949999999999</v>
      </c>
      <c r="H620" s="18">
        <f t="shared" si="90"/>
        <v>3.6895959160157443</v>
      </c>
      <c r="I620" s="18">
        <f t="shared" si="91"/>
        <v>0.3386392604073174</v>
      </c>
      <c r="J620" s="18">
        <f t="shared" si="92"/>
        <v>47.987205595049716</v>
      </c>
      <c r="K620" s="18">
        <f t="shared" si="93"/>
        <v>866.31417893118498</v>
      </c>
      <c r="L620" s="18">
        <f t="shared" si="94"/>
        <v>17.880972304714689</v>
      </c>
      <c r="M620" s="18">
        <f t="shared" si="95"/>
        <v>-2.0640285868084644E-2</v>
      </c>
      <c r="N620" s="18">
        <f t="shared" si="96"/>
        <v>3.4752095743692653E-2</v>
      </c>
      <c r="O620" s="18">
        <f t="shared" si="97"/>
        <v>47.994535524774975</v>
      </c>
      <c r="P620" s="18">
        <f t="shared" si="98"/>
        <v>3197.0301373367311</v>
      </c>
      <c r="Q620" s="18">
        <f t="shared" si="99"/>
        <v>3198.279579368932</v>
      </c>
    </row>
    <row r="621" spans="1:17" ht="21" customHeight="1">
      <c r="A621" s="1" t="s">
        <v>426</v>
      </c>
      <c r="B621" s="1" t="s">
        <v>321</v>
      </c>
      <c r="C621" s="18">
        <v>47.979119354327771</v>
      </c>
      <c r="D621" s="18">
        <v>0.9437602203051032</v>
      </c>
      <c r="E621" s="18">
        <v>3510.9359256382941</v>
      </c>
      <c r="F621" s="18">
        <v>3.8554321618301355</v>
      </c>
      <c r="G621" s="18">
        <v>0</v>
      </c>
      <c r="H621" s="18">
        <f t="shared" si="90"/>
        <v>3.8554321618301355</v>
      </c>
      <c r="I621" s="18">
        <f t="shared" si="91"/>
        <v>0.9437602203051032</v>
      </c>
      <c r="J621" s="18">
        <f t="shared" si="92"/>
        <v>47.979119354327771</v>
      </c>
      <c r="K621" s="18">
        <f t="shared" si="93"/>
        <v>910.64653150885363</v>
      </c>
      <c r="L621" s="18">
        <f t="shared" si="94"/>
        <v>6.0801608847882775</v>
      </c>
      <c r="M621" s="18">
        <f t="shared" si="95"/>
        <v>-6.6767518179792944E-3</v>
      </c>
      <c r="N621" s="18">
        <f t="shared" si="96"/>
        <v>4.6010122500677569E-2</v>
      </c>
      <c r="O621" s="18">
        <f t="shared" si="97"/>
        <v>47.993948963763842</v>
      </c>
      <c r="P621" s="18">
        <f t="shared" si="98"/>
        <v>3511.0141829613767</v>
      </c>
      <c r="Q621" s="18">
        <f t="shared" si="99"/>
        <v>3514.6527864677964</v>
      </c>
    </row>
    <row r="622" spans="1:17" ht="21" customHeight="1">
      <c r="A622" s="1" t="s">
        <v>426</v>
      </c>
      <c r="B622" s="1" t="s">
        <v>322</v>
      </c>
      <c r="C622" s="18">
        <v>47.979119354327771</v>
      </c>
      <c r="D622" s="18">
        <v>0.9437602203051032</v>
      </c>
      <c r="E622" s="18">
        <v>3353.4538404648783</v>
      </c>
      <c r="F622" s="18">
        <v>2.3365115147320541</v>
      </c>
      <c r="G622" s="18">
        <v>1.4349562500000002</v>
      </c>
      <c r="H622" s="18">
        <f t="shared" si="90"/>
        <v>2.7419674501878282</v>
      </c>
      <c r="I622" s="18">
        <f t="shared" si="91"/>
        <v>0.80420598054068126</v>
      </c>
      <c r="J622" s="18">
        <f t="shared" si="92"/>
        <v>47.98166139381923</v>
      </c>
      <c r="K622" s="18">
        <f t="shared" si="93"/>
        <v>1223.0100835935025</v>
      </c>
      <c r="L622" s="18">
        <f t="shared" si="94"/>
        <v>3.4946060025014098</v>
      </c>
      <c r="M622" s="18">
        <f t="shared" si="95"/>
        <v>-2.857381185471017E-3</v>
      </c>
      <c r="N622" s="18">
        <f t="shared" si="96"/>
        <v>3.6375052003335885E-2</v>
      </c>
      <c r="O622" s="18">
        <f t="shared" si="97"/>
        <v>47.991477264664084</v>
      </c>
      <c r="P622" s="18">
        <f t="shared" si="98"/>
        <v>3353.4675303244785</v>
      </c>
      <c r="Q622" s="18">
        <f t="shared" si="99"/>
        <v>3355.6726369463663</v>
      </c>
    </row>
    <row r="623" spans="1:17" ht="21" customHeight="1">
      <c r="A623" s="1" t="s">
        <v>426</v>
      </c>
      <c r="B623" s="1" t="s">
        <v>323</v>
      </c>
      <c r="C623" s="18">
        <v>47.979119354327771</v>
      </c>
      <c r="D623" s="18">
        <v>0.9437602203051032</v>
      </c>
      <c r="E623" s="18">
        <v>3550.4098305139269</v>
      </c>
      <c r="F623" s="18">
        <v>1.32389775</v>
      </c>
      <c r="G623" s="18">
        <v>0</v>
      </c>
      <c r="H623" s="18">
        <f t="shared" si="90"/>
        <v>1.32389775</v>
      </c>
      <c r="I623" s="18">
        <f t="shared" si="91"/>
        <v>0.94376022030510309</v>
      </c>
      <c r="J623" s="18">
        <f t="shared" si="92"/>
        <v>47.979119354327771</v>
      </c>
      <c r="K623" s="18">
        <f t="shared" si="93"/>
        <v>2681.7855310305699</v>
      </c>
      <c r="L623" s="18">
        <f t="shared" si="94"/>
        <v>-28.75766882574661</v>
      </c>
      <c r="M623" s="18">
        <f t="shared" si="95"/>
        <v>1.0723329100330954E-2</v>
      </c>
      <c r="N623" s="18">
        <f t="shared" si="96"/>
        <v>2.8614065999000893E-2</v>
      </c>
      <c r="O623" s="18">
        <f t="shared" si="97"/>
        <v>47.989040203311696</v>
      </c>
      <c r="P623" s="18">
        <f t="shared" si="98"/>
        <v>3550.6139629050863</v>
      </c>
      <c r="Q623" s="18">
        <f t="shared" si="99"/>
        <v>3551.8634049372886</v>
      </c>
    </row>
    <row r="624" spans="1:17" ht="21" customHeight="1">
      <c r="A624" s="1" t="s">
        <v>426</v>
      </c>
      <c r="B624" s="1" t="s">
        <v>324</v>
      </c>
      <c r="C624" s="18">
        <v>47.979119354327771</v>
      </c>
      <c r="D624" s="18">
        <v>0.9437602203051032</v>
      </c>
      <c r="E624" s="18">
        <v>380.05033550487792</v>
      </c>
      <c r="F624" s="18">
        <v>1.32389775</v>
      </c>
      <c r="G624" s="18">
        <v>0</v>
      </c>
      <c r="H624" s="18">
        <f t="shared" si="90"/>
        <v>1.32389775</v>
      </c>
      <c r="I624" s="18">
        <f t="shared" si="91"/>
        <v>0.94376022030510309</v>
      </c>
      <c r="J624" s="18">
        <f t="shared" si="92"/>
        <v>47.979119354327771</v>
      </c>
      <c r="K624" s="18">
        <f t="shared" si="93"/>
        <v>287.06925100890754</v>
      </c>
      <c r="L624" s="18">
        <f t="shared" si="94"/>
        <v>18.349771770631865</v>
      </c>
      <c r="M624" s="18">
        <f t="shared" si="95"/>
        <v>-6.3921063318838303E-2</v>
      </c>
      <c r="N624" s="18">
        <f t="shared" si="96"/>
        <v>0.10321324028806042</v>
      </c>
      <c r="O624" s="18">
        <f t="shared" si="97"/>
        <v>48.044252604509886</v>
      </c>
      <c r="P624" s="18">
        <f t="shared" si="98"/>
        <v>380.82702418381609</v>
      </c>
      <c r="Q624" s="18">
        <f t="shared" si="99"/>
        <v>382.07646621601754</v>
      </c>
    </row>
    <row r="625" spans="1:17" ht="21" customHeight="1">
      <c r="A625" s="1" t="s">
        <v>427</v>
      </c>
      <c r="B625" s="1" t="s">
        <v>319</v>
      </c>
      <c r="C625" s="18">
        <v>77.614931960992266</v>
      </c>
      <c r="D625" s="18">
        <v>-7.7926952553408224</v>
      </c>
      <c r="E625" s="18">
        <v>2205.0000000003129</v>
      </c>
      <c r="F625" s="18">
        <v>1.32389775</v>
      </c>
      <c r="G625" s="18">
        <v>0</v>
      </c>
      <c r="H625" s="18">
        <f t="shared" si="90"/>
        <v>1.32389775</v>
      </c>
      <c r="I625" s="18">
        <f t="shared" si="91"/>
        <v>-7.7926952553408224</v>
      </c>
      <c r="J625" s="18">
        <f t="shared" si="92"/>
        <v>77.614931960992266</v>
      </c>
      <c r="K625" s="18">
        <f t="shared" si="93"/>
        <v>1665.5364811975192</v>
      </c>
      <c r="L625" s="18">
        <f t="shared" si="94"/>
        <v>205.73593994659694</v>
      </c>
      <c r="M625" s="18">
        <f t="shared" si="95"/>
        <v>-0.12352532788634747</v>
      </c>
      <c r="N625" s="18">
        <f t="shared" si="96"/>
        <v>-7.692476834460317E-2</v>
      </c>
      <c r="O625" s="18">
        <f t="shared" si="97"/>
        <v>78.012140112437095</v>
      </c>
      <c r="P625" s="18">
        <f t="shared" si="98"/>
        <v>2221.8439049653139</v>
      </c>
      <c r="Q625" s="18">
        <f t="shared" si="99"/>
        <v>2211.5271732503329</v>
      </c>
    </row>
    <row r="626" spans="1:17" ht="21" customHeight="1">
      <c r="A626" s="1" t="s">
        <v>427</v>
      </c>
      <c r="B626" s="1" t="s">
        <v>320</v>
      </c>
      <c r="C626" s="18">
        <v>77.614931960992266</v>
      </c>
      <c r="D626" s="18">
        <v>-7.7926952553408224</v>
      </c>
      <c r="E626" s="18">
        <v>3503.5422548830702</v>
      </c>
      <c r="F626" s="18">
        <v>1.32389775</v>
      </c>
      <c r="G626" s="18">
        <v>3.4438949999999999</v>
      </c>
      <c r="H626" s="18">
        <f t="shared" si="90"/>
        <v>3.6895959160157443</v>
      </c>
      <c r="I626" s="18">
        <f t="shared" si="91"/>
        <v>-2.796168455791777</v>
      </c>
      <c r="J626" s="18">
        <f t="shared" si="92"/>
        <v>77.955020393935541</v>
      </c>
      <c r="K626" s="18">
        <f t="shared" si="93"/>
        <v>949.57343151724149</v>
      </c>
      <c r="L626" s="18">
        <f t="shared" si="94"/>
        <v>73.020901596421595</v>
      </c>
      <c r="M626" s="18">
        <f t="shared" si="95"/>
        <v>-7.6898635927237127E-2</v>
      </c>
      <c r="N626" s="18">
        <f t="shared" si="96"/>
        <v>5.1961424295856127E-3</v>
      </c>
      <c r="O626" s="18">
        <f t="shared" si="97"/>
        <v>78.027030847993657</v>
      </c>
      <c r="P626" s="18">
        <f t="shared" si="98"/>
        <v>3513.9062843429879</v>
      </c>
      <c r="Q626" s="18">
        <f t="shared" si="99"/>
        <v>3503.5895526280069</v>
      </c>
    </row>
    <row r="627" spans="1:17" ht="21" customHeight="1">
      <c r="A627" s="1" t="s">
        <v>427</v>
      </c>
      <c r="B627" s="1" t="s">
        <v>321</v>
      </c>
      <c r="C627" s="18">
        <v>77.614931960992266</v>
      </c>
      <c r="D627" s="18">
        <v>-7.7926952553408224</v>
      </c>
      <c r="E627" s="18">
        <v>3774.49077057878</v>
      </c>
      <c r="F627" s="18">
        <v>3.8554321618301355</v>
      </c>
      <c r="G627" s="18">
        <v>0</v>
      </c>
      <c r="H627" s="18">
        <f t="shared" si="90"/>
        <v>3.8554321618301355</v>
      </c>
      <c r="I627" s="18">
        <f t="shared" si="91"/>
        <v>-7.7926952553408224</v>
      </c>
      <c r="J627" s="18">
        <f t="shared" si="92"/>
        <v>77.614931960992266</v>
      </c>
      <c r="K627" s="18">
        <f t="shared" si="93"/>
        <v>979.00588368466242</v>
      </c>
      <c r="L627" s="18">
        <f t="shared" si="94"/>
        <v>136.91161854285201</v>
      </c>
      <c r="M627" s="18">
        <f t="shared" si="95"/>
        <v>-0.13984759522339216</v>
      </c>
      <c r="N627" s="18">
        <f t="shared" si="96"/>
        <v>-6.0568263756174925E-2</v>
      </c>
      <c r="O627" s="18">
        <f t="shared" si="97"/>
        <v>78.02537818599734</v>
      </c>
      <c r="P627" s="18">
        <f t="shared" si="98"/>
        <v>3811.4604824994435</v>
      </c>
      <c r="Q627" s="18">
        <f t="shared" si="99"/>
        <v>3781.4162745846616</v>
      </c>
    </row>
    <row r="628" spans="1:17" ht="21" customHeight="1">
      <c r="A628" s="1" t="s">
        <v>427</v>
      </c>
      <c r="B628" s="1" t="s">
        <v>322</v>
      </c>
      <c r="C628" s="18">
        <v>77.614931960992266</v>
      </c>
      <c r="D628" s="18">
        <v>-7.7926952553408224</v>
      </c>
      <c r="E628" s="18">
        <v>3465.9419431601727</v>
      </c>
      <c r="F628" s="18">
        <v>2.3365115147320541</v>
      </c>
      <c r="G628" s="18">
        <v>1.4349562500000002</v>
      </c>
      <c r="H628" s="18">
        <f t="shared" si="90"/>
        <v>2.7419674501878282</v>
      </c>
      <c r="I628" s="18">
        <f t="shared" si="91"/>
        <v>-6.6403859730918491</v>
      </c>
      <c r="J628" s="18">
        <f t="shared" si="92"/>
        <v>77.721998409590796</v>
      </c>
      <c r="K628" s="18">
        <f t="shared" si="93"/>
        <v>1264.0346780640125</v>
      </c>
      <c r="L628" s="18">
        <f t="shared" si="94"/>
        <v>146.7092619475232</v>
      </c>
      <c r="M628" s="18">
        <f t="shared" si="95"/>
        <v>-0.11606426982859536</v>
      </c>
      <c r="N628" s="18">
        <f t="shared" si="96"/>
        <v>-5.4577033949410991E-2</v>
      </c>
      <c r="O628" s="18">
        <f t="shared" si="97"/>
        <v>78.017351712630955</v>
      </c>
      <c r="P628" s="18">
        <f t="shared" si="98"/>
        <v>3489.3128653295389</v>
      </c>
      <c r="Q628" s="18">
        <f t="shared" si="99"/>
        <v>3471.1051431346364</v>
      </c>
    </row>
    <row r="629" spans="1:17" ht="21" customHeight="1">
      <c r="A629" s="1" t="s">
        <v>427</v>
      </c>
      <c r="B629" s="1" t="s">
        <v>323</v>
      </c>
      <c r="C629" s="18">
        <v>77.614931960992266</v>
      </c>
      <c r="D629" s="18">
        <v>-7.7926952553408224</v>
      </c>
      <c r="E629" s="18">
        <v>3447.294977673303</v>
      </c>
      <c r="F629" s="18">
        <v>1.32389775</v>
      </c>
      <c r="G629" s="18">
        <v>0</v>
      </c>
      <c r="H629" s="18">
        <f t="shared" si="90"/>
        <v>1.32389775</v>
      </c>
      <c r="I629" s="18">
        <f t="shared" si="91"/>
        <v>-7.7926952553408224</v>
      </c>
      <c r="J629" s="18">
        <f t="shared" si="92"/>
        <v>77.614931960992266</v>
      </c>
      <c r="K629" s="18">
        <f t="shared" si="93"/>
        <v>2603.8982071487794</v>
      </c>
      <c r="L629" s="18">
        <f t="shared" si="94"/>
        <v>299.79719544394499</v>
      </c>
      <c r="M629" s="18">
        <f t="shared" si="95"/>
        <v>-0.11513399203581672</v>
      </c>
      <c r="N629" s="18">
        <f t="shared" si="96"/>
        <v>-8.5326785383917983E-2</v>
      </c>
      <c r="O629" s="18">
        <f t="shared" si="97"/>
        <v>78.008011084342087</v>
      </c>
      <c r="P629" s="18">
        <f t="shared" si="98"/>
        <v>3470.1686170139046</v>
      </c>
      <c r="Q629" s="18">
        <f t="shared" si="99"/>
        <v>3459.8518852989237</v>
      </c>
    </row>
    <row r="630" spans="1:17" ht="21" customHeight="1">
      <c r="A630" s="1" t="s">
        <v>427</v>
      </c>
      <c r="B630" s="1" t="s">
        <v>324</v>
      </c>
      <c r="C630" s="18">
        <v>77.614931960992266</v>
      </c>
      <c r="D630" s="18">
        <v>-7.7926952553408224</v>
      </c>
      <c r="E630" s="18">
        <v>582.84101123536607</v>
      </c>
      <c r="F630" s="18">
        <v>1.32389775</v>
      </c>
      <c r="G630" s="18">
        <v>0</v>
      </c>
      <c r="H630" s="18">
        <f t="shared" si="90"/>
        <v>1.32389775</v>
      </c>
      <c r="I630" s="18">
        <f t="shared" si="91"/>
        <v>-7.7926952553408224</v>
      </c>
      <c r="J630" s="18">
        <f t="shared" si="92"/>
        <v>77.614931960992266</v>
      </c>
      <c r="K630" s="18">
        <f t="shared" si="93"/>
        <v>440.24624351492861</v>
      </c>
      <c r="L630" s="18">
        <f t="shared" si="94"/>
        <v>82.878240291201394</v>
      </c>
      <c r="M630" s="18">
        <f t="shared" si="95"/>
        <v>-0.18825428158001084</v>
      </c>
      <c r="N630" s="18">
        <f t="shared" si="96"/>
        <v>-1.1955373629509802E-2</v>
      </c>
      <c r="O630" s="18">
        <f t="shared" si="97"/>
        <v>78.105204392981676</v>
      </c>
      <c r="P630" s="18">
        <f t="shared" si="98"/>
        <v>593.199396458705</v>
      </c>
      <c r="Q630" s="18">
        <f t="shared" si="99"/>
        <v>582.88266474372369</v>
      </c>
    </row>
    <row r="631" spans="1:17" ht="21" customHeight="1">
      <c r="A631" s="1" t="s">
        <v>428</v>
      </c>
      <c r="B631" s="1" t="s">
        <v>319</v>
      </c>
      <c r="C631" s="18">
        <v>77.614931962287045</v>
      </c>
      <c r="D631" s="18">
        <v>-5.1437232481031057</v>
      </c>
      <c r="E631" s="18">
        <v>2204.9999999998254</v>
      </c>
      <c r="F631" s="18">
        <v>1.32389775</v>
      </c>
      <c r="G631" s="18">
        <v>0</v>
      </c>
      <c r="H631" s="18">
        <f t="shared" si="90"/>
        <v>1.32389775</v>
      </c>
      <c r="I631" s="18">
        <f t="shared" si="91"/>
        <v>-5.1437232481031057</v>
      </c>
      <c r="J631" s="18">
        <f t="shared" si="92"/>
        <v>77.614931962287045</v>
      </c>
      <c r="K631" s="18">
        <f t="shared" si="93"/>
        <v>1665.5364811971508</v>
      </c>
      <c r="L631" s="18">
        <f t="shared" si="94"/>
        <v>149.09586422567185</v>
      </c>
      <c r="M631" s="18">
        <f t="shared" si="95"/>
        <v>-8.9518221851559221E-2</v>
      </c>
      <c r="N631" s="18">
        <f t="shared" si="96"/>
        <v>-4.291766230902723E-2</v>
      </c>
      <c r="O631" s="18">
        <f t="shared" si="97"/>
        <v>77.792196232231674</v>
      </c>
      <c r="P631" s="18">
        <f t="shared" si="98"/>
        <v>2213.8407984834071</v>
      </c>
      <c r="Q631" s="18">
        <f t="shared" si="99"/>
        <v>2207.0310348486205</v>
      </c>
    </row>
    <row r="632" spans="1:17" ht="21" customHeight="1">
      <c r="A632" s="1" t="s">
        <v>428</v>
      </c>
      <c r="B632" s="1" t="s">
        <v>320</v>
      </c>
      <c r="C632" s="18">
        <v>77.614931962287045</v>
      </c>
      <c r="D632" s="18">
        <v>-5.1437232481031057</v>
      </c>
      <c r="E632" s="18">
        <v>3496.7399224650853</v>
      </c>
      <c r="F632" s="18">
        <v>1.32389775</v>
      </c>
      <c r="G632" s="18">
        <v>3.4438949999999999</v>
      </c>
      <c r="H632" s="18">
        <f t="shared" si="90"/>
        <v>3.6895959160157443</v>
      </c>
      <c r="I632" s="18">
        <f t="shared" si="91"/>
        <v>-1.845666514651827</v>
      </c>
      <c r="J632" s="18">
        <f t="shared" si="92"/>
        <v>77.763288687401953</v>
      </c>
      <c r="K632" s="18">
        <f t="shared" si="93"/>
        <v>947.72977910304144</v>
      </c>
      <c r="L632" s="18">
        <f t="shared" si="94"/>
        <v>61.367042115104866</v>
      </c>
      <c r="M632" s="18">
        <f t="shared" si="95"/>
        <v>-6.4751623794268007E-2</v>
      </c>
      <c r="N632" s="18">
        <f t="shared" si="96"/>
        <v>1.7300550150291746E-2</v>
      </c>
      <c r="O632" s="18">
        <f t="shared" si="97"/>
        <v>77.806998625269784</v>
      </c>
      <c r="P632" s="18">
        <f t="shared" si="98"/>
        <v>3504.0730020792416</v>
      </c>
      <c r="Q632" s="18">
        <f t="shared" si="99"/>
        <v>3497.2632384444555</v>
      </c>
    </row>
    <row r="633" spans="1:17" ht="21" customHeight="1">
      <c r="A633" s="1" t="s">
        <v>428</v>
      </c>
      <c r="B633" s="1" t="s">
        <v>321</v>
      </c>
      <c r="C633" s="18">
        <v>77.614931962287045</v>
      </c>
      <c r="D633" s="18">
        <v>-5.1437232481031057</v>
      </c>
      <c r="E633" s="18">
        <v>3779.6873612667696</v>
      </c>
      <c r="F633" s="18">
        <v>3.8554321618301355</v>
      </c>
      <c r="G633" s="18">
        <v>0</v>
      </c>
      <c r="H633" s="18">
        <f t="shared" si="90"/>
        <v>3.8554321618301355</v>
      </c>
      <c r="I633" s="18">
        <f t="shared" si="91"/>
        <v>-5.1437232481031057</v>
      </c>
      <c r="J633" s="18">
        <f t="shared" si="92"/>
        <v>77.614931962287045</v>
      </c>
      <c r="K633" s="18">
        <f t="shared" si="93"/>
        <v>980.35374573225261</v>
      </c>
      <c r="L633" s="18">
        <f t="shared" si="94"/>
        <v>103.713411358231</v>
      </c>
      <c r="M633" s="18">
        <f t="shared" si="95"/>
        <v>-0.10579182444064072</v>
      </c>
      <c r="N633" s="18">
        <f t="shared" si="96"/>
        <v>-2.6621491996697885E-2</v>
      </c>
      <c r="O633" s="18">
        <f t="shared" si="97"/>
        <v>77.805415988015653</v>
      </c>
      <c r="P633" s="18">
        <f t="shared" si="98"/>
        <v>3800.8580558766648</v>
      </c>
      <c r="Q633" s="18">
        <f t="shared" si="99"/>
        <v>3781.0267798343748</v>
      </c>
    </row>
    <row r="634" spans="1:17" ht="21" customHeight="1">
      <c r="A634" s="1" t="s">
        <v>428</v>
      </c>
      <c r="B634" s="1" t="s">
        <v>322</v>
      </c>
      <c r="C634" s="18">
        <v>77.614931962287045</v>
      </c>
      <c r="D634" s="18">
        <v>-5.1437232481031057</v>
      </c>
      <c r="E634" s="18">
        <v>3466.3565192054539</v>
      </c>
      <c r="F634" s="18">
        <v>2.3365115147320541</v>
      </c>
      <c r="G634" s="18">
        <v>1.4349562500000002</v>
      </c>
      <c r="H634" s="18">
        <f t="shared" si="90"/>
        <v>2.7419674501878282</v>
      </c>
      <c r="I634" s="18">
        <f t="shared" si="91"/>
        <v>-4.3831186241706099</v>
      </c>
      <c r="J634" s="18">
        <f t="shared" si="92"/>
        <v>77.661598126036338</v>
      </c>
      <c r="K634" s="18">
        <f t="shared" si="93"/>
        <v>1264.1858746237137</v>
      </c>
      <c r="L634" s="18">
        <f t="shared" si="94"/>
        <v>110.13076549379127</v>
      </c>
      <c r="M634" s="18">
        <f t="shared" si="95"/>
        <v>-8.7115959531324311E-2</v>
      </c>
      <c r="N634" s="18">
        <f t="shared" si="96"/>
        <v>-2.5683855530674565E-2</v>
      </c>
      <c r="O634" s="18">
        <f t="shared" si="97"/>
        <v>77.797381664054697</v>
      </c>
      <c r="P634" s="18">
        <f t="shared" si="98"/>
        <v>3479.5182597787975</v>
      </c>
      <c r="Q634" s="18">
        <f t="shared" si="99"/>
        <v>3467.4998911810094</v>
      </c>
    </row>
    <row r="635" spans="1:17" ht="21" customHeight="1">
      <c r="A635" s="1" t="s">
        <v>428</v>
      </c>
      <c r="B635" s="1" t="s">
        <v>323</v>
      </c>
      <c r="C635" s="18">
        <v>77.614931962287045</v>
      </c>
      <c r="D635" s="18">
        <v>-5.1437232481031057</v>
      </c>
      <c r="E635" s="18">
        <v>3449.7338106983343</v>
      </c>
      <c r="F635" s="18">
        <v>1.32389775</v>
      </c>
      <c r="G635" s="18">
        <v>0</v>
      </c>
      <c r="H635" s="18">
        <f t="shared" si="90"/>
        <v>1.32389775</v>
      </c>
      <c r="I635" s="18">
        <f t="shared" si="91"/>
        <v>-5.1437232481031057</v>
      </c>
      <c r="J635" s="18">
        <f t="shared" si="92"/>
        <v>77.614931962287045</v>
      </c>
      <c r="K635" s="18">
        <f t="shared" si="93"/>
        <v>2605.7403683164612</v>
      </c>
      <c r="L635" s="18">
        <f t="shared" si="94"/>
        <v>211.3634514201716</v>
      </c>
      <c r="M635" s="18">
        <f t="shared" si="95"/>
        <v>-8.1114547707886606E-2</v>
      </c>
      <c r="N635" s="18">
        <f t="shared" si="96"/>
        <v>-5.1328413637885928E-2</v>
      </c>
      <c r="O635" s="18">
        <f t="shared" si="97"/>
        <v>77.78805147705215</v>
      </c>
      <c r="P635" s="18">
        <f t="shared" si="98"/>
        <v>3461.088916912312</v>
      </c>
      <c r="Q635" s="18">
        <f t="shared" si="99"/>
        <v>3454.2791532775259</v>
      </c>
    </row>
    <row r="636" spans="1:17" ht="21" customHeight="1">
      <c r="A636" s="1" t="s">
        <v>428</v>
      </c>
      <c r="B636" s="1" t="s">
        <v>324</v>
      </c>
      <c r="C636" s="18">
        <v>77.614931962287045</v>
      </c>
      <c r="D636" s="18">
        <v>-5.1437232481031057</v>
      </c>
      <c r="E636" s="18">
        <v>583.94857882641782</v>
      </c>
      <c r="F636" s="18">
        <v>1.32389775</v>
      </c>
      <c r="G636" s="18">
        <v>0</v>
      </c>
      <c r="H636" s="18">
        <f t="shared" si="90"/>
        <v>1.32389775</v>
      </c>
      <c r="I636" s="18">
        <f t="shared" si="91"/>
        <v>-5.1437232481031057</v>
      </c>
      <c r="J636" s="18">
        <f t="shared" si="92"/>
        <v>77.614931962287045</v>
      </c>
      <c r="K636" s="18">
        <f t="shared" si="93"/>
        <v>441.08283953682815</v>
      </c>
      <c r="L636" s="18">
        <f t="shared" si="94"/>
        <v>67.980106296040375</v>
      </c>
      <c r="M636" s="18">
        <f t="shared" si="95"/>
        <v>-0.15412095008598581</v>
      </c>
      <c r="N636" s="18">
        <f t="shared" si="96"/>
        <v>2.1843574046915989E-2</v>
      </c>
      <c r="O636" s="18">
        <f t="shared" si="97"/>
        <v>77.885142926267207</v>
      </c>
      <c r="P636" s="18">
        <f t="shared" si="98"/>
        <v>590.89766111736606</v>
      </c>
      <c r="Q636" s="18">
        <f t="shared" si="99"/>
        <v>584.08789748257959</v>
      </c>
    </row>
    <row r="637" spans="1:17" ht="21" customHeight="1">
      <c r="A637" s="1" t="s">
        <v>429</v>
      </c>
      <c r="B637" s="1" t="s">
        <v>319</v>
      </c>
      <c r="C637" s="18">
        <v>58.600186147071753</v>
      </c>
      <c r="D637" s="18">
        <v>0.26301027916033526</v>
      </c>
      <c r="E637" s="18">
        <v>2204.9999999996498</v>
      </c>
      <c r="F637" s="18">
        <v>1.32389775</v>
      </c>
      <c r="G637" s="18">
        <v>0</v>
      </c>
      <c r="H637" s="18">
        <f t="shared" si="90"/>
        <v>1.32389775</v>
      </c>
      <c r="I637" s="18">
        <f t="shared" si="91"/>
        <v>0.26301027916033526</v>
      </c>
      <c r="J637" s="18">
        <f t="shared" si="92"/>
        <v>58.600186147071753</v>
      </c>
      <c r="K637" s="18">
        <f t="shared" si="93"/>
        <v>1665.5364811970182</v>
      </c>
      <c r="L637" s="18">
        <f t="shared" si="94"/>
        <v>21.82521663717905</v>
      </c>
      <c r="M637" s="18">
        <f t="shared" si="95"/>
        <v>-1.3104015963368935E-2</v>
      </c>
      <c r="N637" s="18">
        <f t="shared" si="96"/>
        <v>2.2079954372096727E-2</v>
      </c>
      <c r="O637" s="18">
        <f t="shared" si="97"/>
        <v>58.603798961372178</v>
      </c>
      <c r="P637" s="18">
        <f t="shared" si="98"/>
        <v>2205.1893187545934</v>
      </c>
      <c r="Q637" s="18">
        <f t="shared" si="99"/>
        <v>2205.5375174714009</v>
      </c>
    </row>
    <row r="638" spans="1:17" ht="21" customHeight="1">
      <c r="A638" s="1" t="s">
        <v>429</v>
      </c>
      <c r="B638" s="1" t="s">
        <v>320</v>
      </c>
      <c r="C638" s="18">
        <v>58.600186147071753</v>
      </c>
      <c r="D638" s="18">
        <v>0.26301027916033526</v>
      </c>
      <c r="E638" s="18">
        <v>3300.0973786049299</v>
      </c>
      <c r="F638" s="18">
        <v>1.32389775</v>
      </c>
      <c r="G638" s="18">
        <v>3.4438949999999999</v>
      </c>
      <c r="H638" s="18">
        <f t="shared" si="90"/>
        <v>3.6895959160157443</v>
      </c>
      <c r="I638" s="18">
        <f t="shared" si="91"/>
        <v>9.4373130481791731E-2</v>
      </c>
      <c r="J638" s="18">
        <f t="shared" si="92"/>
        <v>58.600700376280891</v>
      </c>
      <c r="K638" s="18">
        <f t="shared" si="93"/>
        <v>894.43328042507721</v>
      </c>
      <c r="L638" s="18">
        <f t="shared" si="94"/>
        <v>27.860173937377123</v>
      </c>
      <c r="M638" s="18">
        <f t="shared" si="95"/>
        <v>-3.1148409330360161E-2</v>
      </c>
      <c r="N638" s="18">
        <f t="shared" si="96"/>
        <v>3.4368719402183258E-2</v>
      </c>
      <c r="O638" s="18">
        <f t="shared" si="97"/>
        <v>58.61125788149895</v>
      </c>
      <c r="P638" s="18">
        <f t="shared" si="98"/>
        <v>3301.6984239020753</v>
      </c>
      <c r="Q638" s="18">
        <f t="shared" si="99"/>
        <v>3302.0466226188828</v>
      </c>
    </row>
    <row r="639" spans="1:17" ht="21" customHeight="1">
      <c r="A639" s="1" t="s">
        <v>429</v>
      </c>
      <c r="B639" s="1" t="s">
        <v>321</v>
      </c>
      <c r="C639" s="18">
        <v>58.600186147071753</v>
      </c>
      <c r="D639" s="18">
        <v>0.26301027916033526</v>
      </c>
      <c r="E639" s="18">
        <v>3605.8593768377032</v>
      </c>
      <c r="F639" s="18">
        <v>3.8554321618301355</v>
      </c>
      <c r="G639" s="18">
        <v>0</v>
      </c>
      <c r="H639" s="18">
        <f t="shared" si="90"/>
        <v>3.8554321618301355</v>
      </c>
      <c r="I639" s="18">
        <f t="shared" si="91"/>
        <v>0.2630102791603352</v>
      </c>
      <c r="J639" s="18">
        <f t="shared" si="92"/>
        <v>58.600186147071753</v>
      </c>
      <c r="K639" s="18">
        <f t="shared" si="93"/>
        <v>935.26723476987274</v>
      </c>
      <c r="L639" s="18">
        <f t="shared" si="94"/>
        <v>25.103112568688452</v>
      </c>
      <c r="M639" s="18">
        <f t="shared" si="95"/>
        <v>-2.6840577361683372E-2</v>
      </c>
      <c r="N639" s="18">
        <f t="shared" si="96"/>
        <v>3.5815510618871865E-2</v>
      </c>
      <c r="O639" s="18">
        <f t="shared" si="97"/>
        <v>58.610362231105405</v>
      </c>
      <c r="P639" s="18">
        <f t="shared" si="98"/>
        <v>3607.1583152800399</v>
      </c>
      <c r="Q639" s="18">
        <f t="shared" si="99"/>
        <v>3608.1723335692068</v>
      </c>
    </row>
    <row r="640" spans="1:17" ht="21" customHeight="1">
      <c r="A640" s="1" t="s">
        <v>429</v>
      </c>
      <c r="B640" s="1" t="s">
        <v>322</v>
      </c>
      <c r="C640" s="18">
        <v>58.600186147071753</v>
      </c>
      <c r="D640" s="18">
        <v>0.26301027916033526</v>
      </c>
      <c r="E640" s="18">
        <v>3391.4364054435227</v>
      </c>
      <c r="F640" s="18">
        <v>2.3365115147320541</v>
      </c>
      <c r="G640" s="18">
        <v>1.4349562500000002</v>
      </c>
      <c r="H640" s="18">
        <f t="shared" si="90"/>
        <v>2.7419674501878282</v>
      </c>
      <c r="I640" s="18">
        <f t="shared" si="91"/>
        <v>0.22411883325198462</v>
      </c>
      <c r="J640" s="18">
        <f t="shared" si="92"/>
        <v>58.60034779442001</v>
      </c>
      <c r="K640" s="18">
        <f t="shared" si="93"/>
        <v>1236.8623869737057</v>
      </c>
      <c r="L640" s="18">
        <f t="shared" si="94"/>
        <v>24.57020957150916</v>
      </c>
      <c r="M640" s="18">
        <f t="shared" si="95"/>
        <v>-1.9864950078744285E-2</v>
      </c>
      <c r="N640" s="18">
        <f t="shared" si="96"/>
        <v>2.7513277613829074E-2</v>
      </c>
      <c r="O640" s="18">
        <f t="shared" si="97"/>
        <v>58.606257314296073</v>
      </c>
      <c r="P640" s="18">
        <f t="shared" si="98"/>
        <v>3392.1055853928851</v>
      </c>
      <c r="Q640" s="18">
        <f t="shared" si="99"/>
        <v>3392.7201119386359</v>
      </c>
    </row>
    <row r="641" spans="1:17" ht="21" customHeight="1">
      <c r="A641" s="1" t="s">
        <v>429</v>
      </c>
      <c r="B641" s="1" t="s">
        <v>323</v>
      </c>
      <c r="C641" s="18">
        <v>58.600186147071753</v>
      </c>
      <c r="D641" s="18">
        <v>0.26301027916033526</v>
      </c>
      <c r="E641" s="18">
        <v>3519.6991838347285</v>
      </c>
      <c r="F641" s="18">
        <v>1.32389775</v>
      </c>
      <c r="G641" s="18">
        <v>0</v>
      </c>
      <c r="H641" s="18">
        <f t="shared" si="90"/>
        <v>1.32389775</v>
      </c>
      <c r="I641" s="18">
        <f t="shared" si="91"/>
        <v>0.26301027916033526</v>
      </c>
      <c r="J641" s="18">
        <f t="shared" si="92"/>
        <v>58.600186147071753</v>
      </c>
      <c r="K641" s="18">
        <f t="shared" si="93"/>
        <v>2658.5883870825587</v>
      </c>
      <c r="L641" s="18">
        <f t="shared" si="94"/>
        <v>17.368056374204464</v>
      </c>
      <c r="M641" s="18">
        <f t="shared" si="95"/>
        <v>-6.5328113440168744E-3</v>
      </c>
      <c r="N641" s="18">
        <f t="shared" si="96"/>
        <v>1.5509031023081378E-2</v>
      </c>
      <c r="O641" s="18">
        <f t="shared" si="97"/>
        <v>58.601962632770935</v>
      </c>
      <c r="P641" s="18">
        <f t="shared" si="98"/>
        <v>3519.7742903011222</v>
      </c>
      <c r="Q641" s="18">
        <f t="shared" si="99"/>
        <v>3520.1224890179287</v>
      </c>
    </row>
    <row r="642" spans="1:17" ht="21" customHeight="1">
      <c r="A642" s="1" t="s">
        <v>429</v>
      </c>
      <c r="B642" s="1" t="s">
        <v>324</v>
      </c>
      <c r="C642" s="18">
        <v>58.600186147071753</v>
      </c>
      <c r="D642" s="18">
        <v>0.26301027916033526</v>
      </c>
      <c r="E642" s="18">
        <v>456.11545801569241</v>
      </c>
      <c r="F642" s="18">
        <v>1.32389775</v>
      </c>
      <c r="G642" s="18">
        <v>0</v>
      </c>
      <c r="H642" s="18">
        <f t="shared" si="90"/>
        <v>1.32389775</v>
      </c>
      <c r="I642" s="18">
        <f t="shared" si="91"/>
        <v>0.26301027916033526</v>
      </c>
      <c r="J642" s="18">
        <f t="shared" si="92"/>
        <v>58.600186147071753</v>
      </c>
      <c r="K642" s="18">
        <f t="shared" si="93"/>
        <v>344.52468705811486</v>
      </c>
      <c r="L642" s="18">
        <f t="shared" si="94"/>
        <v>27.755659518698604</v>
      </c>
      <c r="M642" s="18">
        <f t="shared" si="95"/>
        <v>-8.0562179029036438E-2</v>
      </c>
      <c r="N642" s="18">
        <f t="shared" si="96"/>
        <v>8.9527769088925277E-2</v>
      </c>
      <c r="O642" s="18">
        <f t="shared" si="97"/>
        <v>58.671440289189825</v>
      </c>
      <c r="P642" s="18">
        <f t="shared" si="98"/>
        <v>457.59641376457</v>
      </c>
      <c r="Q642" s="18">
        <f t="shared" si="99"/>
        <v>457.94461248137725</v>
      </c>
    </row>
    <row r="643" spans="1:17" ht="21" customHeight="1">
      <c r="A643" s="1" t="s">
        <v>430</v>
      </c>
      <c r="B643" s="1" t="s">
        <v>319</v>
      </c>
      <c r="C643" s="18">
        <v>58.600186147071753</v>
      </c>
      <c r="D643" s="18">
        <v>4.7979048666351449</v>
      </c>
      <c r="E643" s="18">
        <v>2205.0000000001437</v>
      </c>
      <c r="F643" s="18">
        <v>1.32389775</v>
      </c>
      <c r="G643" s="18">
        <v>0</v>
      </c>
      <c r="H643" s="18">
        <f t="shared" si="90"/>
        <v>1.32389775</v>
      </c>
      <c r="I643" s="18">
        <f t="shared" si="91"/>
        <v>4.7979048666351449</v>
      </c>
      <c r="J643" s="18">
        <f t="shared" si="92"/>
        <v>58.600186147071753</v>
      </c>
      <c r="K643" s="18">
        <f t="shared" si="93"/>
        <v>1665.5364811973914</v>
      </c>
      <c r="L643" s="18">
        <f t="shared" si="94"/>
        <v>-106.90721334273759</v>
      </c>
      <c r="M643" s="18">
        <f t="shared" si="95"/>
        <v>6.4187854513927917E-2</v>
      </c>
      <c r="N643" s="18">
        <f t="shared" si="96"/>
        <v>9.9371824849385698E-2</v>
      </c>
      <c r="O643" s="18">
        <f t="shared" si="97"/>
        <v>58.799285449801694</v>
      </c>
      <c r="P643" s="18">
        <f t="shared" si="98"/>
        <v>2209.5439487338954</v>
      </c>
      <c r="Q643" s="18">
        <f t="shared" si="99"/>
        <v>2215.8958841915478</v>
      </c>
    </row>
    <row r="644" spans="1:17" ht="21" customHeight="1">
      <c r="A644" s="1" t="s">
        <v>430</v>
      </c>
      <c r="B644" s="1" t="s">
        <v>320</v>
      </c>
      <c r="C644" s="18">
        <v>58.600186147071753</v>
      </c>
      <c r="D644" s="18">
        <v>4.7979048666351449</v>
      </c>
      <c r="E644" s="18">
        <v>3307.3813278396337</v>
      </c>
      <c r="F644" s="18">
        <v>1.32389775</v>
      </c>
      <c r="G644" s="18">
        <v>3.4438949999999999</v>
      </c>
      <c r="H644" s="18">
        <f t="shared" si="90"/>
        <v>3.6895959160157443</v>
      </c>
      <c r="I644" s="18">
        <f t="shared" si="91"/>
        <v>1.7215802495010168</v>
      </c>
      <c r="J644" s="18">
        <f t="shared" si="92"/>
        <v>58.771063194613632</v>
      </c>
      <c r="K644" s="18">
        <f t="shared" si="93"/>
        <v>896.40746659627439</v>
      </c>
      <c r="L644" s="18">
        <f t="shared" si="94"/>
        <v>3.1355296179940346</v>
      </c>
      <c r="M644" s="18">
        <f t="shared" si="95"/>
        <v>-3.4978843158233307E-3</v>
      </c>
      <c r="N644" s="18">
        <f t="shared" si="96"/>
        <v>6.2065004643336849E-2</v>
      </c>
      <c r="O644" s="18">
        <f t="shared" si="97"/>
        <v>58.806795082171156</v>
      </c>
      <c r="P644" s="18">
        <f t="shared" si="98"/>
        <v>3307.401561087489</v>
      </c>
      <c r="Q644" s="18">
        <f t="shared" si="99"/>
        <v>3313.7534965451409</v>
      </c>
    </row>
    <row r="645" spans="1:17" ht="21" customHeight="1">
      <c r="A645" s="1" t="s">
        <v>430</v>
      </c>
      <c r="B645" s="1" t="s">
        <v>321</v>
      </c>
      <c r="C645" s="18">
        <v>58.600186147071753</v>
      </c>
      <c r="D645" s="18">
        <v>4.7979048666351449</v>
      </c>
      <c r="E645" s="18">
        <v>3600.4220204685635</v>
      </c>
      <c r="F645" s="18">
        <v>3.8554321618301355</v>
      </c>
      <c r="G645" s="18">
        <v>0</v>
      </c>
      <c r="H645" s="18">
        <f t="shared" si="90"/>
        <v>3.8554321618301355</v>
      </c>
      <c r="I645" s="18">
        <f t="shared" si="91"/>
        <v>4.7979048666351449</v>
      </c>
      <c r="J645" s="18">
        <f t="shared" si="92"/>
        <v>58.600186147071753</v>
      </c>
      <c r="K645" s="18">
        <f t="shared" si="93"/>
        <v>933.85692429340497</v>
      </c>
      <c r="L645" s="18">
        <f t="shared" si="94"/>
        <v>-47.062005557030147</v>
      </c>
      <c r="M645" s="18">
        <f t="shared" si="95"/>
        <v>5.0395306103918673E-2</v>
      </c>
      <c r="N645" s="18">
        <f t="shared" si="96"/>
        <v>0.11314601729172841</v>
      </c>
      <c r="O645" s="18">
        <f t="shared" si="97"/>
        <v>58.805855781564809</v>
      </c>
      <c r="P645" s="18">
        <f t="shared" si="98"/>
        <v>3604.9949604443918</v>
      </c>
      <c r="Q645" s="18">
        <f t="shared" si="99"/>
        <v>3623.4929571766183</v>
      </c>
    </row>
    <row r="646" spans="1:17" ht="21" customHeight="1">
      <c r="A646" s="1" t="s">
        <v>430</v>
      </c>
      <c r="B646" s="1" t="s">
        <v>322</v>
      </c>
      <c r="C646" s="18">
        <v>58.600186147071753</v>
      </c>
      <c r="D646" s="18">
        <v>4.7979048666351449</v>
      </c>
      <c r="E646" s="18">
        <v>3390.8704109147739</v>
      </c>
      <c r="F646" s="18">
        <v>2.3365115147320541</v>
      </c>
      <c r="G646" s="18">
        <v>1.4349562500000002</v>
      </c>
      <c r="H646" s="18">
        <f t="shared" si="90"/>
        <v>2.7419674501878282</v>
      </c>
      <c r="I646" s="18">
        <f t="shared" si="91"/>
        <v>4.0884365591991445</v>
      </c>
      <c r="J646" s="18">
        <f t="shared" si="92"/>
        <v>58.653954632932852</v>
      </c>
      <c r="K646" s="18">
        <f t="shared" si="93"/>
        <v>1236.6559678461883</v>
      </c>
      <c r="L646" s="18">
        <f t="shared" si="94"/>
        <v>-56.795628493265156</v>
      </c>
      <c r="M646" s="18">
        <f t="shared" si="95"/>
        <v>4.5926781554438939E-2</v>
      </c>
      <c r="N646" s="18">
        <f t="shared" si="96"/>
        <v>9.3356265710074424E-2</v>
      </c>
      <c r="O646" s="18">
        <f t="shared" si="97"/>
        <v>58.801757476639494</v>
      </c>
      <c r="P646" s="18">
        <f t="shared" si="98"/>
        <v>3394.4471689118395</v>
      </c>
      <c r="Q646" s="18">
        <f t="shared" si="99"/>
        <v>3405.657528879321</v>
      </c>
    </row>
    <row r="647" spans="1:17" ht="21" customHeight="1">
      <c r="A647" s="1" t="s">
        <v>430</v>
      </c>
      <c r="B647" s="1" t="s">
        <v>323</v>
      </c>
      <c r="C647" s="18">
        <v>58.600186147071753</v>
      </c>
      <c r="D647" s="18">
        <v>4.7979048666351449</v>
      </c>
      <c r="E647" s="18">
        <v>3516.0868804429647</v>
      </c>
      <c r="F647" s="18">
        <v>1.32389775</v>
      </c>
      <c r="G647" s="18">
        <v>0</v>
      </c>
      <c r="H647" s="18">
        <f t="shared" ref="H647:H710" si="100">SQRT(F647^2+G647^2)</f>
        <v>1.32389775</v>
      </c>
      <c r="I647" s="18">
        <f t="shared" ref="I647:I710" si="101">D647*F647/H647</f>
        <v>4.7979048666351449</v>
      </c>
      <c r="J647" s="18">
        <f t="shared" ref="J647:J710" si="102">SQRT(C647^2+D647^2-I647^2)</f>
        <v>58.600186147071753</v>
      </c>
      <c r="K647" s="18">
        <f t="shared" ref="K647:K666" si="103">E647/H647</f>
        <v>2655.8598505382797</v>
      </c>
      <c r="L647" s="18">
        <f t="shared" ref="L647:L710" si="104">J647/2-K647*ASINH(I647/(2*K647*SINH(J647/(2*K647))))</f>
        <v>-187.90248166936442</v>
      </c>
      <c r="M647" s="18">
        <f t="shared" ref="M647:M710" si="105">-L647/K647</f>
        <v>7.0750149572569143E-2</v>
      </c>
      <c r="N647" s="18">
        <f t="shared" ref="N647:N666" si="106">(J647-L647)/K647</f>
        <v>9.2814636949489618E-2</v>
      </c>
      <c r="O647" s="18">
        <f t="shared" ref="O647:O710" si="107">K647*(SINH(N647)-SINH(M647))</f>
        <v>58.797457657135865</v>
      </c>
      <c r="P647" s="18">
        <f t="shared" ref="P647:P666" si="108">E647*COSH(M647)</f>
        <v>3524.8905853567635</v>
      </c>
      <c r="Q647" s="18">
        <f t="shared" ref="Q647:Q666" si="109">E647*COSH(N647)</f>
        <v>3531.2425208144159</v>
      </c>
    </row>
    <row r="648" spans="1:17" ht="21" customHeight="1">
      <c r="A648" s="1" t="s">
        <v>430</v>
      </c>
      <c r="B648" s="1" t="s">
        <v>324</v>
      </c>
      <c r="C648" s="18">
        <v>58.600186147071753</v>
      </c>
      <c r="D648" s="18">
        <v>4.7979048666351449</v>
      </c>
      <c r="E648" s="18">
        <v>455.08774004816939</v>
      </c>
      <c r="F648" s="18">
        <v>1.32389775</v>
      </c>
      <c r="G648" s="18">
        <v>0</v>
      </c>
      <c r="H648" s="18">
        <f t="shared" si="100"/>
        <v>1.32389775</v>
      </c>
      <c r="I648" s="18">
        <f t="shared" si="101"/>
        <v>4.7979048666351449</v>
      </c>
      <c r="J648" s="18">
        <f t="shared" si="102"/>
        <v>58.600186147071753</v>
      </c>
      <c r="K648" s="18">
        <f t="shared" si="103"/>
        <v>343.74840507748382</v>
      </c>
      <c r="L648" s="18">
        <f t="shared" si="104"/>
        <v>1.2208944667331139</v>
      </c>
      <c r="M648" s="18">
        <f t="shared" si="105"/>
        <v>-3.5517094732640691E-3</v>
      </c>
      <c r="N648" s="18">
        <f t="shared" si="106"/>
        <v>0.16692235027942851</v>
      </c>
      <c r="O648" s="18">
        <f t="shared" si="107"/>
        <v>58.867020727307434</v>
      </c>
      <c r="P648" s="18">
        <f t="shared" si="108"/>
        <v>455.09061043523286</v>
      </c>
      <c r="Q648" s="18">
        <f t="shared" si="109"/>
        <v>461.44254589288516</v>
      </c>
    </row>
    <row r="649" spans="1:17" ht="21" customHeight="1">
      <c r="A649" s="1" t="s">
        <v>431</v>
      </c>
      <c r="B649" s="1" t="s">
        <v>319</v>
      </c>
      <c r="C649" s="18">
        <v>43.960363567848439</v>
      </c>
      <c r="D649" s="18">
        <v>-4.0056366491208788</v>
      </c>
      <c r="E649" s="18">
        <v>2204.9999999976499</v>
      </c>
      <c r="F649" s="18">
        <v>1.32389775</v>
      </c>
      <c r="G649" s="18">
        <v>0</v>
      </c>
      <c r="H649" s="18">
        <f t="shared" si="100"/>
        <v>1.32389775</v>
      </c>
      <c r="I649" s="18">
        <f t="shared" si="101"/>
        <v>-4.0056366491208788</v>
      </c>
      <c r="J649" s="18">
        <f t="shared" si="102"/>
        <v>43.960363567848439</v>
      </c>
      <c r="K649" s="18">
        <f t="shared" si="103"/>
        <v>1665.5364811955076</v>
      </c>
      <c r="L649" s="18">
        <f t="shared" si="104"/>
        <v>173.52905255679369</v>
      </c>
      <c r="M649" s="18">
        <f t="shared" si="105"/>
        <v>-0.10418808264844252</v>
      </c>
      <c r="N649" s="18">
        <f t="shared" si="106"/>
        <v>-7.7793966359681277E-2</v>
      </c>
      <c r="O649" s="18">
        <f t="shared" si="107"/>
        <v>44.143752479273417</v>
      </c>
      <c r="P649" s="18">
        <f t="shared" si="108"/>
        <v>2216.9786400673552</v>
      </c>
      <c r="Q649" s="18">
        <f t="shared" si="109"/>
        <v>2211.6755867202669</v>
      </c>
    </row>
    <row r="650" spans="1:17" ht="21" customHeight="1">
      <c r="A650" s="1" t="s">
        <v>431</v>
      </c>
      <c r="B650" s="1" t="s">
        <v>320</v>
      </c>
      <c r="C650" s="18">
        <v>43.960363567848439</v>
      </c>
      <c r="D650" s="18">
        <v>-4.0056366491208788</v>
      </c>
      <c r="E650" s="18">
        <v>3166.5052776178745</v>
      </c>
      <c r="F650" s="18">
        <v>1.32389775</v>
      </c>
      <c r="G650" s="18">
        <v>3.4438949999999999</v>
      </c>
      <c r="H650" s="18">
        <f t="shared" si="100"/>
        <v>3.6895959160157443</v>
      </c>
      <c r="I650" s="18">
        <f t="shared" si="101"/>
        <v>-1.4372992240340614</v>
      </c>
      <c r="J650" s="18">
        <f t="shared" si="102"/>
        <v>44.119075930064398</v>
      </c>
      <c r="K650" s="18">
        <f t="shared" si="103"/>
        <v>858.22549398235037</v>
      </c>
      <c r="L650" s="18">
        <f t="shared" si="104"/>
        <v>50.010554112332386</v>
      </c>
      <c r="M650" s="18">
        <f t="shared" si="105"/>
        <v>-5.8272044425379033E-2</v>
      </c>
      <c r="N650" s="18">
        <f t="shared" si="106"/>
        <v>-6.864720546729818E-3</v>
      </c>
      <c r="O650" s="18">
        <f t="shared" si="107"/>
        <v>44.147337362928162</v>
      </c>
      <c r="P650" s="18">
        <f t="shared" si="108"/>
        <v>3171.8829410699045</v>
      </c>
      <c r="Q650" s="18">
        <f t="shared" si="109"/>
        <v>3166.5798877228158</v>
      </c>
    </row>
    <row r="651" spans="1:17" ht="21" customHeight="1">
      <c r="A651" s="1" t="s">
        <v>431</v>
      </c>
      <c r="B651" s="1" t="s">
        <v>321</v>
      </c>
      <c r="C651" s="18">
        <v>43.960363567848439</v>
      </c>
      <c r="D651" s="18">
        <v>-4.0056366491208788</v>
      </c>
      <c r="E651" s="18">
        <v>3471.2558055676909</v>
      </c>
      <c r="F651" s="18">
        <v>3.8554321618301355</v>
      </c>
      <c r="G651" s="18">
        <v>0</v>
      </c>
      <c r="H651" s="18">
        <f t="shared" si="100"/>
        <v>3.8554321618301355</v>
      </c>
      <c r="I651" s="18">
        <f t="shared" si="101"/>
        <v>-4.0056366491208788</v>
      </c>
      <c r="J651" s="18">
        <f t="shared" si="102"/>
        <v>43.960363567848439</v>
      </c>
      <c r="K651" s="18">
        <f t="shared" si="103"/>
        <v>900.35452832865303</v>
      </c>
      <c r="L651" s="18">
        <f t="shared" si="104"/>
        <v>103.8986193422605</v>
      </c>
      <c r="M651" s="18">
        <f t="shared" si="105"/>
        <v>-0.11539745297347444</v>
      </c>
      <c r="N651" s="18">
        <f t="shared" si="106"/>
        <v>-6.6571837968846234E-2</v>
      </c>
      <c r="O651" s="18">
        <f t="shared" si="107"/>
        <v>44.146830429449651</v>
      </c>
      <c r="P651" s="18">
        <f t="shared" si="108"/>
        <v>3494.394079552681</v>
      </c>
      <c r="Q651" s="18">
        <f t="shared" si="109"/>
        <v>3478.9506191870555</v>
      </c>
    </row>
    <row r="652" spans="1:17" ht="21" customHeight="1">
      <c r="A652" s="1" t="s">
        <v>431</v>
      </c>
      <c r="B652" s="1" t="s">
        <v>322</v>
      </c>
      <c r="C652" s="18">
        <v>43.960363567848439</v>
      </c>
      <c r="D652" s="18">
        <v>-4.0056366491208788</v>
      </c>
      <c r="E652" s="18">
        <v>3339.5650213814861</v>
      </c>
      <c r="F652" s="18">
        <v>2.3365115147320541</v>
      </c>
      <c r="G652" s="18">
        <v>1.4349562500000002</v>
      </c>
      <c r="H652" s="18">
        <f t="shared" si="100"/>
        <v>2.7419674501878282</v>
      </c>
      <c r="I652" s="18">
        <f t="shared" si="101"/>
        <v>-3.4133213922224117</v>
      </c>
      <c r="J652" s="18">
        <f t="shared" si="102"/>
        <v>44.01031614355427</v>
      </c>
      <c r="K652" s="18">
        <f t="shared" si="103"/>
        <v>1217.9448086273678</v>
      </c>
      <c r="L652" s="18">
        <f t="shared" si="104"/>
        <v>116.36610478330283</v>
      </c>
      <c r="M652" s="18">
        <f t="shared" si="105"/>
        <v>-9.5543003228896903E-2</v>
      </c>
      <c r="N652" s="18">
        <f t="shared" si="106"/>
        <v>-5.9408101358298854E-2</v>
      </c>
      <c r="O652" s="18">
        <f t="shared" si="107"/>
        <v>44.144868964626049</v>
      </c>
      <c r="P652" s="18">
        <f t="shared" si="108"/>
        <v>3354.819171987258</v>
      </c>
      <c r="Q652" s="18">
        <f t="shared" si="109"/>
        <v>3345.4599558327541</v>
      </c>
    </row>
    <row r="653" spans="1:17" ht="21" customHeight="1">
      <c r="A653" s="1" t="s">
        <v>431</v>
      </c>
      <c r="B653" s="1" t="s">
        <v>323</v>
      </c>
      <c r="C653" s="18">
        <v>43.960363567848439</v>
      </c>
      <c r="D653" s="18">
        <v>-4.0056366491208788</v>
      </c>
      <c r="E653" s="18">
        <v>3555.8372051912565</v>
      </c>
      <c r="F653" s="18">
        <v>1.32389775</v>
      </c>
      <c r="G653" s="18">
        <v>0</v>
      </c>
      <c r="H653" s="18">
        <f t="shared" si="100"/>
        <v>1.32389775</v>
      </c>
      <c r="I653" s="18">
        <f t="shared" si="101"/>
        <v>-4.0056366491208788</v>
      </c>
      <c r="J653" s="18">
        <f t="shared" si="102"/>
        <v>43.960363567848439</v>
      </c>
      <c r="K653" s="18">
        <f t="shared" si="103"/>
        <v>2685.8850732175174</v>
      </c>
      <c r="L653" s="18">
        <f t="shared" si="104"/>
        <v>266.37597039188142</v>
      </c>
      <c r="M653" s="18">
        <f t="shared" si="105"/>
        <v>-9.9176235442114485E-2</v>
      </c>
      <c r="N653" s="18">
        <f t="shared" si="106"/>
        <v>-8.280905577154625E-2</v>
      </c>
      <c r="O653" s="18">
        <f t="shared" si="107"/>
        <v>44.142970349172593</v>
      </c>
      <c r="P653" s="18">
        <f t="shared" si="108"/>
        <v>3573.3390189177853</v>
      </c>
      <c r="Q653" s="18">
        <f t="shared" si="109"/>
        <v>3568.0359655706961</v>
      </c>
    </row>
    <row r="654" spans="1:17" ht="21" customHeight="1">
      <c r="A654" s="1" t="s">
        <v>431</v>
      </c>
      <c r="B654" s="1" t="s">
        <v>324</v>
      </c>
      <c r="C654" s="18">
        <v>43.960363567848439</v>
      </c>
      <c r="D654" s="18">
        <v>-4.0056366491208788</v>
      </c>
      <c r="E654" s="18">
        <v>349.58051635686161</v>
      </c>
      <c r="F654" s="18">
        <v>1.32389775</v>
      </c>
      <c r="G654" s="18">
        <v>0</v>
      </c>
      <c r="H654" s="18">
        <f t="shared" si="100"/>
        <v>1.32389775</v>
      </c>
      <c r="I654" s="18">
        <f t="shared" si="101"/>
        <v>-4.0056366491208788</v>
      </c>
      <c r="J654" s="18">
        <f t="shared" si="102"/>
        <v>43.960363567848439</v>
      </c>
      <c r="K654" s="18">
        <f t="shared" si="103"/>
        <v>264.05401501502786</v>
      </c>
      <c r="L654" s="18">
        <f t="shared" si="104"/>
        <v>45.979773323274109</v>
      </c>
      <c r="M654" s="18">
        <f t="shared" si="105"/>
        <v>-0.17413018060209123</v>
      </c>
      <c r="N654" s="18">
        <f t="shared" si="106"/>
        <v>-7.6477146363812766E-3</v>
      </c>
      <c r="O654" s="18">
        <f t="shared" si="107"/>
        <v>44.193057647317268</v>
      </c>
      <c r="P654" s="18">
        <f t="shared" si="108"/>
        <v>354.89379280584706</v>
      </c>
      <c r="Q654" s="18">
        <f t="shared" si="109"/>
        <v>349.59073945875838</v>
      </c>
    </row>
    <row r="655" spans="1:17" ht="21" customHeight="1">
      <c r="A655" s="1" t="s">
        <v>432</v>
      </c>
      <c r="B655" s="1" t="s">
        <v>319</v>
      </c>
      <c r="C655" s="18">
        <v>38.097065348248307</v>
      </c>
      <c r="D655" s="18">
        <v>0.39947695460150534</v>
      </c>
      <c r="E655" s="18">
        <v>2205.0000000001764</v>
      </c>
      <c r="F655" s="18">
        <v>1.32389775</v>
      </c>
      <c r="G655" s="18">
        <v>0</v>
      </c>
      <c r="H655" s="18">
        <f t="shared" si="100"/>
        <v>1.32389775</v>
      </c>
      <c r="I655" s="18">
        <f t="shared" si="101"/>
        <v>0.39947695460150534</v>
      </c>
      <c r="J655" s="18">
        <f t="shared" si="102"/>
        <v>38.097065348248307</v>
      </c>
      <c r="K655" s="18">
        <f t="shared" si="103"/>
        <v>1665.5364811974162</v>
      </c>
      <c r="L655" s="18">
        <f t="shared" si="104"/>
        <v>1.5848057560160456</v>
      </c>
      <c r="M655" s="18">
        <f t="shared" si="105"/>
        <v>-9.5152869595307196E-4</v>
      </c>
      <c r="N655" s="18">
        <f t="shared" si="106"/>
        <v>2.1922221461028724E-2</v>
      </c>
      <c r="O655" s="18">
        <f t="shared" si="107"/>
        <v>38.099990191044718</v>
      </c>
      <c r="P655" s="18">
        <f t="shared" si="108"/>
        <v>2205.0009982113143</v>
      </c>
      <c r="Q655" s="18">
        <f t="shared" si="109"/>
        <v>2205.5298648526878</v>
      </c>
    </row>
    <row r="656" spans="1:17" ht="21" customHeight="1">
      <c r="A656" s="1" t="s">
        <v>432</v>
      </c>
      <c r="B656" s="1" t="s">
        <v>320</v>
      </c>
      <c r="C656" s="18">
        <v>38.097065348248307</v>
      </c>
      <c r="D656" s="18">
        <v>0.39947695460150534</v>
      </c>
      <c r="E656" s="18">
        <v>3105.2005451151026</v>
      </c>
      <c r="F656" s="18">
        <v>1.32389775</v>
      </c>
      <c r="G656" s="18">
        <v>3.4438949999999999</v>
      </c>
      <c r="H656" s="18">
        <f t="shared" si="100"/>
        <v>3.6895959160157443</v>
      </c>
      <c r="I656" s="18">
        <f t="shared" si="101"/>
        <v>0.14333998991003008</v>
      </c>
      <c r="J656" s="18">
        <f t="shared" si="102"/>
        <v>38.098890057759583</v>
      </c>
      <c r="K656" s="18">
        <f t="shared" si="103"/>
        <v>841.60992580138475</v>
      </c>
      <c r="L656" s="18">
        <f t="shared" si="104"/>
        <v>15.883321989520299</v>
      </c>
      <c r="M656" s="18">
        <f t="shared" si="105"/>
        <v>-1.8872545941513379E-2</v>
      </c>
      <c r="N656" s="18">
        <f t="shared" si="106"/>
        <v>2.6396513856565464E-2</v>
      </c>
      <c r="O656" s="18">
        <f t="shared" si="107"/>
        <v>38.102412911715057</v>
      </c>
      <c r="P656" s="18">
        <f t="shared" si="108"/>
        <v>3105.753555810606</v>
      </c>
      <c r="Q656" s="18">
        <f t="shared" si="109"/>
        <v>3106.28242245198</v>
      </c>
    </row>
    <row r="657" spans="1:17" ht="21" customHeight="1">
      <c r="A657" s="1" t="s">
        <v>432</v>
      </c>
      <c r="B657" s="1" t="s">
        <v>321</v>
      </c>
      <c r="C657" s="18">
        <v>38.097065348248307</v>
      </c>
      <c r="D657" s="18">
        <v>0.39947695460150534</v>
      </c>
      <c r="E657" s="18">
        <v>3430.1269661554052</v>
      </c>
      <c r="F657" s="18">
        <v>3.8554321618301355</v>
      </c>
      <c r="G657" s="18">
        <v>0</v>
      </c>
      <c r="H657" s="18">
        <f t="shared" si="100"/>
        <v>3.8554321618301355</v>
      </c>
      <c r="I657" s="18">
        <f t="shared" si="101"/>
        <v>0.39947695460150534</v>
      </c>
      <c r="J657" s="18">
        <f t="shared" si="102"/>
        <v>38.097065348248307</v>
      </c>
      <c r="K657" s="18">
        <f t="shared" si="103"/>
        <v>889.68676459013557</v>
      </c>
      <c r="L657" s="18">
        <f t="shared" si="104"/>
        <v>9.7203680820469422</v>
      </c>
      <c r="M657" s="18">
        <f t="shared" si="105"/>
        <v>-1.0925607156272533E-2</v>
      </c>
      <c r="N657" s="18">
        <f t="shared" si="106"/>
        <v>3.1895155009161069E-2</v>
      </c>
      <c r="O657" s="18">
        <f t="shared" si="107"/>
        <v>38.102070252401376</v>
      </c>
      <c r="P657" s="18">
        <f t="shared" si="108"/>
        <v>3430.3316934191253</v>
      </c>
      <c r="Q657" s="18">
        <f t="shared" si="109"/>
        <v>3431.8718497178061</v>
      </c>
    </row>
    <row r="658" spans="1:17" ht="21" customHeight="1">
      <c r="A658" s="1" t="s">
        <v>432</v>
      </c>
      <c r="B658" s="1" t="s">
        <v>322</v>
      </c>
      <c r="C658" s="18">
        <v>38.097065348248307</v>
      </c>
      <c r="D658" s="18">
        <v>0.39947695460150534</v>
      </c>
      <c r="E658" s="18">
        <v>3322.3884205137019</v>
      </c>
      <c r="F658" s="18">
        <v>2.3365115147320541</v>
      </c>
      <c r="G658" s="18">
        <v>1.4349562500000002</v>
      </c>
      <c r="H658" s="18">
        <f t="shared" si="100"/>
        <v>2.7419674501878282</v>
      </c>
      <c r="I658" s="18">
        <f t="shared" si="101"/>
        <v>0.34040612124428149</v>
      </c>
      <c r="J658" s="18">
        <f t="shared" si="102"/>
        <v>38.097638951233961</v>
      </c>
      <c r="K658" s="18">
        <f t="shared" si="103"/>
        <v>1211.6804742835711</v>
      </c>
      <c r="L658" s="18">
        <f t="shared" si="104"/>
        <v>8.2229261947925298</v>
      </c>
      <c r="M658" s="18">
        <f t="shared" si="105"/>
        <v>-6.7863816982397856E-3</v>
      </c>
      <c r="N658" s="18">
        <f t="shared" si="106"/>
        <v>2.4655603016220443E-2</v>
      </c>
      <c r="O658" s="18">
        <f t="shared" si="107"/>
        <v>38.100728961299353</v>
      </c>
      <c r="P658" s="18">
        <f t="shared" si="108"/>
        <v>3322.4649270677323</v>
      </c>
      <c r="Q658" s="18">
        <f t="shared" si="109"/>
        <v>3323.3983095720291</v>
      </c>
    </row>
    <row r="659" spans="1:17" ht="21" customHeight="1">
      <c r="A659" s="1" t="s">
        <v>432</v>
      </c>
      <c r="B659" s="1" t="s">
        <v>323</v>
      </c>
      <c r="C659" s="18">
        <v>38.097065348248307</v>
      </c>
      <c r="D659" s="18">
        <v>0.39947695460150534</v>
      </c>
      <c r="E659" s="18">
        <v>3574.2793089527922</v>
      </c>
      <c r="F659" s="18">
        <v>1.32389775</v>
      </c>
      <c r="G659" s="18">
        <v>0</v>
      </c>
      <c r="H659" s="18">
        <f t="shared" si="100"/>
        <v>1.32389775</v>
      </c>
      <c r="I659" s="18">
        <f t="shared" si="101"/>
        <v>0.39947695460150534</v>
      </c>
      <c r="J659" s="18">
        <f t="shared" si="102"/>
        <v>38.097065348248307</v>
      </c>
      <c r="K659" s="18">
        <f t="shared" si="103"/>
        <v>2699.8152304079317</v>
      </c>
      <c r="L659" s="18">
        <f t="shared" si="104"/>
        <v>-9.2603474408295696</v>
      </c>
      <c r="M659" s="18">
        <f t="shared" si="105"/>
        <v>3.4299930367569513E-3</v>
      </c>
      <c r="N659" s="18">
        <f t="shared" si="106"/>
        <v>1.7540982899752866E-2</v>
      </c>
      <c r="O659" s="18">
        <f t="shared" si="107"/>
        <v>38.099475763954629</v>
      </c>
      <c r="P659" s="18">
        <f t="shared" si="108"/>
        <v>3574.3003344073595</v>
      </c>
      <c r="Q659" s="18">
        <f t="shared" si="109"/>
        <v>3574.8292010487326</v>
      </c>
    </row>
    <row r="660" spans="1:17" ht="21" customHeight="1">
      <c r="A660" s="1" t="s">
        <v>432</v>
      </c>
      <c r="B660" s="1" t="s">
        <v>324</v>
      </c>
      <c r="C660" s="18">
        <v>38.097065348248307</v>
      </c>
      <c r="D660" s="18">
        <v>0.39947695460150534</v>
      </c>
      <c r="E660" s="18">
        <v>306.68141499013268</v>
      </c>
      <c r="F660" s="18">
        <v>1.32389775</v>
      </c>
      <c r="G660" s="18">
        <v>0</v>
      </c>
      <c r="H660" s="18">
        <f t="shared" si="100"/>
        <v>1.32389775</v>
      </c>
      <c r="I660" s="18">
        <f t="shared" si="101"/>
        <v>0.39947695460150534</v>
      </c>
      <c r="J660" s="18">
        <f t="shared" si="102"/>
        <v>38.097065348248307</v>
      </c>
      <c r="K660" s="18">
        <f t="shared" si="103"/>
        <v>231.65037858107448</v>
      </c>
      <c r="L660" s="18">
        <f t="shared" si="104"/>
        <v>16.622280361552157</v>
      </c>
      <c r="M660" s="18">
        <f t="shared" si="105"/>
        <v>-7.1755895515338369E-2</v>
      </c>
      <c r="N660" s="18">
        <f t="shared" si="106"/>
        <v>9.2703431430742375E-2</v>
      </c>
      <c r="O660" s="18">
        <f t="shared" si="107"/>
        <v>38.142105460427352</v>
      </c>
      <c r="P660" s="18">
        <f t="shared" si="108"/>
        <v>307.47129109808742</v>
      </c>
      <c r="Q660" s="18">
        <f t="shared" si="109"/>
        <v>308.0001577394612</v>
      </c>
    </row>
    <row r="661" spans="1:17" ht="21" customHeight="1">
      <c r="A661" s="1" t="s">
        <v>433</v>
      </c>
      <c r="B661" s="1" t="s">
        <v>319</v>
      </c>
      <c r="C661" s="18">
        <v>19.701946637502019</v>
      </c>
      <c r="D661" s="18">
        <v>0.96862761662750962</v>
      </c>
      <c r="E661" s="18">
        <v>2204.9999999998281</v>
      </c>
      <c r="F661" s="18">
        <v>1.32389775</v>
      </c>
      <c r="G661" s="18">
        <v>0</v>
      </c>
      <c r="H661" s="18">
        <f t="shared" si="100"/>
        <v>1.32389775</v>
      </c>
      <c r="I661" s="18">
        <f t="shared" si="101"/>
        <v>0.96862761662750962</v>
      </c>
      <c r="J661" s="18">
        <f t="shared" si="102"/>
        <v>19.701946637502019</v>
      </c>
      <c r="K661" s="18">
        <f t="shared" si="103"/>
        <v>1665.5364811971531</v>
      </c>
      <c r="L661" s="18">
        <f t="shared" si="104"/>
        <v>-72.000128002592277</v>
      </c>
      <c r="M661" s="18">
        <f t="shared" si="105"/>
        <v>4.3229391139388361E-2</v>
      </c>
      <c r="N661" s="18">
        <f t="shared" si="106"/>
        <v>5.5058580628735761E-2</v>
      </c>
      <c r="O661" s="18">
        <f t="shared" si="107"/>
        <v>19.725857829916148</v>
      </c>
      <c r="P661" s="18">
        <f t="shared" si="108"/>
        <v>2207.0606511132773</v>
      </c>
      <c r="Q661" s="18">
        <f t="shared" si="109"/>
        <v>2208.3430150355189</v>
      </c>
    </row>
    <row r="662" spans="1:17" ht="21" customHeight="1">
      <c r="A662" s="1" t="s">
        <v>433</v>
      </c>
      <c r="B662" s="1" t="s">
        <v>320</v>
      </c>
      <c r="C662" s="18">
        <v>19.701946637502019</v>
      </c>
      <c r="D662" s="18">
        <v>0.96862761662750962</v>
      </c>
      <c r="E662" s="18">
        <v>2971.2709872442338</v>
      </c>
      <c r="F662" s="18">
        <v>1.32389775</v>
      </c>
      <c r="G662" s="18">
        <v>3.4438949999999999</v>
      </c>
      <c r="H662" s="18">
        <f t="shared" si="100"/>
        <v>3.6895959160157443</v>
      </c>
      <c r="I662" s="18">
        <f t="shared" si="101"/>
        <v>0.34756215895473969</v>
      </c>
      <c r="J662" s="18">
        <f t="shared" si="102"/>
        <v>19.72268088552703</v>
      </c>
      <c r="K662" s="18">
        <f t="shared" si="103"/>
        <v>805.31067761284748</v>
      </c>
      <c r="L662" s="18">
        <f t="shared" si="104"/>
        <v>-4.3291258832198878</v>
      </c>
      <c r="M662" s="18">
        <f t="shared" si="105"/>
        <v>5.3757214495808682E-3</v>
      </c>
      <c r="N662" s="18">
        <f t="shared" si="106"/>
        <v>2.9866494307566858E-2</v>
      </c>
      <c r="O662" s="18">
        <f t="shared" si="107"/>
        <v>19.726235926124122</v>
      </c>
      <c r="P662" s="18">
        <f t="shared" si="108"/>
        <v>2971.313919808299</v>
      </c>
      <c r="Q662" s="18">
        <f t="shared" si="109"/>
        <v>2972.5962837305406</v>
      </c>
    </row>
    <row r="663" spans="1:17" ht="21" customHeight="1">
      <c r="A663" s="1" t="s">
        <v>433</v>
      </c>
      <c r="B663" s="1" t="s">
        <v>321</v>
      </c>
      <c r="C663" s="18">
        <v>19.701946637502019</v>
      </c>
      <c r="D663" s="18">
        <v>0.96862761662750962</v>
      </c>
      <c r="E663" s="18">
        <v>3310.8889679601298</v>
      </c>
      <c r="F663" s="18">
        <v>3.8554321618301355</v>
      </c>
      <c r="G663" s="18">
        <v>0</v>
      </c>
      <c r="H663" s="18">
        <f t="shared" si="100"/>
        <v>3.8554321618301355</v>
      </c>
      <c r="I663" s="18">
        <f t="shared" si="101"/>
        <v>0.96862761662750962</v>
      </c>
      <c r="J663" s="18">
        <f t="shared" si="102"/>
        <v>19.701946637502019</v>
      </c>
      <c r="K663" s="18">
        <f t="shared" si="103"/>
        <v>858.75949283685065</v>
      </c>
      <c r="L663" s="18">
        <f t="shared" si="104"/>
        <v>-32.351212127812431</v>
      </c>
      <c r="M663" s="18">
        <f t="shared" si="105"/>
        <v>3.7672028545434194E-2</v>
      </c>
      <c r="N663" s="18">
        <f t="shared" si="106"/>
        <v>6.0614361994835782E-2</v>
      </c>
      <c r="O663" s="18">
        <f t="shared" si="107"/>
        <v>19.726174668414878</v>
      </c>
      <c r="P663" s="18">
        <f t="shared" si="108"/>
        <v>3313.2386223971553</v>
      </c>
      <c r="Q663" s="18">
        <f t="shared" si="109"/>
        <v>3316.9731004631381</v>
      </c>
    </row>
    <row r="664" spans="1:17" ht="21" customHeight="1">
      <c r="A664" s="1" t="s">
        <v>433</v>
      </c>
      <c r="B664" s="1" t="s">
        <v>322</v>
      </c>
      <c r="C664" s="18">
        <v>19.701946637502019</v>
      </c>
      <c r="D664" s="18">
        <v>0.96862761662750962</v>
      </c>
      <c r="E664" s="18">
        <v>3279.5978789634892</v>
      </c>
      <c r="F664" s="18">
        <v>2.3365115147320541</v>
      </c>
      <c r="G664" s="18">
        <v>1.4349562500000002</v>
      </c>
      <c r="H664" s="18">
        <f t="shared" si="100"/>
        <v>2.7419674501878282</v>
      </c>
      <c r="I664" s="18">
        <f t="shared" si="101"/>
        <v>0.82539622400791413</v>
      </c>
      <c r="J664" s="18">
        <f t="shared" si="102"/>
        <v>19.70846675518073</v>
      </c>
      <c r="K664" s="18">
        <f t="shared" si="103"/>
        <v>1196.074694008068</v>
      </c>
      <c r="L664" s="18">
        <f t="shared" si="104"/>
        <v>-40.222519022335291</v>
      </c>
      <c r="M664" s="18">
        <f t="shared" si="105"/>
        <v>3.3628768524103542E-2</v>
      </c>
      <c r="N664" s="18">
        <f t="shared" si="106"/>
        <v>5.0106390577235774E-2</v>
      </c>
      <c r="O664" s="18">
        <f t="shared" si="107"/>
        <v>19.725965865348808</v>
      </c>
      <c r="P664" s="18">
        <f t="shared" si="108"/>
        <v>3281.4524926352401</v>
      </c>
      <c r="Q664" s="18">
        <f t="shared" si="109"/>
        <v>3283.7157022149777</v>
      </c>
    </row>
    <row r="665" spans="1:17" ht="21" customHeight="1">
      <c r="A665" s="1" t="s">
        <v>433</v>
      </c>
      <c r="B665" s="1" t="s">
        <v>323</v>
      </c>
      <c r="C665" s="18">
        <v>19.701946637502019</v>
      </c>
      <c r="D665" s="18">
        <v>0.96862761662750962</v>
      </c>
      <c r="E665" s="18">
        <v>3602.889803727594</v>
      </c>
      <c r="F665" s="18">
        <v>1.32389775</v>
      </c>
      <c r="G665" s="18">
        <v>0</v>
      </c>
      <c r="H665" s="18">
        <f t="shared" si="100"/>
        <v>1.32389775</v>
      </c>
      <c r="I665" s="18">
        <f t="shared" si="101"/>
        <v>0.96862761662750962</v>
      </c>
      <c r="J665" s="18">
        <f t="shared" si="102"/>
        <v>19.701946637502019</v>
      </c>
      <c r="K665" s="18">
        <f t="shared" si="103"/>
        <v>2721.4260343954766</v>
      </c>
      <c r="L665" s="18">
        <f t="shared" si="104"/>
        <v>-123.89123661047606</v>
      </c>
      <c r="M665" s="18">
        <f t="shared" si="105"/>
        <v>4.5524381351777804E-2</v>
      </c>
      <c r="N665" s="18">
        <f t="shared" si="106"/>
        <v>5.2763948545041059E-2</v>
      </c>
      <c r="O665" s="18">
        <f t="shared" si="107"/>
        <v>19.725786071303325</v>
      </c>
      <c r="P665" s="18">
        <f t="shared" si="108"/>
        <v>3606.6238878088388</v>
      </c>
      <c r="Q665" s="18">
        <f t="shared" si="109"/>
        <v>3607.9062517310813</v>
      </c>
    </row>
    <row r="666" spans="1:17" ht="21" customHeight="1">
      <c r="A666" s="1" t="s">
        <v>433</v>
      </c>
      <c r="B666" s="1" t="s">
        <v>324</v>
      </c>
      <c r="C666" s="18">
        <v>19.701946637502019</v>
      </c>
      <c r="D666" s="18">
        <v>0.96862761662750962</v>
      </c>
      <c r="E666" s="18">
        <v>163.08872384995993</v>
      </c>
      <c r="F666" s="18">
        <v>1.32389775</v>
      </c>
      <c r="G666" s="18">
        <v>0</v>
      </c>
      <c r="H666" s="18">
        <f t="shared" si="100"/>
        <v>1.32389775</v>
      </c>
      <c r="I666" s="18">
        <f t="shared" si="101"/>
        <v>0.96862761662750962</v>
      </c>
      <c r="J666" s="18">
        <f t="shared" si="102"/>
        <v>19.701946637502019</v>
      </c>
      <c r="K666" s="18">
        <f t="shared" si="103"/>
        <v>123.18830804717354</v>
      </c>
      <c r="L666" s="18">
        <f t="shared" si="104"/>
        <v>3.8034158296845559</v>
      </c>
      <c r="M666" s="18">
        <f t="shared" si="105"/>
        <v>-3.0874811822466805E-2</v>
      </c>
      <c r="N666" s="18">
        <f t="shared" si="106"/>
        <v>0.1290587642597486</v>
      </c>
      <c r="O666" s="18">
        <f t="shared" si="107"/>
        <v>19.746722464659619</v>
      </c>
      <c r="P666" s="18">
        <f t="shared" si="108"/>
        <v>163.16646251465281</v>
      </c>
      <c r="Q666" s="18">
        <f t="shared" si="109"/>
        <v>164.44882643689385</v>
      </c>
    </row>
    <row r="667" spans="1:17" ht="2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2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21" customHeight="1">
      <c r="A669" s="1" t="s">
        <v>434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2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2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2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</sheetData>
  <pageMargins left="0.39370078740157477" right="0.39370078740157477" top="0.55118110236220463" bottom="0.55118110236220463" header="0.3" footer="0.3"/>
  <pageSetup paperSize="8" scale="74" fitToHeight="0" orientation="landscape" r:id="rId1"/>
  <headerFooter>
    <oddFooter>&amp;CInstalaciones Eléctricas II | Aquiles Taylor Ramos Yapo | 227368&amp;RHoja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40"/>
  <sheetViews>
    <sheetView showGridLines="0" zoomScale="85" zoomScaleNormal="85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10" customWidth="1"/>
    <col min="2" max="2" width="17" customWidth="1"/>
    <col min="3" max="3" width="18" customWidth="1"/>
    <col min="4" max="4" width="13" customWidth="1"/>
    <col min="5" max="5" width="11" customWidth="1"/>
    <col min="6" max="6" width="13" customWidth="1"/>
    <col min="7" max="7" width="12" customWidth="1"/>
    <col min="8" max="8" width="13" customWidth="1"/>
    <col min="9" max="9" width="26" customWidth="1"/>
    <col min="10" max="10" width="13" customWidth="1"/>
    <col min="11" max="12" width="10" customWidth="1"/>
    <col min="13" max="13" width="16" customWidth="1"/>
  </cols>
  <sheetData>
    <row r="1" spans="1:1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" customHeight="1">
      <c r="A2" s="2" t="s">
        <v>435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" customHeight="1">
      <c r="A6" s="4" t="s">
        <v>176</v>
      </c>
      <c r="B6" s="4" t="s">
        <v>436</v>
      </c>
      <c r="C6" s="4" t="s">
        <v>437</v>
      </c>
      <c r="D6" s="4" t="s">
        <v>438</v>
      </c>
      <c r="E6" s="4" t="s">
        <v>177</v>
      </c>
      <c r="F6" s="4" t="s">
        <v>178</v>
      </c>
      <c r="G6" s="4" t="s">
        <v>439</v>
      </c>
      <c r="H6" s="4" t="s">
        <v>440</v>
      </c>
      <c r="I6" s="4" t="s">
        <v>441</v>
      </c>
      <c r="J6" s="4" t="s">
        <v>183</v>
      </c>
      <c r="K6" s="4" t="s">
        <v>442</v>
      </c>
      <c r="L6" s="4" t="s">
        <v>443</v>
      </c>
      <c r="M6" s="4" t="s">
        <v>444</v>
      </c>
    </row>
    <row r="7" spans="1:13" ht="21" customHeight="1">
      <c r="A7" s="1" t="s">
        <v>188</v>
      </c>
      <c r="B7" s="13">
        <v>425715</v>
      </c>
      <c r="C7" s="13">
        <v>8436650</v>
      </c>
      <c r="D7" s="13">
        <v>3235.3252128347076</v>
      </c>
      <c r="E7" s="13">
        <v>13</v>
      </c>
      <c r="F7" s="13">
        <v>1.9</v>
      </c>
      <c r="G7" s="13">
        <v>10.6</v>
      </c>
      <c r="H7" s="13">
        <v>0</v>
      </c>
      <c r="I7" s="9" t="s">
        <v>445</v>
      </c>
      <c r="J7" s="6">
        <f t="shared" ref="J7:J38" si="0">IF(I7="SUSPENSION",0,IF(I7="TERMINAL",1,2))</f>
        <v>1</v>
      </c>
      <c r="K7" s="6">
        <f>1</f>
        <v>1</v>
      </c>
      <c r="L7" s="6">
        <f>1</f>
        <v>1</v>
      </c>
      <c r="M7" s="12">
        <f>J7*Parametros!$E$5*Parametros!$E$6</f>
        <v>6</v>
      </c>
    </row>
    <row r="8" spans="1:13" ht="21" customHeight="1">
      <c r="A8" s="1" t="s">
        <v>189</v>
      </c>
      <c r="B8" s="13">
        <v>425745.15828882635</v>
      </c>
      <c r="C8" s="13">
        <v>8436613.7608059794</v>
      </c>
      <c r="D8" s="13">
        <v>3249.6405993728868</v>
      </c>
      <c r="E8" s="13">
        <v>13</v>
      </c>
      <c r="F8" s="13">
        <v>1.9</v>
      </c>
      <c r="G8" s="13">
        <v>10.6</v>
      </c>
      <c r="H8" s="13">
        <v>0</v>
      </c>
      <c r="I8" s="9" t="s">
        <v>446</v>
      </c>
      <c r="J8" s="6">
        <f t="shared" si="0"/>
        <v>0</v>
      </c>
      <c r="K8" s="6">
        <f>1</f>
        <v>1</v>
      </c>
      <c r="L8" s="6">
        <f>1</f>
        <v>1</v>
      </c>
      <c r="M8" s="12">
        <f>J8*Parametros!$E$5*Parametros!$E$6</f>
        <v>0</v>
      </c>
    </row>
    <row r="9" spans="1:13" ht="21" customHeight="1">
      <c r="A9" s="1" t="s">
        <v>190</v>
      </c>
      <c r="B9" s="13">
        <v>425775.31657765264</v>
      </c>
      <c r="C9" s="13">
        <v>8436577.5216119606</v>
      </c>
      <c r="D9" s="13">
        <v>3261.105846597628</v>
      </c>
      <c r="E9" s="13">
        <v>15</v>
      </c>
      <c r="F9" s="13">
        <v>2.1</v>
      </c>
      <c r="G9" s="13">
        <v>12.4</v>
      </c>
      <c r="H9" s="13">
        <v>92.594133690840494</v>
      </c>
      <c r="I9" s="9" t="s">
        <v>447</v>
      </c>
      <c r="J9" s="6">
        <f t="shared" si="0"/>
        <v>2</v>
      </c>
      <c r="K9" s="6">
        <f>1</f>
        <v>1</v>
      </c>
      <c r="L9" s="6">
        <f>1</f>
        <v>1</v>
      </c>
      <c r="M9" s="12">
        <f>J9*Parametros!$E$5*Parametros!$E$6</f>
        <v>12</v>
      </c>
    </row>
    <row r="10" spans="1:13" ht="21" customHeight="1">
      <c r="A10" s="1" t="s">
        <v>191</v>
      </c>
      <c r="B10" s="13">
        <v>425715.10564964579</v>
      </c>
      <c r="C10" s="13">
        <v>8436531.8635314535</v>
      </c>
      <c r="D10" s="13">
        <v>3261.1197545384221</v>
      </c>
      <c r="E10" s="13">
        <v>15</v>
      </c>
      <c r="F10" s="13">
        <v>2.1</v>
      </c>
      <c r="G10" s="13">
        <v>12.4</v>
      </c>
      <c r="H10" s="13">
        <v>0</v>
      </c>
      <c r="I10" s="9" t="s">
        <v>446</v>
      </c>
      <c r="J10" s="6">
        <f t="shared" si="0"/>
        <v>0</v>
      </c>
      <c r="K10" s="6">
        <f>1</f>
        <v>1</v>
      </c>
      <c r="L10" s="6">
        <f>1</f>
        <v>1</v>
      </c>
      <c r="M10" s="12">
        <f>J10*Parametros!$E$5*Parametros!$E$6</f>
        <v>0</v>
      </c>
    </row>
    <row r="11" spans="1:13" ht="21" customHeight="1">
      <c r="A11" s="1" t="s">
        <v>192</v>
      </c>
      <c r="B11" s="13">
        <v>425654.89472163899</v>
      </c>
      <c r="C11" s="13">
        <v>8436486.2054509465</v>
      </c>
      <c r="D11" s="13">
        <v>3260.1333276230534</v>
      </c>
      <c r="E11" s="13">
        <v>15</v>
      </c>
      <c r="F11" s="13">
        <v>2.1</v>
      </c>
      <c r="G11" s="13">
        <v>12.4</v>
      </c>
      <c r="H11" s="13">
        <v>14.059955960026103</v>
      </c>
      <c r="I11" s="9" t="s">
        <v>448</v>
      </c>
      <c r="J11" s="6">
        <f t="shared" si="0"/>
        <v>2</v>
      </c>
      <c r="K11" s="6">
        <f>1</f>
        <v>1</v>
      </c>
      <c r="L11" s="6">
        <f>1</f>
        <v>1</v>
      </c>
      <c r="M11" s="12">
        <f>J11*Parametros!$E$5*Parametros!$E$6</f>
        <v>12</v>
      </c>
    </row>
    <row r="12" spans="1:13" ht="21" customHeight="1">
      <c r="A12" s="1" t="s">
        <v>193</v>
      </c>
      <c r="B12" s="13">
        <v>425610.42243317585</v>
      </c>
      <c r="C12" s="13">
        <v>8436430.8276390694</v>
      </c>
      <c r="D12" s="13">
        <v>3265.7273619007901</v>
      </c>
      <c r="E12" s="13">
        <v>17</v>
      </c>
      <c r="F12" s="13">
        <v>2.1</v>
      </c>
      <c r="G12" s="13">
        <v>14.200000000000001</v>
      </c>
      <c r="H12" s="13">
        <v>1.2074182697257333E-6</v>
      </c>
      <c r="I12" s="9" t="s">
        <v>446</v>
      </c>
      <c r="J12" s="6">
        <f t="shared" si="0"/>
        <v>0</v>
      </c>
      <c r="K12" s="6">
        <f>1</f>
        <v>1</v>
      </c>
      <c r="L12" s="6">
        <f>1</f>
        <v>1</v>
      </c>
      <c r="M12" s="12">
        <f>J12*Parametros!$E$5*Parametros!$E$6</f>
        <v>0</v>
      </c>
    </row>
    <row r="13" spans="1:13" ht="21" customHeight="1">
      <c r="A13" s="1" t="s">
        <v>194</v>
      </c>
      <c r="B13" s="13">
        <v>425565.95014471275</v>
      </c>
      <c r="C13" s="13">
        <v>8436375.4498271905</v>
      </c>
      <c r="D13" s="13">
        <v>3270.1190235185372</v>
      </c>
      <c r="E13" s="13">
        <v>15</v>
      </c>
      <c r="F13" s="13">
        <v>2.1</v>
      </c>
      <c r="G13" s="13">
        <v>12.4</v>
      </c>
      <c r="H13" s="13">
        <v>7.8217250843489943</v>
      </c>
      <c r="I13" s="9" t="s">
        <v>448</v>
      </c>
      <c r="J13" s="6">
        <f t="shared" si="0"/>
        <v>2</v>
      </c>
      <c r="K13" s="6">
        <f>1</f>
        <v>1</v>
      </c>
      <c r="L13" s="6">
        <f>1</f>
        <v>1</v>
      </c>
      <c r="M13" s="12">
        <f>J13*Parametros!$E$5*Parametros!$E$6</f>
        <v>12</v>
      </c>
    </row>
    <row r="14" spans="1:13" ht="21" customHeight="1">
      <c r="A14" s="1" t="s">
        <v>195</v>
      </c>
      <c r="B14" s="13">
        <v>425536.37881176191</v>
      </c>
      <c r="C14" s="13">
        <v>8436326.1280635688</v>
      </c>
      <c r="D14" s="13">
        <v>3270.4140056020965</v>
      </c>
      <c r="E14" s="13">
        <v>13</v>
      </c>
      <c r="F14" s="13">
        <v>1.9</v>
      </c>
      <c r="G14" s="13">
        <v>10.6</v>
      </c>
      <c r="H14" s="13">
        <v>13.486931802868162</v>
      </c>
      <c r="I14" s="9" t="s">
        <v>448</v>
      </c>
      <c r="J14" s="6">
        <f t="shared" si="0"/>
        <v>2</v>
      </c>
      <c r="K14" s="6">
        <f>1</f>
        <v>1</v>
      </c>
      <c r="L14" s="6">
        <f>1</f>
        <v>1</v>
      </c>
      <c r="M14" s="12">
        <f>J14*Parametros!$E$5*Parametros!$E$6</f>
        <v>12</v>
      </c>
    </row>
    <row r="15" spans="1:13" ht="21" customHeight="1">
      <c r="A15" s="1" t="s">
        <v>196</v>
      </c>
      <c r="B15" s="13">
        <v>425515.34374428377</v>
      </c>
      <c r="C15" s="13">
        <v>8436259.2435079925</v>
      </c>
      <c r="D15" s="13">
        <v>3272.2680197592717</v>
      </c>
      <c r="E15" s="13">
        <v>13</v>
      </c>
      <c r="F15" s="13">
        <v>1.9</v>
      </c>
      <c r="G15" s="13">
        <v>10.6</v>
      </c>
      <c r="H15" s="13">
        <v>0</v>
      </c>
      <c r="I15" s="9" t="s">
        <v>449</v>
      </c>
      <c r="J15" s="6">
        <f t="shared" si="0"/>
        <v>2</v>
      </c>
      <c r="K15" s="6">
        <f>1</f>
        <v>1</v>
      </c>
      <c r="L15" s="6">
        <f>1</f>
        <v>1</v>
      </c>
      <c r="M15" s="12">
        <f>J15*Parametros!$E$5*Parametros!$E$6</f>
        <v>12</v>
      </c>
    </row>
    <row r="16" spans="1:13" ht="21" customHeight="1">
      <c r="A16" s="1" t="s">
        <v>197</v>
      </c>
      <c r="B16" s="13">
        <v>425494.30867680564</v>
      </c>
      <c r="C16" s="13">
        <v>8436192.3589524142</v>
      </c>
      <c r="D16" s="13">
        <v>3278.5608491116582</v>
      </c>
      <c r="E16" s="13">
        <v>13</v>
      </c>
      <c r="F16" s="13">
        <v>1.9</v>
      </c>
      <c r="G16" s="13">
        <v>10.6</v>
      </c>
      <c r="H16" s="13">
        <v>21.802611230060748</v>
      </c>
      <c r="I16" s="9" t="s">
        <v>448</v>
      </c>
      <c r="J16" s="6">
        <f t="shared" si="0"/>
        <v>2</v>
      </c>
      <c r="K16" s="6">
        <f>1</f>
        <v>1</v>
      </c>
      <c r="L16" s="6">
        <f>1</f>
        <v>1</v>
      </c>
      <c r="M16" s="12">
        <f>J16*Parametros!$E$5*Parametros!$E$6</f>
        <v>12</v>
      </c>
    </row>
    <row r="17" spans="1:13" ht="21" customHeight="1">
      <c r="A17" s="1" t="s">
        <v>198</v>
      </c>
      <c r="B17" s="13">
        <v>425462.53050669475</v>
      </c>
      <c r="C17" s="13">
        <v>8436153.4794789329</v>
      </c>
      <c r="D17" s="13">
        <v>3289.0418010120438</v>
      </c>
      <c r="E17" s="13">
        <v>13</v>
      </c>
      <c r="F17" s="13">
        <v>1.9</v>
      </c>
      <c r="G17" s="13">
        <v>10.6</v>
      </c>
      <c r="H17" s="13">
        <v>57.411798308578142</v>
      </c>
      <c r="I17" s="9" t="s">
        <v>447</v>
      </c>
      <c r="J17" s="6">
        <f t="shared" si="0"/>
        <v>2</v>
      </c>
      <c r="K17" s="6">
        <f>1</f>
        <v>1</v>
      </c>
      <c r="L17" s="6">
        <f>1</f>
        <v>1</v>
      </c>
      <c r="M17" s="12">
        <f>J17*Parametros!$E$5*Parametros!$E$6</f>
        <v>12</v>
      </c>
    </row>
    <row r="18" spans="1:13" ht="21" customHeight="1">
      <c r="A18" s="1" t="s">
        <v>199</v>
      </c>
      <c r="B18" s="13">
        <v>425481.52361971437</v>
      </c>
      <c r="C18" s="13">
        <v>8436095.5443948116</v>
      </c>
      <c r="D18" s="13">
        <v>3292.781031450616</v>
      </c>
      <c r="E18" s="13">
        <v>13</v>
      </c>
      <c r="F18" s="13">
        <v>1.9</v>
      </c>
      <c r="G18" s="13">
        <v>10.6</v>
      </c>
      <c r="H18" s="13">
        <v>23.894065842350852</v>
      </c>
      <c r="I18" s="9" t="s">
        <v>448</v>
      </c>
      <c r="J18" s="6">
        <f t="shared" si="0"/>
        <v>2</v>
      </c>
      <c r="K18" s="6">
        <f>1</f>
        <v>1</v>
      </c>
      <c r="L18" s="6">
        <f>1</f>
        <v>1</v>
      </c>
      <c r="M18" s="12">
        <f>J18*Parametros!$E$5*Parametros!$E$6</f>
        <v>12</v>
      </c>
    </row>
    <row r="19" spans="1:13" ht="21" customHeight="1">
      <c r="A19" s="1" t="s">
        <v>200</v>
      </c>
      <c r="B19" s="13">
        <v>425476.08905447368</v>
      </c>
      <c r="C19" s="13">
        <v>8436041.5088055097</v>
      </c>
      <c r="D19" s="13">
        <v>3296.3307127673252</v>
      </c>
      <c r="E19" s="13">
        <v>13</v>
      </c>
      <c r="F19" s="13">
        <v>1.9</v>
      </c>
      <c r="G19" s="13">
        <v>10.6</v>
      </c>
      <c r="H19" s="13">
        <v>68.61190048695444</v>
      </c>
      <c r="I19" s="9" t="s">
        <v>447</v>
      </c>
      <c r="J19" s="6">
        <f t="shared" si="0"/>
        <v>2</v>
      </c>
      <c r="K19" s="6">
        <f>1</f>
        <v>1</v>
      </c>
      <c r="L19" s="6">
        <f>1</f>
        <v>1</v>
      </c>
      <c r="M19" s="12">
        <f>J19*Parametros!$E$5*Parametros!$E$6</f>
        <v>12</v>
      </c>
    </row>
    <row r="20" spans="1:13" ht="21" customHeight="1">
      <c r="A20" s="1" t="s">
        <v>201</v>
      </c>
      <c r="B20" s="13">
        <v>425437.89753690327</v>
      </c>
      <c r="C20" s="13">
        <v>8436030.8132323734</v>
      </c>
      <c r="D20" s="13">
        <v>3308.04547261687</v>
      </c>
      <c r="E20" s="13">
        <v>13</v>
      </c>
      <c r="F20" s="13">
        <v>1.9</v>
      </c>
      <c r="G20" s="13">
        <v>10.6</v>
      </c>
      <c r="H20" s="13">
        <v>53.191938245256281</v>
      </c>
      <c r="I20" s="9" t="s">
        <v>447</v>
      </c>
      <c r="J20" s="6">
        <f t="shared" si="0"/>
        <v>2</v>
      </c>
      <c r="K20" s="6">
        <f>1</f>
        <v>1</v>
      </c>
      <c r="L20" s="6">
        <f>1</f>
        <v>1</v>
      </c>
      <c r="M20" s="12">
        <f>J20*Parametros!$E$5*Parametros!$E$6</f>
        <v>12</v>
      </c>
    </row>
    <row r="21" spans="1:13" ht="21" customHeight="1">
      <c r="A21" s="1" t="s">
        <v>202</v>
      </c>
      <c r="B21" s="13">
        <v>425411.9669002858</v>
      </c>
      <c r="C21" s="13">
        <v>8435963.8321622293</v>
      </c>
      <c r="D21" s="13">
        <v>3318.7523526544264</v>
      </c>
      <c r="E21" s="13">
        <v>15</v>
      </c>
      <c r="F21" s="13">
        <v>2.1</v>
      </c>
      <c r="G21" s="13">
        <v>12.4</v>
      </c>
      <c r="H21" s="13">
        <v>0</v>
      </c>
      <c r="I21" s="9" t="s">
        <v>446</v>
      </c>
      <c r="J21" s="6">
        <f t="shared" si="0"/>
        <v>0</v>
      </c>
      <c r="K21" s="6">
        <f>1</f>
        <v>1</v>
      </c>
      <c r="L21" s="6">
        <f>1</f>
        <v>1</v>
      </c>
      <c r="M21" s="12">
        <f>J21*Parametros!$E$5*Parametros!$E$6</f>
        <v>0</v>
      </c>
    </row>
    <row r="22" spans="1:13" ht="21" customHeight="1">
      <c r="A22" s="1" t="s">
        <v>203</v>
      </c>
      <c r="B22" s="13">
        <v>425386.03626366827</v>
      </c>
      <c r="C22" s="13">
        <v>8435896.8510920871</v>
      </c>
      <c r="D22" s="13">
        <v>3330.0829109035535</v>
      </c>
      <c r="E22" s="13">
        <v>15</v>
      </c>
      <c r="F22" s="13">
        <v>2.1</v>
      </c>
      <c r="G22" s="13">
        <v>12.4</v>
      </c>
      <c r="H22" s="13">
        <v>0</v>
      </c>
      <c r="I22" s="9" t="s">
        <v>446</v>
      </c>
      <c r="J22" s="6">
        <f t="shared" si="0"/>
        <v>0</v>
      </c>
      <c r="K22" s="6">
        <f>1</f>
        <v>1</v>
      </c>
      <c r="L22" s="6">
        <f>1</f>
        <v>1</v>
      </c>
      <c r="M22" s="12">
        <f>J22*Parametros!$E$5*Parametros!$E$6</f>
        <v>0</v>
      </c>
    </row>
    <row r="23" spans="1:13" ht="21" customHeight="1">
      <c r="A23" s="1" t="s">
        <v>204</v>
      </c>
      <c r="B23" s="13">
        <v>425360.1056270508</v>
      </c>
      <c r="C23" s="13">
        <v>8435829.870021943</v>
      </c>
      <c r="D23" s="13">
        <v>3337.3696559706905</v>
      </c>
      <c r="E23" s="13">
        <v>13</v>
      </c>
      <c r="F23" s="13">
        <v>1.9</v>
      </c>
      <c r="G23" s="13">
        <v>10.6</v>
      </c>
      <c r="H23" s="13">
        <v>25.92674675106424</v>
      </c>
      <c r="I23" s="9" t="s">
        <v>448</v>
      </c>
      <c r="J23" s="6">
        <f t="shared" si="0"/>
        <v>2</v>
      </c>
      <c r="K23" s="6">
        <f>1</f>
        <v>1</v>
      </c>
      <c r="L23" s="6">
        <f>1</f>
        <v>1</v>
      </c>
      <c r="M23" s="12">
        <f>J23*Parametros!$E$5*Parametros!$E$6</f>
        <v>12</v>
      </c>
    </row>
    <row r="24" spans="1:13" ht="21" customHeight="1">
      <c r="A24" s="1" t="s">
        <v>205</v>
      </c>
      <c r="B24" s="13">
        <v>425364.1056270508</v>
      </c>
      <c r="C24" s="13">
        <v>8435781.870021943</v>
      </c>
      <c r="D24" s="13">
        <v>3339.7054376628826</v>
      </c>
      <c r="E24" s="13">
        <v>13</v>
      </c>
      <c r="F24" s="13">
        <v>1.9</v>
      </c>
      <c r="G24" s="13">
        <v>10.6</v>
      </c>
      <c r="H24" s="13">
        <v>0.55819507265109236</v>
      </c>
      <c r="I24" s="9" t="s">
        <v>446</v>
      </c>
      <c r="J24" s="6">
        <f t="shared" si="0"/>
        <v>0</v>
      </c>
      <c r="K24" s="6">
        <f>1</f>
        <v>1</v>
      </c>
      <c r="L24" s="6">
        <f>1</f>
        <v>1</v>
      </c>
      <c r="M24" s="12">
        <f>J24*Parametros!$E$5*Parametros!$E$6</f>
        <v>0</v>
      </c>
    </row>
    <row r="25" spans="1:13" ht="21" customHeight="1">
      <c r="A25" s="1" t="s">
        <v>206</v>
      </c>
      <c r="B25" s="13">
        <v>425367.62901446101</v>
      </c>
      <c r="C25" s="13">
        <v>8435733.9529779553</v>
      </c>
      <c r="D25" s="13">
        <v>3343.7867613753324</v>
      </c>
      <c r="E25" s="13">
        <v>13</v>
      </c>
      <c r="F25" s="13">
        <v>1.9</v>
      </c>
      <c r="G25" s="13">
        <v>10.6</v>
      </c>
      <c r="H25" s="13">
        <v>26.825311566115872</v>
      </c>
      <c r="I25" s="9" t="s">
        <v>448</v>
      </c>
      <c r="J25" s="6">
        <f t="shared" si="0"/>
        <v>2</v>
      </c>
      <c r="K25" s="6">
        <f>1</f>
        <v>1</v>
      </c>
      <c r="L25" s="6">
        <f>1</f>
        <v>1</v>
      </c>
      <c r="M25" s="12">
        <f>J25*Parametros!$E$5*Parametros!$E$6</f>
        <v>12</v>
      </c>
    </row>
    <row r="26" spans="1:13" ht="21" customHeight="1">
      <c r="A26" s="1" t="s">
        <v>207</v>
      </c>
      <c r="B26" s="13">
        <v>425357.62901446101</v>
      </c>
      <c r="C26" s="13">
        <v>8435709.9529779553</v>
      </c>
      <c r="D26" s="13">
        <v>3348.5824852034671</v>
      </c>
      <c r="E26" s="13">
        <v>13</v>
      </c>
      <c r="F26" s="13">
        <v>1.9</v>
      </c>
      <c r="G26" s="13">
        <v>10.6</v>
      </c>
      <c r="H26" s="13">
        <v>13.873702685485192</v>
      </c>
      <c r="I26" s="9" t="s">
        <v>448</v>
      </c>
      <c r="J26" s="6">
        <f t="shared" si="0"/>
        <v>2</v>
      </c>
      <c r="K26" s="6">
        <f>1</f>
        <v>1</v>
      </c>
      <c r="L26" s="6">
        <f>1</f>
        <v>1</v>
      </c>
      <c r="M26" s="12">
        <f>J26*Parametros!$E$5*Parametros!$E$6</f>
        <v>12</v>
      </c>
    </row>
    <row r="27" spans="1:13" ht="21" customHeight="1">
      <c r="A27" s="1" t="s">
        <v>208</v>
      </c>
      <c r="B27" s="13">
        <v>425353.62901446101</v>
      </c>
      <c r="C27" s="13">
        <v>8435683.9529779553</v>
      </c>
      <c r="D27" s="13">
        <v>3351.4854216586391</v>
      </c>
      <c r="E27" s="13">
        <v>13</v>
      </c>
      <c r="F27" s="13">
        <v>1.9</v>
      </c>
      <c r="G27" s="13">
        <v>10.6</v>
      </c>
      <c r="H27" s="13">
        <v>7.5007979958176385</v>
      </c>
      <c r="I27" s="9" t="s">
        <v>448</v>
      </c>
      <c r="J27" s="6">
        <f t="shared" si="0"/>
        <v>2</v>
      </c>
      <c r="K27" s="6">
        <f>1</f>
        <v>1</v>
      </c>
      <c r="L27" s="6">
        <f>1</f>
        <v>1</v>
      </c>
      <c r="M27" s="12">
        <f>J27*Parametros!$E$5*Parametros!$E$6</f>
        <v>12</v>
      </c>
    </row>
    <row r="28" spans="1:13" ht="21" customHeight="1">
      <c r="A28" s="1" t="s">
        <v>209</v>
      </c>
      <c r="B28" s="13">
        <v>425352.2956811277</v>
      </c>
      <c r="C28" s="13">
        <v>8435622.6196446214</v>
      </c>
      <c r="D28" s="13">
        <v>3362.4578944734621</v>
      </c>
      <c r="E28" s="13">
        <v>13</v>
      </c>
      <c r="F28" s="13">
        <v>1.9</v>
      </c>
      <c r="G28" s="13">
        <v>10.6</v>
      </c>
      <c r="H28" s="13">
        <v>0</v>
      </c>
      <c r="I28" s="9" t="s">
        <v>446</v>
      </c>
      <c r="J28" s="6">
        <f t="shared" si="0"/>
        <v>0</v>
      </c>
      <c r="K28" s="6">
        <f>1</f>
        <v>1</v>
      </c>
      <c r="L28" s="6">
        <f>1</f>
        <v>1</v>
      </c>
      <c r="M28" s="12">
        <f>J28*Parametros!$E$5*Parametros!$E$6</f>
        <v>0</v>
      </c>
    </row>
    <row r="29" spans="1:13" ht="21" customHeight="1">
      <c r="A29" s="1" t="s">
        <v>210</v>
      </c>
      <c r="B29" s="13">
        <v>425350.96234779432</v>
      </c>
      <c r="C29" s="13">
        <v>8435561.2863112893</v>
      </c>
      <c r="D29" s="13">
        <v>3369.6739830204724</v>
      </c>
      <c r="E29" s="13">
        <v>15</v>
      </c>
      <c r="F29" s="13">
        <v>2.1</v>
      </c>
      <c r="G29" s="13">
        <v>12.4</v>
      </c>
      <c r="H29" s="13">
        <v>0</v>
      </c>
      <c r="I29" s="9" t="s">
        <v>446</v>
      </c>
      <c r="J29" s="6">
        <f t="shared" si="0"/>
        <v>0</v>
      </c>
      <c r="K29" s="6">
        <f>1</f>
        <v>1</v>
      </c>
      <c r="L29" s="6">
        <f>1</f>
        <v>1</v>
      </c>
      <c r="M29" s="12">
        <f>J29*Parametros!$E$5*Parametros!$E$6</f>
        <v>0</v>
      </c>
    </row>
    <row r="30" spans="1:13" ht="21" customHeight="1">
      <c r="A30" s="1" t="s">
        <v>211</v>
      </c>
      <c r="B30" s="13">
        <v>425349.62901446101</v>
      </c>
      <c r="C30" s="13">
        <v>8435499.9529779553</v>
      </c>
      <c r="D30" s="13">
        <v>3378.5335471964704</v>
      </c>
      <c r="E30" s="13">
        <v>17</v>
      </c>
      <c r="F30" s="13">
        <v>2.1</v>
      </c>
      <c r="G30" s="13">
        <v>14.200000000000001</v>
      </c>
      <c r="H30" s="13">
        <v>4.3817226350703073</v>
      </c>
      <c r="I30" s="9" t="s">
        <v>446</v>
      </c>
      <c r="J30" s="6">
        <f t="shared" si="0"/>
        <v>0</v>
      </c>
      <c r="K30" s="6">
        <f>1</f>
        <v>1</v>
      </c>
      <c r="L30" s="6">
        <f>1</f>
        <v>1</v>
      </c>
      <c r="M30" s="12">
        <f>J30*Parametros!$E$5*Parametros!$E$6</f>
        <v>0</v>
      </c>
    </row>
    <row r="31" spans="1:13" ht="21" customHeight="1">
      <c r="A31" s="1" t="s">
        <v>212</v>
      </c>
      <c r="B31" s="13">
        <v>425353.62901446101</v>
      </c>
      <c r="C31" s="13">
        <v>8435426.9529779553</v>
      </c>
      <c r="D31" s="13">
        <v>3376.4162788713033</v>
      </c>
      <c r="E31" s="13">
        <v>17</v>
      </c>
      <c r="F31" s="13">
        <v>2.1</v>
      </c>
      <c r="G31" s="13">
        <v>14.200000000000001</v>
      </c>
      <c r="H31" s="13">
        <v>1.2074182697257333E-6</v>
      </c>
      <c r="I31" s="9" t="s">
        <v>446</v>
      </c>
      <c r="J31" s="6">
        <f t="shared" si="0"/>
        <v>0</v>
      </c>
      <c r="K31" s="6">
        <f>1</f>
        <v>1</v>
      </c>
      <c r="L31" s="6">
        <f>1</f>
        <v>1</v>
      </c>
      <c r="M31" s="12">
        <f>J31*Parametros!$E$5*Parametros!$E$6</f>
        <v>0</v>
      </c>
    </row>
    <row r="32" spans="1:13" ht="21" customHeight="1">
      <c r="A32" s="1" t="s">
        <v>213</v>
      </c>
      <c r="B32" s="13">
        <v>425357.62901446101</v>
      </c>
      <c r="C32" s="13">
        <v>8435353.9529779553</v>
      </c>
      <c r="D32" s="13">
        <v>3379.7078657461243</v>
      </c>
      <c r="E32" s="13">
        <v>15</v>
      </c>
      <c r="F32" s="13">
        <v>2.1</v>
      </c>
      <c r="G32" s="13">
        <v>12.4</v>
      </c>
      <c r="H32" s="13">
        <v>1.2074182697257333E-6</v>
      </c>
      <c r="I32" s="9" t="s">
        <v>449</v>
      </c>
      <c r="J32" s="6">
        <f t="shared" si="0"/>
        <v>2</v>
      </c>
      <c r="K32" s="6">
        <f>1</f>
        <v>1</v>
      </c>
      <c r="L32" s="6">
        <f>1</f>
        <v>1</v>
      </c>
      <c r="M32" s="12">
        <f>J32*Parametros!$E$5*Parametros!$E$6</f>
        <v>12</v>
      </c>
    </row>
    <row r="33" spans="1:13" ht="21" customHeight="1">
      <c r="A33" s="1" t="s">
        <v>214</v>
      </c>
      <c r="B33" s="13">
        <v>425361.62901446101</v>
      </c>
      <c r="C33" s="13">
        <v>8435280.9529779553</v>
      </c>
      <c r="D33" s="13">
        <v>3386.5423934100013</v>
      </c>
      <c r="E33" s="13">
        <v>15</v>
      </c>
      <c r="F33" s="13">
        <v>2.1</v>
      </c>
      <c r="G33" s="13">
        <v>12.4</v>
      </c>
      <c r="H33" s="13">
        <v>1.2074182697257333E-6</v>
      </c>
      <c r="I33" s="9" t="s">
        <v>446</v>
      </c>
      <c r="J33" s="6">
        <f t="shared" si="0"/>
        <v>0</v>
      </c>
      <c r="K33" s="6">
        <f>1</f>
        <v>1</v>
      </c>
      <c r="L33" s="6">
        <f>1</f>
        <v>1</v>
      </c>
      <c r="M33" s="12">
        <f>J33*Parametros!$E$5*Parametros!$E$6</f>
        <v>0</v>
      </c>
    </row>
    <row r="34" spans="1:13" ht="21" customHeight="1">
      <c r="A34" s="1" t="s">
        <v>215</v>
      </c>
      <c r="B34" s="13">
        <v>425365.62901446101</v>
      </c>
      <c r="C34" s="13">
        <v>8435207.9529779553</v>
      </c>
      <c r="D34" s="13">
        <v>3394.7254952982739</v>
      </c>
      <c r="E34" s="13">
        <v>15</v>
      </c>
      <c r="F34" s="13">
        <v>2.1</v>
      </c>
      <c r="G34" s="13">
        <v>12.4</v>
      </c>
      <c r="H34" s="13">
        <v>15.142466251579568</v>
      </c>
      <c r="I34" s="9" t="s">
        <v>448</v>
      </c>
      <c r="J34" s="6">
        <f t="shared" si="0"/>
        <v>2</v>
      </c>
      <c r="K34" s="6">
        <f>1</f>
        <v>1</v>
      </c>
      <c r="L34" s="6">
        <f>1</f>
        <v>1</v>
      </c>
      <c r="M34" s="12">
        <f>J34*Parametros!$E$5*Parametros!$E$6</f>
        <v>12</v>
      </c>
    </row>
    <row r="35" spans="1:13" ht="21" customHeight="1">
      <c r="A35" s="1" t="s">
        <v>216</v>
      </c>
      <c r="B35" s="13">
        <v>425353.35345257737</v>
      </c>
      <c r="C35" s="13">
        <v>8435150.2312574666</v>
      </c>
      <c r="D35" s="13">
        <v>3401.8413132448791</v>
      </c>
      <c r="E35" s="13">
        <v>13</v>
      </c>
      <c r="F35" s="13">
        <v>1.9</v>
      </c>
      <c r="G35" s="13">
        <v>10.6</v>
      </c>
      <c r="H35" s="13">
        <v>3.8760055290910387</v>
      </c>
      <c r="I35" s="9" t="s">
        <v>449</v>
      </c>
      <c r="J35" s="6">
        <f t="shared" si="0"/>
        <v>2</v>
      </c>
      <c r="K35" s="6">
        <f>1</f>
        <v>1</v>
      </c>
      <c r="L35" s="6">
        <f>1</f>
        <v>1</v>
      </c>
      <c r="M35" s="12">
        <f>J35*Parametros!$E$5*Parametros!$E$6</f>
        <v>12</v>
      </c>
    </row>
    <row r="36" spans="1:13" ht="21" customHeight="1">
      <c r="A36" s="1" t="s">
        <v>217</v>
      </c>
      <c r="B36" s="13">
        <v>425351.35345257737</v>
      </c>
      <c r="C36" s="13">
        <v>8435136.2312574666</v>
      </c>
      <c r="D36" s="13">
        <v>3403.3906340927342</v>
      </c>
      <c r="E36" s="13">
        <v>15</v>
      </c>
      <c r="F36" s="13">
        <v>2.1</v>
      </c>
      <c r="G36" s="13">
        <v>12.4</v>
      </c>
      <c r="H36" s="13">
        <v>6.0309423947335929</v>
      </c>
      <c r="I36" s="9" t="s">
        <v>448</v>
      </c>
      <c r="J36" s="6">
        <f t="shared" si="0"/>
        <v>2</v>
      </c>
      <c r="K36" s="6">
        <f>1</f>
        <v>1</v>
      </c>
      <c r="L36" s="6">
        <f>1</f>
        <v>1</v>
      </c>
      <c r="M36" s="12">
        <f>J36*Parametros!$E$5*Parametros!$E$6</f>
        <v>12</v>
      </c>
    </row>
    <row r="37" spans="1:13" ht="21" customHeight="1">
      <c r="A37" s="1" t="s">
        <v>218</v>
      </c>
      <c r="B37" s="13">
        <v>425348.35345257737</v>
      </c>
      <c r="C37" s="13">
        <v>8435054.3840292785</v>
      </c>
      <c r="D37" s="13">
        <v>3409.7129936758338</v>
      </c>
      <c r="E37" s="13">
        <v>17</v>
      </c>
      <c r="F37" s="13">
        <v>2.1</v>
      </c>
      <c r="G37" s="13">
        <v>14.200000000000001</v>
      </c>
      <c r="H37" s="13">
        <v>0</v>
      </c>
      <c r="I37" s="9" t="s">
        <v>446</v>
      </c>
      <c r="J37" s="6">
        <f t="shared" si="0"/>
        <v>0</v>
      </c>
      <c r="K37" s="6">
        <f>1</f>
        <v>1</v>
      </c>
      <c r="L37" s="6">
        <f>1</f>
        <v>1</v>
      </c>
      <c r="M37" s="12">
        <f>J37*Parametros!$E$5*Parametros!$E$6</f>
        <v>0</v>
      </c>
    </row>
    <row r="38" spans="1:13" ht="21" customHeight="1">
      <c r="A38" s="1" t="s">
        <v>219</v>
      </c>
      <c r="B38" s="13">
        <v>425345.35345257737</v>
      </c>
      <c r="C38" s="13">
        <v>8434972.5368010905</v>
      </c>
      <c r="D38" s="13">
        <v>3415.8595734494538</v>
      </c>
      <c r="E38" s="13">
        <v>15</v>
      </c>
      <c r="F38" s="13">
        <v>2.1</v>
      </c>
      <c r="G38" s="13">
        <v>12.4</v>
      </c>
      <c r="H38" s="13">
        <v>5.4619308461952549</v>
      </c>
      <c r="I38" s="9" t="s">
        <v>448</v>
      </c>
      <c r="J38" s="6">
        <f t="shared" si="0"/>
        <v>2</v>
      </c>
      <c r="K38" s="6">
        <f>1</f>
        <v>1</v>
      </c>
      <c r="L38" s="6">
        <f>1</f>
        <v>1</v>
      </c>
      <c r="M38" s="12">
        <f>J38*Parametros!$E$5*Parametros!$E$6</f>
        <v>12</v>
      </c>
    </row>
    <row r="39" spans="1:13" ht="21" customHeight="1">
      <c r="A39" s="1" t="s">
        <v>220</v>
      </c>
      <c r="B39" s="13">
        <v>425349.66243916936</v>
      </c>
      <c r="C39" s="13">
        <v>8434899.2034677565</v>
      </c>
      <c r="D39" s="13">
        <v>3420.5314746830377</v>
      </c>
      <c r="E39" s="13">
        <v>15</v>
      </c>
      <c r="F39" s="13">
        <v>2.1</v>
      </c>
      <c r="G39" s="13">
        <v>12.4</v>
      </c>
      <c r="H39" s="13">
        <v>1.2074182697257333E-6</v>
      </c>
      <c r="I39" s="9" t="s">
        <v>446</v>
      </c>
      <c r="J39" s="6">
        <f t="shared" ref="J39:J70" si="1">IF(I39="SUSPENSION",0,IF(I39="TERMINAL",1,2))</f>
        <v>0</v>
      </c>
      <c r="K39" s="6">
        <f>1</f>
        <v>1</v>
      </c>
      <c r="L39" s="6">
        <f>1</f>
        <v>1</v>
      </c>
      <c r="M39" s="12">
        <f>J39*Parametros!$E$5*Parametros!$E$6</f>
        <v>0</v>
      </c>
    </row>
    <row r="40" spans="1:13" ht="21" customHeight="1">
      <c r="A40" s="1" t="s">
        <v>221</v>
      </c>
      <c r="B40" s="13">
        <v>425353.97142576135</v>
      </c>
      <c r="C40" s="13">
        <v>8434825.8701344244</v>
      </c>
      <c r="D40" s="13">
        <v>3428.2097153614259</v>
      </c>
      <c r="E40" s="13">
        <v>15</v>
      </c>
      <c r="F40" s="13">
        <v>2.1</v>
      </c>
      <c r="G40" s="13">
        <v>12.4</v>
      </c>
      <c r="H40" s="13">
        <v>1.2074182697257333E-6</v>
      </c>
      <c r="I40" s="9" t="s">
        <v>446</v>
      </c>
      <c r="J40" s="6">
        <f t="shared" si="1"/>
        <v>0</v>
      </c>
      <c r="K40" s="6">
        <f>1</f>
        <v>1</v>
      </c>
      <c r="L40" s="6">
        <f>1</f>
        <v>1</v>
      </c>
      <c r="M40" s="12">
        <f>J40*Parametros!$E$5*Parametros!$E$6</f>
        <v>0</v>
      </c>
    </row>
    <row r="41" spans="1:13" ht="21" customHeight="1">
      <c r="A41" s="1" t="s">
        <v>222</v>
      </c>
      <c r="B41" s="13">
        <v>425358.28041235334</v>
      </c>
      <c r="C41" s="13">
        <v>8434752.5368010905</v>
      </c>
      <c r="D41" s="13">
        <v>3430.1756948726515</v>
      </c>
      <c r="E41" s="13">
        <v>13</v>
      </c>
      <c r="F41" s="13">
        <v>1.9</v>
      </c>
      <c r="G41" s="13">
        <v>10.6</v>
      </c>
      <c r="H41" s="13">
        <v>152.53486967090092</v>
      </c>
      <c r="I41" s="9" t="s">
        <v>447</v>
      </c>
      <c r="J41" s="6">
        <f t="shared" si="1"/>
        <v>2</v>
      </c>
      <c r="K41" s="6">
        <f>1</f>
        <v>1</v>
      </c>
      <c r="L41" s="6">
        <f>1</f>
        <v>1</v>
      </c>
      <c r="M41" s="12">
        <f>J41*Parametros!$E$5*Parametros!$E$6</f>
        <v>12</v>
      </c>
    </row>
    <row r="42" spans="1:13" ht="21" customHeight="1">
      <c r="A42" s="1" t="s">
        <v>223</v>
      </c>
      <c r="B42" s="13">
        <v>425345.49736683076</v>
      </c>
      <c r="C42" s="13">
        <v>8434773.9568365607</v>
      </c>
      <c r="D42" s="13">
        <v>3437.6291660571942</v>
      </c>
      <c r="E42" s="13">
        <v>13</v>
      </c>
      <c r="F42" s="13">
        <v>1.9</v>
      </c>
      <c r="G42" s="13">
        <v>10.6</v>
      </c>
      <c r="H42" s="13">
        <v>51.799556426976679</v>
      </c>
      <c r="I42" s="9" t="s">
        <v>447</v>
      </c>
      <c r="J42" s="6">
        <f t="shared" si="1"/>
        <v>2</v>
      </c>
      <c r="K42" s="6">
        <f>1</f>
        <v>1</v>
      </c>
      <c r="L42" s="6">
        <f>1</f>
        <v>1</v>
      </c>
      <c r="M42" s="12">
        <f>J42*Parametros!$E$5*Parametros!$E$6</f>
        <v>12</v>
      </c>
    </row>
    <row r="43" spans="1:13" ht="21" customHeight="1">
      <c r="A43" s="1" t="s">
        <v>224</v>
      </c>
      <c r="B43" s="13">
        <v>425325.65742027189</v>
      </c>
      <c r="C43" s="13">
        <v>8434776.5239281207</v>
      </c>
      <c r="D43" s="13">
        <v>3450.2241974787744</v>
      </c>
      <c r="E43" s="13">
        <v>13</v>
      </c>
      <c r="F43" s="13">
        <v>1.9</v>
      </c>
      <c r="G43" s="13">
        <v>10.6</v>
      </c>
      <c r="H43" s="13">
        <v>48.713486867208616</v>
      </c>
      <c r="I43" s="9" t="s">
        <v>447</v>
      </c>
      <c r="J43" s="6">
        <f t="shared" si="1"/>
        <v>2</v>
      </c>
      <c r="K43" s="6">
        <f>1</f>
        <v>1</v>
      </c>
      <c r="L43" s="6">
        <f>1</f>
        <v>1</v>
      </c>
      <c r="M43" s="12">
        <f>J43*Parametros!$E$5*Parametros!$E$6</f>
        <v>12</v>
      </c>
    </row>
    <row r="44" spans="1:13" ht="21" customHeight="1">
      <c r="A44" s="1" t="s">
        <v>225</v>
      </c>
      <c r="B44" s="13">
        <v>425302.82052006002</v>
      </c>
      <c r="C44" s="13">
        <v>8434756.4322877843</v>
      </c>
      <c r="D44" s="13">
        <v>3470.8715527353288</v>
      </c>
      <c r="E44" s="13">
        <v>13</v>
      </c>
      <c r="F44" s="13">
        <v>1.9</v>
      </c>
      <c r="G44" s="13">
        <v>10.6</v>
      </c>
      <c r="H44" s="13">
        <v>41.939492361641264</v>
      </c>
      <c r="I44" s="9" t="s">
        <v>447</v>
      </c>
      <c r="J44" s="6">
        <f t="shared" si="1"/>
        <v>2</v>
      </c>
      <c r="K44" s="6">
        <f>1</f>
        <v>1</v>
      </c>
      <c r="L44" s="6">
        <f>1</f>
        <v>1</v>
      </c>
      <c r="M44" s="12">
        <f>J44*Parametros!$E$5*Parametros!$E$6</f>
        <v>12</v>
      </c>
    </row>
    <row r="45" spans="1:13" ht="21" customHeight="1">
      <c r="A45" s="1" t="s">
        <v>226</v>
      </c>
      <c r="B45" s="13">
        <v>425293.96000487707</v>
      </c>
      <c r="C45" s="13">
        <v>8434681.2279273886</v>
      </c>
      <c r="D45" s="13">
        <v>3468.7483936730341</v>
      </c>
      <c r="E45" s="13">
        <v>17</v>
      </c>
      <c r="F45" s="13">
        <v>2.1</v>
      </c>
      <c r="G45" s="13">
        <v>14.200000000000001</v>
      </c>
      <c r="H45" s="13">
        <v>10.23144828424002</v>
      </c>
      <c r="I45" s="9" t="s">
        <v>448</v>
      </c>
      <c r="J45" s="6">
        <f t="shared" si="1"/>
        <v>2</v>
      </c>
      <c r="K45" s="6">
        <f>1</f>
        <v>1</v>
      </c>
      <c r="L45" s="6">
        <f>1</f>
        <v>1</v>
      </c>
      <c r="M45" s="12">
        <f>J45*Parametros!$E$5*Parametros!$E$6</f>
        <v>12</v>
      </c>
    </row>
    <row r="46" spans="1:13" ht="21" customHeight="1">
      <c r="A46" s="1" t="s">
        <v>227</v>
      </c>
      <c r="B46" s="13">
        <v>425269.94362536201</v>
      </c>
      <c r="C46" s="13">
        <v>8434602.4329958297</v>
      </c>
      <c r="D46" s="13">
        <v>3476.7659509418081</v>
      </c>
      <c r="E46" s="13">
        <v>17</v>
      </c>
      <c r="F46" s="13">
        <v>2.1</v>
      </c>
      <c r="G46" s="13">
        <v>14.200000000000001</v>
      </c>
      <c r="H46" s="13">
        <v>0</v>
      </c>
      <c r="I46" s="9" t="s">
        <v>449</v>
      </c>
      <c r="J46" s="6">
        <f t="shared" si="1"/>
        <v>2</v>
      </c>
      <c r="K46" s="6">
        <f>1</f>
        <v>1</v>
      </c>
      <c r="L46" s="6">
        <f>1</f>
        <v>1</v>
      </c>
      <c r="M46" s="12">
        <f>J46*Parametros!$E$5*Parametros!$E$6</f>
        <v>12</v>
      </c>
    </row>
    <row r="47" spans="1:13" ht="21" customHeight="1">
      <c r="A47" s="1" t="s">
        <v>228</v>
      </c>
      <c r="B47" s="13">
        <v>425245.92724584689</v>
      </c>
      <c r="C47" s="13">
        <v>8434523.6380642727</v>
      </c>
      <c r="D47" s="13">
        <v>3499.5001081418577</v>
      </c>
      <c r="E47" s="13">
        <v>17</v>
      </c>
      <c r="F47" s="13">
        <v>2.1</v>
      </c>
      <c r="G47" s="13">
        <v>14.200000000000001</v>
      </c>
      <c r="H47" s="13">
        <v>21.728144298761485</v>
      </c>
      <c r="I47" s="9" t="s">
        <v>448</v>
      </c>
      <c r="J47" s="6">
        <f t="shared" si="1"/>
        <v>2</v>
      </c>
      <c r="K47" s="6">
        <f>1</f>
        <v>1</v>
      </c>
      <c r="L47" s="6">
        <f>1</f>
        <v>1</v>
      </c>
      <c r="M47" s="12">
        <f>J47*Parametros!$E$5*Parametros!$E$6</f>
        <v>12</v>
      </c>
    </row>
    <row r="48" spans="1:13" ht="21" customHeight="1">
      <c r="A48" s="1" t="s">
        <v>229</v>
      </c>
      <c r="B48" s="13">
        <v>425251.17624207243</v>
      </c>
      <c r="C48" s="13">
        <v>8434460.8288186602</v>
      </c>
      <c r="D48" s="13">
        <v>3494.3856064468741</v>
      </c>
      <c r="E48" s="13">
        <v>17</v>
      </c>
      <c r="F48" s="13">
        <v>2.1</v>
      </c>
      <c r="G48" s="13">
        <v>14.200000000000001</v>
      </c>
      <c r="H48" s="13">
        <v>29.070450134740565</v>
      </c>
      <c r="I48" s="9" t="s">
        <v>448</v>
      </c>
      <c r="J48" s="6">
        <f t="shared" si="1"/>
        <v>2</v>
      </c>
      <c r="K48" s="6">
        <f>1</f>
        <v>1</v>
      </c>
      <c r="L48" s="6">
        <f>1</f>
        <v>1</v>
      </c>
      <c r="M48" s="12">
        <f>J48*Parametros!$E$5*Parametros!$E$6</f>
        <v>12</v>
      </c>
    </row>
    <row r="49" spans="1:13" ht="21" customHeight="1">
      <c r="A49" s="1" t="s">
        <v>230</v>
      </c>
      <c r="B49" s="13">
        <v>425230.65577476646</v>
      </c>
      <c r="C49" s="13">
        <v>8434415.366884239</v>
      </c>
      <c r="D49" s="13">
        <v>3502.2573071261322</v>
      </c>
      <c r="E49" s="13">
        <v>15</v>
      </c>
      <c r="F49" s="13">
        <v>2.1</v>
      </c>
      <c r="G49" s="13">
        <v>12.4</v>
      </c>
      <c r="H49" s="13">
        <v>23.136435820036748</v>
      </c>
      <c r="I49" s="9" t="s">
        <v>448</v>
      </c>
      <c r="J49" s="6">
        <f t="shared" si="1"/>
        <v>2</v>
      </c>
      <c r="K49" s="6">
        <f>1</f>
        <v>1</v>
      </c>
      <c r="L49" s="6">
        <f>1</f>
        <v>1</v>
      </c>
      <c r="M49" s="12">
        <f>J49*Parametros!$E$5*Parametros!$E$6</f>
        <v>12</v>
      </c>
    </row>
    <row r="50" spans="1:13" ht="21" customHeight="1">
      <c r="A50" s="1" t="s">
        <v>231</v>
      </c>
      <c r="B50" s="13">
        <v>425229.04021171306</v>
      </c>
      <c r="C50" s="13">
        <v>8434335.3652846739</v>
      </c>
      <c r="D50" s="13">
        <v>3505.8337622892736</v>
      </c>
      <c r="E50" s="13">
        <v>15</v>
      </c>
      <c r="F50" s="13">
        <v>2.1</v>
      </c>
      <c r="G50" s="13">
        <v>12.4</v>
      </c>
      <c r="H50" s="13">
        <v>0</v>
      </c>
      <c r="I50" s="9" t="s">
        <v>449</v>
      </c>
      <c r="J50" s="6">
        <f t="shared" si="1"/>
        <v>2</v>
      </c>
      <c r="K50" s="6">
        <f>1</f>
        <v>1</v>
      </c>
      <c r="L50" s="6">
        <f>1</f>
        <v>1</v>
      </c>
      <c r="M50" s="12">
        <f>J50*Parametros!$E$5*Parametros!$E$6</f>
        <v>12</v>
      </c>
    </row>
    <row r="51" spans="1:13" ht="21" customHeight="1">
      <c r="A51" s="1" t="s">
        <v>232</v>
      </c>
      <c r="B51" s="13">
        <v>425227.42464865959</v>
      </c>
      <c r="C51" s="13">
        <v>8434255.3636851106</v>
      </c>
      <c r="D51" s="13">
        <v>3516.0023376822628</v>
      </c>
      <c r="E51" s="13">
        <v>13</v>
      </c>
      <c r="F51" s="13">
        <v>1.9</v>
      </c>
      <c r="G51" s="13">
        <v>10.6</v>
      </c>
      <c r="H51" s="13">
        <v>30.952298989334814</v>
      </c>
      <c r="I51" s="9" t="s">
        <v>447</v>
      </c>
      <c r="J51" s="6">
        <f t="shared" si="1"/>
        <v>2</v>
      </c>
      <c r="K51" s="6">
        <f>1</f>
        <v>1</v>
      </c>
      <c r="L51" s="6">
        <f>1</f>
        <v>1</v>
      </c>
      <c r="M51" s="12">
        <f>J51*Parametros!$E$5*Parametros!$E$6</f>
        <v>12</v>
      </c>
    </row>
    <row r="52" spans="1:13" ht="21" customHeight="1">
      <c r="A52" s="1" t="s">
        <v>233</v>
      </c>
      <c r="B52" s="13">
        <v>425257.94863373309</v>
      </c>
      <c r="C52" s="13">
        <v>8434202.0559169501</v>
      </c>
      <c r="D52" s="13">
        <v>3514.7779191706973</v>
      </c>
      <c r="E52" s="13">
        <v>13</v>
      </c>
      <c r="F52" s="13">
        <v>1.9</v>
      </c>
      <c r="G52" s="13">
        <v>10.6</v>
      </c>
      <c r="H52" s="13">
        <v>0</v>
      </c>
      <c r="I52" s="9" t="s">
        <v>446</v>
      </c>
      <c r="J52" s="6">
        <f t="shared" si="1"/>
        <v>0</v>
      </c>
      <c r="K52" s="6">
        <f>1</f>
        <v>1</v>
      </c>
      <c r="L52" s="6">
        <f>1</f>
        <v>1</v>
      </c>
      <c r="M52" s="12">
        <f>J52*Parametros!$E$5*Parametros!$E$6</f>
        <v>0</v>
      </c>
    </row>
    <row r="53" spans="1:13" ht="21" customHeight="1">
      <c r="A53" s="1" t="s">
        <v>234</v>
      </c>
      <c r="B53" s="13">
        <v>425288.47261880653</v>
      </c>
      <c r="C53" s="13">
        <v>8434148.7481487878</v>
      </c>
      <c r="D53" s="13">
        <v>3516.1706348904886</v>
      </c>
      <c r="E53" s="13">
        <v>13</v>
      </c>
      <c r="F53" s="13">
        <v>1.9</v>
      </c>
      <c r="G53" s="13">
        <v>10.6</v>
      </c>
      <c r="H53" s="13">
        <v>0</v>
      </c>
      <c r="I53" s="9" t="s">
        <v>449</v>
      </c>
      <c r="J53" s="6">
        <f t="shared" si="1"/>
        <v>2</v>
      </c>
      <c r="K53" s="6">
        <f>1</f>
        <v>1</v>
      </c>
      <c r="L53" s="6">
        <f>1</f>
        <v>1</v>
      </c>
      <c r="M53" s="12">
        <f>J53*Parametros!$E$5*Parametros!$E$6</f>
        <v>12</v>
      </c>
    </row>
    <row r="54" spans="1:13" ht="21" customHeight="1">
      <c r="A54" s="1" t="s">
        <v>235</v>
      </c>
      <c r="B54" s="13">
        <v>425318.99660388002</v>
      </c>
      <c r="C54" s="13">
        <v>8434095.4403806273</v>
      </c>
      <c r="D54" s="13">
        <v>3520.6696943308866</v>
      </c>
      <c r="E54" s="13">
        <v>13</v>
      </c>
      <c r="F54" s="13">
        <v>1.9</v>
      </c>
      <c r="G54" s="13">
        <v>10.6</v>
      </c>
      <c r="H54" s="13">
        <v>76.904295911557469</v>
      </c>
      <c r="I54" s="9" t="s">
        <v>447</v>
      </c>
      <c r="J54" s="6">
        <f t="shared" si="1"/>
        <v>2</v>
      </c>
      <c r="K54" s="6">
        <f>1</f>
        <v>1</v>
      </c>
      <c r="L54" s="6">
        <f>1</f>
        <v>1</v>
      </c>
      <c r="M54" s="12">
        <f>J54*Parametros!$E$5*Parametros!$E$6</f>
        <v>12</v>
      </c>
    </row>
    <row r="55" spans="1:13" ht="21" customHeight="1">
      <c r="A55" s="1" t="s">
        <v>236</v>
      </c>
      <c r="B55" s="13">
        <v>425290.83520851267</v>
      </c>
      <c r="C55" s="13">
        <v>8434069.279327983</v>
      </c>
      <c r="D55" s="13">
        <v>3530.5858022218454</v>
      </c>
      <c r="E55" s="13">
        <v>13</v>
      </c>
      <c r="F55" s="13">
        <v>1.9</v>
      </c>
      <c r="G55" s="13">
        <v>10.6</v>
      </c>
      <c r="H55" s="13">
        <v>65.382423125973986</v>
      </c>
      <c r="I55" s="9" t="s">
        <v>447</v>
      </c>
      <c r="J55" s="6">
        <f t="shared" si="1"/>
        <v>2</v>
      </c>
      <c r="K55" s="6">
        <f>1</f>
        <v>1</v>
      </c>
      <c r="L55" s="6">
        <f>1</f>
        <v>1</v>
      </c>
      <c r="M55" s="12">
        <f>J55*Parametros!$E$5*Parametros!$E$6</f>
        <v>12</v>
      </c>
    </row>
    <row r="56" spans="1:13" ht="21" customHeight="1">
      <c r="A56" s="1" t="s">
        <v>237</v>
      </c>
      <c r="B56" s="13">
        <v>425315.81551378971</v>
      </c>
      <c r="C56" s="13">
        <v>8433993.6287092976</v>
      </c>
      <c r="D56" s="13">
        <v>3538.9760214856201</v>
      </c>
      <c r="E56" s="13">
        <v>13</v>
      </c>
      <c r="F56" s="13">
        <v>1.9</v>
      </c>
      <c r="G56" s="13">
        <v>10.6</v>
      </c>
      <c r="H56" s="13">
        <v>18.008239297147313</v>
      </c>
      <c r="I56" s="9" t="s">
        <v>448</v>
      </c>
      <c r="J56" s="6">
        <f t="shared" si="1"/>
        <v>2</v>
      </c>
      <c r="K56" s="6">
        <f>1</f>
        <v>1</v>
      </c>
      <c r="L56" s="6">
        <f>1</f>
        <v>1</v>
      </c>
      <c r="M56" s="12">
        <f>J56*Parametros!$E$5*Parametros!$E$6</f>
        <v>12</v>
      </c>
    </row>
    <row r="57" spans="1:13" ht="21" customHeight="1">
      <c r="A57" s="1" t="s">
        <v>238</v>
      </c>
      <c r="B57" s="13">
        <v>425350.05149901495</v>
      </c>
      <c r="C57" s="13">
        <v>8433946.990993429</v>
      </c>
      <c r="D57" s="13">
        <v>3538.7937698852916</v>
      </c>
      <c r="E57" s="13">
        <v>13</v>
      </c>
      <c r="F57" s="13">
        <v>1.9</v>
      </c>
      <c r="G57" s="13">
        <v>10.6</v>
      </c>
      <c r="H57" s="13">
        <v>0</v>
      </c>
      <c r="I57" s="9" t="s">
        <v>449</v>
      </c>
      <c r="J57" s="6">
        <f t="shared" si="1"/>
        <v>2</v>
      </c>
      <c r="K57" s="6">
        <f>1</f>
        <v>1</v>
      </c>
      <c r="L57" s="6">
        <f>1</f>
        <v>1</v>
      </c>
      <c r="M57" s="12">
        <f>J57*Parametros!$E$5*Parametros!$E$6</f>
        <v>12</v>
      </c>
    </row>
    <row r="58" spans="1:13" ht="21" customHeight="1">
      <c r="A58" s="1" t="s">
        <v>239</v>
      </c>
      <c r="B58" s="13">
        <v>425384.28748424025</v>
      </c>
      <c r="C58" s="13">
        <v>8433900.3532775585</v>
      </c>
      <c r="D58" s="13">
        <v>3541.9263420480247</v>
      </c>
      <c r="E58" s="13">
        <v>13</v>
      </c>
      <c r="F58" s="13">
        <v>1.9</v>
      </c>
      <c r="G58" s="13">
        <v>10.6</v>
      </c>
      <c r="H58" s="13">
        <v>41.606463983436541</v>
      </c>
      <c r="I58" s="9" t="s">
        <v>447</v>
      </c>
      <c r="J58" s="6">
        <f t="shared" si="1"/>
        <v>2</v>
      </c>
      <c r="K58" s="6">
        <f>1</f>
        <v>1</v>
      </c>
      <c r="L58" s="6">
        <f>1</f>
        <v>1</v>
      </c>
      <c r="M58" s="12">
        <f>J58*Parametros!$E$5*Parametros!$E$6</f>
        <v>12</v>
      </c>
    </row>
    <row r="59" spans="1:13" ht="21" customHeight="1">
      <c r="A59" s="1" t="s">
        <v>240</v>
      </c>
      <c r="B59" s="13">
        <v>425376.61155212892</v>
      </c>
      <c r="C59" s="13">
        <v>8433817.9949624632</v>
      </c>
      <c r="D59" s="13">
        <v>3563.4529950787796</v>
      </c>
      <c r="E59" s="13">
        <v>13</v>
      </c>
      <c r="F59" s="13">
        <v>1.9</v>
      </c>
      <c r="G59" s="13">
        <v>10.6</v>
      </c>
      <c r="H59" s="13">
        <v>28.180611880565685</v>
      </c>
      <c r="I59" s="9" t="s">
        <v>448</v>
      </c>
      <c r="J59" s="6">
        <f t="shared" si="1"/>
        <v>2</v>
      </c>
      <c r="K59" s="6">
        <f>1</f>
        <v>1</v>
      </c>
      <c r="L59" s="6">
        <f>1</f>
        <v>1</v>
      </c>
      <c r="M59" s="12">
        <f>J59*Parametros!$E$5*Parametros!$E$6</f>
        <v>12</v>
      </c>
    </row>
    <row r="60" spans="1:13" ht="21" customHeight="1">
      <c r="A60" s="1" t="s">
        <v>241</v>
      </c>
      <c r="B60" s="13">
        <v>425395.25570193038</v>
      </c>
      <c r="C60" s="13">
        <v>8433773.7632017117</v>
      </c>
      <c r="D60" s="13">
        <v>3565.3465473866936</v>
      </c>
      <c r="E60" s="13">
        <v>13</v>
      </c>
      <c r="F60" s="13">
        <v>1.9</v>
      </c>
      <c r="G60" s="13">
        <v>10.6</v>
      </c>
      <c r="H60" s="13">
        <v>1.2074182697257333E-6</v>
      </c>
      <c r="I60" s="9" t="s">
        <v>446</v>
      </c>
      <c r="J60" s="6">
        <f t="shared" si="1"/>
        <v>0</v>
      </c>
      <c r="K60" s="6">
        <f>1</f>
        <v>1</v>
      </c>
      <c r="L60" s="6">
        <f>1</f>
        <v>1</v>
      </c>
      <c r="M60" s="12">
        <f>J60*Parametros!$E$5*Parametros!$E$6</f>
        <v>0</v>
      </c>
    </row>
    <row r="61" spans="1:13" ht="21" customHeight="1">
      <c r="A61" s="1" t="s">
        <v>242</v>
      </c>
      <c r="B61" s="13">
        <v>425413.8998517319</v>
      </c>
      <c r="C61" s="13">
        <v>8433729.5314409602</v>
      </c>
      <c r="D61" s="13">
        <v>3564.0539619326551</v>
      </c>
      <c r="E61" s="13">
        <v>13</v>
      </c>
      <c r="F61" s="13">
        <v>1.9</v>
      </c>
      <c r="G61" s="13">
        <v>10.6</v>
      </c>
      <c r="H61" s="13">
        <v>20.392065060628639</v>
      </c>
      <c r="I61" s="9" t="s">
        <v>448</v>
      </c>
      <c r="J61" s="6">
        <f t="shared" si="1"/>
        <v>2</v>
      </c>
      <c r="K61" s="6">
        <f>1</f>
        <v>1</v>
      </c>
      <c r="L61" s="6">
        <f>1</f>
        <v>1</v>
      </c>
      <c r="M61" s="12">
        <f>J61*Parametros!$E$5*Parametros!$E$6</f>
        <v>12</v>
      </c>
    </row>
    <row r="62" spans="1:13" ht="21" customHeight="1">
      <c r="A62" s="1" t="s">
        <v>243</v>
      </c>
      <c r="B62" s="13">
        <v>425417.10093087645</v>
      </c>
      <c r="C62" s="13">
        <v>8433655.1381139122</v>
      </c>
      <c r="D62" s="13">
        <v>3574.6032670546988</v>
      </c>
      <c r="E62" s="13">
        <v>13</v>
      </c>
      <c r="F62" s="13">
        <v>1.9</v>
      </c>
      <c r="G62" s="13">
        <v>10.6</v>
      </c>
      <c r="H62" s="13">
        <v>59.297281032246829</v>
      </c>
      <c r="I62" s="9" t="s">
        <v>447</v>
      </c>
      <c r="J62" s="6">
        <f t="shared" si="1"/>
        <v>2</v>
      </c>
      <c r="K62" s="6">
        <f>1</f>
        <v>1</v>
      </c>
      <c r="L62" s="6">
        <f>1</f>
        <v>1</v>
      </c>
      <c r="M62" s="12">
        <f>J62*Parametros!$E$5*Parametros!$E$6</f>
        <v>12</v>
      </c>
    </row>
    <row r="63" spans="1:13" ht="21" customHeight="1">
      <c r="A63" s="1" t="s">
        <v>244</v>
      </c>
      <c r="B63" s="13">
        <v>425489.26358542667</v>
      </c>
      <c r="C63" s="13">
        <v>8433616.3818133064</v>
      </c>
      <c r="D63" s="13">
        <v>3565.0653996850497</v>
      </c>
      <c r="E63" s="13">
        <v>13</v>
      </c>
      <c r="F63" s="13">
        <v>1.9</v>
      </c>
      <c r="G63" s="13">
        <v>10.6</v>
      </c>
      <c r="H63" s="13">
        <v>102.70650938822992</v>
      </c>
      <c r="I63" s="9" t="s">
        <v>447</v>
      </c>
      <c r="J63" s="6">
        <f t="shared" si="1"/>
        <v>2</v>
      </c>
      <c r="K63" s="6">
        <f>1</f>
        <v>1</v>
      </c>
      <c r="L63" s="6">
        <f>1</f>
        <v>1</v>
      </c>
      <c r="M63" s="12">
        <f>J63*Parametros!$E$5*Parametros!$E$6</f>
        <v>12</v>
      </c>
    </row>
    <row r="64" spans="1:13" ht="21" customHeight="1">
      <c r="A64" s="1" t="s">
        <v>245</v>
      </c>
      <c r="B64" s="13">
        <v>425458.25485453429</v>
      </c>
      <c r="C64" s="13">
        <v>8433580.6415706258</v>
      </c>
      <c r="D64" s="13">
        <v>3573.0507383727577</v>
      </c>
      <c r="E64" s="13">
        <v>13</v>
      </c>
      <c r="F64" s="13">
        <v>1.9</v>
      </c>
      <c r="G64" s="13">
        <v>10.6</v>
      </c>
      <c r="H64" s="13">
        <v>1.2074182697257333E-6</v>
      </c>
      <c r="I64" s="9" t="s">
        <v>449</v>
      </c>
      <c r="J64" s="6">
        <f t="shared" si="1"/>
        <v>2</v>
      </c>
      <c r="K64" s="6">
        <f>1</f>
        <v>1</v>
      </c>
      <c r="L64" s="6">
        <f>1</f>
        <v>1</v>
      </c>
      <c r="M64" s="12">
        <f>J64*Parametros!$E$5*Parametros!$E$6</f>
        <v>12</v>
      </c>
    </row>
    <row r="65" spans="1:13" ht="21" customHeight="1">
      <c r="A65" s="1" t="s">
        <v>246</v>
      </c>
      <c r="B65" s="13">
        <v>425427.24612364196</v>
      </c>
      <c r="C65" s="13">
        <v>8433544.9013279453</v>
      </c>
      <c r="D65" s="13">
        <v>3588.8654658184046</v>
      </c>
      <c r="E65" s="13">
        <v>13</v>
      </c>
      <c r="F65" s="13">
        <v>1.9</v>
      </c>
      <c r="G65" s="13">
        <v>10.6</v>
      </c>
      <c r="H65" s="13">
        <v>18.954708174298542</v>
      </c>
      <c r="I65" s="9" t="s">
        <v>448</v>
      </c>
      <c r="J65" s="6">
        <f t="shared" si="1"/>
        <v>2</v>
      </c>
      <c r="K65" s="6">
        <f>1</f>
        <v>1</v>
      </c>
      <c r="L65" s="6">
        <f>1</f>
        <v>1</v>
      </c>
      <c r="M65" s="12">
        <f>J65*Parametros!$E$5*Parametros!$E$6</f>
        <v>12</v>
      </c>
    </row>
    <row r="66" spans="1:13" ht="21" customHeight="1">
      <c r="A66" s="1" t="s">
        <v>247</v>
      </c>
      <c r="B66" s="13">
        <v>425412.86697142443</v>
      </c>
      <c r="C66" s="13">
        <v>8433509.2949550785</v>
      </c>
      <c r="D66" s="13">
        <v>3597.3100339854786</v>
      </c>
      <c r="E66" s="13">
        <v>15</v>
      </c>
      <c r="F66" s="13">
        <v>2.1</v>
      </c>
      <c r="G66" s="13">
        <v>12.4</v>
      </c>
      <c r="H66" s="13">
        <v>20.139219612708757</v>
      </c>
      <c r="I66" s="9" t="s">
        <v>448</v>
      </c>
      <c r="J66" s="6">
        <f t="shared" si="1"/>
        <v>2</v>
      </c>
      <c r="K66" s="6">
        <f>1</f>
        <v>1</v>
      </c>
      <c r="L66" s="6">
        <f>1</f>
        <v>1</v>
      </c>
      <c r="M66" s="12">
        <f>J66*Parametros!$E$5*Parametros!$E$6</f>
        <v>12</v>
      </c>
    </row>
    <row r="67" spans="1:13" ht="21" customHeight="1">
      <c r="A67" s="1" t="s">
        <v>248</v>
      </c>
      <c r="B67" s="13">
        <v>425410.66509508807</v>
      </c>
      <c r="C67" s="13">
        <v>8433441.1778464522</v>
      </c>
      <c r="D67" s="13">
        <v>3600.0183964855387</v>
      </c>
      <c r="E67" s="13">
        <v>15</v>
      </c>
      <c r="F67" s="13">
        <v>2.1</v>
      </c>
      <c r="G67" s="13">
        <v>12.4</v>
      </c>
      <c r="H67" s="13">
        <v>0</v>
      </c>
      <c r="I67" s="9" t="s">
        <v>446</v>
      </c>
      <c r="J67" s="6">
        <f t="shared" si="1"/>
        <v>0</v>
      </c>
      <c r="K67" s="6">
        <f>1</f>
        <v>1</v>
      </c>
      <c r="L67" s="6">
        <f>1</f>
        <v>1</v>
      </c>
      <c r="M67" s="12">
        <f>J67*Parametros!$E$5*Parametros!$E$6</f>
        <v>0</v>
      </c>
    </row>
    <row r="68" spans="1:13" ht="21" customHeight="1">
      <c r="A68" s="1" t="s">
        <v>249</v>
      </c>
      <c r="B68" s="13">
        <v>425408.46321875177</v>
      </c>
      <c r="C68" s="13">
        <v>8433373.0607378259</v>
      </c>
      <c r="D68" s="13">
        <v>3590.8799060407428</v>
      </c>
      <c r="E68" s="13">
        <v>13</v>
      </c>
      <c r="F68" s="13">
        <v>1.9</v>
      </c>
      <c r="G68" s="13">
        <v>10.6</v>
      </c>
      <c r="H68" s="13">
        <v>0</v>
      </c>
      <c r="I68" s="9" t="s">
        <v>449</v>
      </c>
      <c r="J68" s="6">
        <f t="shared" si="1"/>
        <v>2</v>
      </c>
      <c r="K68" s="6">
        <f>1</f>
        <v>1</v>
      </c>
      <c r="L68" s="6">
        <f>1</f>
        <v>1</v>
      </c>
      <c r="M68" s="12">
        <f>J68*Parametros!$E$5*Parametros!$E$6</f>
        <v>12</v>
      </c>
    </row>
    <row r="69" spans="1:13" ht="21" customHeight="1">
      <c r="A69" s="1" t="s">
        <v>250</v>
      </c>
      <c r="B69" s="13">
        <v>425406.26134241547</v>
      </c>
      <c r="C69" s="13">
        <v>8433304.9436291996</v>
      </c>
      <c r="D69" s="13">
        <v>3603.6786173424407</v>
      </c>
      <c r="E69" s="13">
        <v>13</v>
      </c>
      <c r="F69" s="13">
        <v>1.9</v>
      </c>
      <c r="G69" s="13">
        <v>10.6</v>
      </c>
      <c r="H69" s="13">
        <v>0</v>
      </c>
      <c r="I69" s="9" t="s">
        <v>446</v>
      </c>
      <c r="J69" s="6">
        <f t="shared" si="1"/>
        <v>0</v>
      </c>
      <c r="K69" s="6">
        <f>1</f>
        <v>1</v>
      </c>
      <c r="L69" s="6">
        <f>1</f>
        <v>1</v>
      </c>
      <c r="M69" s="12">
        <f>J69*Parametros!$E$5*Parametros!$E$6</f>
        <v>0</v>
      </c>
    </row>
    <row r="70" spans="1:13" ht="21" customHeight="1">
      <c r="A70" s="1" t="s">
        <v>251</v>
      </c>
      <c r="B70" s="13">
        <v>425404.05946607911</v>
      </c>
      <c r="C70" s="13">
        <v>8433236.8265205733</v>
      </c>
      <c r="D70" s="13">
        <v>3599.5748121291758</v>
      </c>
      <c r="E70" s="13">
        <v>13</v>
      </c>
      <c r="F70" s="13">
        <v>1.9</v>
      </c>
      <c r="G70" s="13">
        <v>10.6</v>
      </c>
      <c r="H70" s="13">
        <v>44.619066625605534</v>
      </c>
      <c r="I70" s="9" t="s">
        <v>447</v>
      </c>
      <c r="J70" s="6">
        <f t="shared" si="1"/>
        <v>2</v>
      </c>
      <c r="K70" s="6">
        <f>1</f>
        <v>1</v>
      </c>
      <c r="L70" s="6">
        <f>1</f>
        <v>1</v>
      </c>
      <c r="M70" s="12">
        <f>J70*Parametros!$E$5*Parametros!$E$6</f>
        <v>12</v>
      </c>
    </row>
    <row r="71" spans="1:13" ht="21" customHeight="1">
      <c r="A71" s="1" t="s">
        <v>252</v>
      </c>
      <c r="B71" s="13">
        <v>425363.45149874949</v>
      </c>
      <c r="C71" s="13">
        <v>8433198.2512432206</v>
      </c>
      <c r="D71" s="13">
        <v>3609.2427700422618</v>
      </c>
      <c r="E71" s="13">
        <v>15</v>
      </c>
      <c r="F71" s="13">
        <v>2.1</v>
      </c>
      <c r="G71" s="13">
        <v>12.4</v>
      </c>
      <c r="H71" s="13">
        <v>26.274980700070262</v>
      </c>
      <c r="I71" s="9" t="s">
        <v>448</v>
      </c>
      <c r="J71" s="6">
        <f t="shared" ref="J71:J102" si="2">IF(I71="SUSPENSION",0,IF(I71="TERMINAL",1,2))</f>
        <v>2</v>
      </c>
      <c r="K71" s="6">
        <f>1</f>
        <v>1</v>
      </c>
      <c r="L71" s="6">
        <f>1</f>
        <v>1</v>
      </c>
      <c r="M71" s="12">
        <f>J71*Parametros!$E$5*Parametros!$E$6</f>
        <v>12</v>
      </c>
    </row>
    <row r="72" spans="1:13" ht="21" customHeight="1">
      <c r="A72" s="1" t="s">
        <v>253</v>
      </c>
      <c r="B72" s="13">
        <v>425339.35654560255</v>
      </c>
      <c r="C72" s="13">
        <v>8433132.7472721562</v>
      </c>
      <c r="D72" s="13">
        <v>3621.4274419880931</v>
      </c>
      <c r="E72" s="13">
        <v>15</v>
      </c>
      <c r="F72" s="13">
        <v>2.1</v>
      </c>
      <c r="G72" s="13">
        <v>12.4</v>
      </c>
      <c r="H72" s="13">
        <v>0</v>
      </c>
      <c r="I72" s="9" t="s">
        <v>446</v>
      </c>
      <c r="J72" s="6">
        <f t="shared" si="2"/>
        <v>0</v>
      </c>
      <c r="K72" s="6">
        <f>1</f>
        <v>1</v>
      </c>
      <c r="L72" s="6">
        <f>1</f>
        <v>1</v>
      </c>
      <c r="M72" s="12">
        <f>J72*Parametros!$E$5*Parametros!$E$6</f>
        <v>0</v>
      </c>
    </row>
    <row r="73" spans="1:13" ht="21" customHeight="1">
      <c r="A73" s="1" t="s">
        <v>254</v>
      </c>
      <c r="B73" s="13">
        <v>425315.26159245562</v>
      </c>
      <c r="C73" s="13">
        <v>8433067.2433010917</v>
      </c>
      <c r="D73" s="13">
        <v>3624.8749271826259</v>
      </c>
      <c r="E73" s="13">
        <v>15</v>
      </c>
      <c r="F73" s="13">
        <v>2.1</v>
      </c>
      <c r="G73" s="13">
        <v>12.4</v>
      </c>
      <c r="H73" s="13">
        <v>19.936751583783799</v>
      </c>
      <c r="I73" s="9" t="s">
        <v>448</v>
      </c>
      <c r="J73" s="6">
        <f t="shared" si="2"/>
        <v>2</v>
      </c>
      <c r="K73" s="6">
        <f>1</f>
        <v>1</v>
      </c>
      <c r="L73" s="6">
        <f>1</f>
        <v>1</v>
      </c>
      <c r="M73" s="12">
        <f>J73*Parametros!$E$5*Parametros!$E$6</f>
        <v>12</v>
      </c>
    </row>
    <row r="74" spans="1:13" ht="21" customHeight="1">
      <c r="A74" s="1" t="s">
        <v>255</v>
      </c>
      <c r="B74" s="13">
        <v>425278.59596942738</v>
      </c>
      <c r="C74" s="13">
        <v>8433023.7512158677</v>
      </c>
      <c r="D74" s="13">
        <v>3636.688831048637</v>
      </c>
      <c r="E74" s="13">
        <v>15</v>
      </c>
      <c r="F74" s="13">
        <v>2.1</v>
      </c>
      <c r="G74" s="13">
        <v>12.4</v>
      </c>
      <c r="H74" s="13">
        <v>8.5377364625159387E-7</v>
      </c>
      <c r="I74" s="9" t="s">
        <v>446</v>
      </c>
      <c r="J74" s="6">
        <f t="shared" si="2"/>
        <v>0</v>
      </c>
      <c r="K74" s="6">
        <f>1</f>
        <v>1</v>
      </c>
      <c r="L74" s="6">
        <f>1</f>
        <v>1</v>
      </c>
      <c r="M74" s="12">
        <f>J74*Parametros!$E$5*Parametros!$E$6</f>
        <v>0</v>
      </c>
    </row>
    <row r="75" spans="1:13" ht="21" customHeight="1">
      <c r="A75" s="1" t="s">
        <v>256</v>
      </c>
      <c r="B75" s="13">
        <v>425241.9303463992</v>
      </c>
      <c r="C75" s="13">
        <v>8432980.2591306437</v>
      </c>
      <c r="D75" s="13">
        <v>3648.2096364300414</v>
      </c>
      <c r="E75" s="13">
        <v>13</v>
      </c>
      <c r="F75" s="13">
        <v>1.9</v>
      </c>
      <c r="G75" s="13">
        <v>10.6</v>
      </c>
      <c r="H75" s="13">
        <v>12.229327495079691</v>
      </c>
      <c r="I75" s="9" t="s">
        <v>448</v>
      </c>
      <c r="J75" s="6">
        <f t="shared" si="2"/>
        <v>2</v>
      </c>
      <c r="K75" s="6">
        <f>1</f>
        <v>1</v>
      </c>
      <c r="L75" s="6">
        <f>1</f>
        <v>1</v>
      </c>
      <c r="M75" s="12">
        <f>J75*Parametros!$E$5*Parametros!$E$6</f>
        <v>12</v>
      </c>
    </row>
    <row r="76" spans="1:13" ht="21" customHeight="1">
      <c r="A76" s="1" t="s">
        <v>257</v>
      </c>
      <c r="B76" s="13">
        <v>425210.03831929574</v>
      </c>
      <c r="C76" s="13">
        <v>8432920.0330555122</v>
      </c>
      <c r="D76" s="13">
        <v>3645.2784641089593</v>
      </c>
      <c r="E76" s="13">
        <v>13</v>
      </c>
      <c r="F76" s="13">
        <v>1.9</v>
      </c>
      <c r="G76" s="13">
        <v>10.6</v>
      </c>
      <c r="H76" s="13">
        <v>0</v>
      </c>
      <c r="I76" s="9" t="s">
        <v>449</v>
      </c>
      <c r="J76" s="6">
        <f t="shared" si="2"/>
        <v>2</v>
      </c>
      <c r="K76" s="6">
        <f>1</f>
        <v>1</v>
      </c>
      <c r="L76" s="6">
        <f>1</f>
        <v>1</v>
      </c>
      <c r="M76" s="12">
        <f>J76*Parametros!$E$5*Parametros!$E$6</f>
        <v>12</v>
      </c>
    </row>
    <row r="77" spans="1:13" ht="21" customHeight="1">
      <c r="A77" s="1" t="s">
        <v>258</v>
      </c>
      <c r="B77" s="13">
        <v>425178.14629219228</v>
      </c>
      <c r="C77" s="13">
        <v>8432859.8069803808</v>
      </c>
      <c r="D77" s="13">
        <v>3647.0345877113396</v>
      </c>
      <c r="E77" s="13">
        <v>13</v>
      </c>
      <c r="F77" s="13">
        <v>1.9</v>
      </c>
      <c r="G77" s="13">
        <v>10.6</v>
      </c>
      <c r="H77" s="13">
        <v>12.674316344049593</v>
      </c>
      <c r="I77" s="9" t="s">
        <v>448</v>
      </c>
      <c r="J77" s="6">
        <f t="shared" si="2"/>
        <v>2</v>
      </c>
      <c r="K77" s="6">
        <f>1</f>
        <v>1</v>
      </c>
      <c r="L77" s="6">
        <f>1</f>
        <v>1</v>
      </c>
      <c r="M77" s="12">
        <f>J77*Parametros!$E$5*Parametros!$E$6</f>
        <v>12</v>
      </c>
    </row>
    <row r="78" spans="1:13" ht="21" customHeight="1">
      <c r="A78" s="1" t="s">
        <v>259</v>
      </c>
      <c r="B78" s="13">
        <v>425139.97777473938</v>
      </c>
      <c r="C78" s="13">
        <v>8432815.2392209545</v>
      </c>
      <c r="D78" s="13">
        <v>3646.3536994177198</v>
      </c>
      <c r="E78" s="13">
        <v>13</v>
      </c>
      <c r="F78" s="13">
        <v>1.9</v>
      </c>
      <c r="G78" s="13">
        <v>10.6</v>
      </c>
      <c r="H78" s="13">
        <v>0</v>
      </c>
      <c r="I78" s="9" t="s">
        <v>449</v>
      </c>
      <c r="J78" s="6">
        <f t="shared" si="2"/>
        <v>2</v>
      </c>
      <c r="K78" s="6">
        <f>1</f>
        <v>1</v>
      </c>
      <c r="L78" s="6">
        <f>1</f>
        <v>1</v>
      </c>
      <c r="M78" s="12">
        <f>J78*Parametros!$E$5*Parametros!$E$6</f>
        <v>12</v>
      </c>
    </row>
    <row r="79" spans="1:13" ht="21" customHeight="1">
      <c r="A79" s="1" t="s">
        <v>260</v>
      </c>
      <c r="B79" s="13">
        <v>425101.80925728648</v>
      </c>
      <c r="C79" s="13">
        <v>8432770.67146153</v>
      </c>
      <c r="D79" s="13">
        <v>3655.9977188257717</v>
      </c>
      <c r="E79" s="13">
        <v>15</v>
      </c>
      <c r="F79" s="13">
        <v>2.1</v>
      </c>
      <c r="G79" s="13">
        <v>12.4</v>
      </c>
      <c r="H79" s="13">
        <v>8.0949537977522468</v>
      </c>
      <c r="I79" s="9" t="s">
        <v>448</v>
      </c>
      <c r="J79" s="6">
        <f t="shared" si="2"/>
        <v>2</v>
      </c>
      <c r="K79" s="6">
        <f>1</f>
        <v>1</v>
      </c>
      <c r="L79" s="6">
        <f>1</f>
        <v>1</v>
      </c>
      <c r="M79" s="12">
        <f>J79*Parametros!$E$5*Parametros!$E$6</f>
        <v>12</v>
      </c>
    </row>
    <row r="80" spans="1:13" ht="21" customHeight="1">
      <c r="A80" s="1" t="s">
        <v>261</v>
      </c>
      <c r="B80" s="13">
        <v>425063.28526405658</v>
      </c>
      <c r="C80" s="13">
        <v>8432710.1596756093</v>
      </c>
      <c r="D80" s="13">
        <v>3664.8647279390325</v>
      </c>
      <c r="E80" s="13">
        <v>17</v>
      </c>
      <c r="F80" s="13">
        <v>2.1</v>
      </c>
      <c r="G80" s="13">
        <v>14.200000000000001</v>
      </c>
      <c r="H80" s="13">
        <v>0</v>
      </c>
      <c r="I80" s="9" t="s">
        <v>446</v>
      </c>
      <c r="J80" s="6">
        <f t="shared" si="2"/>
        <v>0</v>
      </c>
      <c r="K80" s="6">
        <f>1</f>
        <v>1</v>
      </c>
      <c r="L80" s="6">
        <f>1</f>
        <v>1</v>
      </c>
      <c r="M80" s="12">
        <f>J80*Parametros!$E$5*Parametros!$E$6</f>
        <v>0</v>
      </c>
    </row>
    <row r="81" spans="1:13" ht="21" customHeight="1">
      <c r="A81" s="1" t="s">
        <v>262</v>
      </c>
      <c r="B81" s="13">
        <v>425024.76127082668</v>
      </c>
      <c r="C81" s="13">
        <v>8432649.6478896886</v>
      </c>
      <c r="D81" s="13">
        <v>3661.6178215818327</v>
      </c>
      <c r="E81" s="13">
        <v>15</v>
      </c>
      <c r="F81" s="13">
        <v>2.1</v>
      </c>
      <c r="G81" s="13">
        <v>12.4</v>
      </c>
      <c r="H81" s="13">
        <v>16.101387960519965</v>
      </c>
      <c r="I81" s="9" t="s">
        <v>448</v>
      </c>
      <c r="J81" s="6">
        <f t="shared" si="2"/>
        <v>2</v>
      </c>
      <c r="K81" s="6">
        <f>1</f>
        <v>1</v>
      </c>
      <c r="L81" s="6">
        <f>1</f>
        <v>1</v>
      </c>
      <c r="M81" s="12">
        <f>J81*Parametros!$E$5*Parametros!$E$6</f>
        <v>12</v>
      </c>
    </row>
    <row r="82" spans="1:13" ht="21" customHeight="1">
      <c r="A82" s="1" t="s">
        <v>263</v>
      </c>
      <c r="B82" s="13">
        <v>424988.40702243324</v>
      </c>
      <c r="C82" s="13">
        <v>8432617.5789162256</v>
      </c>
      <c r="D82" s="13">
        <v>3666.9013621119761</v>
      </c>
      <c r="E82" s="13">
        <v>13</v>
      </c>
      <c r="F82" s="13">
        <v>1.9</v>
      </c>
      <c r="G82" s="13">
        <v>10.6</v>
      </c>
      <c r="H82" s="13">
        <v>20.846987802912547</v>
      </c>
      <c r="I82" s="9" t="s">
        <v>448</v>
      </c>
      <c r="J82" s="6">
        <f t="shared" si="2"/>
        <v>2</v>
      </c>
      <c r="K82" s="6">
        <f>1</f>
        <v>1</v>
      </c>
      <c r="L82" s="6">
        <f>1</f>
        <v>1</v>
      </c>
      <c r="M82" s="12">
        <f>J82*Parametros!$E$5*Parametros!$E$6</f>
        <v>12</v>
      </c>
    </row>
    <row r="83" spans="1:13" ht="21" customHeight="1">
      <c r="A83" s="1" t="s">
        <v>264</v>
      </c>
      <c r="B83" s="13">
        <v>424963.70409344567</v>
      </c>
      <c r="C83" s="13">
        <v>8432570.5999222305</v>
      </c>
      <c r="D83" s="13">
        <v>3665.9673770760146</v>
      </c>
      <c r="E83" s="13">
        <v>13</v>
      </c>
      <c r="F83" s="13">
        <v>1.9</v>
      </c>
      <c r="G83" s="13">
        <v>10.6</v>
      </c>
      <c r="H83" s="13">
        <v>0</v>
      </c>
      <c r="I83" s="9" t="s">
        <v>449</v>
      </c>
      <c r="J83" s="6">
        <f t="shared" si="2"/>
        <v>2</v>
      </c>
      <c r="K83" s="6">
        <f>1</f>
        <v>1</v>
      </c>
      <c r="L83" s="6">
        <f>1</f>
        <v>1</v>
      </c>
      <c r="M83" s="12">
        <f>J83*Parametros!$E$5*Parametros!$E$6</f>
        <v>12</v>
      </c>
    </row>
    <row r="84" spans="1:13" ht="21" customHeight="1">
      <c r="A84" s="1" t="s">
        <v>265</v>
      </c>
      <c r="B84" s="13">
        <v>424939.00116445817</v>
      </c>
      <c r="C84" s="13">
        <v>8432523.6209282354</v>
      </c>
      <c r="D84" s="13">
        <v>3672.0283748940701</v>
      </c>
      <c r="E84" s="13">
        <v>13</v>
      </c>
      <c r="F84" s="13">
        <v>1.9</v>
      </c>
      <c r="G84" s="13">
        <v>10.6</v>
      </c>
      <c r="H84" s="13">
        <v>12.700378809416629</v>
      </c>
      <c r="I84" s="9" t="s">
        <v>448</v>
      </c>
      <c r="J84" s="6">
        <f t="shared" si="2"/>
        <v>2</v>
      </c>
      <c r="K84" s="6">
        <f>1</f>
        <v>1</v>
      </c>
      <c r="L84" s="6">
        <f>1</f>
        <v>1</v>
      </c>
      <c r="M84" s="12">
        <f>J84*Parametros!$E$5*Parametros!$E$6</f>
        <v>12</v>
      </c>
    </row>
    <row r="85" spans="1:13" ht="21" customHeight="1">
      <c r="A85" s="1" t="s">
        <v>266</v>
      </c>
      <c r="B85" s="13">
        <v>424920.38187759958</v>
      </c>
      <c r="C85" s="13">
        <v>8432454.3086194918</v>
      </c>
      <c r="D85" s="13">
        <v>3671.1606131332983</v>
      </c>
      <c r="E85" s="13">
        <v>13</v>
      </c>
      <c r="F85" s="13">
        <v>1.9</v>
      </c>
      <c r="G85" s="13">
        <v>10.6</v>
      </c>
      <c r="H85" s="13">
        <v>17.083011653847873</v>
      </c>
      <c r="I85" s="9" t="s">
        <v>448</v>
      </c>
      <c r="J85" s="6">
        <f t="shared" si="2"/>
        <v>2</v>
      </c>
      <c r="K85" s="6">
        <f>1</f>
        <v>1</v>
      </c>
      <c r="L85" s="6">
        <f>1</f>
        <v>1</v>
      </c>
      <c r="M85" s="12">
        <f>J85*Parametros!$E$5*Parametros!$E$6</f>
        <v>12</v>
      </c>
    </row>
    <row r="86" spans="1:13" ht="21" customHeight="1">
      <c r="A86" s="1" t="s">
        <v>267</v>
      </c>
      <c r="B86" s="13">
        <v>424884.23286074068</v>
      </c>
      <c r="C86" s="13">
        <v>8432396.7253344543</v>
      </c>
      <c r="D86" s="13">
        <v>3674.7234680681731</v>
      </c>
      <c r="E86" s="13">
        <v>13</v>
      </c>
      <c r="F86" s="13">
        <v>1.9</v>
      </c>
      <c r="G86" s="13">
        <v>10.6</v>
      </c>
      <c r="H86" s="13">
        <v>21.810718193323019</v>
      </c>
      <c r="I86" s="9" t="s">
        <v>448</v>
      </c>
      <c r="J86" s="6">
        <f t="shared" si="2"/>
        <v>2</v>
      </c>
      <c r="K86" s="6">
        <f>1</f>
        <v>1</v>
      </c>
      <c r="L86" s="6">
        <f>1</f>
        <v>1</v>
      </c>
      <c r="M86" s="12">
        <f>J86*Parametros!$E$5*Parametros!$E$6</f>
        <v>12</v>
      </c>
    </row>
    <row r="87" spans="1:13" ht="21" customHeight="1">
      <c r="A87" s="1" t="s">
        <v>268</v>
      </c>
      <c r="B87" s="13">
        <v>424819.56146531919</v>
      </c>
      <c r="C87" s="13">
        <v>8432349.6180891339</v>
      </c>
      <c r="D87" s="13">
        <v>3684.9362869523638</v>
      </c>
      <c r="E87" s="13">
        <v>13</v>
      </c>
      <c r="F87" s="13">
        <v>1.9</v>
      </c>
      <c r="G87" s="13">
        <v>10.6</v>
      </c>
      <c r="H87" s="13">
        <v>0</v>
      </c>
      <c r="I87" s="9" t="s">
        <v>446</v>
      </c>
      <c r="J87" s="6">
        <f t="shared" si="2"/>
        <v>0</v>
      </c>
      <c r="K87" s="6">
        <f>1</f>
        <v>1</v>
      </c>
      <c r="L87" s="6">
        <f>1</f>
        <v>1</v>
      </c>
      <c r="M87" s="12">
        <f>J87*Parametros!$E$5*Parametros!$E$6</f>
        <v>0</v>
      </c>
    </row>
    <row r="88" spans="1:13" ht="21" customHeight="1">
      <c r="A88" s="1" t="s">
        <v>269</v>
      </c>
      <c r="B88" s="13">
        <v>424754.89006989769</v>
      </c>
      <c r="C88" s="13">
        <v>8432302.5108438116</v>
      </c>
      <c r="D88" s="13">
        <v>3689.2066971866238</v>
      </c>
      <c r="E88" s="13">
        <v>13</v>
      </c>
      <c r="F88" s="13">
        <v>1.9</v>
      </c>
      <c r="G88" s="13">
        <v>10.6</v>
      </c>
      <c r="H88" s="13">
        <v>0</v>
      </c>
      <c r="I88" s="9" t="s">
        <v>449</v>
      </c>
      <c r="J88" s="6">
        <f t="shared" si="2"/>
        <v>2</v>
      </c>
      <c r="K88" s="6">
        <f>1</f>
        <v>1</v>
      </c>
      <c r="L88" s="6">
        <f>1</f>
        <v>1</v>
      </c>
      <c r="M88" s="12">
        <f>J88*Parametros!$E$5*Parametros!$E$6</f>
        <v>12</v>
      </c>
    </row>
    <row r="89" spans="1:13" ht="21" customHeight="1">
      <c r="A89" s="1" t="s">
        <v>270</v>
      </c>
      <c r="B89" s="13">
        <v>424690.2186744762</v>
      </c>
      <c r="C89" s="13">
        <v>8432255.4035984911</v>
      </c>
      <c r="D89" s="13">
        <v>3699.6808937411392</v>
      </c>
      <c r="E89" s="13">
        <v>13</v>
      </c>
      <c r="F89" s="13">
        <v>1.9</v>
      </c>
      <c r="G89" s="13">
        <v>10.6</v>
      </c>
      <c r="H89" s="13">
        <v>12.487864933509675</v>
      </c>
      <c r="I89" s="9" t="s">
        <v>448</v>
      </c>
      <c r="J89" s="6">
        <f t="shared" si="2"/>
        <v>2</v>
      </c>
      <c r="K89" s="6">
        <f>1</f>
        <v>1</v>
      </c>
      <c r="L89" s="6">
        <f>1</f>
        <v>1</v>
      </c>
      <c r="M89" s="12">
        <f>J89*Parametros!$E$5*Parametros!$E$6</f>
        <v>12</v>
      </c>
    </row>
    <row r="90" spans="1:13" ht="21" customHeight="1">
      <c r="A90" s="1" t="s">
        <v>271</v>
      </c>
      <c r="B90" s="13">
        <v>424641.06666112383</v>
      </c>
      <c r="C90" s="13">
        <v>8432199.7342779562</v>
      </c>
      <c r="D90" s="13">
        <v>3708.0891795472976</v>
      </c>
      <c r="E90" s="13">
        <v>13</v>
      </c>
      <c r="F90" s="13">
        <v>1.9</v>
      </c>
      <c r="G90" s="13">
        <v>10.6</v>
      </c>
      <c r="H90" s="13">
        <v>0</v>
      </c>
      <c r="I90" s="9" t="s">
        <v>446</v>
      </c>
      <c r="J90" s="6">
        <f t="shared" si="2"/>
        <v>0</v>
      </c>
      <c r="K90" s="6">
        <f>1</f>
        <v>1</v>
      </c>
      <c r="L90" s="6">
        <f>1</f>
        <v>1</v>
      </c>
      <c r="M90" s="12">
        <f>J90*Parametros!$E$5*Parametros!$E$6</f>
        <v>0</v>
      </c>
    </row>
    <row r="91" spans="1:13" ht="21" customHeight="1">
      <c r="A91" s="1" t="s">
        <v>272</v>
      </c>
      <c r="B91" s="13">
        <v>424591.91464777139</v>
      </c>
      <c r="C91" s="13">
        <v>8432144.0649574194</v>
      </c>
      <c r="D91" s="13">
        <v>3715.4127055486679</v>
      </c>
      <c r="E91" s="13">
        <v>13</v>
      </c>
      <c r="F91" s="13">
        <v>1.9</v>
      </c>
      <c r="G91" s="13">
        <v>10.6</v>
      </c>
      <c r="H91" s="13">
        <v>0</v>
      </c>
      <c r="I91" s="9" t="s">
        <v>449</v>
      </c>
      <c r="J91" s="6">
        <f t="shared" si="2"/>
        <v>2</v>
      </c>
      <c r="K91" s="6">
        <f>1</f>
        <v>1</v>
      </c>
      <c r="L91" s="6">
        <f>1</f>
        <v>1</v>
      </c>
      <c r="M91" s="12">
        <f>J91*Parametros!$E$5*Parametros!$E$6</f>
        <v>12</v>
      </c>
    </row>
    <row r="92" spans="1:13" ht="21" customHeight="1">
      <c r="A92" s="1" t="s">
        <v>273</v>
      </c>
      <c r="B92" s="13">
        <v>424542.76263441902</v>
      </c>
      <c r="C92" s="13">
        <v>8432088.3956368845</v>
      </c>
      <c r="D92" s="13">
        <v>3727.6668650821666</v>
      </c>
      <c r="E92" s="13">
        <v>13</v>
      </c>
      <c r="F92" s="13">
        <v>1.9</v>
      </c>
      <c r="G92" s="13">
        <v>10.6</v>
      </c>
      <c r="H92" s="13">
        <v>27.828965935209052</v>
      </c>
      <c r="I92" s="9" t="s">
        <v>448</v>
      </c>
      <c r="J92" s="6">
        <f t="shared" si="2"/>
        <v>2</v>
      </c>
      <c r="K92" s="6">
        <f>1</f>
        <v>1</v>
      </c>
      <c r="L92" s="6">
        <f>1</f>
        <v>1</v>
      </c>
      <c r="M92" s="12">
        <f>J92*Parametros!$E$5*Parametros!$E$6</f>
        <v>12</v>
      </c>
    </row>
    <row r="93" spans="1:13" ht="21" customHeight="1">
      <c r="A93" s="1" t="s">
        <v>274</v>
      </c>
      <c r="B93" s="13">
        <v>424534.04980394035</v>
      </c>
      <c r="C93" s="13">
        <v>8432052.4174541738</v>
      </c>
      <c r="D93" s="13">
        <v>3723.8424792505839</v>
      </c>
      <c r="E93" s="13">
        <v>13</v>
      </c>
      <c r="F93" s="13">
        <v>1.9</v>
      </c>
      <c r="G93" s="13">
        <v>10.6</v>
      </c>
      <c r="H93" s="13">
        <v>22.765532883567303</v>
      </c>
      <c r="I93" s="9" t="s">
        <v>448</v>
      </c>
      <c r="J93" s="6">
        <f t="shared" si="2"/>
        <v>2</v>
      </c>
      <c r="K93" s="6">
        <f>1</f>
        <v>1</v>
      </c>
      <c r="L93" s="6">
        <f>1</f>
        <v>1</v>
      </c>
      <c r="M93" s="12">
        <f>J93*Parametros!$E$5*Parametros!$E$6</f>
        <v>12</v>
      </c>
    </row>
    <row r="94" spans="1:13" ht="21" customHeight="1">
      <c r="A94" s="1" t="s">
        <v>275</v>
      </c>
      <c r="B94" s="13">
        <v>424545.29453148227</v>
      </c>
      <c r="C94" s="13">
        <v>8431982.622339787</v>
      </c>
      <c r="D94" s="13">
        <v>3721.8602734583455</v>
      </c>
      <c r="E94" s="13">
        <v>13</v>
      </c>
      <c r="F94" s="13">
        <v>1.9</v>
      </c>
      <c r="G94" s="13">
        <v>10.6</v>
      </c>
      <c r="H94" s="13">
        <v>37.564224795703055</v>
      </c>
      <c r="I94" s="9" t="s">
        <v>447</v>
      </c>
      <c r="J94" s="6">
        <f t="shared" si="2"/>
        <v>2</v>
      </c>
      <c r="K94" s="6">
        <f>1</f>
        <v>1</v>
      </c>
      <c r="L94" s="6">
        <f>1</f>
        <v>1</v>
      </c>
      <c r="M94" s="12">
        <f>J94*Parametros!$E$5*Parametros!$E$6</f>
        <v>12</v>
      </c>
    </row>
    <row r="95" spans="1:13" ht="21" customHeight="1">
      <c r="A95" s="1" t="s">
        <v>276</v>
      </c>
      <c r="B95" s="13">
        <v>424518.93086513737</v>
      </c>
      <c r="C95" s="13">
        <v>8431933.8879919574</v>
      </c>
      <c r="D95" s="13">
        <v>3730.0481419375806</v>
      </c>
      <c r="E95" s="13">
        <v>13</v>
      </c>
      <c r="F95" s="13">
        <v>1.9</v>
      </c>
      <c r="G95" s="13">
        <v>10.6</v>
      </c>
      <c r="H95" s="13">
        <v>0</v>
      </c>
      <c r="I95" s="9" t="s">
        <v>446</v>
      </c>
      <c r="J95" s="6">
        <f t="shared" si="2"/>
        <v>0</v>
      </c>
      <c r="K95" s="6">
        <f>1</f>
        <v>1</v>
      </c>
      <c r="L95" s="6">
        <f>1</f>
        <v>1</v>
      </c>
      <c r="M95" s="12">
        <f>J95*Parametros!$E$5*Parametros!$E$6</f>
        <v>0</v>
      </c>
    </row>
    <row r="96" spans="1:13" ht="21" customHeight="1">
      <c r="A96" s="1" t="s">
        <v>277</v>
      </c>
      <c r="B96" s="13">
        <v>424492.56719879253</v>
      </c>
      <c r="C96" s="13">
        <v>8431885.1536441278</v>
      </c>
      <c r="D96" s="13">
        <v>3737.006878534055</v>
      </c>
      <c r="E96" s="13">
        <v>15</v>
      </c>
      <c r="F96" s="13">
        <v>2.1</v>
      </c>
      <c r="G96" s="13">
        <v>12.4</v>
      </c>
      <c r="H96" s="13">
        <v>27.203368811068597</v>
      </c>
      <c r="I96" s="9" t="s">
        <v>448</v>
      </c>
      <c r="J96" s="6">
        <f t="shared" si="2"/>
        <v>2</v>
      </c>
      <c r="K96" s="6">
        <f>1</f>
        <v>1</v>
      </c>
      <c r="L96" s="6">
        <f>1</f>
        <v>1</v>
      </c>
      <c r="M96" s="12">
        <f>J96*Parametros!$E$5*Parametros!$E$6</f>
        <v>12</v>
      </c>
    </row>
    <row r="97" spans="1:13" ht="21" customHeight="1">
      <c r="A97" s="1" t="s">
        <v>278</v>
      </c>
      <c r="B97" s="13">
        <v>424491.23384793533</v>
      </c>
      <c r="C97" s="13">
        <v>8431821.9505755957</v>
      </c>
      <c r="D97" s="13">
        <v>3740.6542898967427</v>
      </c>
      <c r="E97" s="13">
        <v>15</v>
      </c>
      <c r="F97" s="13">
        <v>2.1</v>
      </c>
      <c r="G97" s="13">
        <v>12.4</v>
      </c>
      <c r="H97" s="13">
        <v>33.615485704043536</v>
      </c>
      <c r="I97" s="9" t="s">
        <v>447</v>
      </c>
      <c r="J97" s="6">
        <f t="shared" si="2"/>
        <v>2</v>
      </c>
      <c r="K97" s="6">
        <f>1</f>
        <v>1</v>
      </c>
      <c r="L97" s="6">
        <f>1</f>
        <v>1</v>
      </c>
      <c r="M97" s="12">
        <f>J97*Parametros!$E$5*Parametros!$E$6</f>
        <v>12</v>
      </c>
    </row>
    <row r="98" spans="1:13" ht="21" customHeight="1">
      <c r="A98" s="1" t="s">
        <v>279</v>
      </c>
      <c r="B98" s="13">
        <v>424515.39844688849</v>
      </c>
      <c r="C98" s="13">
        <v>8431783.8834473062</v>
      </c>
      <c r="D98" s="13">
        <v>3738.1882255937103</v>
      </c>
      <c r="E98" s="13">
        <v>13</v>
      </c>
      <c r="F98" s="13">
        <v>1.9</v>
      </c>
      <c r="G98" s="13">
        <v>10.6</v>
      </c>
      <c r="H98" s="13">
        <v>41.856975708589729</v>
      </c>
      <c r="I98" s="9" t="s">
        <v>447</v>
      </c>
      <c r="J98" s="6">
        <f t="shared" si="2"/>
        <v>2</v>
      </c>
      <c r="K98" s="6">
        <f>1</f>
        <v>1</v>
      </c>
      <c r="L98" s="6">
        <f>1</f>
        <v>1</v>
      </c>
      <c r="M98" s="12">
        <f>J98*Parametros!$E$5*Parametros!$E$6</f>
        <v>12</v>
      </c>
    </row>
    <row r="99" spans="1:13" ht="21" customHeight="1">
      <c r="A99" s="1" t="s">
        <v>280</v>
      </c>
      <c r="B99" s="13">
        <v>424506.79641887575</v>
      </c>
      <c r="C99" s="13">
        <v>8431732.2029624246</v>
      </c>
      <c r="D99" s="13">
        <v>3739.6123895805531</v>
      </c>
      <c r="E99" s="13">
        <v>13</v>
      </c>
      <c r="F99" s="13">
        <v>1.9</v>
      </c>
      <c r="G99" s="13">
        <v>10.6</v>
      </c>
      <c r="H99" s="13">
        <v>71.008550494088709</v>
      </c>
      <c r="I99" s="9" t="s">
        <v>447</v>
      </c>
      <c r="J99" s="6">
        <f t="shared" si="2"/>
        <v>2</v>
      </c>
      <c r="K99" s="6">
        <f>1</f>
        <v>1</v>
      </c>
      <c r="L99" s="6">
        <f>1</f>
        <v>1</v>
      </c>
      <c r="M99" s="12">
        <f>J99*Parametros!$E$5*Parametros!$E$6</f>
        <v>12</v>
      </c>
    </row>
    <row r="100" spans="1:13" ht="21" customHeight="1">
      <c r="A100" s="1" t="s">
        <v>281</v>
      </c>
      <c r="B100" s="13">
        <v>424459.20904710278</v>
      </c>
      <c r="C100" s="13">
        <v>8431724.2042068448</v>
      </c>
      <c r="D100" s="13">
        <v>3747.5249699813644</v>
      </c>
      <c r="E100" s="13">
        <v>13</v>
      </c>
      <c r="F100" s="13">
        <v>1.9</v>
      </c>
      <c r="G100" s="13">
        <v>10.6</v>
      </c>
      <c r="H100" s="13">
        <v>36.948844959400454</v>
      </c>
      <c r="I100" s="9" t="s">
        <v>447</v>
      </c>
      <c r="J100" s="6">
        <f t="shared" si="2"/>
        <v>2</v>
      </c>
      <c r="K100" s="6">
        <f>1</f>
        <v>1</v>
      </c>
      <c r="L100" s="6">
        <f>1</f>
        <v>1</v>
      </c>
      <c r="M100" s="12">
        <f>J100*Parametros!$E$5*Parametros!$E$6</f>
        <v>12</v>
      </c>
    </row>
    <row r="101" spans="1:13" ht="21" customHeight="1">
      <c r="A101" s="1" t="s">
        <v>282</v>
      </c>
      <c r="B101" s="13">
        <v>424425.22569916979</v>
      </c>
      <c r="C101" s="13">
        <v>8431688.4054266009</v>
      </c>
      <c r="D101" s="13">
        <v>3754.5948171375662</v>
      </c>
      <c r="E101" s="13">
        <v>13</v>
      </c>
      <c r="F101" s="13">
        <v>1.9</v>
      </c>
      <c r="G101" s="13">
        <v>10.6</v>
      </c>
      <c r="H101" s="13">
        <v>21.122760513792688</v>
      </c>
      <c r="I101" s="9" t="s">
        <v>448</v>
      </c>
      <c r="J101" s="6">
        <f t="shared" si="2"/>
        <v>2</v>
      </c>
      <c r="K101" s="6">
        <f>1</f>
        <v>1</v>
      </c>
      <c r="L101" s="6">
        <f>1</f>
        <v>1</v>
      </c>
      <c r="M101" s="12">
        <f>J101*Parametros!$E$5*Parametros!$E$6</f>
        <v>12</v>
      </c>
    </row>
    <row r="102" spans="1:13" ht="21" customHeight="1">
      <c r="A102" s="1" t="s">
        <v>283</v>
      </c>
      <c r="B102" s="13">
        <v>424397.89416603412</v>
      </c>
      <c r="C102" s="13">
        <v>8431622.0513782799</v>
      </c>
      <c r="D102" s="13">
        <v>3758.4170389002411</v>
      </c>
      <c r="E102" s="13">
        <v>15</v>
      </c>
      <c r="F102" s="13">
        <v>2.1</v>
      </c>
      <c r="G102" s="13">
        <v>12.4</v>
      </c>
      <c r="H102" s="13">
        <v>0</v>
      </c>
      <c r="I102" s="9" t="s">
        <v>446</v>
      </c>
      <c r="J102" s="6">
        <f t="shared" si="2"/>
        <v>0</v>
      </c>
      <c r="K102" s="6">
        <f>1</f>
        <v>1</v>
      </c>
      <c r="L102" s="6">
        <f>1</f>
        <v>1</v>
      </c>
      <c r="M102" s="12">
        <f>J102*Parametros!$E$5*Parametros!$E$6</f>
        <v>0</v>
      </c>
    </row>
    <row r="103" spans="1:13" ht="21" customHeight="1">
      <c r="A103" s="1" t="s">
        <v>284</v>
      </c>
      <c r="B103" s="13">
        <v>424370.56263289845</v>
      </c>
      <c r="C103" s="13">
        <v>8431555.6973299608</v>
      </c>
      <c r="D103" s="13">
        <v>3756.3324575783313</v>
      </c>
      <c r="E103" s="13">
        <v>15</v>
      </c>
      <c r="F103" s="13">
        <v>2.1</v>
      </c>
      <c r="G103" s="13">
        <v>12.4</v>
      </c>
      <c r="H103" s="13">
        <v>0</v>
      </c>
      <c r="I103" s="9" t="s">
        <v>446</v>
      </c>
      <c r="J103" s="6">
        <f t="shared" ref="J103:J134" si="3">IF(I103="SUSPENSION",0,IF(I103="TERMINAL",1,2))</f>
        <v>0</v>
      </c>
      <c r="K103" s="6">
        <f>1</f>
        <v>1</v>
      </c>
      <c r="L103" s="6">
        <f>1</f>
        <v>1</v>
      </c>
      <c r="M103" s="12">
        <f>J103*Parametros!$E$5*Parametros!$E$6</f>
        <v>0</v>
      </c>
    </row>
    <row r="104" spans="1:13" ht="21" customHeight="1">
      <c r="A104" s="1" t="s">
        <v>285</v>
      </c>
      <c r="B104" s="13">
        <v>424343.23109976284</v>
      </c>
      <c r="C104" s="13">
        <v>8431489.3432816397</v>
      </c>
      <c r="D104" s="13">
        <v>3750.256108507946</v>
      </c>
      <c r="E104" s="13">
        <v>13</v>
      </c>
      <c r="F104" s="13">
        <v>1.9</v>
      </c>
      <c r="G104" s="13">
        <v>10.6</v>
      </c>
      <c r="H104" s="13">
        <v>0</v>
      </c>
      <c r="I104" s="9" t="s">
        <v>449</v>
      </c>
      <c r="J104" s="6">
        <f t="shared" si="3"/>
        <v>2</v>
      </c>
      <c r="K104" s="6">
        <f>1</f>
        <v>1</v>
      </c>
      <c r="L104" s="6">
        <f>1</f>
        <v>1</v>
      </c>
      <c r="M104" s="12">
        <f>J104*Parametros!$E$5*Parametros!$E$6</f>
        <v>12</v>
      </c>
    </row>
    <row r="105" spans="1:13" ht="21" customHeight="1">
      <c r="A105" s="1" t="s">
        <v>286</v>
      </c>
      <c r="B105" s="13">
        <v>424315.89956662717</v>
      </c>
      <c r="C105" s="13">
        <v>8431422.9892333206</v>
      </c>
      <c r="D105" s="13">
        <v>3760.2646548450334</v>
      </c>
      <c r="E105" s="13">
        <v>15</v>
      </c>
      <c r="F105" s="13">
        <v>2.1</v>
      </c>
      <c r="G105" s="13">
        <v>12.4</v>
      </c>
      <c r="H105" s="13">
        <v>0</v>
      </c>
      <c r="I105" s="9" t="s">
        <v>446</v>
      </c>
      <c r="J105" s="6">
        <f t="shared" si="3"/>
        <v>0</v>
      </c>
      <c r="K105" s="6">
        <f>1</f>
        <v>1</v>
      </c>
      <c r="L105" s="6">
        <f>1</f>
        <v>1</v>
      </c>
      <c r="M105" s="12">
        <f>J105*Parametros!$E$5*Parametros!$E$6</f>
        <v>0</v>
      </c>
    </row>
    <row r="106" spans="1:13" ht="21" customHeight="1">
      <c r="A106" s="1" t="s">
        <v>287</v>
      </c>
      <c r="B106" s="13">
        <v>424288.56803349149</v>
      </c>
      <c r="C106" s="13">
        <v>8431356.6351849996</v>
      </c>
      <c r="D106" s="13">
        <v>3758.5860630359057</v>
      </c>
      <c r="E106" s="13">
        <v>15</v>
      </c>
      <c r="F106" s="13">
        <v>2.1</v>
      </c>
      <c r="G106" s="13">
        <v>12.4</v>
      </c>
      <c r="H106" s="13">
        <v>27.579404977836727</v>
      </c>
      <c r="I106" s="9" t="s">
        <v>448</v>
      </c>
      <c r="J106" s="6">
        <f t="shared" si="3"/>
        <v>2</v>
      </c>
      <c r="K106" s="6">
        <f>1</f>
        <v>1</v>
      </c>
      <c r="L106" s="6">
        <f>1</f>
        <v>1</v>
      </c>
      <c r="M106" s="12">
        <f>J106*Parametros!$E$5*Parametros!$E$6</f>
        <v>12</v>
      </c>
    </row>
    <row r="107" spans="1:13" ht="21" customHeight="1">
      <c r="A107" s="1" t="s">
        <v>288</v>
      </c>
      <c r="B107" s="13">
        <v>424253.70236987981</v>
      </c>
      <c r="C107" s="13">
        <v>8431327.3445493393</v>
      </c>
      <c r="D107" s="13">
        <v>3764.4393251157717</v>
      </c>
      <c r="E107" s="13">
        <v>13</v>
      </c>
      <c r="F107" s="13">
        <v>1.9</v>
      </c>
      <c r="G107" s="13">
        <v>10.6</v>
      </c>
      <c r="H107" s="13">
        <v>0</v>
      </c>
      <c r="I107" s="9" t="s">
        <v>446</v>
      </c>
      <c r="J107" s="6">
        <f t="shared" si="3"/>
        <v>0</v>
      </c>
      <c r="K107" s="6">
        <f>1</f>
        <v>1</v>
      </c>
      <c r="L107" s="6">
        <f>1</f>
        <v>1</v>
      </c>
      <c r="M107" s="12">
        <f>J107*Parametros!$E$5*Parametros!$E$6</f>
        <v>0</v>
      </c>
    </row>
    <row r="108" spans="1:13" ht="21" customHeight="1">
      <c r="A108" s="1" t="s">
        <v>289</v>
      </c>
      <c r="B108" s="13">
        <v>424218.83670626814</v>
      </c>
      <c r="C108" s="13">
        <v>8431298.053913679</v>
      </c>
      <c r="D108" s="13">
        <v>3762.0947769405875</v>
      </c>
      <c r="E108" s="13">
        <v>13</v>
      </c>
      <c r="F108" s="13">
        <v>1.9</v>
      </c>
      <c r="G108" s="13">
        <v>10.6</v>
      </c>
      <c r="H108" s="13">
        <v>15.817544490560049</v>
      </c>
      <c r="I108" s="9" t="s">
        <v>448</v>
      </c>
      <c r="J108" s="6">
        <f t="shared" si="3"/>
        <v>2</v>
      </c>
      <c r="K108" s="6">
        <f>1</f>
        <v>1</v>
      </c>
      <c r="L108" s="6">
        <f>1</f>
        <v>1</v>
      </c>
      <c r="M108" s="12">
        <f>J108*Parametros!$E$5*Parametros!$E$6</f>
        <v>12</v>
      </c>
    </row>
    <row r="109" spans="1:13" ht="21" customHeight="1">
      <c r="A109" s="1" t="s">
        <v>290</v>
      </c>
      <c r="B109" s="13">
        <v>424175.0795029453</v>
      </c>
      <c r="C109" s="13">
        <v>8431278.3738971278</v>
      </c>
      <c r="D109" s="13">
        <v>3770.4665273626215</v>
      </c>
      <c r="E109" s="13">
        <v>13</v>
      </c>
      <c r="F109" s="13">
        <v>1.9</v>
      </c>
      <c r="G109" s="13">
        <v>10.6</v>
      </c>
      <c r="H109" s="13">
        <v>0</v>
      </c>
      <c r="I109" s="9" t="s">
        <v>446</v>
      </c>
      <c r="J109" s="6">
        <f t="shared" si="3"/>
        <v>0</v>
      </c>
      <c r="K109" s="6">
        <f>1</f>
        <v>1</v>
      </c>
      <c r="L109" s="6">
        <f>1</f>
        <v>1</v>
      </c>
      <c r="M109" s="12">
        <f>J109*Parametros!$E$5*Parametros!$E$6</f>
        <v>0</v>
      </c>
    </row>
    <row r="110" spans="1:13" ht="21" customHeight="1">
      <c r="A110" s="1" t="s">
        <v>291</v>
      </c>
      <c r="B110" s="13">
        <v>424131.32229962246</v>
      </c>
      <c r="C110" s="13">
        <v>8431258.6938805785</v>
      </c>
      <c r="D110" s="13">
        <v>3771.4102875829267</v>
      </c>
      <c r="E110" s="13">
        <v>13</v>
      </c>
      <c r="F110" s="13">
        <v>1.9</v>
      </c>
      <c r="G110" s="13">
        <v>10.6</v>
      </c>
      <c r="H110" s="13">
        <v>19.821554534501018</v>
      </c>
      <c r="I110" s="9" t="s">
        <v>448</v>
      </c>
      <c r="J110" s="6">
        <f t="shared" si="3"/>
        <v>2</v>
      </c>
      <c r="K110" s="6">
        <f>1</f>
        <v>1</v>
      </c>
      <c r="L110" s="6">
        <f>1</f>
        <v>1</v>
      </c>
      <c r="M110" s="12">
        <f>J110*Parametros!$E$5*Parametros!$E$6</f>
        <v>12</v>
      </c>
    </row>
    <row r="111" spans="1:13" ht="21" customHeight="1">
      <c r="A111" s="1" t="s">
        <v>292</v>
      </c>
      <c r="B111" s="13">
        <v>424075.52620313031</v>
      </c>
      <c r="C111" s="13">
        <v>8431204.7413710952</v>
      </c>
      <c r="D111" s="13">
        <v>3763.617592327586</v>
      </c>
      <c r="E111" s="13">
        <v>13</v>
      </c>
      <c r="F111" s="13">
        <v>1.9</v>
      </c>
      <c r="G111" s="13">
        <v>10.6</v>
      </c>
      <c r="H111" s="13">
        <v>8.5377364625159387E-7</v>
      </c>
      <c r="I111" s="9" t="s">
        <v>446</v>
      </c>
      <c r="J111" s="6">
        <f t="shared" si="3"/>
        <v>0</v>
      </c>
      <c r="K111" s="6">
        <f>1</f>
        <v>1</v>
      </c>
      <c r="L111" s="6">
        <f>1</f>
        <v>1</v>
      </c>
      <c r="M111" s="12">
        <f>J111*Parametros!$E$5*Parametros!$E$6</f>
        <v>0</v>
      </c>
    </row>
    <row r="112" spans="1:13" ht="21" customHeight="1">
      <c r="A112" s="1" t="s">
        <v>293</v>
      </c>
      <c r="B112" s="13">
        <v>424019.73010663816</v>
      </c>
      <c r="C112" s="13">
        <v>8431150.78886161</v>
      </c>
      <c r="D112" s="13">
        <v>3758.4738690794829</v>
      </c>
      <c r="E112" s="13">
        <v>13</v>
      </c>
      <c r="F112" s="13">
        <v>1.9</v>
      </c>
      <c r="G112" s="13">
        <v>10.6</v>
      </c>
      <c r="H112" s="13">
        <v>18.408623916005617</v>
      </c>
      <c r="I112" s="9" t="s">
        <v>448</v>
      </c>
      <c r="J112" s="6">
        <f t="shared" si="3"/>
        <v>2</v>
      </c>
      <c r="K112" s="6">
        <f>1</f>
        <v>1</v>
      </c>
      <c r="L112" s="6">
        <f>1</f>
        <v>1</v>
      </c>
      <c r="M112" s="12">
        <f>J112*Parametros!$E$5*Parametros!$E$6</f>
        <v>12</v>
      </c>
    </row>
    <row r="113" spans="1:13" ht="21" customHeight="1">
      <c r="A113" s="1" t="s">
        <v>294</v>
      </c>
      <c r="B113" s="13">
        <v>423992.6227964469</v>
      </c>
      <c r="C113" s="13">
        <v>8431098.835271256</v>
      </c>
      <c r="D113" s="13">
        <v>3758.7368793586434</v>
      </c>
      <c r="E113" s="13">
        <v>13</v>
      </c>
      <c r="F113" s="13">
        <v>1.9</v>
      </c>
      <c r="G113" s="13">
        <v>10.6</v>
      </c>
      <c r="H113" s="13">
        <v>0</v>
      </c>
      <c r="I113" s="9" t="s">
        <v>449</v>
      </c>
      <c r="J113" s="6">
        <f t="shared" si="3"/>
        <v>2</v>
      </c>
      <c r="K113" s="6">
        <f>1</f>
        <v>1</v>
      </c>
      <c r="L113" s="6">
        <f>1</f>
        <v>1</v>
      </c>
      <c r="M113" s="12">
        <f>J113*Parametros!$E$5*Parametros!$E$6</f>
        <v>12</v>
      </c>
    </row>
    <row r="114" spans="1:13" ht="21" customHeight="1">
      <c r="A114" s="1" t="s">
        <v>295</v>
      </c>
      <c r="B114" s="13">
        <v>423965.51548625564</v>
      </c>
      <c r="C114" s="13">
        <v>8431046.8816809021</v>
      </c>
      <c r="D114" s="13">
        <v>3763.5347842252786</v>
      </c>
      <c r="E114" s="13">
        <v>13</v>
      </c>
      <c r="F114" s="13">
        <v>1.9</v>
      </c>
      <c r="G114" s="13">
        <v>10.6</v>
      </c>
      <c r="H114" s="13">
        <v>35.104305646520835</v>
      </c>
      <c r="I114" s="9" t="s">
        <v>447</v>
      </c>
      <c r="J114" s="6">
        <f t="shared" si="3"/>
        <v>2</v>
      </c>
      <c r="K114" s="6">
        <f>1</f>
        <v>1</v>
      </c>
      <c r="L114" s="6">
        <f>1</f>
        <v>1</v>
      </c>
      <c r="M114" s="12">
        <f>J114*Parametros!$E$5*Parametros!$E$6</f>
        <v>12</v>
      </c>
    </row>
    <row r="115" spans="1:13" ht="21" customHeight="1">
      <c r="A115" s="1" t="s">
        <v>296</v>
      </c>
      <c r="B115" s="13">
        <v>423971.29191568104</v>
      </c>
      <c r="C115" s="13">
        <v>8431003.3024837077</v>
      </c>
      <c r="D115" s="13">
        <v>3759.5291475761578</v>
      </c>
      <c r="E115" s="13">
        <v>13</v>
      </c>
      <c r="F115" s="13">
        <v>1.9</v>
      </c>
      <c r="G115" s="13">
        <v>10.6</v>
      </c>
      <c r="H115" s="13">
        <v>37.283869715807135</v>
      </c>
      <c r="I115" s="9" t="s">
        <v>447</v>
      </c>
      <c r="J115" s="6">
        <f t="shared" si="3"/>
        <v>2</v>
      </c>
      <c r="K115" s="6">
        <f>1</f>
        <v>1</v>
      </c>
      <c r="L115" s="6">
        <f>1</f>
        <v>1</v>
      </c>
      <c r="M115" s="12">
        <f>J115*Parametros!$E$5*Parametros!$E$6</f>
        <v>12</v>
      </c>
    </row>
    <row r="116" spans="1:13" ht="21" customHeight="1">
      <c r="A116" s="1" t="s">
        <v>297</v>
      </c>
      <c r="B116" s="13">
        <v>423952.39715311577</v>
      </c>
      <c r="C116" s="13">
        <v>8430970.2211545967</v>
      </c>
      <c r="D116" s="13">
        <v>3759.9286245307594</v>
      </c>
      <c r="E116" s="13">
        <v>13</v>
      </c>
      <c r="F116" s="13">
        <v>1.9</v>
      </c>
      <c r="G116" s="13">
        <v>10.6</v>
      </c>
      <c r="H116" s="13">
        <v>8.332159727981848</v>
      </c>
      <c r="I116" s="9" t="s">
        <v>448</v>
      </c>
      <c r="J116" s="6">
        <f t="shared" si="3"/>
        <v>2</v>
      </c>
      <c r="K116" s="6">
        <f>1</f>
        <v>1</v>
      </c>
      <c r="L116" s="6">
        <f>1</f>
        <v>1</v>
      </c>
      <c r="M116" s="12">
        <f>J116*Parametros!$E$5*Parametros!$E$6</f>
        <v>12</v>
      </c>
    </row>
    <row r="117" spans="1:13" ht="21" customHeight="1">
      <c r="A117" s="1" t="s">
        <v>298</v>
      </c>
      <c r="B117" s="13">
        <v>423945.20799878985</v>
      </c>
      <c r="C117" s="13">
        <v>8430951.8776881471</v>
      </c>
      <c r="D117" s="13">
        <v>3760.897252147387</v>
      </c>
      <c r="E117" s="13">
        <v>13</v>
      </c>
      <c r="F117" s="13">
        <v>1.9</v>
      </c>
      <c r="G117" s="13">
        <v>10.6</v>
      </c>
      <c r="H117" s="13">
        <v>0</v>
      </c>
      <c r="I117" s="9" t="s">
        <v>445</v>
      </c>
      <c r="J117" s="6">
        <f t="shared" si="3"/>
        <v>1</v>
      </c>
      <c r="K117" s="6">
        <f>1</f>
        <v>1</v>
      </c>
      <c r="L117" s="6">
        <f>1</f>
        <v>1</v>
      </c>
      <c r="M117" s="12">
        <f>J117*Parametros!$E$5*Parametros!$E$6</f>
        <v>6</v>
      </c>
    </row>
    <row r="118" spans="1:13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</sheetData>
  <dataValidations count="1">
    <dataValidation type="list" sqref="I7:I117" xr:uid="{00000000-0002-0000-0700-000000000000}">
      <formula1>"SUSPENSION,ANGULO,ANCLAJE,ANCLAJE_PROPUESTO,TERMINAL"</formula1>
    </dataValidation>
  </dataValidations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40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/>
    </sheetView>
  </sheetViews>
  <sheetFormatPr baseColWidth="10" defaultColWidth="9" defaultRowHeight="14.25"/>
  <cols>
    <col min="1" max="1" width="9" customWidth="1"/>
    <col min="2" max="3" width="10" customWidth="1"/>
    <col min="4" max="7" width="14" customWidth="1"/>
    <col min="8" max="8" width="16" customWidth="1"/>
    <col min="9" max="12" width="14" customWidth="1"/>
    <col min="13" max="14" width="17" customWidth="1"/>
  </cols>
  <sheetData>
    <row r="1" spans="1:14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customHeight="1">
      <c r="A2" s="2" t="s">
        <v>450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6" customHeight="1">
      <c r="A6" s="4" t="s">
        <v>301</v>
      </c>
      <c r="B6" s="4" t="s">
        <v>451</v>
      </c>
      <c r="C6" s="4" t="s">
        <v>452</v>
      </c>
      <c r="D6" s="4" t="s">
        <v>453</v>
      </c>
      <c r="E6" s="4" t="s">
        <v>454</v>
      </c>
      <c r="F6" s="4" t="s">
        <v>455</v>
      </c>
      <c r="G6" s="4" t="s">
        <v>308</v>
      </c>
      <c r="H6" s="4" t="s">
        <v>456</v>
      </c>
      <c r="I6" s="4" t="s">
        <v>457</v>
      </c>
      <c r="J6" s="4" t="s">
        <v>312</v>
      </c>
      <c r="K6" s="4" t="s">
        <v>458</v>
      </c>
      <c r="L6" s="4" t="s">
        <v>459</v>
      </c>
      <c r="M6" s="4" t="s">
        <v>460</v>
      </c>
      <c r="N6" s="4" t="s">
        <v>461</v>
      </c>
    </row>
    <row r="7" spans="1:14" ht="21" customHeight="1">
      <c r="A7" s="1" t="s">
        <v>318</v>
      </c>
      <c r="B7" s="1" t="s">
        <v>188</v>
      </c>
      <c r="C7" s="1" t="s">
        <v>189</v>
      </c>
      <c r="D7" s="5">
        <f>SQRT((INDEX(Postes!$B$7:$B$117,MATCH(C7,Postes!$A$7:$A$117,0))-INDEX(Postes!$B$7:$B$117,MATCH(B7,Postes!$A$7:$A$117,0)))^2+(INDEX(Postes!$C$7:$C$117,MATCH(C7,Postes!$A$7:$A$117,0))-INDEX(Postes!$C$7:$C$117,MATCH(B7,Postes!$A$7:$A$117,0)))^2)</f>
        <v>47.146596570679399</v>
      </c>
      <c r="E7" s="5">
        <f>INDEX(Postes!$D$7:$D$117,MATCH(C7,Postes!$A$7:$A$117,0))+INDEX(Postes!$G$7:$G$117,MATCH(C7,Postes!$A$7:$A$117,0))-INDEX(Postes!$D$7:$D$117,MATCH(B7,Postes!$A$7:$A$117,0))-INDEX(Postes!$G$7:$G$117,MATCH(B7,Postes!$A$7:$A$117,0))</f>
        <v>14.315386538179064</v>
      </c>
      <c r="F7" s="5">
        <f>Parametros!$E$8*Parametros!$E$9</f>
        <v>2205</v>
      </c>
      <c r="G7" s="5">
        <f>Parametros!$E$10/1000*Parametros!$E$11</f>
        <v>1.32389775</v>
      </c>
      <c r="H7" s="5">
        <f t="shared" ref="H7:H38" si="0">F7/G7</f>
        <v>1665.5364811972829</v>
      </c>
      <c r="I7" s="5">
        <f t="shared" ref="I7:I38" si="1">ASINH(E7/(2*H7*SINH(D7/(2*H7))))</f>
        <v>0.2991439016677041</v>
      </c>
      <c r="J7" s="5">
        <f t="shared" ref="J7:J38" si="2">D7/2-H7*I7</f>
        <v>-474.66178306991418</v>
      </c>
      <c r="K7" s="5">
        <f t="shared" ref="K7:K38" si="3">-J7/H7</f>
        <v>0.28499032499648408</v>
      </c>
      <c r="L7" s="5">
        <f t="shared" ref="L7:L38" si="4">(D7-J7)/H7</f>
        <v>0.31329747833892407</v>
      </c>
      <c r="M7" s="5">
        <f t="shared" ref="M7:M38" si="5">H7*(SINH(L7)-SINH(K7))</f>
        <v>49.273525249732664</v>
      </c>
      <c r="N7" s="5">
        <f>M7*Parametros!$E$5</f>
        <v>147.82057574919799</v>
      </c>
    </row>
    <row r="8" spans="1:14" ht="21" customHeight="1">
      <c r="A8" s="1" t="s">
        <v>325</v>
      </c>
      <c r="B8" s="1" t="s">
        <v>189</v>
      </c>
      <c r="C8" s="1" t="s">
        <v>190</v>
      </c>
      <c r="D8" s="5">
        <f>SQRT((INDEX(Postes!$B$7:$B$117,MATCH(C8,Postes!$A$7:$A$117,0))-INDEX(Postes!$B$7:$B$117,MATCH(B8,Postes!$A$7:$A$117,0)))^2+(INDEX(Postes!$C$7:$C$117,MATCH(C8,Postes!$A$7:$A$117,0))-INDEX(Postes!$C$7:$C$117,MATCH(B8,Postes!$A$7:$A$117,0)))^2)</f>
        <v>47.146596569210445</v>
      </c>
      <c r="E8" s="5">
        <f>INDEX(Postes!$D$7:$D$117,MATCH(C8,Postes!$A$7:$A$117,0))+INDEX(Postes!$G$7:$G$117,MATCH(C8,Postes!$A$7:$A$117,0))-INDEX(Postes!$D$7:$D$117,MATCH(B8,Postes!$A$7:$A$117,0))-INDEX(Postes!$G$7:$G$117,MATCH(B8,Postes!$A$7:$A$117,0))</f>
        <v>13.265247224741325</v>
      </c>
      <c r="F8" s="5">
        <f>Parametros!$E$8*Parametros!$E$9</f>
        <v>2205</v>
      </c>
      <c r="G8" s="5">
        <f>Parametros!$E$10/1000*Parametros!$E$11</f>
        <v>1.32389775</v>
      </c>
      <c r="H8" s="5">
        <f t="shared" si="0"/>
        <v>1665.5364811972829</v>
      </c>
      <c r="I8" s="5">
        <f t="shared" si="1"/>
        <v>0.27776669835993156</v>
      </c>
      <c r="J8" s="5">
        <f t="shared" si="2"/>
        <v>-439.05727109558228</v>
      </c>
      <c r="K8" s="5">
        <f t="shared" si="3"/>
        <v>0.26361312168915257</v>
      </c>
      <c r="L8" s="5">
        <f t="shared" si="4"/>
        <v>0.29192027503071055</v>
      </c>
      <c r="M8" s="5">
        <f t="shared" si="5"/>
        <v>48.978738066568539</v>
      </c>
      <c r="N8" s="5">
        <f>M8*Parametros!$E$5</f>
        <v>146.9362141997056</v>
      </c>
    </row>
    <row r="9" spans="1:14" ht="21" customHeight="1">
      <c r="A9" s="1" t="s">
        <v>326</v>
      </c>
      <c r="B9" s="1" t="s">
        <v>190</v>
      </c>
      <c r="C9" s="1" t="s">
        <v>191</v>
      </c>
      <c r="D9" s="5">
        <f>SQRT((INDEX(Postes!$B$7:$B$117,MATCH(C9,Postes!$A$7:$A$117,0))-INDEX(Postes!$B$7:$B$117,MATCH(B9,Postes!$A$7:$A$117,0)))^2+(INDEX(Postes!$C$7:$C$117,MATCH(C9,Postes!$A$7:$A$117,0))-INDEX(Postes!$C$7:$C$117,MATCH(B9,Postes!$A$7:$A$117,0)))^2)</f>
        <v>75.564648924193847</v>
      </c>
      <c r="E9" s="5">
        <f>INDEX(Postes!$D$7:$D$117,MATCH(C9,Postes!$A$7:$A$117,0))+INDEX(Postes!$G$7:$G$117,MATCH(C9,Postes!$A$7:$A$117,0))-INDEX(Postes!$D$7:$D$117,MATCH(B9,Postes!$A$7:$A$117,0))-INDEX(Postes!$G$7:$G$117,MATCH(B9,Postes!$A$7:$A$117,0))</f>
        <v>1.3907940794160467E-2</v>
      </c>
      <c r="F9" s="5">
        <f>Parametros!$E$8*Parametros!$E$9</f>
        <v>2205</v>
      </c>
      <c r="G9" s="5">
        <f>Parametros!$E$10/1000*Parametros!$E$11</f>
        <v>1.32389775</v>
      </c>
      <c r="H9" s="5">
        <f t="shared" si="0"/>
        <v>1665.5364811972829</v>
      </c>
      <c r="I9" s="5">
        <f t="shared" si="1"/>
        <v>1.8403774978848199E-4</v>
      </c>
      <c r="J9" s="5">
        <f t="shared" si="2"/>
        <v>37.475802875906751</v>
      </c>
      <c r="K9" s="5">
        <f t="shared" si="3"/>
        <v>-2.2500739731000668E-2</v>
      </c>
      <c r="L9" s="5">
        <f t="shared" si="4"/>
        <v>2.2868815230577631E-2</v>
      </c>
      <c r="M9" s="5">
        <f t="shared" si="5"/>
        <v>75.571131287833708</v>
      </c>
      <c r="N9" s="5">
        <f>M9*Parametros!$E$5</f>
        <v>226.71339386350112</v>
      </c>
    </row>
    <row r="10" spans="1:14" ht="21" customHeight="1">
      <c r="A10" s="1" t="s">
        <v>327</v>
      </c>
      <c r="B10" s="1" t="s">
        <v>191</v>
      </c>
      <c r="C10" s="1" t="s">
        <v>192</v>
      </c>
      <c r="D10" s="5">
        <f>SQRT((INDEX(Postes!$B$7:$B$117,MATCH(C10,Postes!$A$7:$A$117,0))-INDEX(Postes!$B$7:$B$117,MATCH(B10,Postes!$A$7:$A$117,0)))^2+(INDEX(Postes!$C$7:$C$117,MATCH(C10,Postes!$A$7:$A$117,0))-INDEX(Postes!$C$7:$C$117,MATCH(B10,Postes!$A$7:$A$117,0)))^2)</f>
        <v>75.564648924147463</v>
      </c>
      <c r="E10" s="5">
        <f>INDEX(Postes!$D$7:$D$117,MATCH(C10,Postes!$A$7:$A$117,0))+INDEX(Postes!$G$7:$G$117,MATCH(C10,Postes!$A$7:$A$117,0))-INDEX(Postes!$D$7:$D$117,MATCH(B10,Postes!$A$7:$A$117,0))-INDEX(Postes!$G$7:$G$117,MATCH(B10,Postes!$A$7:$A$117,0))</f>
        <v>-0.98642691536852034</v>
      </c>
      <c r="F10" s="5">
        <f>Parametros!$E$8*Parametros!$E$9</f>
        <v>2205</v>
      </c>
      <c r="G10" s="5">
        <f>Parametros!$E$10/1000*Parametros!$E$11</f>
        <v>1.32389775</v>
      </c>
      <c r="H10" s="5">
        <f t="shared" si="0"/>
        <v>1665.5364811972829</v>
      </c>
      <c r="I10" s="5">
        <f t="shared" si="1"/>
        <v>-1.3052589080184526E-2</v>
      </c>
      <c r="J10" s="5">
        <f t="shared" si="2"/>
        <v>59.521887749198342</v>
      </c>
      <c r="K10" s="5">
        <f t="shared" si="3"/>
        <v>-3.573736656095975E-2</v>
      </c>
      <c r="L10" s="5">
        <f t="shared" si="4"/>
        <v>9.6321884005907011E-3</v>
      </c>
      <c r="M10" s="5">
        <f t="shared" si="5"/>
        <v>75.577567629188309</v>
      </c>
      <c r="N10" s="5">
        <f>M10*Parametros!$E$5</f>
        <v>226.73270288756493</v>
      </c>
    </row>
    <row r="11" spans="1:14" ht="21" customHeight="1">
      <c r="A11" s="1" t="s">
        <v>328</v>
      </c>
      <c r="B11" s="1" t="s">
        <v>192</v>
      </c>
      <c r="C11" s="1" t="s">
        <v>193</v>
      </c>
      <c r="D11" s="5">
        <f>SQRT((INDEX(Postes!$B$7:$B$117,MATCH(C11,Postes!$A$7:$A$117,0))-INDEX(Postes!$B$7:$B$117,MATCH(B11,Postes!$A$7:$A$117,0)))^2+(INDEX(Postes!$C$7:$C$117,MATCH(C11,Postes!$A$7:$A$117,0))-INDEX(Postes!$C$7:$C$117,MATCH(B11,Postes!$A$7:$A$117,0)))^2)</f>
        <v>71.024548498671805</v>
      </c>
      <c r="E11" s="5">
        <f>INDEX(Postes!$D$7:$D$117,MATCH(C11,Postes!$A$7:$A$117,0))+INDEX(Postes!$G$7:$G$117,MATCH(C11,Postes!$A$7:$A$117,0))-INDEX(Postes!$D$7:$D$117,MATCH(B11,Postes!$A$7:$A$117,0))-INDEX(Postes!$G$7:$G$117,MATCH(B11,Postes!$A$7:$A$117,0))</f>
        <v>7.3940342777365</v>
      </c>
      <c r="F11" s="5">
        <f>Parametros!$E$8*Parametros!$E$9</f>
        <v>2205</v>
      </c>
      <c r="G11" s="5">
        <f>Parametros!$E$10/1000*Parametros!$E$11</f>
        <v>1.32389775</v>
      </c>
      <c r="H11" s="5">
        <f t="shared" si="0"/>
        <v>1665.5364811972829</v>
      </c>
      <c r="I11" s="5">
        <f t="shared" si="1"/>
        <v>0.10391035151713193</v>
      </c>
      <c r="J11" s="5">
        <f t="shared" si="2"/>
        <v>-137.55420697648077</v>
      </c>
      <c r="K11" s="5">
        <f t="shared" si="3"/>
        <v>8.2588528398728878E-2</v>
      </c>
      <c r="L11" s="5">
        <f t="shared" si="4"/>
        <v>0.12523217463553499</v>
      </c>
      <c r="M11" s="5">
        <f t="shared" si="5"/>
        <v>71.41374321795</v>
      </c>
      <c r="N11" s="5">
        <f>M11*Parametros!$E$5</f>
        <v>214.24122965384998</v>
      </c>
    </row>
    <row r="12" spans="1:14" ht="21" customHeight="1">
      <c r="A12" s="1" t="s">
        <v>329</v>
      </c>
      <c r="B12" s="1" t="s">
        <v>193</v>
      </c>
      <c r="C12" s="1" t="s">
        <v>194</v>
      </c>
      <c r="D12" s="5">
        <f>SQRT((INDEX(Postes!$B$7:$B$117,MATCH(C12,Postes!$A$7:$A$117,0))-INDEX(Postes!$B$7:$B$117,MATCH(B12,Postes!$A$7:$A$117,0)))^2+(INDEX(Postes!$C$7:$C$117,MATCH(C12,Postes!$A$7:$A$117,0))-INDEX(Postes!$C$7:$C$117,MATCH(B12,Postes!$A$7:$A$117,0)))^2)</f>
        <v>71.024548500087661</v>
      </c>
      <c r="E12" s="5">
        <f>INDEX(Postes!$D$7:$D$117,MATCH(C12,Postes!$A$7:$A$117,0))+INDEX(Postes!$G$7:$G$117,MATCH(C12,Postes!$A$7:$A$117,0))-INDEX(Postes!$D$7:$D$117,MATCH(B12,Postes!$A$7:$A$117,0))-INDEX(Postes!$G$7:$G$117,MATCH(B12,Postes!$A$7:$A$117,0))</f>
        <v>2.5916616177471941</v>
      </c>
      <c r="F12" s="5">
        <f>Parametros!$E$8*Parametros!$E$9</f>
        <v>2205</v>
      </c>
      <c r="G12" s="5">
        <f>Parametros!$E$10/1000*Parametros!$E$11</f>
        <v>1.32389775</v>
      </c>
      <c r="H12" s="5">
        <f t="shared" si="0"/>
        <v>1665.5364811972829</v>
      </c>
      <c r="I12" s="5">
        <f t="shared" si="1"/>
        <v>3.6478804253787286E-2</v>
      </c>
      <c r="J12" s="5">
        <f t="shared" si="2"/>
        <v>-25.244505025093524</v>
      </c>
      <c r="K12" s="5">
        <f t="shared" si="3"/>
        <v>1.5156981134959188E-2</v>
      </c>
      <c r="L12" s="5">
        <f t="shared" si="4"/>
        <v>5.780062737261539E-2</v>
      </c>
      <c r="M12" s="5">
        <f t="shared" si="5"/>
        <v>71.077195271345957</v>
      </c>
      <c r="N12" s="5">
        <f>M12*Parametros!$E$5</f>
        <v>213.23158581403789</v>
      </c>
    </row>
    <row r="13" spans="1:14" ht="21" customHeight="1">
      <c r="A13" s="1" t="s">
        <v>330</v>
      </c>
      <c r="B13" s="1" t="s">
        <v>194</v>
      </c>
      <c r="C13" s="1" t="s">
        <v>195</v>
      </c>
      <c r="D13" s="5">
        <f>SQRT((INDEX(Postes!$B$7:$B$117,MATCH(C13,Postes!$A$7:$A$117,0))-INDEX(Postes!$B$7:$B$117,MATCH(B13,Postes!$A$7:$A$117,0)))^2+(INDEX(Postes!$C$7:$C$117,MATCH(C13,Postes!$A$7:$A$117,0))-INDEX(Postes!$C$7:$C$117,MATCH(B13,Postes!$A$7:$A$117,0)))^2)</f>
        <v>57.507391692189344</v>
      </c>
      <c r="E13" s="5">
        <f>INDEX(Postes!$D$7:$D$117,MATCH(C13,Postes!$A$7:$A$117,0))+INDEX(Postes!$G$7:$G$117,MATCH(C13,Postes!$A$7:$A$117,0))-INDEX(Postes!$D$7:$D$117,MATCH(B13,Postes!$A$7:$A$117,0))-INDEX(Postes!$G$7:$G$117,MATCH(B13,Postes!$A$7:$A$117,0))</f>
        <v>-1.5050179164408295</v>
      </c>
      <c r="F13" s="5">
        <f>Parametros!$E$8*Parametros!$E$9</f>
        <v>2205</v>
      </c>
      <c r="G13" s="5">
        <f>Parametros!$E$10/1000*Parametros!$E$11</f>
        <v>1.32389775</v>
      </c>
      <c r="H13" s="5">
        <f t="shared" si="0"/>
        <v>1665.5364811972829</v>
      </c>
      <c r="I13" s="5">
        <f t="shared" si="1"/>
        <v>-2.6166574277808184E-2</v>
      </c>
      <c r="J13" s="5">
        <f t="shared" si="2"/>
        <v>72.335079893742659</v>
      </c>
      <c r="K13" s="5">
        <f t="shared" si="3"/>
        <v>-4.3430498647345189E-2</v>
      </c>
      <c r="L13" s="5">
        <f t="shared" si="4"/>
        <v>-8.9026499082711912E-3</v>
      </c>
      <c r="M13" s="5">
        <f t="shared" si="5"/>
        <v>57.529937806293098</v>
      </c>
      <c r="N13" s="5">
        <f>M13*Parametros!$E$5</f>
        <v>172.58981341887929</v>
      </c>
    </row>
    <row r="14" spans="1:14" ht="21" customHeight="1">
      <c r="A14" s="1" t="s">
        <v>331</v>
      </c>
      <c r="B14" s="1" t="s">
        <v>195</v>
      </c>
      <c r="C14" s="1" t="s">
        <v>196</v>
      </c>
      <c r="D14" s="5">
        <f>SQRT((INDEX(Postes!$B$7:$B$117,MATCH(C14,Postes!$A$7:$A$117,0))-INDEX(Postes!$B$7:$B$117,MATCH(B14,Postes!$A$7:$A$117,0)))^2+(INDEX(Postes!$C$7:$C$117,MATCH(C14,Postes!$A$7:$A$117,0))-INDEX(Postes!$C$7:$C$117,MATCH(B14,Postes!$A$7:$A$117,0)))^2)</f>
        <v>70.11431978175483</v>
      </c>
      <c r="E14" s="5">
        <f>INDEX(Postes!$D$7:$D$117,MATCH(C14,Postes!$A$7:$A$117,0))+INDEX(Postes!$G$7:$G$117,MATCH(C14,Postes!$A$7:$A$117,0))-INDEX(Postes!$D$7:$D$117,MATCH(B14,Postes!$A$7:$A$117,0))-INDEX(Postes!$G$7:$G$117,MATCH(B14,Postes!$A$7:$A$117,0))</f>
        <v>1.8540141571751523</v>
      </c>
      <c r="F14" s="5">
        <f>Parametros!$E$8*Parametros!$E$9</f>
        <v>2205</v>
      </c>
      <c r="G14" s="5">
        <f>Parametros!$E$10/1000*Parametros!$E$11</f>
        <v>1.32389775</v>
      </c>
      <c r="H14" s="5">
        <f t="shared" si="0"/>
        <v>1665.5364811972829</v>
      </c>
      <c r="I14" s="5">
        <f t="shared" si="1"/>
        <v>2.6437699526544716E-2</v>
      </c>
      <c r="J14" s="5">
        <f t="shared" si="2"/>
        <v>-8.9757931495149421</v>
      </c>
      <c r="K14" s="5">
        <f t="shared" si="3"/>
        <v>5.3891303197769816E-3</v>
      </c>
      <c r="L14" s="5">
        <f t="shared" si="4"/>
        <v>4.7486268733312451E-2</v>
      </c>
      <c r="M14" s="5">
        <f t="shared" si="5"/>
        <v>70.144003671505303</v>
      </c>
      <c r="N14" s="5">
        <f>M14*Parametros!$E$5</f>
        <v>210.43201101451592</v>
      </c>
    </row>
    <row r="15" spans="1:14" ht="21" customHeight="1">
      <c r="A15" s="1" t="s">
        <v>332</v>
      </c>
      <c r="B15" s="1" t="s">
        <v>196</v>
      </c>
      <c r="C15" s="1" t="s">
        <v>197</v>
      </c>
      <c r="D15" s="5">
        <f>SQRT((INDEX(Postes!$B$7:$B$117,MATCH(C15,Postes!$A$7:$A$117,0))-INDEX(Postes!$B$7:$B$117,MATCH(B15,Postes!$A$7:$A$117,0)))^2+(INDEX(Postes!$C$7:$C$117,MATCH(C15,Postes!$A$7:$A$117,0))-INDEX(Postes!$C$7:$C$117,MATCH(B15,Postes!$A$7:$A$117,0)))^2)</f>
        <v>70.11431978353167</v>
      </c>
      <c r="E15" s="5">
        <f>INDEX(Postes!$D$7:$D$117,MATCH(C15,Postes!$A$7:$A$117,0))+INDEX(Postes!$G$7:$G$117,MATCH(C15,Postes!$A$7:$A$117,0))-INDEX(Postes!$D$7:$D$117,MATCH(B15,Postes!$A$7:$A$117,0))-INDEX(Postes!$G$7:$G$117,MATCH(B15,Postes!$A$7:$A$117,0))</f>
        <v>6.2928293523863434</v>
      </c>
      <c r="F15" s="5">
        <f>Parametros!$E$8*Parametros!$E$9</f>
        <v>2205</v>
      </c>
      <c r="G15" s="5">
        <f>Parametros!$E$10/1000*Parametros!$E$11</f>
        <v>1.32389775</v>
      </c>
      <c r="H15" s="5">
        <f t="shared" si="0"/>
        <v>1665.5364811972829</v>
      </c>
      <c r="I15" s="5">
        <f t="shared" si="1"/>
        <v>8.9624326306315685E-2</v>
      </c>
      <c r="J15" s="5">
        <f t="shared" si="2"/>
        <v>-114.21542517413228</v>
      </c>
      <c r="K15" s="5">
        <f t="shared" si="3"/>
        <v>6.8575757099014548E-2</v>
      </c>
      <c r="L15" s="5">
        <f t="shared" si="4"/>
        <v>0.11067289551361684</v>
      </c>
      <c r="M15" s="5">
        <f t="shared" si="5"/>
        <v>70.401303852134959</v>
      </c>
      <c r="N15" s="5">
        <f>M15*Parametros!$E$5</f>
        <v>211.20391155640488</v>
      </c>
    </row>
    <row r="16" spans="1:14" ht="21" customHeight="1">
      <c r="A16" s="1" t="s">
        <v>333</v>
      </c>
      <c r="B16" s="1" t="s">
        <v>197</v>
      </c>
      <c r="C16" s="1" t="s">
        <v>198</v>
      </c>
      <c r="D16" s="5">
        <f>SQRT((INDEX(Postes!$B$7:$B$117,MATCH(C16,Postes!$A$7:$A$117,0))-INDEX(Postes!$B$7:$B$117,MATCH(B16,Postes!$A$7:$A$117,0)))^2+(INDEX(Postes!$C$7:$C$117,MATCH(C16,Postes!$A$7:$A$117,0))-INDEX(Postes!$C$7:$C$117,MATCH(B16,Postes!$A$7:$A$117,0)))^2)</f>
        <v>50.214196735404776</v>
      </c>
      <c r="E16" s="5">
        <f>INDEX(Postes!$D$7:$D$117,MATCH(C16,Postes!$A$7:$A$117,0))+INDEX(Postes!$G$7:$G$117,MATCH(C16,Postes!$A$7:$A$117,0))-INDEX(Postes!$D$7:$D$117,MATCH(B16,Postes!$A$7:$A$117,0))-INDEX(Postes!$G$7:$G$117,MATCH(B16,Postes!$A$7:$A$117,0))</f>
        <v>10.480951900385572</v>
      </c>
      <c r="F16" s="5">
        <f>Parametros!$E$8*Parametros!$E$9</f>
        <v>2205</v>
      </c>
      <c r="G16" s="5">
        <f>Parametros!$E$10/1000*Parametros!$E$11</f>
        <v>1.32389775</v>
      </c>
      <c r="H16" s="5">
        <f t="shared" si="0"/>
        <v>1665.5364811972829</v>
      </c>
      <c r="I16" s="5">
        <f t="shared" si="1"/>
        <v>0.20723054594463494</v>
      </c>
      <c r="J16" s="5">
        <f t="shared" si="2"/>
        <v>-320.04293592151674</v>
      </c>
      <c r="K16" s="5">
        <f t="shared" si="3"/>
        <v>0.19215606474824951</v>
      </c>
      <c r="L16" s="5">
        <f t="shared" si="4"/>
        <v>0.22230502714102035</v>
      </c>
      <c r="M16" s="5">
        <f t="shared" si="5"/>
        <v>51.298215416365693</v>
      </c>
      <c r="N16" s="5">
        <f>M16*Parametros!$E$5</f>
        <v>153.89464624909709</v>
      </c>
    </row>
    <row r="17" spans="1:14" ht="21" customHeight="1">
      <c r="A17" s="1" t="s">
        <v>334</v>
      </c>
      <c r="B17" s="1" t="s">
        <v>198</v>
      </c>
      <c r="C17" s="1" t="s">
        <v>199</v>
      </c>
      <c r="D17" s="5">
        <f>SQRT((INDEX(Postes!$B$7:$B$117,MATCH(C17,Postes!$A$7:$A$117,0))-INDEX(Postes!$B$7:$B$117,MATCH(B17,Postes!$A$7:$A$117,0)))^2+(INDEX(Postes!$C$7:$C$117,MATCH(C17,Postes!$A$7:$A$117,0))-INDEX(Postes!$C$7:$C$117,MATCH(B17,Postes!$A$7:$A$117,0)))^2)</f>
        <v>60.968945491277559</v>
      </c>
      <c r="E17" s="5">
        <f>INDEX(Postes!$D$7:$D$117,MATCH(C17,Postes!$A$7:$A$117,0))+INDEX(Postes!$G$7:$G$117,MATCH(C17,Postes!$A$7:$A$117,0))-INDEX(Postes!$D$7:$D$117,MATCH(B17,Postes!$A$7:$A$117,0))-INDEX(Postes!$G$7:$G$117,MATCH(B17,Postes!$A$7:$A$117,0))</f>
        <v>3.7392304385720312</v>
      </c>
      <c r="F17" s="5">
        <f>Parametros!$E$8*Parametros!$E$9</f>
        <v>2205</v>
      </c>
      <c r="G17" s="5">
        <f>Parametros!$E$10/1000*Parametros!$E$11</f>
        <v>1.32389775</v>
      </c>
      <c r="H17" s="5">
        <f t="shared" si="0"/>
        <v>1665.5364811972829</v>
      </c>
      <c r="I17" s="5">
        <f t="shared" si="1"/>
        <v>6.1288281775848864E-2</v>
      </c>
      <c r="J17" s="5">
        <f t="shared" si="2"/>
        <v>-71.593396421936092</v>
      </c>
      <c r="K17" s="5">
        <f t="shared" si="3"/>
        <v>4.298518659313344E-2</v>
      </c>
      <c r="L17" s="5">
        <f t="shared" si="4"/>
        <v>7.9591376958564289E-2</v>
      </c>
      <c r="M17" s="5">
        <f t="shared" si="5"/>
        <v>61.086899331375314</v>
      </c>
      <c r="N17" s="5">
        <f>M17*Parametros!$E$5</f>
        <v>183.26069799412593</v>
      </c>
    </row>
    <row r="18" spans="1:14" ht="21" customHeight="1">
      <c r="A18" s="1" t="s">
        <v>335</v>
      </c>
      <c r="B18" s="1" t="s">
        <v>199</v>
      </c>
      <c r="C18" s="1" t="s">
        <v>200</v>
      </c>
      <c r="D18" s="5">
        <f>SQRT((INDEX(Postes!$B$7:$B$117,MATCH(C18,Postes!$A$7:$A$117,0))-INDEX(Postes!$B$7:$B$117,MATCH(B18,Postes!$A$7:$A$117,0)))^2+(INDEX(Postes!$C$7:$C$117,MATCH(C18,Postes!$A$7:$A$117,0))-INDEX(Postes!$C$7:$C$117,MATCH(B18,Postes!$A$7:$A$117,0)))^2)</f>
        <v>54.308189166692785</v>
      </c>
      <c r="E18" s="5">
        <f>INDEX(Postes!$D$7:$D$117,MATCH(C18,Postes!$A$7:$A$117,0))+INDEX(Postes!$G$7:$G$117,MATCH(C18,Postes!$A$7:$A$117,0))-INDEX(Postes!$D$7:$D$117,MATCH(B18,Postes!$A$7:$A$117,0))-INDEX(Postes!$G$7:$G$117,MATCH(B18,Postes!$A$7:$A$117,0))</f>
        <v>3.5496813167091208</v>
      </c>
      <c r="F18" s="5">
        <f>Parametros!$E$8*Parametros!$E$9</f>
        <v>2205</v>
      </c>
      <c r="G18" s="5">
        <f>Parametros!$E$10/1000*Parametros!$E$11</f>
        <v>1.32389775</v>
      </c>
      <c r="H18" s="5">
        <f t="shared" si="0"/>
        <v>1665.5364811972829</v>
      </c>
      <c r="I18" s="5">
        <f t="shared" si="1"/>
        <v>6.5312466367189168E-2</v>
      </c>
      <c r="J18" s="5">
        <f t="shared" si="2"/>
        <v>-81.626200828177744</v>
      </c>
      <c r="K18" s="5">
        <f t="shared" si="3"/>
        <v>4.9008954021529542E-2</v>
      </c>
      <c r="L18" s="5">
        <f t="shared" si="4"/>
        <v>8.1615978712848786E-2</v>
      </c>
      <c r="M18" s="5">
        <f t="shared" si="5"/>
        <v>54.426473124127533</v>
      </c>
      <c r="N18" s="5">
        <f>M18*Parametros!$E$5</f>
        <v>163.27941937238259</v>
      </c>
    </row>
    <row r="19" spans="1:14" ht="21" customHeight="1">
      <c r="A19" s="1" t="s">
        <v>336</v>
      </c>
      <c r="B19" s="1" t="s">
        <v>200</v>
      </c>
      <c r="C19" s="1" t="s">
        <v>201</v>
      </c>
      <c r="D19" s="5">
        <f>SQRT((INDEX(Postes!$B$7:$B$117,MATCH(C19,Postes!$A$7:$A$117,0))-INDEX(Postes!$B$7:$B$117,MATCH(B19,Postes!$A$7:$A$117,0)))^2+(INDEX(Postes!$C$7:$C$117,MATCH(C19,Postes!$A$7:$A$117,0))-INDEX(Postes!$C$7:$C$117,MATCH(B19,Postes!$A$7:$A$117,0)))^2)</f>
        <v>39.660903911063357</v>
      </c>
      <c r="E19" s="5">
        <f>INDEX(Postes!$D$7:$D$117,MATCH(C19,Postes!$A$7:$A$117,0))+INDEX(Postes!$G$7:$G$117,MATCH(C19,Postes!$A$7:$A$117,0))-INDEX(Postes!$D$7:$D$117,MATCH(B19,Postes!$A$7:$A$117,0))-INDEX(Postes!$G$7:$G$117,MATCH(B19,Postes!$A$7:$A$117,0))</f>
        <v>11.714759849544771</v>
      </c>
      <c r="F19" s="5">
        <f>Parametros!$E$8*Parametros!$E$9</f>
        <v>2205</v>
      </c>
      <c r="G19" s="5">
        <f>Parametros!$E$10/1000*Parametros!$E$11</f>
        <v>1.32389775</v>
      </c>
      <c r="H19" s="5">
        <f t="shared" si="0"/>
        <v>1665.5364811972829</v>
      </c>
      <c r="I19" s="5">
        <f t="shared" si="1"/>
        <v>0.29123167379225628</v>
      </c>
      <c r="J19" s="5">
        <f t="shared" si="2"/>
        <v>-465.22652522561782</v>
      </c>
      <c r="K19" s="5">
        <f t="shared" si="3"/>
        <v>0.27932532879206967</v>
      </c>
      <c r="L19" s="5">
        <f t="shared" si="4"/>
        <v>0.3031380187924429</v>
      </c>
      <c r="M19" s="5">
        <f t="shared" si="5"/>
        <v>41.355739967076396</v>
      </c>
      <c r="N19" s="5">
        <f>M19*Parametros!$E$5</f>
        <v>124.06721990122918</v>
      </c>
    </row>
    <row r="20" spans="1:14" ht="21" customHeight="1">
      <c r="A20" s="1" t="s">
        <v>337</v>
      </c>
      <c r="B20" s="1" t="s">
        <v>201</v>
      </c>
      <c r="C20" s="1" t="s">
        <v>202</v>
      </c>
      <c r="D20" s="5">
        <f>SQRT((INDEX(Postes!$B$7:$B$117,MATCH(C20,Postes!$A$7:$A$117,0))-INDEX(Postes!$B$7:$B$117,MATCH(B20,Postes!$A$7:$A$117,0)))^2+(INDEX(Postes!$C$7:$C$117,MATCH(C20,Postes!$A$7:$A$117,0))-INDEX(Postes!$C$7:$C$117,MATCH(B20,Postes!$A$7:$A$117,0)))^2)</f>
        <v>71.825216136371367</v>
      </c>
      <c r="E20" s="5">
        <f>INDEX(Postes!$D$7:$D$117,MATCH(C20,Postes!$A$7:$A$117,0))+INDEX(Postes!$G$7:$G$117,MATCH(C20,Postes!$A$7:$A$117,0))-INDEX(Postes!$D$7:$D$117,MATCH(B20,Postes!$A$7:$A$117,0))-INDEX(Postes!$G$7:$G$117,MATCH(B20,Postes!$A$7:$A$117,0))</f>
        <v>12.506880037556494</v>
      </c>
      <c r="F20" s="5">
        <f>Parametros!$E$8*Parametros!$E$9</f>
        <v>2205</v>
      </c>
      <c r="G20" s="5">
        <f>Parametros!$E$10/1000*Parametros!$E$11</f>
        <v>1.32389775</v>
      </c>
      <c r="H20" s="5">
        <f t="shared" si="0"/>
        <v>1665.5364811972829</v>
      </c>
      <c r="I20" s="5">
        <f t="shared" si="1"/>
        <v>0.17324791375707146</v>
      </c>
      <c r="J20" s="5">
        <f t="shared" si="2"/>
        <v>-252.63811258553747</v>
      </c>
      <c r="K20" s="5">
        <f t="shared" si="3"/>
        <v>0.15168572735430372</v>
      </c>
      <c r="L20" s="5">
        <f t="shared" si="4"/>
        <v>0.19481010015983921</v>
      </c>
      <c r="M20" s="5">
        <f t="shared" si="5"/>
        <v>72.911475574272657</v>
      </c>
      <c r="N20" s="5">
        <f>M20*Parametros!$E$5</f>
        <v>218.73442672281797</v>
      </c>
    </row>
    <row r="21" spans="1:14" ht="21" customHeight="1">
      <c r="A21" s="1" t="s">
        <v>338</v>
      </c>
      <c r="B21" s="1" t="s">
        <v>202</v>
      </c>
      <c r="C21" s="1" t="s">
        <v>203</v>
      </c>
      <c r="D21" s="5">
        <f>SQRT((INDEX(Postes!$B$7:$B$117,MATCH(C21,Postes!$A$7:$A$117,0))-INDEX(Postes!$B$7:$B$117,MATCH(B21,Postes!$A$7:$A$117,0)))^2+(INDEX(Postes!$C$7:$C$117,MATCH(C21,Postes!$A$7:$A$117,0))-INDEX(Postes!$C$7:$C$117,MATCH(B21,Postes!$A$7:$A$117,0)))^2)</f>
        <v>71.825216134655349</v>
      </c>
      <c r="E21" s="5">
        <f>INDEX(Postes!$D$7:$D$117,MATCH(C21,Postes!$A$7:$A$117,0))+INDEX(Postes!$G$7:$G$117,MATCH(C21,Postes!$A$7:$A$117,0))-INDEX(Postes!$D$7:$D$117,MATCH(B21,Postes!$A$7:$A$117,0))-INDEX(Postes!$G$7:$G$117,MATCH(B21,Postes!$A$7:$A$117,0))</f>
        <v>11.33055824912717</v>
      </c>
      <c r="F21" s="5">
        <f>Parametros!$E$8*Parametros!$E$9</f>
        <v>2205</v>
      </c>
      <c r="G21" s="5">
        <f>Parametros!$E$10/1000*Parametros!$E$11</f>
        <v>1.32389775</v>
      </c>
      <c r="H21" s="5">
        <f t="shared" si="0"/>
        <v>1665.5364811972829</v>
      </c>
      <c r="I21" s="5">
        <f t="shared" si="1"/>
        <v>0.15709266969170668</v>
      </c>
      <c r="J21" s="5">
        <f t="shared" si="2"/>
        <v>-225.73096423288453</v>
      </c>
      <c r="K21" s="5">
        <f t="shared" si="3"/>
        <v>0.13553048328945411</v>
      </c>
      <c r="L21" s="5">
        <f t="shared" si="4"/>
        <v>0.17865485609395926</v>
      </c>
      <c r="M21" s="5">
        <f t="shared" si="5"/>
        <v>72.718929943544978</v>
      </c>
      <c r="N21" s="5">
        <f>M21*Parametros!$E$5</f>
        <v>218.15678983063492</v>
      </c>
    </row>
    <row r="22" spans="1:14" ht="21" customHeight="1">
      <c r="A22" s="1" t="s">
        <v>339</v>
      </c>
      <c r="B22" s="1" t="s">
        <v>203</v>
      </c>
      <c r="C22" s="1" t="s">
        <v>204</v>
      </c>
      <c r="D22" s="5">
        <f>SQRT((INDEX(Postes!$B$7:$B$117,MATCH(C22,Postes!$A$7:$A$117,0))-INDEX(Postes!$B$7:$B$117,MATCH(B22,Postes!$A$7:$A$117,0)))^2+(INDEX(Postes!$C$7:$C$117,MATCH(C22,Postes!$A$7:$A$117,0))-INDEX(Postes!$C$7:$C$117,MATCH(B22,Postes!$A$7:$A$117,0)))^2)</f>
        <v>71.825216136371367</v>
      </c>
      <c r="E22" s="5">
        <f>INDEX(Postes!$D$7:$D$117,MATCH(C22,Postes!$A$7:$A$117,0))+INDEX(Postes!$G$7:$G$117,MATCH(C22,Postes!$A$7:$A$117,0))-INDEX(Postes!$D$7:$D$117,MATCH(B22,Postes!$A$7:$A$117,0))-INDEX(Postes!$G$7:$G$117,MATCH(B22,Postes!$A$7:$A$117,0))</f>
        <v>5.4867450671368712</v>
      </c>
      <c r="F22" s="5">
        <f>Parametros!$E$8*Parametros!$E$9</f>
        <v>2205</v>
      </c>
      <c r="G22" s="5">
        <f>Parametros!$E$10/1000*Parametros!$E$11</f>
        <v>1.32389775</v>
      </c>
      <c r="H22" s="5">
        <f t="shared" si="0"/>
        <v>1665.5364811972829</v>
      </c>
      <c r="I22" s="5">
        <f t="shared" si="1"/>
        <v>7.6310231143868368E-2</v>
      </c>
      <c r="J22" s="5">
        <f t="shared" si="2"/>
        <v>-91.184865790524157</v>
      </c>
      <c r="K22" s="5">
        <f t="shared" si="3"/>
        <v>5.4748044741100635E-2</v>
      </c>
      <c r="L22" s="5">
        <f t="shared" si="4"/>
        <v>9.7872417546636101E-2</v>
      </c>
      <c r="M22" s="5">
        <f t="shared" si="5"/>
        <v>72.040027717760267</v>
      </c>
      <c r="N22" s="5">
        <f>M22*Parametros!$E$5</f>
        <v>216.1200831532808</v>
      </c>
    </row>
    <row r="23" spans="1:14" ht="21" customHeight="1">
      <c r="A23" s="1" t="s">
        <v>340</v>
      </c>
      <c r="B23" s="1" t="s">
        <v>204</v>
      </c>
      <c r="C23" s="1" t="s">
        <v>205</v>
      </c>
      <c r="D23" s="5">
        <f>SQRT((INDEX(Postes!$B$7:$B$117,MATCH(C23,Postes!$A$7:$A$117,0))-INDEX(Postes!$B$7:$B$117,MATCH(B23,Postes!$A$7:$A$117,0)))^2+(INDEX(Postes!$C$7:$C$117,MATCH(C23,Postes!$A$7:$A$117,0))-INDEX(Postes!$C$7:$C$117,MATCH(B23,Postes!$A$7:$A$117,0)))^2)</f>
        <v>48.166378315169183</v>
      </c>
      <c r="E23" s="5">
        <f>INDEX(Postes!$D$7:$D$117,MATCH(C23,Postes!$A$7:$A$117,0))+INDEX(Postes!$G$7:$G$117,MATCH(C23,Postes!$A$7:$A$117,0))-INDEX(Postes!$D$7:$D$117,MATCH(B23,Postes!$A$7:$A$117,0))-INDEX(Postes!$G$7:$G$117,MATCH(B23,Postes!$A$7:$A$117,0))</f>
        <v>2.3357816921919952</v>
      </c>
      <c r="F23" s="5">
        <f>Parametros!$E$8*Parametros!$E$9</f>
        <v>2205</v>
      </c>
      <c r="G23" s="5">
        <f>Parametros!$E$10/1000*Parametros!$E$11</f>
        <v>1.32389775</v>
      </c>
      <c r="H23" s="5">
        <f t="shared" si="0"/>
        <v>1665.5364811972829</v>
      </c>
      <c r="I23" s="5">
        <f t="shared" si="1"/>
        <v>4.8473353095153437E-2</v>
      </c>
      <c r="J23" s="5">
        <f t="shared" si="2"/>
        <v>-56.650948788350682</v>
      </c>
      <c r="K23" s="5">
        <f t="shared" si="3"/>
        <v>3.4013634302159951E-2</v>
      </c>
      <c r="L23" s="5">
        <f t="shared" si="4"/>
        <v>6.293307188814691E-2</v>
      </c>
      <c r="M23" s="5">
        <f t="shared" si="5"/>
        <v>48.224657301386422</v>
      </c>
      <c r="N23" s="5">
        <f>M23*Parametros!$E$5</f>
        <v>144.67397190415926</v>
      </c>
    </row>
    <row r="24" spans="1:14" ht="21" customHeight="1">
      <c r="A24" s="1" t="s">
        <v>341</v>
      </c>
      <c r="B24" s="1" t="s">
        <v>205</v>
      </c>
      <c r="C24" s="1" t="s">
        <v>206</v>
      </c>
      <c r="D24" s="5">
        <f>SQRT((INDEX(Postes!$B$7:$B$117,MATCH(C24,Postes!$A$7:$A$117,0))-INDEX(Postes!$B$7:$B$117,MATCH(B24,Postes!$A$7:$A$117,0)))^2+(INDEX(Postes!$C$7:$C$117,MATCH(C24,Postes!$A$7:$A$117,0))-INDEX(Postes!$C$7:$C$117,MATCH(B24,Postes!$A$7:$A$117,0)))^2)</f>
        <v>48.046408433492083</v>
      </c>
      <c r="E24" s="5">
        <f>INDEX(Postes!$D$7:$D$117,MATCH(C24,Postes!$A$7:$A$117,0))+INDEX(Postes!$G$7:$G$117,MATCH(C24,Postes!$A$7:$A$117,0))-INDEX(Postes!$D$7:$D$117,MATCH(B24,Postes!$A$7:$A$117,0))-INDEX(Postes!$G$7:$G$117,MATCH(B24,Postes!$A$7:$A$117,0))</f>
        <v>4.0813237124497395</v>
      </c>
      <c r="F24" s="5">
        <f>Parametros!$E$8*Parametros!$E$9</f>
        <v>2205</v>
      </c>
      <c r="G24" s="5">
        <f>Parametros!$E$10/1000*Parametros!$E$11</f>
        <v>1.32389775</v>
      </c>
      <c r="H24" s="5">
        <f t="shared" si="0"/>
        <v>1665.5364811972829</v>
      </c>
      <c r="I24" s="5">
        <f t="shared" si="1"/>
        <v>8.4840686806227653E-2</v>
      </c>
      <c r="J24" s="5">
        <f t="shared" si="2"/>
        <v>-117.28205474885912</v>
      </c>
      <c r="K24" s="5">
        <f t="shared" si="3"/>
        <v>7.0416983400177505E-2</v>
      </c>
      <c r="L24" s="5">
        <f t="shared" si="4"/>
        <v>9.9264390212277828E-2</v>
      </c>
      <c r="M24" s="5">
        <f t="shared" si="5"/>
        <v>48.221101784856145</v>
      </c>
      <c r="N24" s="5">
        <f>M24*Parametros!$E$5</f>
        <v>144.66330535456842</v>
      </c>
    </row>
    <row r="25" spans="1:14" ht="21" customHeight="1">
      <c r="A25" s="1" t="s">
        <v>342</v>
      </c>
      <c r="B25" s="1" t="s">
        <v>206</v>
      </c>
      <c r="C25" s="1" t="s">
        <v>207</v>
      </c>
      <c r="D25" s="5">
        <f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5">
        <f>INDEX(Postes!$D$7:$D$117,MATCH(C25,Postes!$A$7:$A$117,0))+INDEX(Postes!$G$7:$G$117,MATCH(C25,Postes!$A$7:$A$117,0))-INDEX(Postes!$D$7:$D$117,MATCH(B25,Postes!$A$7:$A$117,0))-INDEX(Postes!$G$7:$G$117,MATCH(B25,Postes!$A$7:$A$117,0))</f>
        <v>4.7957238281345784</v>
      </c>
      <c r="F25" s="5">
        <f>Parametros!$E$8*Parametros!$E$9</f>
        <v>2205</v>
      </c>
      <c r="G25" s="5">
        <f>Parametros!$E$10/1000*Parametros!$E$11</f>
        <v>1.32389775</v>
      </c>
      <c r="H25" s="5">
        <f t="shared" si="0"/>
        <v>1665.5364811972829</v>
      </c>
      <c r="I25" s="5">
        <f t="shared" si="1"/>
        <v>0.18341886795093099</v>
      </c>
      <c r="J25" s="5">
        <f t="shared" si="2"/>
        <v>-292.49081591218271</v>
      </c>
      <c r="K25" s="5">
        <f t="shared" si="3"/>
        <v>0.17561357509378814</v>
      </c>
      <c r="L25" s="5">
        <f t="shared" si="4"/>
        <v>0.19122416080807386</v>
      </c>
      <c r="M25" s="5">
        <f t="shared" si="5"/>
        <v>26.438848216951769</v>
      </c>
      <c r="N25" s="5">
        <f>M25*Parametros!$E$5</f>
        <v>79.316544650855306</v>
      </c>
    </row>
    <row r="26" spans="1:14" ht="21" customHeight="1">
      <c r="A26" s="1" t="s">
        <v>343</v>
      </c>
      <c r="B26" s="1" t="s">
        <v>207</v>
      </c>
      <c r="C26" s="1" t="s">
        <v>208</v>
      </c>
      <c r="D26" s="5">
        <f>SQRT((INDEX(Postes!$B$7:$B$117,MATCH(C26,Postes!$A$7:$A$117,0))-INDEX(Postes!$B$7:$B$117,MATCH(B26,Postes!$A$7:$A$117,0)))^2+(INDEX(Postes!$C$7:$C$117,MATCH(C26,Postes!$A$7:$A$117,0))-INDEX(Postes!$C$7:$C$117,MATCH(B26,Postes!$A$7:$A$117,0)))^2)</f>
        <v>26.305892875931811</v>
      </c>
      <c r="E26" s="5">
        <f>INDEX(Postes!$D$7:$D$117,MATCH(C26,Postes!$A$7:$A$117,0))+INDEX(Postes!$G$7:$G$117,MATCH(C26,Postes!$A$7:$A$117,0))-INDEX(Postes!$D$7:$D$117,MATCH(B26,Postes!$A$7:$A$117,0))-INDEX(Postes!$G$7:$G$117,MATCH(B26,Postes!$A$7:$A$117,0))</f>
        <v>2.9029364551719485</v>
      </c>
      <c r="F26" s="5">
        <f>Parametros!$E$8*Parametros!$E$9</f>
        <v>2205</v>
      </c>
      <c r="G26" s="5">
        <f>Parametros!$E$10/1000*Parametros!$E$11</f>
        <v>1.32389775</v>
      </c>
      <c r="H26" s="5">
        <f t="shared" si="0"/>
        <v>1665.5364811972829</v>
      </c>
      <c r="I26" s="5">
        <f t="shared" si="1"/>
        <v>0.11012918797166148</v>
      </c>
      <c r="J26" s="5">
        <f t="shared" si="2"/>
        <v>-170.27123377346928</v>
      </c>
      <c r="K26" s="5">
        <f t="shared" si="3"/>
        <v>0.10223206498068933</v>
      </c>
      <c r="L26" s="5">
        <f t="shared" si="4"/>
        <v>0.11802631096263362</v>
      </c>
      <c r="M26" s="5">
        <f t="shared" si="5"/>
        <v>26.465853955721986</v>
      </c>
      <c r="N26" s="5">
        <f>M26*Parametros!$E$5</f>
        <v>79.397561867165962</v>
      </c>
    </row>
    <row r="27" spans="1:14" ht="21" customHeight="1">
      <c r="A27" s="1" t="s">
        <v>344</v>
      </c>
      <c r="B27" s="1" t="s">
        <v>208</v>
      </c>
      <c r="C27" s="1" t="s">
        <v>209</v>
      </c>
      <c r="D27" s="5">
        <f>SQRT((INDEX(Postes!$B$7:$B$117,MATCH(C27,Postes!$A$7:$A$117,0))-INDEX(Postes!$B$7:$B$117,MATCH(B27,Postes!$A$7:$A$117,0)))^2+(INDEX(Postes!$C$7:$C$117,MATCH(C27,Postes!$A$7:$A$117,0))-INDEX(Postes!$C$7:$C$117,MATCH(B27,Postes!$A$7:$A$117,0)))^2)</f>
        <v>61.347824375699467</v>
      </c>
      <c r="E27" s="5">
        <f>INDEX(Postes!$D$7:$D$117,MATCH(C27,Postes!$A$7:$A$117,0))+INDEX(Postes!$G$7:$G$117,MATCH(C27,Postes!$A$7:$A$117,0))-INDEX(Postes!$D$7:$D$117,MATCH(B27,Postes!$A$7:$A$117,0))-INDEX(Postes!$G$7:$G$117,MATCH(B27,Postes!$A$7:$A$117,0))</f>
        <v>10.972472814822959</v>
      </c>
      <c r="F27" s="5">
        <f>Parametros!$E$8*Parametros!$E$9</f>
        <v>2205</v>
      </c>
      <c r="G27" s="5">
        <f>Parametros!$E$10/1000*Parametros!$E$11</f>
        <v>1.32389775</v>
      </c>
      <c r="H27" s="5">
        <f t="shared" si="0"/>
        <v>1665.5364811972829</v>
      </c>
      <c r="I27" s="5">
        <f t="shared" si="1"/>
        <v>0.17790667763767523</v>
      </c>
      <c r="J27" s="5">
        <f t="shared" si="2"/>
        <v>-265.6361496663032</v>
      </c>
      <c r="K27" s="5">
        <f t="shared" si="3"/>
        <v>0.15948984166071747</v>
      </c>
      <c r="L27" s="5">
        <f t="shared" si="4"/>
        <v>0.19632351361463299</v>
      </c>
      <c r="M27" s="5">
        <f t="shared" si="5"/>
        <v>62.324764275101685</v>
      </c>
      <c r="N27" s="5">
        <f>M27*Parametros!$E$5</f>
        <v>186.97429282530504</v>
      </c>
    </row>
    <row r="28" spans="1:14" ht="21" customHeight="1">
      <c r="A28" s="1" t="s">
        <v>345</v>
      </c>
      <c r="B28" s="1" t="s">
        <v>209</v>
      </c>
      <c r="C28" s="1" t="s">
        <v>210</v>
      </c>
      <c r="D28" s="5">
        <f>SQRT((INDEX(Postes!$B$7:$B$117,MATCH(C28,Postes!$A$7:$A$117,0))-INDEX(Postes!$B$7:$B$117,MATCH(B28,Postes!$A$7:$A$117,0)))^2+(INDEX(Postes!$C$7:$C$117,MATCH(C28,Postes!$A$7:$A$117,0))-INDEX(Postes!$C$7:$C$117,MATCH(B28,Postes!$A$7:$A$117,0)))^2)</f>
        <v>61.34782437383852</v>
      </c>
      <c r="E28" s="5">
        <f>INDEX(Postes!$D$7:$D$117,MATCH(C28,Postes!$A$7:$A$117,0))+INDEX(Postes!$G$7:$G$117,MATCH(C28,Postes!$A$7:$A$117,0))-INDEX(Postes!$D$7:$D$117,MATCH(B28,Postes!$A$7:$A$117,0))-INDEX(Postes!$G$7:$G$117,MATCH(B28,Postes!$A$7:$A$117,0))</f>
        <v>9.0160885470103498</v>
      </c>
      <c r="F28" s="5">
        <f>Parametros!$E$8*Parametros!$E$9</f>
        <v>2205</v>
      </c>
      <c r="G28" s="5">
        <f>Parametros!$E$10/1000*Parametros!$E$11</f>
        <v>1.32389775</v>
      </c>
      <c r="H28" s="5">
        <f t="shared" si="0"/>
        <v>1665.5364811972829</v>
      </c>
      <c r="I28" s="5">
        <f t="shared" si="1"/>
        <v>0.146434517030719</v>
      </c>
      <c r="J28" s="5">
        <f t="shared" si="2"/>
        <v>-213.21811803424805</v>
      </c>
      <c r="K28" s="5">
        <f t="shared" si="3"/>
        <v>0.1280176810543199</v>
      </c>
      <c r="L28" s="5">
        <f t="shared" si="4"/>
        <v>0.16485135300711809</v>
      </c>
      <c r="M28" s="5">
        <f t="shared" si="5"/>
        <v>62.010248626610952</v>
      </c>
      <c r="N28" s="5">
        <f>M28*Parametros!$E$5</f>
        <v>186.03074587983286</v>
      </c>
    </row>
    <row r="29" spans="1:14" ht="21" customHeight="1">
      <c r="A29" s="1" t="s">
        <v>346</v>
      </c>
      <c r="B29" s="1" t="s">
        <v>210</v>
      </c>
      <c r="C29" s="1" t="s">
        <v>211</v>
      </c>
      <c r="D29" s="5">
        <f>SQRT((INDEX(Postes!$B$7:$B$117,MATCH(C29,Postes!$A$7:$A$117,0))-INDEX(Postes!$B$7:$B$117,MATCH(B29,Postes!$A$7:$A$117,0)))^2+(INDEX(Postes!$C$7:$C$117,MATCH(C29,Postes!$A$7:$A$117,0))-INDEX(Postes!$C$7:$C$117,MATCH(B29,Postes!$A$7:$A$117,0)))^2)</f>
        <v>61.347824375699467</v>
      </c>
      <c r="E29" s="5">
        <f>INDEX(Postes!$D$7:$D$117,MATCH(C29,Postes!$A$7:$A$117,0))+INDEX(Postes!$G$7:$G$117,MATCH(C29,Postes!$A$7:$A$117,0))-INDEX(Postes!$D$7:$D$117,MATCH(B29,Postes!$A$7:$A$117,0))-INDEX(Postes!$G$7:$G$117,MATCH(B29,Postes!$A$7:$A$117,0))</f>
        <v>10.65956417599782</v>
      </c>
      <c r="F29" s="5">
        <f>Parametros!$E$8*Parametros!$E$9</f>
        <v>2205</v>
      </c>
      <c r="G29" s="5">
        <f>Parametros!$E$10/1000*Parametros!$E$11</f>
        <v>1.32389775</v>
      </c>
      <c r="H29" s="5">
        <f t="shared" si="0"/>
        <v>1665.5364811972829</v>
      </c>
      <c r="I29" s="5">
        <f t="shared" si="1"/>
        <v>0.17288386308082751</v>
      </c>
      <c r="J29" s="5">
        <f t="shared" si="2"/>
        <v>-257.27046878358459</v>
      </c>
      <c r="K29" s="5">
        <f t="shared" si="3"/>
        <v>0.15446702710386978</v>
      </c>
      <c r="L29" s="5">
        <f t="shared" si="4"/>
        <v>0.19130069905778527</v>
      </c>
      <c r="M29" s="5">
        <f t="shared" si="5"/>
        <v>62.270437534171592</v>
      </c>
      <c r="N29" s="5">
        <f>M29*Parametros!$E$5</f>
        <v>186.81131260251476</v>
      </c>
    </row>
    <row r="30" spans="1:14" ht="21" customHeight="1">
      <c r="A30" s="1" t="s">
        <v>347</v>
      </c>
      <c r="B30" s="1" t="s">
        <v>211</v>
      </c>
      <c r="C30" s="1" t="s">
        <v>212</v>
      </c>
      <c r="D30" s="5">
        <f>SQRT((INDEX(Postes!$B$7:$B$117,MATCH(C30,Postes!$A$7:$A$117,0))-INDEX(Postes!$B$7:$B$117,MATCH(B30,Postes!$A$7:$A$117,0)))^2+(INDEX(Postes!$C$7:$C$117,MATCH(C30,Postes!$A$7:$A$117,0))-INDEX(Postes!$C$7:$C$117,MATCH(B30,Postes!$A$7:$A$117,0)))^2)</f>
        <v>73.109506905736964</v>
      </c>
      <c r="E30" s="5">
        <f>INDEX(Postes!$D$7:$D$117,MATCH(C30,Postes!$A$7:$A$117,0))+INDEX(Postes!$G$7:$G$117,MATCH(C30,Postes!$A$7:$A$117,0))-INDEX(Postes!$D$7:$D$117,MATCH(B30,Postes!$A$7:$A$117,0))-INDEX(Postes!$G$7:$G$117,MATCH(B30,Postes!$A$7:$A$117,0))</f>
        <v>-2.1172683251672435</v>
      </c>
      <c r="F30" s="5">
        <f>Parametros!$E$8*Parametros!$E$9</f>
        <v>2205</v>
      </c>
      <c r="G30" s="5">
        <f>Parametros!$E$10/1000*Parametros!$E$11</f>
        <v>1.32389775</v>
      </c>
      <c r="H30" s="5">
        <f t="shared" si="0"/>
        <v>1665.5364811972829</v>
      </c>
      <c r="I30" s="5">
        <f t="shared" si="1"/>
        <v>-2.89538620577665E-2</v>
      </c>
      <c r="J30" s="5">
        <f t="shared" si="2"/>
        <v>84.77846698163242</v>
      </c>
      <c r="K30" s="5">
        <f t="shared" si="3"/>
        <v>-5.0901597136250538E-2</v>
      </c>
      <c r="L30" s="5">
        <f t="shared" si="4"/>
        <v>-7.0061269792824586E-3</v>
      </c>
      <c r="M30" s="5">
        <f t="shared" si="5"/>
        <v>73.146025965848807</v>
      </c>
      <c r="N30" s="5">
        <f>M30*Parametros!$E$5</f>
        <v>219.43807789754641</v>
      </c>
    </row>
    <row r="31" spans="1:14" ht="21" customHeight="1">
      <c r="A31" s="1" t="s">
        <v>348</v>
      </c>
      <c r="B31" s="1" t="s">
        <v>212</v>
      </c>
      <c r="C31" s="1" t="s">
        <v>213</v>
      </c>
      <c r="D31" s="5">
        <f>SQRT((INDEX(Postes!$B$7:$B$117,MATCH(C31,Postes!$A$7:$A$117,0))-INDEX(Postes!$B$7:$B$117,MATCH(B31,Postes!$A$7:$A$117,0)))^2+(INDEX(Postes!$C$7:$C$117,MATCH(C31,Postes!$A$7:$A$117,0))-INDEX(Postes!$C$7:$C$117,MATCH(B31,Postes!$A$7:$A$117,0)))^2)</f>
        <v>73.109506905736964</v>
      </c>
      <c r="E31" s="5">
        <f>INDEX(Postes!$D$7:$D$117,MATCH(C31,Postes!$A$7:$A$117,0))+INDEX(Postes!$G$7:$G$117,MATCH(C31,Postes!$A$7:$A$117,0))-INDEX(Postes!$D$7:$D$117,MATCH(B31,Postes!$A$7:$A$117,0))-INDEX(Postes!$G$7:$G$117,MATCH(B31,Postes!$A$7:$A$117,0))</f>
        <v>1.4915868748210404</v>
      </c>
      <c r="F31" s="5">
        <f>Parametros!$E$8*Parametros!$E$9</f>
        <v>2205</v>
      </c>
      <c r="G31" s="5">
        <f>Parametros!$E$10/1000*Parametros!$E$11</f>
        <v>1.32389775</v>
      </c>
      <c r="H31" s="5">
        <f t="shared" si="0"/>
        <v>1665.5364811972829</v>
      </c>
      <c r="I31" s="5">
        <f t="shared" si="1"/>
        <v>2.039903920769158E-2</v>
      </c>
      <c r="J31" s="5">
        <f t="shared" si="2"/>
        <v>2.5794094710844391</v>
      </c>
      <c r="K31" s="5">
        <f t="shared" si="3"/>
        <v>-1.5486958707924619E-3</v>
      </c>
      <c r="L31" s="5">
        <f t="shared" si="4"/>
        <v>4.2346774286175622E-2</v>
      </c>
      <c r="M31" s="5">
        <f t="shared" si="5"/>
        <v>73.130589501528092</v>
      </c>
      <c r="N31" s="5">
        <f>M31*Parametros!$E$5</f>
        <v>219.39176850458426</v>
      </c>
    </row>
    <row r="32" spans="1:14" ht="21" customHeight="1">
      <c r="A32" s="1" t="s">
        <v>349</v>
      </c>
      <c r="B32" s="1" t="s">
        <v>213</v>
      </c>
      <c r="C32" s="1" t="s">
        <v>214</v>
      </c>
      <c r="D32" s="5">
        <f>SQRT((INDEX(Postes!$B$7:$B$117,MATCH(C32,Postes!$A$7:$A$117,0))-INDEX(Postes!$B$7:$B$117,MATCH(B32,Postes!$A$7:$A$117,0)))^2+(INDEX(Postes!$C$7:$C$117,MATCH(C32,Postes!$A$7:$A$117,0))-INDEX(Postes!$C$7:$C$117,MATCH(B32,Postes!$A$7:$A$117,0)))^2)</f>
        <v>73.109506905736964</v>
      </c>
      <c r="E32" s="5">
        <f>INDEX(Postes!$D$7:$D$117,MATCH(C32,Postes!$A$7:$A$117,0))+INDEX(Postes!$G$7:$G$117,MATCH(C32,Postes!$A$7:$A$117,0))-INDEX(Postes!$D$7:$D$117,MATCH(B32,Postes!$A$7:$A$117,0))-INDEX(Postes!$G$7:$G$117,MATCH(B32,Postes!$A$7:$A$117,0))</f>
        <v>6.834527663877088</v>
      </c>
      <c r="F32" s="5">
        <f>Parametros!$E$8*Parametros!$E$9</f>
        <v>2205</v>
      </c>
      <c r="G32" s="5">
        <f>Parametros!$E$10/1000*Parametros!$E$11</f>
        <v>1.32389775</v>
      </c>
      <c r="H32" s="5">
        <f t="shared" si="0"/>
        <v>1665.5364811972829</v>
      </c>
      <c r="I32" s="5">
        <f t="shared" si="1"/>
        <v>9.3340332134672591E-2</v>
      </c>
      <c r="J32" s="5">
        <f t="shared" si="2"/>
        <v>-118.90697488449979</v>
      </c>
      <c r="K32" s="5">
        <f t="shared" si="3"/>
        <v>7.1392597056188556E-2</v>
      </c>
      <c r="L32" s="5">
        <f t="shared" si="4"/>
        <v>0.11528806721315664</v>
      </c>
      <c r="M32" s="5">
        <f t="shared" si="5"/>
        <v>73.434113719879363</v>
      </c>
      <c r="N32" s="5">
        <f>M32*Parametros!$E$5</f>
        <v>220.3023411596381</v>
      </c>
    </row>
    <row r="33" spans="1:14" ht="21" customHeight="1">
      <c r="A33" s="1" t="s">
        <v>350</v>
      </c>
      <c r="B33" s="1" t="s">
        <v>214</v>
      </c>
      <c r="C33" s="1" t="s">
        <v>215</v>
      </c>
      <c r="D33" s="5">
        <f>SQRT((INDEX(Postes!$B$7:$B$117,MATCH(C33,Postes!$A$7:$A$117,0))-INDEX(Postes!$B$7:$B$117,MATCH(B33,Postes!$A$7:$A$117,0)))^2+(INDEX(Postes!$C$7:$C$117,MATCH(C33,Postes!$A$7:$A$117,0))-INDEX(Postes!$C$7:$C$117,MATCH(B33,Postes!$A$7:$A$117,0)))^2)</f>
        <v>73.109506905736964</v>
      </c>
      <c r="E33" s="5">
        <f>INDEX(Postes!$D$7:$D$117,MATCH(C33,Postes!$A$7:$A$117,0))+INDEX(Postes!$G$7:$G$117,MATCH(C33,Postes!$A$7:$A$117,0))-INDEX(Postes!$D$7:$D$117,MATCH(B33,Postes!$A$7:$A$117,0))-INDEX(Postes!$G$7:$G$117,MATCH(B33,Postes!$A$7:$A$117,0))</f>
        <v>8.1831018882727218</v>
      </c>
      <c r="F33" s="5">
        <f>Parametros!$E$8*Parametros!$E$9</f>
        <v>2205</v>
      </c>
      <c r="G33" s="5">
        <f>Parametros!$E$10/1000*Parametros!$E$11</f>
        <v>1.32389775</v>
      </c>
      <c r="H33" s="5">
        <f t="shared" si="0"/>
        <v>1665.5364811972829</v>
      </c>
      <c r="I33" s="5">
        <f t="shared" si="1"/>
        <v>0.11168804744811908</v>
      </c>
      <c r="J33" s="5">
        <f t="shared" si="2"/>
        <v>-149.46576408566693</v>
      </c>
      <c r="K33" s="5">
        <f t="shared" si="3"/>
        <v>8.9740312369635034E-2</v>
      </c>
      <c r="L33" s="5">
        <f t="shared" si="4"/>
        <v>0.1336357825266031</v>
      </c>
      <c r="M33" s="5">
        <f t="shared" si="5"/>
        <v>73.571879450981228</v>
      </c>
      <c r="N33" s="5">
        <f>M33*Parametros!$E$5</f>
        <v>220.7156383529437</v>
      </c>
    </row>
    <row r="34" spans="1:14" ht="21" customHeight="1">
      <c r="A34" s="1" t="s">
        <v>351</v>
      </c>
      <c r="B34" s="1" t="s">
        <v>215</v>
      </c>
      <c r="C34" s="1" t="s">
        <v>216</v>
      </c>
      <c r="D34" s="5">
        <f>SQRT((INDEX(Postes!$B$7:$B$117,MATCH(C34,Postes!$A$7:$A$117,0))-INDEX(Postes!$B$7:$B$117,MATCH(B34,Postes!$A$7:$A$117,0)))^2+(INDEX(Postes!$C$7:$C$117,MATCH(C34,Postes!$A$7:$A$117,0))-INDEX(Postes!$C$7:$C$117,MATCH(B34,Postes!$A$7:$A$117,0)))^2)</f>
        <v>59.012595568568983</v>
      </c>
      <c r="E34" s="5">
        <f>INDEX(Postes!$D$7:$D$117,MATCH(C34,Postes!$A$7:$A$117,0))+INDEX(Postes!$G$7:$G$117,MATCH(C34,Postes!$A$7:$A$117,0))-INDEX(Postes!$D$7:$D$117,MATCH(B34,Postes!$A$7:$A$117,0))-INDEX(Postes!$G$7:$G$117,MATCH(B34,Postes!$A$7:$A$117,0))</f>
        <v>5.3158179466050566</v>
      </c>
      <c r="F34" s="5">
        <f>Parametros!$E$8*Parametros!$E$9</f>
        <v>2205</v>
      </c>
      <c r="G34" s="5">
        <f>Parametros!$E$10/1000*Parametros!$E$11</f>
        <v>1.32389775</v>
      </c>
      <c r="H34" s="5">
        <f t="shared" si="0"/>
        <v>1665.5364811972829</v>
      </c>
      <c r="I34" s="5">
        <f t="shared" si="1"/>
        <v>8.9953306939668132E-2</v>
      </c>
      <c r="J34" s="5">
        <f t="shared" si="2"/>
        <v>-120.31421652806949</v>
      </c>
      <c r="K34" s="5">
        <f t="shared" si="3"/>
        <v>7.2237514990713833E-2</v>
      </c>
      <c r="L34" s="5">
        <f t="shared" si="4"/>
        <v>0.10766909888862243</v>
      </c>
      <c r="M34" s="5">
        <f t="shared" si="5"/>
        <v>59.254609075741499</v>
      </c>
      <c r="N34" s="5">
        <f>M34*Parametros!$E$5</f>
        <v>177.76382722722451</v>
      </c>
    </row>
    <row r="35" spans="1:14" ht="21" customHeight="1">
      <c r="A35" s="1" t="s">
        <v>352</v>
      </c>
      <c r="B35" s="1" t="s">
        <v>216</v>
      </c>
      <c r="C35" s="1" t="s">
        <v>217</v>
      </c>
      <c r="D35" s="5">
        <f>SQRT((INDEX(Postes!$B$7:$B$117,MATCH(C35,Postes!$A$7:$A$117,0))-INDEX(Postes!$B$7:$B$117,MATCH(B35,Postes!$A$7:$A$117,0)))^2+(INDEX(Postes!$C$7:$C$117,MATCH(C35,Postes!$A$7:$A$117,0))-INDEX(Postes!$C$7:$C$117,MATCH(B35,Postes!$A$7:$A$117,0)))^2)</f>
        <v>14.142135623730951</v>
      </c>
      <c r="E35" s="5">
        <f>INDEX(Postes!$D$7:$D$117,MATCH(C35,Postes!$A$7:$A$117,0))+INDEX(Postes!$G$7:$G$117,MATCH(C35,Postes!$A$7:$A$117,0))-INDEX(Postes!$D$7:$D$117,MATCH(B35,Postes!$A$7:$A$117,0))-INDEX(Postes!$G$7:$G$117,MATCH(B35,Postes!$A$7:$A$117,0))</f>
        <v>3.3493208478552337</v>
      </c>
      <c r="F35" s="5">
        <f>Parametros!$E$8*Parametros!$E$9</f>
        <v>2205</v>
      </c>
      <c r="G35" s="5">
        <f>Parametros!$E$10/1000*Parametros!$E$11</f>
        <v>1.32389775</v>
      </c>
      <c r="H35" s="5">
        <f t="shared" si="0"/>
        <v>1665.5364811972829</v>
      </c>
      <c r="I35" s="5">
        <f t="shared" si="1"/>
        <v>0.2346721588859349</v>
      </c>
      <c r="J35" s="5">
        <f t="shared" si="2"/>
        <v>-383.78397393398421</v>
      </c>
      <c r="K35" s="5">
        <f t="shared" si="3"/>
        <v>0.23042663926406365</v>
      </c>
      <c r="L35" s="5">
        <f t="shared" si="4"/>
        <v>0.23891767850780615</v>
      </c>
      <c r="M35" s="5">
        <f t="shared" si="5"/>
        <v>14.533380603764806</v>
      </c>
      <c r="N35" s="5">
        <f>M35*Parametros!$E$5</f>
        <v>43.600141811294421</v>
      </c>
    </row>
    <row r="36" spans="1:14" ht="21" customHeight="1">
      <c r="A36" s="1" t="s">
        <v>353</v>
      </c>
      <c r="B36" s="1" t="s">
        <v>217</v>
      </c>
      <c r="C36" s="1" t="s">
        <v>218</v>
      </c>
      <c r="D36" s="5">
        <f>SQRT((INDEX(Postes!$B$7:$B$117,MATCH(C36,Postes!$A$7:$A$117,0))-INDEX(Postes!$B$7:$B$117,MATCH(B36,Postes!$A$7:$A$117,0)))^2+(INDEX(Postes!$C$7:$C$117,MATCH(C36,Postes!$A$7:$A$117,0))-INDEX(Postes!$C$7:$C$117,MATCH(B36,Postes!$A$7:$A$117,0)))^2)</f>
        <v>81.902190215339289</v>
      </c>
      <c r="E36" s="5">
        <f>INDEX(Postes!$D$7:$D$117,MATCH(C36,Postes!$A$7:$A$117,0))+INDEX(Postes!$G$7:$G$117,MATCH(C36,Postes!$A$7:$A$117,0))-INDEX(Postes!$D$7:$D$117,MATCH(B36,Postes!$A$7:$A$117,0))-INDEX(Postes!$G$7:$G$117,MATCH(B36,Postes!$A$7:$A$117,0))</f>
        <v>8.1223595830993869</v>
      </c>
      <c r="F36" s="5">
        <f>Parametros!$E$8*Parametros!$E$9</f>
        <v>2205</v>
      </c>
      <c r="G36" s="5">
        <f>Parametros!$E$10/1000*Parametros!$E$11</f>
        <v>1.32389775</v>
      </c>
      <c r="H36" s="5">
        <f t="shared" si="0"/>
        <v>1665.5364811972829</v>
      </c>
      <c r="I36" s="5">
        <f t="shared" si="1"/>
        <v>9.8999671998642125E-2</v>
      </c>
      <c r="J36" s="5">
        <f t="shared" si="2"/>
        <v>-123.93647023263394</v>
      </c>
      <c r="K36" s="5">
        <f t="shared" si="3"/>
        <v>7.4412341988175076E-2</v>
      </c>
      <c r="L36" s="5">
        <f t="shared" si="4"/>
        <v>0.12358700200910916</v>
      </c>
      <c r="M36" s="5">
        <f t="shared" si="5"/>
        <v>82.312170024921372</v>
      </c>
      <c r="N36" s="5">
        <f>M36*Parametros!$E$5</f>
        <v>246.9365100747641</v>
      </c>
    </row>
    <row r="37" spans="1:14" ht="21" customHeight="1">
      <c r="A37" s="1" t="s">
        <v>354</v>
      </c>
      <c r="B37" s="1" t="s">
        <v>218</v>
      </c>
      <c r="C37" s="1" t="s">
        <v>219</v>
      </c>
      <c r="D37" s="5">
        <f>SQRT((INDEX(Postes!$B$7:$B$117,MATCH(C37,Postes!$A$7:$A$117,0))-INDEX(Postes!$B$7:$B$117,MATCH(B37,Postes!$A$7:$A$117,0)))^2+(INDEX(Postes!$C$7:$C$117,MATCH(C37,Postes!$A$7:$A$117,0))-INDEX(Postes!$C$7:$C$117,MATCH(B37,Postes!$A$7:$A$117,0)))^2)</f>
        <v>81.902190215339289</v>
      </c>
      <c r="E37" s="5">
        <f>INDEX(Postes!$D$7:$D$117,MATCH(C37,Postes!$A$7:$A$117,0))+INDEX(Postes!$G$7:$G$117,MATCH(C37,Postes!$A$7:$A$117,0))-INDEX(Postes!$D$7:$D$117,MATCH(B37,Postes!$A$7:$A$117,0))-INDEX(Postes!$G$7:$G$117,MATCH(B37,Postes!$A$7:$A$117,0))</f>
        <v>4.3465797736201228</v>
      </c>
      <c r="F37" s="5">
        <f>Parametros!$E$8*Parametros!$E$9</f>
        <v>2205</v>
      </c>
      <c r="G37" s="5">
        <f>Parametros!$E$10/1000*Parametros!$E$11</f>
        <v>1.32389775</v>
      </c>
      <c r="H37" s="5">
        <f t="shared" si="0"/>
        <v>1665.5364811972829</v>
      </c>
      <c r="I37" s="5">
        <f t="shared" si="1"/>
        <v>5.3040153312027993E-2</v>
      </c>
      <c r="J37" s="5">
        <f t="shared" si="2"/>
        <v>-47.389215201809876</v>
      </c>
      <c r="K37" s="5">
        <f t="shared" si="3"/>
        <v>2.8452823301560945E-2</v>
      </c>
      <c r="L37" s="5">
        <f t="shared" si="4"/>
        <v>7.7627483322495056E-2</v>
      </c>
      <c r="M37" s="5">
        <f t="shared" si="5"/>
        <v>82.025687225056785</v>
      </c>
      <c r="N37" s="5">
        <f>M37*Parametros!$E$5</f>
        <v>246.07706167517034</v>
      </c>
    </row>
    <row r="38" spans="1:14" ht="21" customHeight="1">
      <c r="A38" s="1" t="s">
        <v>355</v>
      </c>
      <c r="B38" s="1" t="s">
        <v>219</v>
      </c>
      <c r="C38" s="1" t="s">
        <v>220</v>
      </c>
      <c r="D38" s="5">
        <f>SQRT((INDEX(Postes!$B$7:$B$117,MATCH(C38,Postes!$A$7:$A$117,0))-INDEX(Postes!$B$7:$B$117,MATCH(B38,Postes!$A$7:$A$117,0)))^2+(INDEX(Postes!$C$7:$C$117,MATCH(C38,Postes!$A$7:$A$117,0))-INDEX(Postes!$C$7:$C$117,MATCH(B38,Postes!$A$7:$A$117,0)))^2)</f>
        <v>73.45981992435587</v>
      </c>
      <c r="E38" s="5">
        <f>INDEX(Postes!$D$7:$D$117,MATCH(C38,Postes!$A$7:$A$117,0))+INDEX(Postes!$G$7:$G$117,MATCH(C38,Postes!$A$7:$A$117,0))-INDEX(Postes!$D$7:$D$117,MATCH(B38,Postes!$A$7:$A$117,0))-INDEX(Postes!$G$7:$G$117,MATCH(B38,Postes!$A$7:$A$117,0))</f>
        <v>4.6719012335839576</v>
      </c>
      <c r="F38" s="5">
        <f>Parametros!$E$8*Parametros!$E$9</f>
        <v>2205</v>
      </c>
      <c r="G38" s="5">
        <f>Parametros!$E$10/1000*Parametros!$E$11</f>
        <v>1.32389775</v>
      </c>
      <c r="H38" s="5">
        <f t="shared" si="0"/>
        <v>1665.5364811972829</v>
      </c>
      <c r="I38" s="5">
        <f t="shared" si="1"/>
        <v>6.355011004450431E-2</v>
      </c>
      <c r="J38" s="5">
        <f t="shared" si="2"/>
        <v>-69.115116701045878</v>
      </c>
      <c r="K38" s="5">
        <f t="shared" si="3"/>
        <v>4.1497209746712949E-2</v>
      </c>
      <c r="L38" s="5">
        <f t="shared" si="4"/>
        <v>8.5603010342295657E-2</v>
      </c>
      <c r="M38" s="5">
        <f t="shared" si="5"/>
        <v>73.614174337788455</v>
      </c>
      <c r="N38" s="5">
        <f>M38*Parametros!$E$5</f>
        <v>220.84252301336537</v>
      </c>
    </row>
    <row r="39" spans="1:14" ht="21" customHeight="1">
      <c r="A39" s="1" t="s">
        <v>356</v>
      </c>
      <c r="B39" s="1" t="s">
        <v>220</v>
      </c>
      <c r="C39" s="1" t="s">
        <v>221</v>
      </c>
      <c r="D39" s="5">
        <f>SQRT((INDEX(Postes!$B$7:$B$117,MATCH(C39,Postes!$A$7:$A$117,0))-INDEX(Postes!$B$7:$B$117,MATCH(B39,Postes!$A$7:$A$117,0)))^2+(INDEX(Postes!$C$7:$C$117,MATCH(C39,Postes!$A$7:$A$117,0))-INDEX(Postes!$C$7:$C$117,MATCH(B39,Postes!$A$7:$A$117,0)))^2)</f>
        <v>73.459819922496436</v>
      </c>
      <c r="E39" s="5">
        <f>INDEX(Postes!$D$7:$D$117,MATCH(C39,Postes!$A$7:$A$117,0))+INDEX(Postes!$G$7:$G$117,MATCH(C39,Postes!$A$7:$A$117,0))-INDEX(Postes!$D$7:$D$117,MATCH(B39,Postes!$A$7:$A$117,0))-INDEX(Postes!$G$7:$G$117,MATCH(B39,Postes!$A$7:$A$117,0))</f>
        <v>7.6782406783882831</v>
      </c>
      <c r="F39" s="5">
        <f>Parametros!$E$8*Parametros!$E$9</f>
        <v>2205</v>
      </c>
      <c r="G39" s="5">
        <f>Parametros!$E$10/1000*Parametros!$E$11</f>
        <v>1.32389775</v>
      </c>
      <c r="H39" s="5">
        <f t="shared" ref="H39:H70" si="6">F39/G39</f>
        <v>1665.5364811972829</v>
      </c>
      <c r="I39" s="5">
        <f t="shared" ref="I39:I70" si="7">ASINH(E39/(2*H39*SINH(D39/(2*H39))))</f>
        <v>0.10432518284533474</v>
      </c>
      <c r="J39" s="5">
        <f t="shared" ref="J39:J70" si="8">D39/2-H39*I39</f>
        <v>-137.02748797523375</v>
      </c>
      <c r="K39" s="5">
        <f t="shared" ref="K39:K70" si="9">-J39/H39</f>
        <v>8.2272282548101594E-2</v>
      </c>
      <c r="L39" s="5">
        <f t="shared" ref="L39:L70" si="10">(D39-J39)/H39</f>
        <v>0.1263780831425679</v>
      </c>
      <c r="M39" s="5">
        <f t="shared" ref="M39:M70" si="11">H39*(SINH(L39)-SINH(K39))</f>
        <v>73.865928424002973</v>
      </c>
      <c r="N39" s="5">
        <f>M39*Parametros!$E$5</f>
        <v>221.59778527200893</v>
      </c>
    </row>
    <row r="40" spans="1:14" ht="21" customHeight="1">
      <c r="A40" s="1" t="s">
        <v>357</v>
      </c>
      <c r="B40" s="1" t="s">
        <v>221</v>
      </c>
      <c r="C40" s="1" t="s">
        <v>222</v>
      </c>
      <c r="D40" s="5">
        <f>SQRT((INDEX(Postes!$B$7:$B$117,MATCH(C40,Postes!$A$7:$A$117,0))-INDEX(Postes!$B$7:$B$117,MATCH(B40,Postes!$A$7:$A$117,0)))^2+(INDEX(Postes!$C$7:$C$117,MATCH(C40,Postes!$A$7:$A$117,0))-INDEX(Postes!$C$7:$C$117,MATCH(B40,Postes!$A$7:$A$117,0)))^2)</f>
        <v>73.45981992435587</v>
      </c>
      <c r="E40" s="5">
        <f>INDEX(Postes!$D$7:$D$117,MATCH(C40,Postes!$A$7:$A$117,0))+INDEX(Postes!$G$7:$G$117,MATCH(C40,Postes!$A$7:$A$117,0))-INDEX(Postes!$D$7:$D$117,MATCH(B40,Postes!$A$7:$A$117,0))-INDEX(Postes!$G$7:$G$117,MATCH(B40,Postes!$A$7:$A$117,0))</f>
        <v>0.16597951122557753</v>
      </c>
      <c r="F40" s="5">
        <f>Parametros!$E$8*Parametros!$E$9</f>
        <v>2205</v>
      </c>
      <c r="G40" s="5">
        <f>Parametros!$E$10/1000*Parametros!$E$11</f>
        <v>1.32389775</v>
      </c>
      <c r="H40" s="5">
        <f t="shared" si="6"/>
        <v>1665.5364811972829</v>
      </c>
      <c r="I40" s="5">
        <f t="shared" si="7"/>
        <v>2.2592747639249709E-3</v>
      </c>
      <c r="J40" s="5">
        <f t="shared" si="8"/>
        <v>32.967005421812516</v>
      </c>
      <c r="K40" s="5">
        <f t="shared" si="9"/>
        <v>-1.9793625533866387E-2</v>
      </c>
      <c r="L40" s="5">
        <f t="shared" si="10"/>
        <v>2.4312175061716332E-2</v>
      </c>
      <c r="M40" s="5">
        <f t="shared" si="11"/>
        <v>73.465961856468567</v>
      </c>
      <c r="N40" s="5">
        <f>M40*Parametros!$E$5</f>
        <v>220.3978855694057</v>
      </c>
    </row>
    <row r="41" spans="1:14" ht="21" customHeight="1">
      <c r="A41" s="1" t="s">
        <v>358</v>
      </c>
      <c r="B41" s="1" t="s">
        <v>222</v>
      </c>
      <c r="C41" s="1" t="s">
        <v>223</v>
      </c>
      <c r="D41" s="5">
        <f>SQRT((INDEX(Postes!$B$7:$B$117,MATCH(C41,Postes!$A$7:$A$117,0))-INDEX(Postes!$B$7:$B$117,MATCH(B41,Postes!$A$7:$A$117,0)))^2+(INDEX(Postes!$C$7:$C$117,MATCH(C41,Postes!$A$7:$A$117,0))-INDEX(Postes!$C$7:$C$117,MATCH(B41,Postes!$A$7:$A$117,0)))^2)</f>
        <v>24.944421668585925</v>
      </c>
      <c r="E41" s="5">
        <f>INDEX(Postes!$D$7:$D$117,MATCH(C41,Postes!$A$7:$A$117,0))+INDEX(Postes!$G$7:$G$117,MATCH(C41,Postes!$A$7:$A$117,0))-INDEX(Postes!$D$7:$D$117,MATCH(B41,Postes!$A$7:$A$117,0))-INDEX(Postes!$G$7:$G$117,MATCH(B41,Postes!$A$7:$A$117,0))</f>
        <v>7.4534711845425594</v>
      </c>
      <c r="F41" s="5">
        <f>Parametros!$E$8*Parametros!$E$9</f>
        <v>2205</v>
      </c>
      <c r="G41" s="5">
        <f>Parametros!$E$10/1000*Parametros!$E$11</f>
        <v>1.32389775</v>
      </c>
      <c r="H41" s="5">
        <f t="shared" si="6"/>
        <v>1665.5364811972829</v>
      </c>
      <c r="I41" s="5">
        <f t="shared" si="7"/>
        <v>0.29452378636946308</v>
      </c>
      <c r="J41" s="5">
        <f t="shared" si="8"/>
        <v>-478.06789994440282</v>
      </c>
      <c r="K41" s="5">
        <f t="shared" si="9"/>
        <v>0.28703538189733335</v>
      </c>
      <c r="L41" s="5">
        <f t="shared" si="10"/>
        <v>0.30201219084159281</v>
      </c>
      <c r="M41" s="5">
        <f t="shared" si="11"/>
        <v>26.034401007551782</v>
      </c>
      <c r="N41" s="5">
        <f>M41*Parametros!$E$5</f>
        <v>78.10320302265535</v>
      </c>
    </row>
    <row r="42" spans="1:14" ht="21" customHeight="1">
      <c r="A42" s="1" t="s">
        <v>359</v>
      </c>
      <c r="B42" s="1" t="s">
        <v>223</v>
      </c>
      <c r="C42" s="1" t="s">
        <v>224</v>
      </c>
      <c r="D42" s="5">
        <f>SQRT((INDEX(Postes!$B$7:$B$117,MATCH(C42,Postes!$A$7:$A$117,0))-INDEX(Postes!$B$7:$B$117,MATCH(B42,Postes!$A$7:$A$117,0)))^2+(INDEX(Postes!$C$7:$C$117,MATCH(C42,Postes!$A$7:$A$117,0))-INDEX(Postes!$C$7:$C$117,MATCH(B42,Postes!$A$7:$A$117,0)))^2)</f>
        <v>20.005335251785709</v>
      </c>
      <c r="E42" s="5">
        <f>INDEX(Postes!$D$7:$D$117,MATCH(C42,Postes!$A$7:$A$117,0))+INDEX(Postes!$G$7:$G$117,MATCH(C42,Postes!$A$7:$A$117,0))-INDEX(Postes!$D$7:$D$117,MATCH(B42,Postes!$A$7:$A$117,0))-INDEX(Postes!$G$7:$G$117,MATCH(B42,Postes!$A$7:$A$117,0))</f>
        <v>12.595031421580098</v>
      </c>
      <c r="F42" s="5">
        <f>Parametros!$E$8*Parametros!$E$9</f>
        <v>2205</v>
      </c>
      <c r="G42" s="5">
        <f>Parametros!$E$10/1000*Parametros!$E$11</f>
        <v>1.32389775</v>
      </c>
      <c r="H42" s="5">
        <f t="shared" si="6"/>
        <v>1665.5364811972829</v>
      </c>
      <c r="I42" s="5">
        <f t="shared" si="7"/>
        <v>0.59402338134644472</v>
      </c>
      <c r="J42" s="5">
        <f t="shared" si="8"/>
        <v>-979.36494469077638</v>
      </c>
      <c r="K42" s="5">
        <f t="shared" si="9"/>
        <v>0.58801770825623279</v>
      </c>
      <c r="L42" s="5">
        <f t="shared" si="10"/>
        <v>0.60002905443665666</v>
      </c>
      <c r="M42" s="5">
        <f t="shared" si="11"/>
        <v>23.640073323012526</v>
      </c>
      <c r="N42" s="5">
        <f>M42*Parametros!$E$5</f>
        <v>70.920219969037575</v>
      </c>
    </row>
    <row r="43" spans="1:14" ht="21" customHeight="1">
      <c r="A43" s="1" t="s">
        <v>360</v>
      </c>
      <c r="B43" s="1" t="s">
        <v>224</v>
      </c>
      <c r="C43" s="1" t="s">
        <v>225</v>
      </c>
      <c r="D43" s="5">
        <f>SQRT((INDEX(Postes!$B$7:$B$117,MATCH(C43,Postes!$A$7:$A$117,0))-INDEX(Postes!$B$7:$B$117,MATCH(B43,Postes!$A$7:$A$117,0)))^2+(INDEX(Postes!$C$7:$C$117,MATCH(C43,Postes!$A$7:$A$117,0))-INDEX(Postes!$C$7:$C$117,MATCH(B43,Postes!$A$7:$A$117,0)))^2)</f>
        <v>30.417067950342648</v>
      </c>
      <c r="E43" s="5">
        <f>INDEX(Postes!$D$7:$D$117,MATCH(C43,Postes!$A$7:$A$117,0))+INDEX(Postes!$G$7:$G$117,MATCH(C43,Postes!$A$7:$A$117,0))-INDEX(Postes!$D$7:$D$117,MATCH(B43,Postes!$A$7:$A$117,0))-INDEX(Postes!$G$7:$G$117,MATCH(B43,Postes!$A$7:$A$117,0))</f>
        <v>20.647355256554327</v>
      </c>
      <c r="F43" s="5">
        <f>Parametros!$E$8*Parametros!$E$9</f>
        <v>2205</v>
      </c>
      <c r="G43" s="5">
        <f>Parametros!$E$10/1000*Parametros!$E$11</f>
        <v>1.32389775</v>
      </c>
      <c r="H43" s="5">
        <f t="shared" si="6"/>
        <v>1665.5364811972829</v>
      </c>
      <c r="I43" s="5">
        <f t="shared" si="7"/>
        <v>0.63521136388067911</v>
      </c>
      <c r="J43" s="5">
        <f t="shared" si="8"/>
        <v>-1042.7591658391818</v>
      </c>
      <c r="K43" s="5">
        <f t="shared" si="9"/>
        <v>0.62608005144960077</v>
      </c>
      <c r="L43" s="5">
        <f t="shared" si="10"/>
        <v>0.64434267631175757</v>
      </c>
      <c r="M43" s="5">
        <f t="shared" si="11"/>
        <v>36.763256339398602</v>
      </c>
      <c r="N43" s="5">
        <f>M43*Parametros!$E$5</f>
        <v>110.28976901819581</v>
      </c>
    </row>
    <row r="44" spans="1:14" ht="21" customHeight="1">
      <c r="A44" s="1" t="s">
        <v>361</v>
      </c>
      <c r="B44" s="1" t="s">
        <v>225</v>
      </c>
      <c r="C44" s="1" t="s">
        <v>226</v>
      </c>
      <c r="D44" s="5">
        <f>SQRT((INDEX(Postes!$B$7:$B$117,MATCH(C44,Postes!$A$7:$A$117,0))-INDEX(Postes!$B$7:$B$117,MATCH(B44,Postes!$A$7:$A$117,0)))^2+(INDEX(Postes!$C$7:$C$117,MATCH(C44,Postes!$A$7:$A$117,0))-INDEX(Postes!$C$7:$C$117,MATCH(B44,Postes!$A$7:$A$117,0)))^2)</f>
        <v>75.724530713825956</v>
      </c>
      <c r="E44" s="5">
        <f>INDEX(Postes!$D$7:$D$117,MATCH(C44,Postes!$A$7:$A$117,0))+INDEX(Postes!$G$7:$G$117,MATCH(C44,Postes!$A$7:$A$117,0))-INDEX(Postes!$D$7:$D$117,MATCH(B44,Postes!$A$7:$A$117,0))-INDEX(Postes!$G$7:$G$117,MATCH(B44,Postes!$A$7:$A$117,0))</f>
        <v>1.4768409377051288</v>
      </c>
      <c r="F44" s="5">
        <f>Parametros!$E$8*Parametros!$E$9</f>
        <v>2205</v>
      </c>
      <c r="G44" s="5">
        <f>Parametros!$E$10/1000*Parametros!$E$11</f>
        <v>1.32389775</v>
      </c>
      <c r="H44" s="5">
        <f t="shared" si="6"/>
        <v>1665.5364811972829</v>
      </c>
      <c r="I44" s="5">
        <f t="shared" si="7"/>
        <v>1.9499891908686031E-2</v>
      </c>
      <c r="J44" s="5">
        <f t="shared" si="8"/>
        <v>5.3844840035926751</v>
      </c>
      <c r="K44" s="5">
        <f t="shared" si="9"/>
        <v>-3.2328826563570675E-3</v>
      </c>
      <c r="L44" s="5">
        <f t="shared" si="10"/>
        <v>4.2232666473729134E-2</v>
      </c>
      <c r="M44" s="5">
        <f t="shared" si="11"/>
        <v>75.745451687136637</v>
      </c>
      <c r="N44" s="5">
        <f>M44*Parametros!$E$5</f>
        <v>227.23635506140991</v>
      </c>
    </row>
    <row r="45" spans="1:14" ht="21" customHeight="1">
      <c r="A45" s="1" t="s">
        <v>362</v>
      </c>
      <c r="B45" s="1" t="s">
        <v>226</v>
      </c>
      <c r="C45" s="1" t="s">
        <v>227</v>
      </c>
      <c r="D45" s="5">
        <f>SQRT((INDEX(Postes!$B$7:$B$117,MATCH(C45,Postes!$A$7:$A$117,0))-INDEX(Postes!$B$7:$B$117,MATCH(B45,Postes!$A$7:$A$117,0)))^2+(INDEX(Postes!$C$7:$C$117,MATCH(C45,Postes!$A$7:$A$117,0))-INDEX(Postes!$C$7:$C$117,MATCH(B45,Postes!$A$7:$A$117,0)))^2)</f>
        <v>82.373707725109767</v>
      </c>
      <c r="E45" s="5">
        <f>INDEX(Postes!$D$7:$D$117,MATCH(C45,Postes!$A$7:$A$117,0))+INDEX(Postes!$G$7:$G$117,MATCH(C45,Postes!$A$7:$A$117,0))-INDEX(Postes!$D$7:$D$117,MATCH(B45,Postes!$A$7:$A$117,0))-INDEX(Postes!$G$7:$G$117,MATCH(B45,Postes!$A$7:$A$117,0))</f>
        <v>8.0175572687738157</v>
      </c>
      <c r="F45" s="5">
        <f>Parametros!$E$8*Parametros!$E$9</f>
        <v>2205</v>
      </c>
      <c r="G45" s="5">
        <f>Parametros!$E$10/1000*Parametros!$E$11</f>
        <v>1.32389775</v>
      </c>
      <c r="H45" s="5">
        <f t="shared" si="6"/>
        <v>1665.5364811972829</v>
      </c>
      <c r="I45" s="5">
        <f t="shared" si="7"/>
        <v>9.7168610669752742E-2</v>
      </c>
      <c r="J45" s="5">
        <f t="shared" si="8"/>
        <v>-120.65101203517385</v>
      </c>
      <c r="K45" s="5">
        <f t="shared" si="9"/>
        <v>7.2439729418861482E-2</v>
      </c>
      <c r="L45" s="5">
        <f t="shared" si="10"/>
        <v>0.121897491920644</v>
      </c>
      <c r="M45" s="5">
        <f t="shared" si="11"/>
        <v>82.771324731492484</v>
      </c>
      <c r="N45" s="5">
        <f>M45*Parametros!$E$5</f>
        <v>248.31397419447745</v>
      </c>
    </row>
    <row r="46" spans="1:14" ht="21" customHeight="1">
      <c r="A46" s="1" t="s">
        <v>363</v>
      </c>
      <c r="B46" s="1" t="s">
        <v>227</v>
      </c>
      <c r="C46" s="1" t="s">
        <v>228</v>
      </c>
      <c r="D46" s="5">
        <f>SQRT((INDEX(Postes!$B$7:$B$117,MATCH(C46,Postes!$A$7:$A$117,0))-INDEX(Postes!$B$7:$B$117,MATCH(B46,Postes!$A$7:$A$117,0)))^2+(INDEX(Postes!$C$7:$C$117,MATCH(C46,Postes!$A$7:$A$117,0))-INDEX(Postes!$C$7:$C$117,MATCH(B46,Postes!$A$7:$A$117,0)))^2)</f>
        <v>82.373707723345021</v>
      </c>
      <c r="E46" s="5">
        <f>INDEX(Postes!$D$7:$D$117,MATCH(C46,Postes!$A$7:$A$117,0))+INDEX(Postes!$G$7:$G$117,MATCH(C46,Postes!$A$7:$A$117,0))-INDEX(Postes!$D$7:$D$117,MATCH(B46,Postes!$A$7:$A$117,0))-INDEX(Postes!$G$7:$G$117,MATCH(B46,Postes!$A$7:$A$117,0))</f>
        <v>22.73415720004941</v>
      </c>
      <c r="F46" s="5">
        <f>Parametros!$E$8*Parametros!$E$9</f>
        <v>2205</v>
      </c>
      <c r="G46" s="5">
        <f>Parametros!$E$10/1000*Parametros!$E$11</f>
        <v>1.32389775</v>
      </c>
      <c r="H46" s="5">
        <f t="shared" si="6"/>
        <v>1665.5364811972829</v>
      </c>
      <c r="I46" s="5">
        <f t="shared" si="7"/>
        <v>0.2725721895071484</v>
      </c>
      <c r="J46" s="5">
        <f t="shared" si="8"/>
        <v>-412.79207152230242</v>
      </c>
      <c r="K46" s="5">
        <f t="shared" si="9"/>
        <v>0.24784330825678694</v>
      </c>
      <c r="L46" s="5">
        <f t="shared" si="10"/>
        <v>0.29730107075750989</v>
      </c>
      <c r="M46" s="5">
        <f t="shared" si="11"/>
        <v>85.461411622754142</v>
      </c>
      <c r="N46" s="5">
        <f>M46*Parametros!$E$5</f>
        <v>256.38423486826241</v>
      </c>
    </row>
    <row r="47" spans="1:14" ht="21" customHeight="1">
      <c r="A47" s="1" t="s">
        <v>364</v>
      </c>
      <c r="B47" s="1" t="s">
        <v>228</v>
      </c>
      <c r="C47" s="1" t="s">
        <v>229</v>
      </c>
      <c r="D47" s="5">
        <f>SQRT((INDEX(Postes!$B$7:$B$117,MATCH(C47,Postes!$A$7:$A$117,0))-INDEX(Postes!$B$7:$B$117,MATCH(B47,Postes!$A$7:$A$117,0)))^2+(INDEX(Postes!$C$7:$C$117,MATCH(C47,Postes!$A$7:$A$117,0))-INDEX(Postes!$C$7:$C$117,MATCH(B47,Postes!$A$7:$A$117,0)))^2)</f>
        <v>63.028194451241824</v>
      </c>
      <c r="E47" s="5">
        <f>INDEX(Postes!$D$7:$D$117,MATCH(C47,Postes!$A$7:$A$117,0))+INDEX(Postes!$G$7:$G$117,MATCH(C47,Postes!$A$7:$A$117,0))-INDEX(Postes!$D$7:$D$117,MATCH(B47,Postes!$A$7:$A$117,0))-INDEX(Postes!$G$7:$G$117,MATCH(B47,Postes!$A$7:$A$117,0))</f>
        <v>-5.1145016949837565</v>
      </c>
      <c r="F47" s="5">
        <f>Parametros!$E$8*Parametros!$E$9</f>
        <v>2205</v>
      </c>
      <c r="G47" s="5">
        <f>Parametros!$E$10/1000*Parametros!$E$11</f>
        <v>1.32389775</v>
      </c>
      <c r="H47" s="5">
        <f t="shared" si="6"/>
        <v>1665.5364811972829</v>
      </c>
      <c r="I47" s="5">
        <f t="shared" si="7"/>
        <v>-8.1052633963442644E-2</v>
      </c>
      <c r="J47" s="5">
        <f t="shared" si="8"/>
        <v>166.51021598886456</v>
      </c>
      <c r="K47" s="5">
        <f t="shared" si="9"/>
        <v>-9.9973923038399914E-2</v>
      </c>
      <c r="L47" s="5">
        <f t="shared" si="10"/>
        <v>-6.2131344888485381E-2</v>
      </c>
      <c r="M47" s="5">
        <f t="shared" si="11"/>
        <v>63.239113878441607</v>
      </c>
      <c r="N47" s="5">
        <f>M47*Parametros!$E$5</f>
        <v>189.71734163532483</v>
      </c>
    </row>
    <row r="48" spans="1:14" ht="21" customHeight="1">
      <c r="A48" s="1" t="s">
        <v>365</v>
      </c>
      <c r="B48" s="1" t="s">
        <v>229</v>
      </c>
      <c r="C48" s="1" t="s">
        <v>230</v>
      </c>
      <c r="D48" s="5">
        <f>SQRT((INDEX(Postes!$B$7:$B$117,MATCH(C48,Postes!$A$7:$A$117,0))-INDEX(Postes!$B$7:$B$117,MATCH(B48,Postes!$A$7:$A$117,0)))^2+(INDEX(Postes!$C$7:$C$117,MATCH(C48,Postes!$A$7:$A$117,0))-INDEX(Postes!$C$7:$C$117,MATCH(B48,Postes!$A$7:$A$117,0)))^2)</f>
        <v>49.878623274641868</v>
      </c>
      <c r="E48" s="5">
        <f>INDEX(Postes!$D$7:$D$117,MATCH(C48,Postes!$A$7:$A$117,0))+INDEX(Postes!$G$7:$G$117,MATCH(C48,Postes!$A$7:$A$117,0))-INDEX(Postes!$D$7:$D$117,MATCH(B48,Postes!$A$7:$A$117,0))-INDEX(Postes!$G$7:$G$117,MATCH(B48,Postes!$A$7:$A$117,0))</f>
        <v>6.0717006792581731</v>
      </c>
      <c r="F48" s="5">
        <f>Parametros!$E$8*Parametros!$E$9</f>
        <v>2205</v>
      </c>
      <c r="G48" s="5">
        <f>Parametros!$E$10/1000*Parametros!$E$11</f>
        <v>1.32389775</v>
      </c>
      <c r="H48" s="5">
        <f t="shared" si="6"/>
        <v>1665.5364811972829</v>
      </c>
      <c r="I48" s="5">
        <f t="shared" si="7"/>
        <v>0.12142635505020405</v>
      </c>
      <c r="J48" s="5">
        <f t="shared" si="8"/>
        <v>-177.30071247760785</v>
      </c>
      <c r="K48" s="5">
        <f t="shared" si="9"/>
        <v>0.1064526142052163</v>
      </c>
      <c r="L48" s="5">
        <f t="shared" si="10"/>
        <v>0.13640009589519181</v>
      </c>
      <c r="M48" s="5">
        <f t="shared" si="11"/>
        <v>50.24866717164435</v>
      </c>
      <c r="N48" s="5">
        <f>M48*Parametros!$E$5</f>
        <v>150.74600151493306</v>
      </c>
    </row>
    <row r="49" spans="1:14" ht="21" customHeight="1">
      <c r="A49" s="1" t="s">
        <v>366</v>
      </c>
      <c r="B49" s="1" t="s">
        <v>230</v>
      </c>
      <c r="C49" s="1" t="s">
        <v>231</v>
      </c>
      <c r="D49" s="5">
        <f>SQRT((INDEX(Postes!$B$7:$B$117,MATCH(C49,Postes!$A$7:$A$117,0))-INDEX(Postes!$B$7:$B$117,MATCH(B49,Postes!$A$7:$A$117,0)))^2+(INDEX(Postes!$C$7:$C$117,MATCH(C49,Postes!$A$7:$A$117,0))-INDEX(Postes!$C$7:$C$117,MATCH(B49,Postes!$A$7:$A$117,0)))^2)</f>
        <v>80.017910351132471</v>
      </c>
      <c r="E49" s="5">
        <f>INDEX(Postes!$D$7:$D$117,MATCH(C49,Postes!$A$7:$A$117,0))+INDEX(Postes!$G$7:$G$117,MATCH(C49,Postes!$A$7:$A$117,0))-INDEX(Postes!$D$7:$D$117,MATCH(B49,Postes!$A$7:$A$117,0))-INDEX(Postes!$G$7:$G$117,MATCH(B49,Postes!$A$7:$A$117,0))</f>
        <v>3.5764551631415085</v>
      </c>
      <c r="F49" s="5">
        <f>Parametros!$E$8*Parametros!$E$9</f>
        <v>2205</v>
      </c>
      <c r="G49" s="5">
        <f>Parametros!$E$10/1000*Parametros!$E$11</f>
        <v>1.32389775</v>
      </c>
      <c r="H49" s="5">
        <f t="shared" si="6"/>
        <v>1665.5364811972829</v>
      </c>
      <c r="I49" s="5">
        <f t="shared" si="7"/>
        <v>4.4676521041974865E-2</v>
      </c>
      <c r="J49" s="5">
        <f t="shared" si="8"/>
        <v>-34.401420472820952</v>
      </c>
      <c r="K49" s="5">
        <f t="shared" si="9"/>
        <v>2.0654858576313648E-2</v>
      </c>
      <c r="L49" s="5">
        <f t="shared" si="10"/>
        <v>6.8698183507636096E-2</v>
      </c>
      <c r="M49" s="5">
        <f t="shared" si="11"/>
        <v>80.105484667119569</v>
      </c>
      <c r="N49" s="5">
        <f>M49*Parametros!$E$5</f>
        <v>240.31645400135869</v>
      </c>
    </row>
    <row r="50" spans="1:14" ht="21" customHeight="1">
      <c r="A50" s="1" t="s">
        <v>367</v>
      </c>
      <c r="B50" s="1" t="s">
        <v>231</v>
      </c>
      <c r="C50" s="1" t="s">
        <v>232</v>
      </c>
      <c r="D50" s="5">
        <f>SQRT((INDEX(Postes!$B$7:$B$117,MATCH(C50,Postes!$A$7:$A$117,0))-INDEX(Postes!$B$7:$B$117,MATCH(B50,Postes!$A$7:$A$117,0)))^2+(INDEX(Postes!$C$7:$C$117,MATCH(C50,Postes!$A$7:$A$117,0))-INDEX(Postes!$C$7:$C$117,MATCH(B50,Postes!$A$7:$A$117,0)))^2)</f>
        <v>80.017910349271375</v>
      </c>
      <c r="E50" s="5">
        <f>INDEX(Postes!$D$7:$D$117,MATCH(C50,Postes!$A$7:$A$117,0))+INDEX(Postes!$G$7:$G$117,MATCH(C50,Postes!$A$7:$A$117,0))-INDEX(Postes!$D$7:$D$117,MATCH(B50,Postes!$A$7:$A$117,0))-INDEX(Postes!$G$7:$G$117,MATCH(B50,Postes!$A$7:$A$117,0))</f>
        <v>8.3685753929890776</v>
      </c>
      <c r="F50" s="5">
        <f>Parametros!$E$8*Parametros!$E$9</f>
        <v>2205</v>
      </c>
      <c r="G50" s="5">
        <f>Parametros!$E$10/1000*Parametros!$E$11</f>
        <v>1.32389775</v>
      </c>
      <c r="H50" s="5">
        <f t="shared" si="6"/>
        <v>1665.5364811972829</v>
      </c>
      <c r="I50" s="5">
        <f t="shared" si="7"/>
        <v>0.10438405547906725</v>
      </c>
      <c r="J50" s="5">
        <f t="shared" si="8"/>
        <v>-133.84649728107195</v>
      </c>
      <c r="K50" s="5">
        <f t="shared" si="9"/>
        <v>8.0362393013964736E-2</v>
      </c>
      <c r="L50" s="5">
        <f t="shared" si="10"/>
        <v>0.12840571794416977</v>
      </c>
      <c r="M50" s="5">
        <f t="shared" si="11"/>
        <v>80.461982923802893</v>
      </c>
      <c r="N50" s="5">
        <f>M50*Parametros!$E$5</f>
        <v>241.38594877140866</v>
      </c>
    </row>
    <row r="51" spans="1:14" ht="21" customHeight="1">
      <c r="A51" s="1" t="s">
        <v>368</v>
      </c>
      <c r="B51" s="1" t="s">
        <v>232</v>
      </c>
      <c r="C51" s="1" t="s">
        <v>233</v>
      </c>
      <c r="D51" s="5">
        <f>SQRT((INDEX(Postes!$B$7:$B$117,MATCH(C51,Postes!$A$7:$A$117,0))-INDEX(Postes!$B$7:$B$117,MATCH(B51,Postes!$A$7:$A$117,0)))^2+(INDEX(Postes!$C$7:$C$117,MATCH(C51,Postes!$A$7:$A$117,0))-INDEX(Postes!$C$7:$C$117,MATCH(B51,Postes!$A$7:$A$117,0)))^2)</f>
        <v>61.4282655706483</v>
      </c>
      <c r="E51" s="5">
        <f>INDEX(Postes!$D$7:$D$117,MATCH(C51,Postes!$A$7:$A$117,0))+INDEX(Postes!$G$7:$G$117,MATCH(C51,Postes!$A$7:$A$117,0))-INDEX(Postes!$D$7:$D$117,MATCH(B51,Postes!$A$7:$A$117,0))-INDEX(Postes!$G$7:$G$117,MATCH(B51,Postes!$A$7:$A$117,0))</f>
        <v>-1.2244185115656361</v>
      </c>
      <c r="F51" s="5">
        <f>Parametros!$E$8*Parametros!$E$9</f>
        <v>2205</v>
      </c>
      <c r="G51" s="5">
        <f>Parametros!$E$10/1000*Parametros!$E$11</f>
        <v>1.32389775</v>
      </c>
      <c r="H51" s="5">
        <f t="shared" si="6"/>
        <v>1665.5364811972829</v>
      </c>
      <c r="I51" s="5">
        <f t="shared" si="7"/>
        <v>-1.9930044507113224E-2</v>
      </c>
      <c r="J51" s="5">
        <f t="shared" si="8"/>
        <v>63.908348983806746</v>
      </c>
      <c r="K51" s="5">
        <f t="shared" si="9"/>
        <v>-3.8371029218084593E-2</v>
      </c>
      <c r="L51" s="5">
        <f t="shared" si="10"/>
        <v>-1.4890597961418539E-3</v>
      </c>
      <c r="M51" s="5">
        <f t="shared" si="11"/>
        <v>61.443948234572225</v>
      </c>
      <c r="N51" s="5">
        <f>M51*Parametros!$E$5</f>
        <v>184.33184470371668</v>
      </c>
    </row>
    <row r="52" spans="1:14" ht="21" customHeight="1">
      <c r="A52" s="1" t="s">
        <v>369</v>
      </c>
      <c r="B52" s="1" t="s">
        <v>233</v>
      </c>
      <c r="C52" s="1" t="s">
        <v>234</v>
      </c>
      <c r="D52" s="5">
        <f>SQRT((INDEX(Postes!$B$7:$B$117,MATCH(C52,Postes!$A$7:$A$117,0))-INDEX(Postes!$B$7:$B$117,MATCH(B52,Postes!$A$7:$A$117,0)))^2+(INDEX(Postes!$C$7:$C$117,MATCH(C52,Postes!$A$7:$A$117,0))-INDEX(Postes!$C$7:$C$117,MATCH(B52,Postes!$A$7:$A$117,0)))^2)</f>
        <v>61.428265572235794</v>
      </c>
      <c r="E52" s="5">
        <f>INDEX(Postes!$D$7:$D$117,MATCH(C52,Postes!$A$7:$A$117,0))+INDEX(Postes!$G$7:$G$117,MATCH(C52,Postes!$A$7:$A$117,0))-INDEX(Postes!$D$7:$D$117,MATCH(B52,Postes!$A$7:$A$117,0))-INDEX(Postes!$G$7:$G$117,MATCH(B52,Postes!$A$7:$A$117,0))</f>
        <v>1.3927157197912496</v>
      </c>
      <c r="F52" s="5">
        <f>Parametros!$E$8*Parametros!$E$9</f>
        <v>2205</v>
      </c>
      <c r="G52" s="5">
        <f>Parametros!$E$10/1000*Parametros!$E$11</f>
        <v>1.32389775</v>
      </c>
      <c r="H52" s="5">
        <f t="shared" si="6"/>
        <v>1665.5364811972829</v>
      </c>
      <c r="I52" s="5">
        <f t="shared" si="7"/>
        <v>2.2669002693815679E-2</v>
      </c>
      <c r="J52" s="5">
        <f t="shared" si="8"/>
        <v>-7.041918192791595</v>
      </c>
      <c r="K52" s="5">
        <f t="shared" si="9"/>
        <v>4.2280179823677363E-3</v>
      </c>
      <c r="L52" s="5">
        <f t="shared" si="10"/>
        <v>4.1109987405263622E-2</v>
      </c>
      <c r="M52" s="5">
        <f t="shared" si="11"/>
        <v>61.447532344534054</v>
      </c>
      <c r="N52" s="5">
        <f>M52*Parametros!$E$5</f>
        <v>184.34259703360215</v>
      </c>
    </row>
    <row r="53" spans="1:14" ht="21" customHeight="1">
      <c r="A53" s="1" t="s">
        <v>370</v>
      </c>
      <c r="B53" s="1" t="s">
        <v>234</v>
      </c>
      <c r="C53" s="1" t="s">
        <v>235</v>
      </c>
      <c r="D53" s="5">
        <f>SQRT((INDEX(Postes!$B$7:$B$117,MATCH(C53,Postes!$A$7:$A$117,0))-INDEX(Postes!$B$7:$B$117,MATCH(B53,Postes!$A$7:$A$117,0)))^2+(INDEX(Postes!$C$7:$C$117,MATCH(C53,Postes!$A$7:$A$117,0))-INDEX(Postes!$C$7:$C$117,MATCH(B53,Postes!$A$7:$A$117,0)))^2)</f>
        <v>61.4282655706483</v>
      </c>
      <c r="E53" s="5">
        <f>INDEX(Postes!$D$7:$D$117,MATCH(C53,Postes!$A$7:$A$117,0))+INDEX(Postes!$G$7:$G$117,MATCH(C53,Postes!$A$7:$A$117,0))-INDEX(Postes!$D$7:$D$117,MATCH(B53,Postes!$A$7:$A$117,0))-INDEX(Postes!$G$7:$G$117,MATCH(B53,Postes!$A$7:$A$117,0))</f>
        <v>4.4990594403979234</v>
      </c>
      <c r="F53" s="5">
        <f>Parametros!$E$8*Parametros!$E$9</f>
        <v>2205</v>
      </c>
      <c r="G53" s="5">
        <f>Parametros!$E$10/1000*Parametros!$E$11</f>
        <v>1.32389775</v>
      </c>
      <c r="H53" s="5">
        <f t="shared" si="6"/>
        <v>1665.5364811972829</v>
      </c>
      <c r="I53" s="5">
        <f t="shared" si="7"/>
        <v>7.317140475641172E-2</v>
      </c>
      <c r="J53" s="5">
        <f t="shared" si="8"/>
        <v>-91.155511216931956</v>
      </c>
      <c r="K53" s="5">
        <f t="shared" si="9"/>
        <v>5.4730420045440348E-2</v>
      </c>
      <c r="L53" s="5">
        <f t="shared" si="10"/>
        <v>9.1612389467383093E-2</v>
      </c>
      <c r="M53" s="5">
        <f t="shared" si="11"/>
        <v>61.596275129341713</v>
      </c>
      <c r="N53" s="5">
        <f>M53*Parametros!$E$5</f>
        <v>184.78882538802515</v>
      </c>
    </row>
    <row r="54" spans="1:14" ht="21" customHeight="1">
      <c r="A54" s="1" t="s">
        <v>371</v>
      </c>
      <c r="B54" s="1" t="s">
        <v>235</v>
      </c>
      <c r="C54" s="1" t="s">
        <v>236</v>
      </c>
      <c r="D54" s="5">
        <f>SQRT((INDEX(Postes!$B$7:$B$117,MATCH(C54,Postes!$A$7:$A$117,0))-INDEX(Postes!$B$7:$B$117,MATCH(B54,Postes!$A$7:$A$117,0)))^2+(INDEX(Postes!$C$7:$C$117,MATCH(C54,Postes!$A$7:$A$117,0))-INDEX(Postes!$C$7:$C$117,MATCH(B54,Postes!$A$7:$A$117,0)))^2)</f>
        <v>38.437805146647534</v>
      </c>
      <c r="E54" s="5">
        <f>INDEX(Postes!$D$7:$D$117,MATCH(C54,Postes!$A$7:$A$117,0))+INDEX(Postes!$G$7:$G$117,MATCH(C54,Postes!$A$7:$A$117,0))-INDEX(Postes!$D$7:$D$117,MATCH(B54,Postes!$A$7:$A$117,0))-INDEX(Postes!$G$7:$G$117,MATCH(B54,Postes!$A$7:$A$117,0))</f>
        <v>9.9161078909586653</v>
      </c>
      <c r="F54" s="5">
        <f>Parametros!$E$8*Parametros!$E$9</f>
        <v>2205</v>
      </c>
      <c r="G54" s="5">
        <f>Parametros!$E$10/1000*Parametros!$E$11</f>
        <v>1.32389775</v>
      </c>
      <c r="H54" s="5">
        <f t="shared" si="6"/>
        <v>1665.5364811972829</v>
      </c>
      <c r="I54" s="5">
        <f t="shared" si="7"/>
        <v>0.25519338193752666</v>
      </c>
      <c r="J54" s="5">
        <f t="shared" si="8"/>
        <v>-405.81498480373864</v>
      </c>
      <c r="K54" s="5">
        <f t="shared" si="9"/>
        <v>0.24365421555462755</v>
      </c>
      <c r="L54" s="5">
        <f t="shared" si="10"/>
        <v>0.26673254832042576</v>
      </c>
      <c r="M54" s="5">
        <f t="shared" si="11"/>
        <v>39.697098601021636</v>
      </c>
      <c r="N54" s="5">
        <f>M54*Parametros!$E$5</f>
        <v>119.09129580306491</v>
      </c>
    </row>
    <row r="55" spans="1:14" ht="21" customHeight="1">
      <c r="A55" s="1" t="s">
        <v>372</v>
      </c>
      <c r="B55" s="1" t="s">
        <v>236</v>
      </c>
      <c r="C55" s="1" t="s">
        <v>237</v>
      </c>
      <c r="D55" s="5">
        <f>SQRT((INDEX(Postes!$B$7:$B$117,MATCH(C55,Postes!$A$7:$A$117,0))-INDEX(Postes!$B$7:$B$117,MATCH(B55,Postes!$A$7:$A$117,0)))^2+(INDEX(Postes!$C$7:$C$117,MATCH(C55,Postes!$A$7:$A$117,0))-INDEX(Postes!$C$7:$C$117,MATCH(B55,Postes!$A$7:$A$117,0)))^2)</f>
        <v>79.668260676504843</v>
      </c>
      <c r="E55" s="5">
        <f>INDEX(Postes!$D$7:$D$117,MATCH(C55,Postes!$A$7:$A$117,0))+INDEX(Postes!$G$7:$G$117,MATCH(C55,Postes!$A$7:$A$117,0))-INDEX(Postes!$D$7:$D$117,MATCH(B55,Postes!$A$7:$A$117,0))-INDEX(Postes!$G$7:$G$117,MATCH(B55,Postes!$A$7:$A$117,0))</f>
        <v>8.3902192637746342</v>
      </c>
      <c r="F55" s="5">
        <f>Parametros!$E$8*Parametros!$E$9</f>
        <v>2205</v>
      </c>
      <c r="G55" s="5">
        <f>Parametros!$E$10/1000*Parametros!$E$11</f>
        <v>1.32389775</v>
      </c>
      <c r="H55" s="5">
        <f t="shared" si="6"/>
        <v>1665.5364811972829</v>
      </c>
      <c r="I55" s="5">
        <f t="shared" si="7"/>
        <v>0.10511075751618745</v>
      </c>
      <c r="J55" s="5">
        <f t="shared" si="8"/>
        <v>-135.23167087123926</v>
      </c>
      <c r="K55" s="5">
        <f t="shared" si="9"/>
        <v>8.1194061131598272E-2</v>
      </c>
      <c r="L55" s="5">
        <f t="shared" si="10"/>
        <v>0.12902745390077661</v>
      </c>
      <c r="M55" s="5">
        <f t="shared" si="11"/>
        <v>80.11640166597634</v>
      </c>
      <c r="N55" s="5">
        <f>M55*Parametros!$E$5</f>
        <v>240.34920499792901</v>
      </c>
    </row>
    <row r="56" spans="1:14" ht="21" customHeight="1">
      <c r="A56" s="1" t="s">
        <v>373</v>
      </c>
      <c r="B56" s="1" t="s">
        <v>237</v>
      </c>
      <c r="C56" s="1" t="s">
        <v>238</v>
      </c>
      <c r="D56" s="5">
        <f>SQRT((INDEX(Postes!$B$7:$B$117,MATCH(C56,Postes!$A$7:$A$117,0))-INDEX(Postes!$B$7:$B$117,MATCH(B56,Postes!$A$7:$A$117,0)))^2+(INDEX(Postes!$C$7:$C$117,MATCH(C56,Postes!$A$7:$A$117,0))-INDEX(Postes!$C$7:$C$117,MATCH(B56,Postes!$A$7:$A$117,0)))^2)</f>
        <v>57.854811604464096</v>
      </c>
      <c r="E56" s="5">
        <f>INDEX(Postes!$D$7:$D$117,MATCH(C56,Postes!$A$7:$A$117,0))+INDEX(Postes!$G$7:$G$117,MATCH(C56,Postes!$A$7:$A$117,0))-INDEX(Postes!$D$7:$D$117,MATCH(B56,Postes!$A$7:$A$117,0))-INDEX(Postes!$G$7:$G$117,MATCH(B56,Postes!$A$7:$A$117,0))</f>
        <v>-0.18225160032861787</v>
      </c>
      <c r="F56" s="5">
        <f>Parametros!$E$8*Parametros!$E$9</f>
        <v>2205</v>
      </c>
      <c r="G56" s="5">
        <f>Parametros!$E$10/1000*Parametros!$E$11</f>
        <v>1.32389775</v>
      </c>
      <c r="H56" s="5">
        <f t="shared" si="6"/>
        <v>1665.5364811972829</v>
      </c>
      <c r="I56" s="5">
        <f t="shared" si="7"/>
        <v>-3.1499910095886571E-3</v>
      </c>
      <c r="J56" s="5">
        <f t="shared" si="8"/>
        <v>34.17383074414542</v>
      </c>
      <c r="K56" s="5">
        <f t="shared" si="9"/>
        <v>-2.051821207757594E-2</v>
      </c>
      <c r="L56" s="5">
        <f t="shared" si="10"/>
        <v>1.4218230058398621E-2</v>
      </c>
      <c r="M56" s="5">
        <f t="shared" si="11"/>
        <v>57.858007393409103</v>
      </c>
      <c r="N56" s="5">
        <f>M56*Parametros!$E$5</f>
        <v>173.5740221802273</v>
      </c>
    </row>
    <row r="57" spans="1:14" ht="21" customHeight="1">
      <c r="A57" s="1" t="s">
        <v>374</v>
      </c>
      <c r="B57" s="1" t="s">
        <v>238</v>
      </c>
      <c r="C57" s="1" t="s">
        <v>239</v>
      </c>
      <c r="D57" s="5">
        <f>SQRT((INDEX(Postes!$B$7:$B$117,MATCH(C57,Postes!$A$7:$A$117,0))-INDEX(Postes!$B$7:$B$117,MATCH(B57,Postes!$A$7:$A$117,0)))^2+(INDEX(Postes!$C$7:$C$117,MATCH(C57,Postes!$A$7:$A$117,0))-INDEX(Postes!$C$7:$C$117,MATCH(B57,Postes!$A$7:$A$117,0)))^2)</f>
        <v>57.854811606000048</v>
      </c>
      <c r="E57" s="5">
        <f>INDEX(Postes!$D$7:$D$117,MATCH(C57,Postes!$A$7:$A$117,0))+INDEX(Postes!$G$7:$G$117,MATCH(C57,Postes!$A$7:$A$117,0))-INDEX(Postes!$D$7:$D$117,MATCH(B57,Postes!$A$7:$A$117,0))-INDEX(Postes!$G$7:$G$117,MATCH(B57,Postes!$A$7:$A$117,0))</f>
        <v>3.1325721627330498</v>
      </c>
      <c r="F57" s="5">
        <f>Parametros!$E$8*Parametros!$E$9</f>
        <v>2205</v>
      </c>
      <c r="G57" s="5">
        <f>Parametros!$E$10/1000*Parametros!$E$11</f>
        <v>1.32389775</v>
      </c>
      <c r="H57" s="5">
        <f t="shared" si="6"/>
        <v>1665.5364811972829</v>
      </c>
      <c r="I57" s="5">
        <f t="shared" si="7"/>
        <v>5.4116264401768699E-2</v>
      </c>
      <c r="J57" s="5">
        <f t="shared" si="8"/>
        <v>-61.205206784263595</v>
      </c>
      <c r="K57" s="5">
        <f t="shared" si="9"/>
        <v>3.6748043333320317E-2</v>
      </c>
      <c r="L57" s="5">
        <f t="shared" si="10"/>
        <v>7.1484485470217074E-2</v>
      </c>
      <c r="M57" s="5">
        <f t="shared" si="11"/>
        <v>57.942461221650326</v>
      </c>
      <c r="N57" s="5">
        <f>M57*Parametros!$E$5</f>
        <v>173.82738366495099</v>
      </c>
    </row>
    <row r="58" spans="1:14" ht="21" customHeight="1">
      <c r="A58" s="1" t="s">
        <v>375</v>
      </c>
      <c r="B58" s="1" t="s">
        <v>239</v>
      </c>
      <c r="C58" s="1" t="s">
        <v>240</v>
      </c>
      <c r="D58" s="5">
        <f>SQRT((INDEX(Postes!$B$7:$B$117,MATCH(C58,Postes!$A$7:$A$117,0))-INDEX(Postes!$B$7:$B$117,MATCH(B58,Postes!$A$7:$A$117,0)))^2+(INDEX(Postes!$C$7:$C$117,MATCH(C58,Postes!$A$7:$A$117,0))-INDEX(Postes!$C$7:$C$117,MATCH(B58,Postes!$A$7:$A$117,0)))^2)</f>
        <v>82.715246473158984</v>
      </c>
      <c r="E58" s="5">
        <f>INDEX(Postes!$D$7:$D$117,MATCH(C58,Postes!$A$7:$A$117,0))+INDEX(Postes!$G$7:$G$117,MATCH(C58,Postes!$A$7:$A$117,0))-INDEX(Postes!$D$7:$D$117,MATCH(B58,Postes!$A$7:$A$117,0))-INDEX(Postes!$G$7:$G$117,MATCH(B58,Postes!$A$7:$A$117,0))</f>
        <v>21.526653030754822</v>
      </c>
      <c r="F58" s="5">
        <f>Parametros!$E$8*Parametros!$E$9</f>
        <v>2205</v>
      </c>
      <c r="G58" s="5">
        <f>Parametros!$E$10/1000*Parametros!$E$11</f>
        <v>1.32389775</v>
      </c>
      <c r="H58" s="5">
        <f t="shared" si="6"/>
        <v>1665.5364811972829</v>
      </c>
      <c r="I58" s="5">
        <f t="shared" si="7"/>
        <v>0.25737253430979684</v>
      </c>
      <c r="J58" s="5">
        <f t="shared" si="8"/>
        <v>-387.30572191458646</v>
      </c>
      <c r="K58" s="5">
        <f t="shared" si="9"/>
        <v>0.23254112190695994</v>
      </c>
      <c r="L58" s="5">
        <f t="shared" si="10"/>
        <v>0.28220394671263366</v>
      </c>
      <c r="M58" s="5">
        <f t="shared" si="11"/>
        <v>85.478740770310608</v>
      </c>
      <c r="N58" s="5">
        <f>M58*Parametros!$E$5</f>
        <v>256.43622231093184</v>
      </c>
    </row>
    <row r="59" spans="1:14" ht="21" customHeight="1">
      <c r="A59" s="1" t="s">
        <v>376</v>
      </c>
      <c r="B59" s="1" t="s">
        <v>240</v>
      </c>
      <c r="C59" s="1" t="s">
        <v>241</v>
      </c>
      <c r="D59" s="5">
        <f>SQRT((INDEX(Postes!$B$7:$B$117,MATCH(C59,Postes!$A$7:$A$117,0))-INDEX(Postes!$B$7:$B$117,MATCH(B59,Postes!$A$7:$A$117,0)))^2+(INDEX(Postes!$C$7:$C$117,MATCH(C59,Postes!$A$7:$A$117,0))-INDEX(Postes!$C$7:$C$117,MATCH(B59,Postes!$A$7:$A$117,0)))^2)</f>
        <v>48.000551882174904</v>
      </c>
      <c r="E59" s="5">
        <f>INDEX(Postes!$D$7:$D$117,MATCH(C59,Postes!$A$7:$A$117,0))+INDEX(Postes!$G$7:$G$117,MATCH(C59,Postes!$A$7:$A$117,0))-INDEX(Postes!$D$7:$D$117,MATCH(B59,Postes!$A$7:$A$117,0))-INDEX(Postes!$G$7:$G$117,MATCH(B59,Postes!$A$7:$A$117,0))</f>
        <v>1.8935523079138878</v>
      </c>
      <c r="F59" s="5">
        <f>Parametros!$E$8*Parametros!$E$9</f>
        <v>2205</v>
      </c>
      <c r="G59" s="5">
        <f>Parametros!$E$10/1000*Parametros!$E$11</f>
        <v>1.32389775</v>
      </c>
      <c r="H59" s="5">
        <f t="shared" si="6"/>
        <v>1665.5364811972829</v>
      </c>
      <c r="I59" s="5">
        <f t="shared" si="7"/>
        <v>3.9436964318634131E-2</v>
      </c>
      <c r="J59" s="5">
        <f t="shared" si="8"/>
        <v>-41.683426839273238</v>
      </c>
      <c r="K59" s="5">
        <f t="shared" si="9"/>
        <v>2.502702721306279E-2</v>
      </c>
      <c r="L59" s="5">
        <f t="shared" si="10"/>
        <v>5.3846901424205472E-2</v>
      </c>
      <c r="M59" s="5">
        <f t="shared" si="11"/>
        <v>48.039546227741702</v>
      </c>
      <c r="N59" s="5">
        <f>M59*Parametros!$E$5</f>
        <v>144.1186386832251</v>
      </c>
    </row>
    <row r="60" spans="1:14" ht="21" customHeight="1">
      <c r="A60" s="1" t="s">
        <v>377</v>
      </c>
      <c r="B60" s="1" t="s">
        <v>241</v>
      </c>
      <c r="C60" s="1" t="s">
        <v>242</v>
      </c>
      <c r="D60" s="5">
        <f>SQRT((INDEX(Postes!$B$7:$B$117,MATCH(C60,Postes!$A$7:$A$117,0))-INDEX(Postes!$B$7:$B$117,MATCH(B60,Postes!$A$7:$A$117,0)))^2+(INDEX(Postes!$C$7:$C$117,MATCH(C60,Postes!$A$7:$A$117,0))-INDEX(Postes!$C$7:$C$117,MATCH(B60,Postes!$A$7:$A$117,0)))^2)</f>
        <v>48.000551882197513</v>
      </c>
      <c r="E60" s="5">
        <f>INDEX(Postes!$D$7:$D$117,MATCH(C60,Postes!$A$7:$A$117,0))+INDEX(Postes!$G$7:$G$117,MATCH(C60,Postes!$A$7:$A$117,0))-INDEX(Postes!$D$7:$D$117,MATCH(B60,Postes!$A$7:$A$117,0))-INDEX(Postes!$G$7:$G$117,MATCH(B60,Postes!$A$7:$A$117,0))</f>
        <v>-1.292585454038635</v>
      </c>
      <c r="F60" s="5">
        <f>Parametros!$E$8*Parametros!$E$9</f>
        <v>2205</v>
      </c>
      <c r="G60" s="5">
        <f>Parametros!$E$10/1000*Parametros!$E$11</f>
        <v>1.32389775</v>
      </c>
      <c r="H60" s="5">
        <f t="shared" si="6"/>
        <v>1665.5364811972829</v>
      </c>
      <c r="I60" s="5">
        <f t="shared" si="7"/>
        <v>-2.6924368972837211E-2</v>
      </c>
      <c r="J60" s="5">
        <f t="shared" si="8"/>
        <v>68.843794698575351</v>
      </c>
      <c r="K60" s="5">
        <f t="shared" si="9"/>
        <v>-4.1334306078415345E-2</v>
      </c>
      <c r="L60" s="5">
        <f t="shared" si="10"/>
        <v>-1.2514431867259085E-2</v>
      </c>
      <c r="M60" s="5">
        <f t="shared" si="11"/>
        <v>48.019613061567753</v>
      </c>
      <c r="N60" s="5">
        <f>M60*Parametros!$E$5</f>
        <v>144.05883918470326</v>
      </c>
    </row>
    <row r="61" spans="1:14" ht="21" customHeight="1">
      <c r="A61" s="1" t="s">
        <v>378</v>
      </c>
      <c r="B61" s="1" t="s">
        <v>242</v>
      </c>
      <c r="C61" s="1" t="s">
        <v>243</v>
      </c>
      <c r="D61" s="5">
        <f>SQRT((INDEX(Postes!$B$7:$B$117,MATCH(C61,Postes!$A$7:$A$117,0))-INDEX(Postes!$B$7:$B$117,MATCH(B61,Postes!$A$7:$A$117,0)))^2+(INDEX(Postes!$C$7:$C$117,MATCH(C61,Postes!$A$7:$A$117,0))-INDEX(Postes!$C$7:$C$117,MATCH(B61,Postes!$A$7:$A$117,0)))^2)</f>
        <v>74.462165003225351</v>
      </c>
      <c r="E61" s="5">
        <f>INDEX(Postes!$D$7:$D$117,MATCH(C61,Postes!$A$7:$A$117,0))+INDEX(Postes!$G$7:$G$117,MATCH(C61,Postes!$A$7:$A$117,0))-INDEX(Postes!$D$7:$D$117,MATCH(B61,Postes!$A$7:$A$117,0))-INDEX(Postes!$G$7:$G$117,MATCH(B61,Postes!$A$7:$A$117,0))</f>
        <v>10.549305122043643</v>
      </c>
      <c r="F61" s="5">
        <f>Parametros!$E$8*Parametros!$E$9</f>
        <v>2205</v>
      </c>
      <c r="G61" s="5">
        <f>Parametros!$E$10/1000*Parametros!$E$11</f>
        <v>1.32389775</v>
      </c>
      <c r="H61" s="5">
        <f t="shared" si="6"/>
        <v>1665.5364811972829</v>
      </c>
      <c r="I61" s="5">
        <f t="shared" si="7"/>
        <v>0.14119197971676051</v>
      </c>
      <c r="J61" s="5">
        <f t="shared" si="8"/>
        <v>-197.92931056911874</v>
      </c>
      <c r="K61" s="5">
        <f t="shared" si="9"/>
        <v>0.11883817184648866</v>
      </c>
      <c r="L61" s="5">
        <f t="shared" si="10"/>
        <v>0.16354578758703234</v>
      </c>
      <c r="M61" s="5">
        <f t="shared" si="11"/>
        <v>75.211870416114024</v>
      </c>
      <c r="N61" s="5">
        <f>M61*Parametros!$E$5</f>
        <v>225.63561124834206</v>
      </c>
    </row>
    <row r="62" spans="1:14" ht="21" customHeight="1">
      <c r="A62" s="1" t="s">
        <v>379</v>
      </c>
      <c r="B62" s="1" t="s">
        <v>243</v>
      </c>
      <c r="C62" s="1" t="s">
        <v>244</v>
      </c>
      <c r="D62" s="5">
        <f>SQRT((INDEX(Postes!$B$7:$B$117,MATCH(C62,Postes!$A$7:$A$117,0))-INDEX(Postes!$B$7:$B$117,MATCH(B62,Postes!$A$7:$A$117,0)))^2+(INDEX(Postes!$C$7:$C$117,MATCH(C62,Postes!$A$7:$A$117,0))-INDEX(Postes!$C$7:$C$117,MATCH(B62,Postes!$A$7:$A$117,0)))^2)</f>
        <v>81.911534892128842</v>
      </c>
      <c r="E62" s="5">
        <f>INDEX(Postes!$D$7:$D$117,MATCH(C62,Postes!$A$7:$A$117,0))+INDEX(Postes!$G$7:$G$117,MATCH(C62,Postes!$A$7:$A$117,0))-INDEX(Postes!$D$7:$D$117,MATCH(B62,Postes!$A$7:$A$117,0))-INDEX(Postes!$G$7:$G$117,MATCH(B62,Postes!$A$7:$A$117,0))</f>
        <v>-9.5378673696492111</v>
      </c>
      <c r="F62" s="5">
        <f>Parametros!$E$8*Parametros!$E$9</f>
        <v>2205</v>
      </c>
      <c r="G62" s="5">
        <f>Parametros!$E$10/1000*Parametros!$E$11</f>
        <v>1.32389775</v>
      </c>
      <c r="H62" s="5">
        <f t="shared" si="6"/>
        <v>1665.5364811972829</v>
      </c>
      <c r="I62" s="5">
        <f t="shared" si="7"/>
        <v>-0.11616788647618741</v>
      </c>
      <c r="J62" s="5">
        <f t="shared" si="8"/>
        <v>234.43762031573903</v>
      </c>
      <c r="K62" s="5">
        <f t="shared" si="9"/>
        <v>-0.14075802179200053</v>
      </c>
      <c r="L62" s="5">
        <f t="shared" si="10"/>
        <v>-9.1577751160374296E-2</v>
      </c>
      <c r="M62" s="5">
        <f t="shared" si="11"/>
        <v>82.473164886402216</v>
      </c>
      <c r="N62" s="5">
        <f>M62*Parametros!$E$5</f>
        <v>247.41949465920663</v>
      </c>
    </row>
    <row r="63" spans="1:14" ht="21" customHeight="1">
      <c r="A63" s="1" t="s">
        <v>380</v>
      </c>
      <c r="B63" s="1" t="s">
        <v>244</v>
      </c>
      <c r="C63" s="1" t="s">
        <v>245</v>
      </c>
      <c r="D63" s="5">
        <f>SQRT((INDEX(Postes!$B$7:$B$117,MATCH(C63,Postes!$A$7:$A$117,0))-INDEX(Postes!$B$7:$B$117,MATCH(B63,Postes!$A$7:$A$117,0)))^2+(INDEX(Postes!$C$7:$C$117,MATCH(C63,Postes!$A$7:$A$117,0))-INDEX(Postes!$C$7:$C$117,MATCH(B63,Postes!$A$7:$A$117,0)))^2)</f>
        <v>47.317082944954933</v>
      </c>
      <c r="E63" s="5">
        <f>INDEX(Postes!$D$7:$D$117,MATCH(C63,Postes!$A$7:$A$117,0))+INDEX(Postes!$G$7:$G$117,MATCH(C63,Postes!$A$7:$A$117,0))-INDEX(Postes!$D$7:$D$117,MATCH(B63,Postes!$A$7:$A$117,0))-INDEX(Postes!$G$7:$G$117,MATCH(B63,Postes!$A$7:$A$117,0))</f>
        <v>7.9853386877079178</v>
      </c>
      <c r="F63" s="5">
        <f>Parametros!$E$8*Parametros!$E$9</f>
        <v>2205</v>
      </c>
      <c r="G63" s="5">
        <f>Parametros!$E$10/1000*Parametros!$E$11</f>
        <v>1.32389775</v>
      </c>
      <c r="H63" s="5">
        <f t="shared" si="6"/>
        <v>1665.5364811972829</v>
      </c>
      <c r="I63" s="5">
        <f t="shared" si="7"/>
        <v>0.16796569951352958</v>
      </c>
      <c r="J63" s="5">
        <f t="shared" si="8"/>
        <v>-256.09445865712678</v>
      </c>
      <c r="K63" s="5">
        <f t="shared" si="9"/>
        <v>0.15376094222387218</v>
      </c>
      <c r="L63" s="5">
        <f t="shared" si="10"/>
        <v>0.182170456803187</v>
      </c>
      <c r="M63" s="5">
        <f t="shared" si="11"/>
        <v>47.987733449643436</v>
      </c>
      <c r="N63" s="5">
        <f>M63*Parametros!$E$5</f>
        <v>143.96320034893031</v>
      </c>
    </row>
    <row r="64" spans="1:14" ht="21" customHeight="1">
      <c r="A64" s="1" t="s">
        <v>381</v>
      </c>
      <c r="B64" s="1" t="s">
        <v>245</v>
      </c>
      <c r="C64" s="1" t="s">
        <v>246</v>
      </c>
      <c r="D64" s="5">
        <f>SQRT((INDEX(Postes!$B$7:$B$117,MATCH(C64,Postes!$A$7:$A$117,0))-INDEX(Postes!$B$7:$B$117,MATCH(B64,Postes!$A$7:$A$117,0)))^2+(INDEX(Postes!$C$7:$C$117,MATCH(C64,Postes!$A$7:$A$117,0))-INDEX(Postes!$C$7:$C$117,MATCH(B64,Postes!$A$7:$A$117,0)))^2)</f>
        <v>47.317082944916791</v>
      </c>
      <c r="E64" s="5">
        <f>INDEX(Postes!$D$7:$D$117,MATCH(C64,Postes!$A$7:$A$117,0))+INDEX(Postes!$G$7:$G$117,MATCH(C64,Postes!$A$7:$A$117,0))-INDEX(Postes!$D$7:$D$117,MATCH(B64,Postes!$A$7:$A$117,0))-INDEX(Postes!$G$7:$G$117,MATCH(B64,Postes!$A$7:$A$117,0))</f>
        <v>15.814727445646804</v>
      </c>
      <c r="F64" s="5">
        <f>Parametros!$E$8*Parametros!$E$9</f>
        <v>2205</v>
      </c>
      <c r="G64" s="5">
        <f>Parametros!$E$10/1000*Parametros!$E$11</f>
        <v>1.32389775</v>
      </c>
      <c r="H64" s="5">
        <f t="shared" si="6"/>
        <v>1665.5364811972829</v>
      </c>
      <c r="I64" s="5">
        <f t="shared" si="7"/>
        <v>0.32828880205593231</v>
      </c>
      <c r="J64" s="5">
        <f t="shared" si="8"/>
        <v>-523.11843472025043</v>
      </c>
      <c r="K64" s="5">
        <f t="shared" si="9"/>
        <v>0.31408404476628632</v>
      </c>
      <c r="L64" s="5">
        <f t="shared" si="10"/>
        <v>0.34249355934557829</v>
      </c>
      <c r="M64" s="5">
        <f t="shared" si="11"/>
        <v>49.891507612549866</v>
      </c>
      <c r="N64" s="5">
        <f>M64*Parametros!$E$5</f>
        <v>149.67452283764959</v>
      </c>
    </row>
    <row r="65" spans="1:14" ht="21" customHeight="1">
      <c r="A65" s="1" t="s">
        <v>382</v>
      </c>
      <c r="B65" s="1" t="s">
        <v>246</v>
      </c>
      <c r="C65" s="1" t="s">
        <v>247</v>
      </c>
      <c r="D65" s="5">
        <f>SQRT((INDEX(Postes!$B$7:$B$117,MATCH(C65,Postes!$A$7:$A$117,0))-INDEX(Postes!$B$7:$B$117,MATCH(B65,Postes!$A$7:$A$117,0)))^2+(INDEX(Postes!$C$7:$C$117,MATCH(C65,Postes!$A$7:$A$117,0))-INDEX(Postes!$C$7:$C$117,MATCH(B65,Postes!$A$7:$A$117,0)))^2)</f>
        <v>38.400179781129317</v>
      </c>
      <c r="E65" s="5">
        <f>INDEX(Postes!$D$7:$D$117,MATCH(C65,Postes!$A$7:$A$117,0))+INDEX(Postes!$G$7:$G$117,MATCH(C65,Postes!$A$7:$A$117,0))-INDEX(Postes!$D$7:$D$117,MATCH(B65,Postes!$A$7:$A$117,0))-INDEX(Postes!$G$7:$G$117,MATCH(B65,Postes!$A$7:$A$117,0))</f>
        <v>10.244568167074158</v>
      </c>
      <c r="F65" s="5">
        <f>Parametros!$E$8*Parametros!$E$9</f>
        <v>2205</v>
      </c>
      <c r="G65" s="5">
        <f>Parametros!$E$10/1000*Parametros!$E$11</f>
        <v>1.32389775</v>
      </c>
      <c r="H65" s="5">
        <f t="shared" si="6"/>
        <v>1665.5364811972829</v>
      </c>
      <c r="I65" s="5">
        <f t="shared" si="7"/>
        <v>0.26371125288659092</v>
      </c>
      <c r="J65" s="5">
        <f t="shared" si="8"/>
        <v>-420.02062229429481</v>
      </c>
      <c r="K65" s="5">
        <f t="shared" si="9"/>
        <v>0.2521833817727967</v>
      </c>
      <c r="L65" s="5">
        <f t="shared" si="10"/>
        <v>0.27523912400038519</v>
      </c>
      <c r="M65" s="5">
        <f t="shared" si="11"/>
        <v>39.744059995244058</v>
      </c>
      <c r="N65" s="5">
        <f>M65*Parametros!$E$5</f>
        <v>119.23217998573217</v>
      </c>
    </row>
    <row r="66" spans="1:14" ht="21" customHeight="1">
      <c r="A66" s="1" t="s">
        <v>383</v>
      </c>
      <c r="B66" s="1" t="s">
        <v>247</v>
      </c>
      <c r="C66" s="1" t="s">
        <v>248</v>
      </c>
      <c r="D66" s="5">
        <f>SQRT((INDEX(Postes!$B$7:$B$117,MATCH(C66,Postes!$A$7:$A$117,0))-INDEX(Postes!$B$7:$B$117,MATCH(B66,Postes!$A$7:$A$117,0)))^2+(INDEX(Postes!$C$7:$C$117,MATCH(C66,Postes!$A$7:$A$117,0))-INDEX(Postes!$C$7:$C$117,MATCH(B66,Postes!$A$7:$A$117,0)))^2)</f>
        <v>68.15268701237369</v>
      </c>
      <c r="E66" s="5">
        <f>INDEX(Postes!$D$7:$D$117,MATCH(C66,Postes!$A$7:$A$117,0))+INDEX(Postes!$G$7:$G$117,MATCH(C66,Postes!$A$7:$A$117,0))-INDEX(Postes!$D$7:$D$117,MATCH(B66,Postes!$A$7:$A$117,0))-INDEX(Postes!$G$7:$G$117,MATCH(B66,Postes!$A$7:$A$117,0))</f>
        <v>2.7083625000601383</v>
      </c>
      <c r="F66" s="5">
        <f>Parametros!$E$8*Parametros!$E$9</f>
        <v>2205</v>
      </c>
      <c r="G66" s="5">
        <f>Parametros!$E$10/1000*Parametros!$E$11</f>
        <v>1.32389775</v>
      </c>
      <c r="H66" s="5">
        <f t="shared" si="6"/>
        <v>1665.5364811972829</v>
      </c>
      <c r="I66" s="5">
        <f t="shared" si="7"/>
        <v>3.9726406575268887E-2</v>
      </c>
      <c r="J66" s="5">
        <f t="shared" si="8"/>
        <v>-32.0894359117991</v>
      </c>
      <c r="K66" s="5">
        <f t="shared" si="9"/>
        <v>1.9266726531700692E-2</v>
      </c>
      <c r="L66" s="5">
        <f t="shared" si="10"/>
        <v>6.0186086618837085E-2</v>
      </c>
      <c r="M66" s="5">
        <f t="shared" si="11"/>
        <v>68.211231561654145</v>
      </c>
      <c r="N66" s="5">
        <f>M66*Parametros!$E$5</f>
        <v>204.63369468496245</v>
      </c>
    </row>
    <row r="67" spans="1:14" ht="21" customHeight="1">
      <c r="A67" s="1" t="s">
        <v>384</v>
      </c>
      <c r="B67" s="1" t="s">
        <v>248</v>
      </c>
      <c r="C67" s="1" t="s">
        <v>249</v>
      </c>
      <c r="D67" s="5">
        <f>SQRT((INDEX(Postes!$B$7:$B$117,MATCH(C67,Postes!$A$7:$A$117,0))-INDEX(Postes!$B$7:$B$117,MATCH(B67,Postes!$A$7:$A$117,0)))^2+(INDEX(Postes!$C$7:$C$117,MATCH(C67,Postes!$A$7:$A$117,0))-INDEX(Postes!$C$7:$C$117,MATCH(B67,Postes!$A$7:$A$117,0)))^2)</f>
        <v>68.1526870123718</v>
      </c>
      <c r="E67" s="5">
        <f>INDEX(Postes!$D$7:$D$117,MATCH(C67,Postes!$A$7:$A$117,0))+INDEX(Postes!$G$7:$G$117,MATCH(C67,Postes!$A$7:$A$117,0))-INDEX(Postes!$D$7:$D$117,MATCH(B67,Postes!$A$7:$A$117,0))-INDEX(Postes!$G$7:$G$117,MATCH(B67,Postes!$A$7:$A$117,0))</f>
        <v>-10.938490444796026</v>
      </c>
      <c r="F67" s="5">
        <f>Parametros!$E$8*Parametros!$E$9</f>
        <v>2205</v>
      </c>
      <c r="G67" s="5">
        <f>Parametros!$E$10/1000*Parametros!$E$11</f>
        <v>1.32389775</v>
      </c>
      <c r="H67" s="5">
        <f t="shared" si="6"/>
        <v>1665.5364811972829</v>
      </c>
      <c r="I67" s="5">
        <f t="shared" si="7"/>
        <v>-0.1598074962373878</v>
      </c>
      <c r="J67" s="5">
        <f t="shared" si="8"/>
        <v>300.24155845835276</v>
      </c>
      <c r="K67" s="5">
        <f t="shared" si="9"/>
        <v>-0.1802671762809554</v>
      </c>
      <c r="L67" s="5">
        <f t="shared" si="10"/>
        <v>-0.13934781619382014</v>
      </c>
      <c r="M67" s="5">
        <f t="shared" si="11"/>
        <v>69.02961289864308</v>
      </c>
      <c r="N67" s="5">
        <f>M67*Parametros!$E$5</f>
        <v>207.08883869592924</v>
      </c>
    </row>
    <row r="68" spans="1:14" ht="21" customHeight="1">
      <c r="A68" s="1" t="s">
        <v>385</v>
      </c>
      <c r="B68" s="1" t="s">
        <v>249</v>
      </c>
      <c r="C68" s="1" t="s">
        <v>250</v>
      </c>
      <c r="D68" s="5">
        <f>SQRT((INDEX(Postes!$B$7:$B$117,MATCH(C68,Postes!$A$7:$A$117,0))-INDEX(Postes!$B$7:$B$117,MATCH(B68,Postes!$A$7:$A$117,0)))^2+(INDEX(Postes!$C$7:$C$117,MATCH(C68,Postes!$A$7:$A$117,0))-INDEX(Postes!$C$7:$C$117,MATCH(B68,Postes!$A$7:$A$117,0)))^2)</f>
        <v>68.1526870123718</v>
      </c>
      <c r="E68" s="5">
        <f>INDEX(Postes!$D$7:$D$117,MATCH(C68,Postes!$A$7:$A$117,0))+INDEX(Postes!$G$7:$G$117,MATCH(C68,Postes!$A$7:$A$117,0))-INDEX(Postes!$D$7:$D$117,MATCH(B68,Postes!$A$7:$A$117,0))-INDEX(Postes!$G$7:$G$117,MATCH(B68,Postes!$A$7:$A$117,0))</f>
        <v>12.798711301697859</v>
      </c>
      <c r="F68" s="5">
        <f>Parametros!$E$8*Parametros!$E$9</f>
        <v>2205</v>
      </c>
      <c r="G68" s="5">
        <f>Parametros!$E$10/1000*Parametros!$E$11</f>
        <v>1.32389775</v>
      </c>
      <c r="H68" s="5">
        <f t="shared" si="6"/>
        <v>1665.5364811972829</v>
      </c>
      <c r="I68" s="5">
        <f t="shared" si="7"/>
        <v>0.18669513088584017</v>
      </c>
      <c r="J68" s="5">
        <f t="shared" si="8"/>
        <v>-276.87120784608254</v>
      </c>
      <c r="K68" s="5">
        <f t="shared" si="9"/>
        <v>0.16623545084227256</v>
      </c>
      <c r="L68" s="5">
        <f t="shared" si="10"/>
        <v>0.20715481092940782</v>
      </c>
      <c r="M68" s="5">
        <f t="shared" si="11"/>
        <v>69.348712278670476</v>
      </c>
      <c r="N68" s="5">
        <f>M68*Parametros!$E$5</f>
        <v>208.04613683601144</v>
      </c>
    </row>
    <row r="69" spans="1:14" ht="21" customHeight="1">
      <c r="A69" s="1" t="s">
        <v>386</v>
      </c>
      <c r="B69" s="1" t="s">
        <v>250</v>
      </c>
      <c r="C69" s="1" t="s">
        <v>251</v>
      </c>
      <c r="D69" s="5">
        <f>SQRT((INDEX(Postes!$B$7:$B$117,MATCH(C69,Postes!$A$7:$A$117,0))-INDEX(Postes!$B$7:$B$117,MATCH(B69,Postes!$A$7:$A$117,0)))^2+(INDEX(Postes!$C$7:$C$117,MATCH(C69,Postes!$A$7:$A$117,0))-INDEX(Postes!$C$7:$C$117,MATCH(B69,Postes!$A$7:$A$117,0)))^2)</f>
        <v>68.15268701237369</v>
      </c>
      <c r="E69" s="5">
        <f>INDEX(Postes!$D$7:$D$117,MATCH(C69,Postes!$A$7:$A$117,0))+INDEX(Postes!$G$7:$G$117,MATCH(C69,Postes!$A$7:$A$117,0))-INDEX(Postes!$D$7:$D$117,MATCH(B69,Postes!$A$7:$A$117,0))-INDEX(Postes!$G$7:$G$117,MATCH(B69,Postes!$A$7:$A$117,0))</f>
        <v>-4.1038052132649678</v>
      </c>
      <c r="F69" s="5">
        <f>Parametros!$E$8*Parametros!$E$9</f>
        <v>2205</v>
      </c>
      <c r="G69" s="5">
        <f>Parametros!$E$10/1000*Parametros!$E$11</f>
        <v>1.32389775</v>
      </c>
      <c r="H69" s="5">
        <f t="shared" si="6"/>
        <v>1665.5364811972829</v>
      </c>
      <c r="I69" s="5">
        <f t="shared" si="7"/>
        <v>-6.0174348276273763E-2</v>
      </c>
      <c r="J69" s="5">
        <f t="shared" si="8"/>
        <v>134.29891579259163</v>
      </c>
      <c r="K69" s="5">
        <f t="shared" si="9"/>
        <v>-8.0634028319841955E-2</v>
      </c>
      <c r="L69" s="5">
        <f t="shared" si="10"/>
        <v>-3.9714668232705565E-2</v>
      </c>
      <c r="M69" s="5">
        <f t="shared" si="11"/>
        <v>68.280876539147386</v>
      </c>
      <c r="N69" s="5">
        <f>M69*Parametros!$E$5</f>
        <v>204.84262961744216</v>
      </c>
    </row>
    <row r="70" spans="1:14" ht="21" customHeight="1">
      <c r="A70" s="1" t="s">
        <v>387</v>
      </c>
      <c r="B70" s="1" t="s">
        <v>251</v>
      </c>
      <c r="C70" s="1" t="s">
        <v>252</v>
      </c>
      <c r="D70" s="5">
        <f>SQRT((INDEX(Postes!$B$7:$B$117,MATCH(C70,Postes!$A$7:$A$117,0))-INDEX(Postes!$B$7:$B$117,MATCH(B70,Postes!$A$7:$A$117,0)))^2+(INDEX(Postes!$C$7:$C$117,MATCH(C70,Postes!$A$7:$A$117,0))-INDEX(Postes!$C$7:$C$117,MATCH(B70,Postes!$A$7:$A$117,0)))^2)</f>
        <v>56.009454857921661</v>
      </c>
      <c r="E70" s="5">
        <f>INDEX(Postes!$D$7:$D$117,MATCH(C70,Postes!$A$7:$A$117,0))+INDEX(Postes!$G$7:$G$117,MATCH(C70,Postes!$A$7:$A$117,0))-INDEX(Postes!$D$7:$D$117,MATCH(B70,Postes!$A$7:$A$117,0))-INDEX(Postes!$G$7:$G$117,MATCH(B70,Postes!$A$7:$A$117,0))</f>
        <v>11.467957913086048</v>
      </c>
      <c r="F70" s="5">
        <f>Parametros!$E$8*Parametros!$E$9</f>
        <v>2205</v>
      </c>
      <c r="G70" s="5">
        <f>Parametros!$E$10/1000*Parametros!$E$11</f>
        <v>1.32389775</v>
      </c>
      <c r="H70" s="5">
        <f t="shared" si="6"/>
        <v>1665.5364811972829</v>
      </c>
      <c r="I70" s="5">
        <f t="shared" si="7"/>
        <v>0.20333666029826081</v>
      </c>
      <c r="J70" s="5">
        <f t="shared" si="8"/>
        <v>-310.6598982626117</v>
      </c>
      <c r="K70" s="5">
        <f t="shared" si="9"/>
        <v>0.18652242191614535</v>
      </c>
      <c r="L70" s="5">
        <f t="shared" si="10"/>
        <v>0.22015089868037621</v>
      </c>
      <c r="M70" s="5">
        <f t="shared" si="11"/>
        <v>57.174021533512935</v>
      </c>
      <c r="N70" s="5">
        <f>M70*Parametros!$E$5</f>
        <v>171.52206460053881</v>
      </c>
    </row>
    <row r="71" spans="1:14" ht="21" customHeight="1">
      <c r="A71" s="1" t="s">
        <v>388</v>
      </c>
      <c r="B71" s="1" t="s">
        <v>252</v>
      </c>
      <c r="C71" s="1" t="s">
        <v>253</v>
      </c>
      <c r="D71" s="5">
        <f>SQRT((INDEX(Postes!$B$7:$B$117,MATCH(C71,Postes!$A$7:$A$117,0))-INDEX(Postes!$B$7:$B$117,MATCH(B71,Postes!$A$7:$A$117,0)))^2+(INDEX(Postes!$C$7:$C$117,MATCH(C71,Postes!$A$7:$A$117,0))-INDEX(Postes!$C$7:$C$117,MATCH(B71,Postes!$A$7:$A$117,0)))^2)</f>
        <v>69.794963947029629</v>
      </c>
      <c r="E71" s="5">
        <f>INDEX(Postes!$D$7:$D$117,MATCH(C71,Postes!$A$7:$A$117,0))+INDEX(Postes!$G$7:$G$117,MATCH(C71,Postes!$A$7:$A$117,0))-INDEX(Postes!$D$7:$D$117,MATCH(B71,Postes!$A$7:$A$117,0))-INDEX(Postes!$G$7:$G$117,MATCH(B71,Postes!$A$7:$A$117,0))</f>
        <v>12.18467194583136</v>
      </c>
      <c r="F71" s="5">
        <f>Parametros!$E$8*Parametros!$E$9</f>
        <v>2205</v>
      </c>
      <c r="G71" s="5">
        <f>Parametros!$E$10/1000*Parametros!$E$11</f>
        <v>1.32389775</v>
      </c>
      <c r="H71" s="5">
        <f t="shared" ref="H71:H102" si="12">F71/G71</f>
        <v>1665.5364811972829</v>
      </c>
      <c r="I71" s="5">
        <f t="shared" ref="I71:I102" si="13">ASINH(E71/(2*H71*SINH(D71/(2*H71))))</f>
        <v>0.17369067527007684</v>
      </c>
      <c r="J71" s="5">
        <f t="shared" ref="J71:J102" si="14">D71/2-H71*I71</f>
        <v>-254.39067413258891</v>
      </c>
      <c r="K71" s="5">
        <f t="shared" ref="K71:K102" si="15">-J71/H71</f>
        <v>0.15273797782545018</v>
      </c>
      <c r="L71" s="5">
        <f t="shared" ref="L71:L102" si="16">(D71-J71)/H71</f>
        <v>0.19464337271470356</v>
      </c>
      <c r="M71" s="5">
        <f t="shared" ref="M71:M102" si="17">H71*(SINH(L71)-SINH(K71))</f>
        <v>70.855600545908203</v>
      </c>
      <c r="N71" s="5">
        <f>M71*Parametros!$E$5</f>
        <v>212.56680163772461</v>
      </c>
    </row>
    <row r="72" spans="1:14" ht="21" customHeight="1">
      <c r="A72" s="1" t="s">
        <v>389</v>
      </c>
      <c r="B72" s="1" t="s">
        <v>253</v>
      </c>
      <c r="C72" s="1" t="s">
        <v>254</v>
      </c>
      <c r="D72" s="5">
        <f>SQRT((INDEX(Postes!$B$7:$B$117,MATCH(C72,Postes!$A$7:$A$117,0))-INDEX(Postes!$B$7:$B$117,MATCH(B72,Postes!$A$7:$A$117,0)))^2+(INDEX(Postes!$C$7:$C$117,MATCH(C72,Postes!$A$7:$A$117,0))-INDEX(Postes!$C$7:$C$117,MATCH(B72,Postes!$A$7:$A$117,0)))^2)</f>
        <v>69.794963947029629</v>
      </c>
      <c r="E72" s="5">
        <f>INDEX(Postes!$D$7:$D$117,MATCH(C72,Postes!$A$7:$A$117,0))+INDEX(Postes!$G$7:$G$117,MATCH(C72,Postes!$A$7:$A$117,0))-INDEX(Postes!$D$7:$D$117,MATCH(B72,Postes!$A$7:$A$117,0))-INDEX(Postes!$G$7:$G$117,MATCH(B72,Postes!$A$7:$A$117,0))</f>
        <v>3.4474851945329643</v>
      </c>
      <c r="F72" s="5">
        <f>Parametros!$E$8*Parametros!$E$9</f>
        <v>2205</v>
      </c>
      <c r="G72" s="5">
        <f>Parametros!$E$10/1000*Parametros!$E$11</f>
        <v>1.32389775</v>
      </c>
      <c r="H72" s="5">
        <f t="shared" si="12"/>
        <v>1665.5364811972829</v>
      </c>
      <c r="I72" s="5">
        <f t="shared" si="13"/>
        <v>4.9370796064429637E-2</v>
      </c>
      <c r="J72" s="5">
        <f t="shared" si="14"/>
        <v>-47.331379977543989</v>
      </c>
      <c r="K72" s="5">
        <f t="shared" si="15"/>
        <v>2.8418098619802962E-2</v>
      </c>
      <c r="L72" s="5">
        <f t="shared" si="16"/>
        <v>7.0323493509056312E-2</v>
      </c>
      <c r="M72" s="5">
        <f t="shared" si="17"/>
        <v>69.885156166816273</v>
      </c>
      <c r="N72" s="5">
        <f>M72*Parametros!$E$5</f>
        <v>209.65546850044882</v>
      </c>
    </row>
    <row r="73" spans="1:14" ht="21" customHeight="1">
      <c r="A73" s="1" t="s">
        <v>390</v>
      </c>
      <c r="B73" s="1" t="s">
        <v>254</v>
      </c>
      <c r="C73" s="1" t="s">
        <v>255</v>
      </c>
      <c r="D73" s="5">
        <f>SQRT((INDEX(Postes!$B$7:$B$117,MATCH(C73,Postes!$A$7:$A$117,0))-INDEX(Postes!$B$7:$B$117,MATCH(B73,Postes!$A$7:$A$117,0)))^2+(INDEX(Postes!$C$7:$C$117,MATCH(C73,Postes!$A$7:$A$117,0))-INDEX(Postes!$C$7:$C$117,MATCH(B73,Postes!$A$7:$A$117,0)))^2)</f>
        <v>56.885229973887903</v>
      </c>
      <c r="E73" s="5">
        <f>INDEX(Postes!$D$7:$D$117,MATCH(C73,Postes!$A$7:$A$117,0))+INDEX(Postes!$G$7:$G$117,MATCH(C73,Postes!$A$7:$A$117,0))-INDEX(Postes!$D$7:$D$117,MATCH(B73,Postes!$A$7:$A$117,0))-INDEX(Postes!$G$7:$G$117,MATCH(B73,Postes!$A$7:$A$117,0))</f>
        <v>11.813903866011151</v>
      </c>
      <c r="F73" s="5">
        <f>Parametros!$E$8*Parametros!$E$9</f>
        <v>2205</v>
      </c>
      <c r="G73" s="5">
        <f>Parametros!$E$10/1000*Parametros!$E$11</f>
        <v>1.32389775</v>
      </c>
      <c r="H73" s="5">
        <f t="shared" si="12"/>
        <v>1665.5364811972829</v>
      </c>
      <c r="I73" s="5">
        <f t="shared" si="13"/>
        <v>0.20620510671880554</v>
      </c>
      <c r="J73" s="5">
        <f t="shared" si="14"/>
        <v>-314.9995128624056</v>
      </c>
      <c r="K73" s="5">
        <f t="shared" si="15"/>
        <v>0.18912795751910874</v>
      </c>
      <c r="L73" s="5">
        <f t="shared" si="16"/>
        <v>0.22328225591850231</v>
      </c>
      <c r="M73" s="5">
        <f t="shared" si="17"/>
        <v>58.101740848387642</v>
      </c>
      <c r="N73" s="5">
        <f>M73*Parametros!$E$5</f>
        <v>174.30522254516293</v>
      </c>
    </row>
    <row r="74" spans="1:14" ht="21" customHeight="1">
      <c r="A74" s="1" t="s">
        <v>391</v>
      </c>
      <c r="B74" s="1" t="s">
        <v>255</v>
      </c>
      <c r="C74" s="1" t="s">
        <v>256</v>
      </c>
      <c r="D74" s="5">
        <f>SQRT((INDEX(Postes!$B$7:$B$117,MATCH(C74,Postes!$A$7:$A$117,0))-INDEX(Postes!$B$7:$B$117,MATCH(B74,Postes!$A$7:$A$117,0)))^2+(INDEX(Postes!$C$7:$C$117,MATCH(C74,Postes!$A$7:$A$117,0))-INDEX(Postes!$C$7:$C$117,MATCH(B74,Postes!$A$7:$A$117,0)))^2)</f>
        <v>56.885229973850386</v>
      </c>
      <c r="E74" s="5">
        <f>INDEX(Postes!$D$7:$D$117,MATCH(C74,Postes!$A$7:$A$117,0))+INDEX(Postes!$G$7:$G$117,MATCH(C74,Postes!$A$7:$A$117,0))-INDEX(Postes!$D$7:$D$117,MATCH(B74,Postes!$A$7:$A$117,0))-INDEX(Postes!$G$7:$G$117,MATCH(B74,Postes!$A$7:$A$117,0))</f>
        <v>9.720805381404352</v>
      </c>
      <c r="F74" s="5">
        <f>Parametros!$E$8*Parametros!$E$9</f>
        <v>2205</v>
      </c>
      <c r="G74" s="5">
        <f>Parametros!$E$10/1000*Parametros!$E$11</f>
        <v>1.32389775</v>
      </c>
      <c r="H74" s="5">
        <f t="shared" si="12"/>
        <v>1665.5364811972829</v>
      </c>
      <c r="I74" s="5">
        <f t="shared" si="13"/>
        <v>0.17005539727559615</v>
      </c>
      <c r="J74" s="5">
        <f t="shared" si="14"/>
        <v>-254.79085300007722</v>
      </c>
      <c r="K74" s="5">
        <f t="shared" si="15"/>
        <v>0.15297824807591065</v>
      </c>
      <c r="L74" s="5">
        <f t="shared" si="16"/>
        <v>0.18713254647528163</v>
      </c>
      <c r="M74" s="5">
        <f t="shared" si="17"/>
        <v>57.712546489621303</v>
      </c>
      <c r="N74" s="5">
        <f>M74*Parametros!$E$5</f>
        <v>173.13763946886391</v>
      </c>
    </row>
    <row r="75" spans="1:14" ht="21" customHeight="1">
      <c r="A75" s="1" t="s">
        <v>392</v>
      </c>
      <c r="B75" s="1" t="s">
        <v>256</v>
      </c>
      <c r="C75" s="1" t="s">
        <v>257</v>
      </c>
      <c r="D75" s="5">
        <f>SQRT((INDEX(Postes!$B$7:$B$117,MATCH(C75,Postes!$A$7:$A$117,0))-INDEX(Postes!$B$7:$B$117,MATCH(B75,Postes!$A$7:$A$117,0)))^2+(INDEX(Postes!$C$7:$C$117,MATCH(C75,Postes!$A$7:$A$117,0))-INDEX(Postes!$C$7:$C$117,MATCH(B75,Postes!$A$7:$A$117,0)))^2)</f>
        <v>68.148965645168275</v>
      </c>
      <c r="E75" s="5">
        <f>INDEX(Postes!$D$7:$D$117,MATCH(C75,Postes!$A$7:$A$117,0))+INDEX(Postes!$G$7:$G$117,MATCH(C75,Postes!$A$7:$A$117,0))-INDEX(Postes!$D$7:$D$117,MATCH(B75,Postes!$A$7:$A$117,0))-INDEX(Postes!$G$7:$G$117,MATCH(B75,Postes!$A$7:$A$117,0))</f>
        <v>-2.9311723210822489</v>
      </c>
      <c r="F75" s="5">
        <f>Parametros!$E$8*Parametros!$E$9</f>
        <v>2205</v>
      </c>
      <c r="G75" s="5">
        <f>Parametros!$E$10/1000*Parametros!$E$11</f>
        <v>1.32389775</v>
      </c>
      <c r="H75" s="5">
        <f t="shared" si="12"/>
        <v>1665.5364811972829</v>
      </c>
      <c r="I75" s="5">
        <f t="shared" si="13"/>
        <v>-4.2995003757829366E-2</v>
      </c>
      <c r="J75" s="5">
        <f t="shared" si="14"/>
        <v>105.68423009046322</v>
      </c>
      <c r="K75" s="5">
        <f t="shared" si="15"/>
        <v>-6.3453566633671896E-2</v>
      </c>
      <c r="L75" s="5">
        <f t="shared" si="16"/>
        <v>-2.2536440881986832E-2</v>
      </c>
      <c r="M75" s="5">
        <f t="shared" si="17"/>
        <v>68.216722911961398</v>
      </c>
      <c r="N75" s="5">
        <f>M75*Parametros!$E$5</f>
        <v>204.65016873588419</v>
      </c>
    </row>
    <row r="76" spans="1:14" ht="21" customHeight="1">
      <c r="A76" s="1" t="s">
        <v>393</v>
      </c>
      <c r="B76" s="1" t="s">
        <v>257</v>
      </c>
      <c r="C76" s="1" t="s">
        <v>258</v>
      </c>
      <c r="D76" s="5">
        <f>SQRT((INDEX(Postes!$B$7:$B$117,MATCH(C76,Postes!$A$7:$A$117,0))-INDEX(Postes!$B$7:$B$117,MATCH(B76,Postes!$A$7:$A$117,0)))^2+(INDEX(Postes!$C$7:$C$117,MATCH(C76,Postes!$A$7:$A$117,0))-INDEX(Postes!$C$7:$C$117,MATCH(B76,Postes!$A$7:$A$117,0)))^2)</f>
        <v>68.148965645168275</v>
      </c>
      <c r="E76" s="5">
        <f>INDEX(Postes!$D$7:$D$117,MATCH(C76,Postes!$A$7:$A$117,0))+INDEX(Postes!$G$7:$G$117,MATCH(C76,Postes!$A$7:$A$117,0))-INDEX(Postes!$D$7:$D$117,MATCH(B76,Postes!$A$7:$A$117,0))-INDEX(Postes!$G$7:$G$117,MATCH(B76,Postes!$A$7:$A$117,0))</f>
        <v>1.7561236023801943</v>
      </c>
      <c r="F76" s="5">
        <f>Parametros!$E$8*Parametros!$E$9</f>
        <v>2205</v>
      </c>
      <c r="G76" s="5">
        <f>Parametros!$E$10/1000*Parametros!$E$11</f>
        <v>1.32389775</v>
      </c>
      <c r="H76" s="5">
        <f t="shared" si="12"/>
        <v>1665.5364811972829</v>
      </c>
      <c r="I76" s="5">
        <f t="shared" si="13"/>
        <v>2.5764247930797228E-2</v>
      </c>
      <c r="J76" s="5">
        <f t="shared" si="14"/>
        <v>-8.8368120167702529</v>
      </c>
      <c r="K76" s="5">
        <f t="shared" si="15"/>
        <v>5.3056850549546937E-3</v>
      </c>
      <c r="L76" s="5">
        <f t="shared" si="16"/>
        <v>4.6222810806639758E-2</v>
      </c>
      <c r="M76" s="5">
        <f t="shared" si="17"/>
        <v>68.176341085293487</v>
      </c>
      <c r="N76" s="5">
        <f>M76*Parametros!$E$5</f>
        <v>204.52902325588047</v>
      </c>
    </row>
    <row r="77" spans="1:14" ht="21" customHeight="1">
      <c r="A77" s="1" t="s">
        <v>394</v>
      </c>
      <c r="B77" s="1" t="s">
        <v>258</v>
      </c>
      <c r="C77" s="1" t="s">
        <v>259</v>
      </c>
      <c r="D77" s="5">
        <f>SQRT((INDEX(Postes!$B$7:$B$117,MATCH(C77,Postes!$A$7:$A$117,0))-INDEX(Postes!$B$7:$B$117,MATCH(B77,Postes!$A$7:$A$117,0)))^2+(INDEX(Postes!$C$7:$C$117,MATCH(C77,Postes!$A$7:$A$117,0))-INDEX(Postes!$C$7:$C$117,MATCH(B77,Postes!$A$7:$A$117,0)))^2)</f>
        <v>58.678112655688274</v>
      </c>
      <c r="E77" s="5">
        <f>INDEX(Postes!$D$7:$D$117,MATCH(C77,Postes!$A$7:$A$117,0))+INDEX(Postes!$G$7:$G$117,MATCH(C77,Postes!$A$7:$A$117,0))-INDEX(Postes!$D$7:$D$117,MATCH(B77,Postes!$A$7:$A$117,0))-INDEX(Postes!$G$7:$G$117,MATCH(B77,Postes!$A$7:$A$117,0))</f>
        <v>-0.68088829361986392</v>
      </c>
      <c r="F77" s="5">
        <f>Parametros!$E$8*Parametros!$E$9</f>
        <v>2205</v>
      </c>
      <c r="G77" s="5">
        <f>Parametros!$E$10/1000*Parametros!$E$11</f>
        <v>1.32389775</v>
      </c>
      <c r="H77" s="5">
        <f t="shared" si="12"/>
        <v>1665.5364811972829</v>
      </c>
      <c r="I77" s="5">
        <f t="shared" si="13"/>
        <v>-1.1602926097986884E-2</v>
      </c>
      <c r="J77" s="5">
        <f t="shared" si="14"/>
        <v>48.664153032677333</v>
      </c>
      <c r="K77" s="5">
        <f t="shared" si="15"/>
        <v>-2.921830508191256E-2</v>
      </c>
      <c r="L77" s="5">
        <f t="shared" si="16"/>
        <v>6.0124528859387899E-3</v>
      </c>
      <c r="M77" s="5">
        <f t="shared" si="17"/>
        <v>58.68509745854427</v>
      </c>
      <c r="N77" s="5">
        <f>M77*Parametros!$E$5</f>
        <v>176.0552923756328</v>
      </c>
    </row>
    <row r="78" spans="1:14" ht="21" customHeight="1">
      <c r="A78" s="1" t="s">
        <v>395</v>
      </c>
      <c r="B78" s="1" t="s">
        <v>259</v>
      </c>
      <c r="C78" s="1" t="s">
        <v>260</v>
      </c>
      <c r="D78" s="5">
        <f>SQRT((INDEX(Postes!$B$7:$B$117,MATCH(C78,Postes!$A$7:$A$117,0))-INDEX(Postes!$B$7:$B$117,MATCH(B78,Postes!$A$7:$A$117,0)))^2+(INDEX(Postes!$C$7:$C$117,MATCH(C78,Postes!$A$7:$A$117,0))-INDEX(Postes!$C$7:$C$117,MATCH(B78,Postes!$A$7:$A$117,0)))^2)</f>
        <v>58.678112654273534</v>
      </c>
      <c r="E78" s="5">
        <f>INDEX(Postes!$D$7:$D$117,MATCH(C78,Postes!$A$7:$A$117,0))+INDEX(Postes!$G$7:$G$117,MATCH(C78,Postes!$A$7:$A$117,0))-INDEX(Postes!$D$7:$D$117,MATCH(B78,Postes!$A$7:$A$117,0))-INDEX(Postes!$G$7:$G$117,MATCH(B78,Postes!$A$7:$A$117,0))</f>
        <v>11.444019408052009</v>
      </c>
      <c r="F78" s="5">
        <f>Parametros!$E$8*Parametros!$E$9</f>
        <v>2205</v>
      </c>
      <c r="G78" s="5">
        <f>Parametros!$E$10/1000*Parametros!$E$11</f>
        <v>1.32389775</v>
      </c>
      <c r="H78" s="5">
        <f t="shared" si="12"/>
        <v>1665.5364811972829</v>
      </c>
      <c r="I78" s="5">
        <f t="shared" si="13"/>
        <v>0.19380486627885982</v>
      </c>
      <c r="J78" s="5">
        <f t="shared" si="14"/>
        <v>-293.45001869386539</v>
      </c>
      <c r="K78" s="5">
        <f t="shared" si="15"/>
        <v>0.17618948729535885</v>
      </c>
      <c r="L78" s="5">
        <f t="shared" si="16"/>
        <v>0.21142024526236081</v>
      </c>
      <c r="M78" s="5">
        <f t="shared" si="17"/>
        <v>59.786642612679429</v>
      </c>
      <c r="N78" s="5">
        <f>M78*Parametros!$E$5</f>
        <v>179.35992783803829</v>
      </c>
    </row>
    <row r="79" spans="1:14" ht="21" customHeight="1">
      <c r="A79" s="1" t="s">
        <v>396</v>
      </c>
      <c r="B79" s="1" t="s">
        <v>260</v>
      </c>
      <c r="C79" s="1" t="s">
        <v>261</v>
      </c>
      <c r="D79" s="5">
        <f>SQRT((INDEX(Postes!$B$7:$B$117,MATCH(C79,Postes!$A$7:$A$117,0))-INDEX(Postes!$B$7:$B$117,MATCH(B79,Postes!$A$7:$A$117,0)))^2+(INDEX(Postes!$C$7:$C$117,MATCH(C79,Postes!$A$7:$A$117,0))-INDEX(Postes!$C$7:$C$117,MATCH(B79,Postes!$A$7:$A$117,0)))^2)</f>
        <v>71.734052511280964</v>
      </c>
      <c r="E79" s="5">
        <f>INDEX(Postes!$D$7:$D$117,MATCH(C79,Postes!$A$7:$A$117,0))+INDEX(Postes!$G$7:$G$117,MATCH(C79,Postes!$A$7:$A$117,0))-INDEX(Postes!$D$7:$D$117,MATCH(B79,Postes!$A$7:$A$117,0))-INDEX(Postes!$G$7:$G$117,MATCH(B79,Postes!$A$7:$A$117,0))</f>
        <v>10.66700911326061</v>
      </c>
      <c r="F79" s="5">
        <f>Parametros!$E$8*Parametros!$E$9</f>
        <v>2205</v>
      </c>
      <c r="G79" s="5">
        <f>Parametros!$E$10/1000*Parametros!$E$11</f>
        <v>1.32389775</v>
      </c>
      <c r="H79" s="5">
        <f t="shared" si="12"/>
        <v>1665.5364811972829</v>
      </c>
      <c r="I79" s="5">
        <f t="shared" si="13"/>
        <v>0.14814815709738252</v>
      </c>
      <c r="J79" s="5">
        <f t="shared" si="14"/>
        <v>-210.87913401219629</v>
      </c>
      <c r="K79" s="5">
        <f t="shared" si="15"/>
        <v>0.1266133383404513</v>
      </c>
      <c r="L79" s="5">
        <f t="shared" si="16"/>
        <v>0.16968297585431374</v>
      </c>
      <c r="M79" s="5">
        <f t="shared" si="17"/>
        <v>72.528303927022577</v>
      </c>
      <c r="N79" s="5">
        <f>M79*Parametros!$E$5</f>
        <v>217.58491178106772</v>
      </c>
    </row>
    <row r="80" spans="1:14" ht="21" customHeight="1">
      <c r="A80" s="1" t="s">
        <v>397</v>
      </c>
      <c r="B80" s="1" t="s">
        <v>261</v>
      </c>
      <c r="C80" s="1" t="s">
        <v>262</v>
      </c>
      <c r="D80" s="5">
        <f>SQRT((INDEX(Postes!$B$7:$B$117,MATCH(C80,Postes!$A$7:$A$117,0))-INDEX(Postes!$B$7:$B$117,MATCH(B80,Postes!$A$7:$A$117,0)))^2+(INDEX(Postes!$C$7:$C$117,MATCH(C80,Postes!$A$7:$A$117,0))-INDEX(Postes!$C$7:$C$117,MATCH(B80,Postes!$A$7:$A$117,0)))^2)</f>
        <v>71.734052511280964</v>
      </c>
      <c r="E80" s="5">
        <f>INDEX(Postes!$D$7:$D$117,MATCH(C80,Postes!$A$7:$A$117,0))+INDEX(Postes!$G$7:$G$117,MATCH(C80,Postes!$A$7:$A$117,0))-INDEX(Postes!$D$7:$D$117,MATCH(B80,Postes!$A$7:$A$117,0))-INDEX(Postes!$G$7:$G$117,MATCH(B80,Postes!$A$7:$A$117,0))</f>
        <v>-5.046906357199715</v>
      </c>
      <c r="F80" s="5">
        <f>Parametros!$E$8*Parametros!$E$9</f>
        <v>2205</v>
      </c>
      <c r="G80" s="5">
        <f>Parametros!$E$10/1000*Parametros!$E$11</f>
        <v>1.32389775</v>
      </c>
      <c r="H80" s="5">
        <f t="shared" si="12"/>
        <v>1665.5364811972829</v>
      </c>
      <c r="I80" s="5">
        <f t="shared" si="13"/>
        <v>-7.029245780233416E-2</v>
      </c>
      <c r="J80" s="5">
        <f t="shared" si="14"/>
        <v>152.9416790784486</v>
      </c>
      <c r="K80" s="5">
        <f t="shared" si="15"/>
        <v>-9.1827276559265383E-2</v>
      </c>
      <c r="L80" s="5">
        <f t="shared" si="16"/>
        <v>-4.8757639045402923E-2</v>
      </c>
      <c r="M80" s="5">
        <f t="shared" si="17"/>
        <v>71.916903791017802</v>
      </c>
      <c r="N80" s="5">
        <f>M80*Parametros!$E$5</f>
        <v>215.75071137305341</v>
      </c>
    </row>
    <row r="81" spans="1:14" ht="21" customHeight="1">
      <c r="A81" s="1" t="s">
        <v>398</v>
      </c>
      <c r="B81" s="1" t="s">
        <v>262</v>
      </c>
      <c r="C81" s="1" t="s">
        <v>263</v>
      </c>
      <c r="D81" s="5">
        <f>SQRT((INDEX(Postes!$B$7:$B$117,MATCH(C81,Postes!$A$7:$A$117,0))-INDEX(Postes!$B$7:$B$117,MATCH(B81,Postes!$A$7:$A$117,0)))^2+(INDEX(Postes!$C$7:$C$117,MATCH(C81,Postes!$A$7:$A$117,0))-INDEX(Postes!$C$7:$C$117,MATCH(B81,Postes!$A$7:$A$117,0)))^2)</f>
        <v>48.477318770994543</v>
      </c>
      <c r="E81" s="5">
        <f>INDEX(Postes!$D$7:$D$117,MATCH(C81,Postes!$A$7:$A$117,0))+INDEX(Postes!$G$7:$G$117,MATCH(C81,Postes!$A$7:$A$117,0))-INDEX(Postes!$D$7:$D$117,MATCH(B81,Postes!$A$7:$A$117,0))-INDEX(Postes!$G$7:$G$117,MATCH(B81,Postes!$A$7:$A$117,0))</f>
        <v>3.4835405301433635</v>
      </c>
      <c r="F81" s="5">
        <f>Parametros!$E$8*Parametros!$E$9</f>
        <v>2205</v>
      </c>
      <c r="G81" s="5">
        <f>Parametros!$E$10/1000*Parametros!$E$11</f>
        <v>1.32389775</v>
      </c>
      <c r="H81" s="5">
        <f t="shared" si="12"/>
        <v>1665.5364811972829</v>
      </c>
      <c r="I81" s="5">
        <f t="shared" si="13"/>
        <v>7.1794952795776315E-2</v>
      </c>
      <c r="J81" s="5">
        <f t="shared" si="14"/>
        <v>-95.338453661705046</v>
      </c>
      <c r="K81" s="5">
        <f t="shared" si="15"/>
        <v>5.7241888567442431E-2</v>
      </c>
      <c r="L81" s="5">
        <f t="shared" si="16"/>
        <v>8.6348017024110199E-2</v>
      </c>
      <c r="M81" s="5">
        <f t="shared" si="17"/>
        <v>48.604026598388948</v>
      </c>
      <c r="N81" s="5">
        <f>M81*Parametros!$E$5</f>
        <v>145.81207979516685</v>
      </c>
    </row>
    <row r="82" spans="1:14" ht="21" customHeight="1">
      <c r="A82" s="1" t="s">
        <v>399</v>
      </c>
      <c r="B82" s="1" t="s">
        <v>263</v>
      </c>
      <c r="C82" s="1" t="s">
        <v>264</v>
      </c>
      <c r="D82" s="5">
        <f>SQRT((INDEX(Postes!$B$7:$B$117,MATCH(C82,Postes!$A$7:$A$117,0))-INDEX(Postes!$B$7:$B$117,MATCH(B82,Postes!$A$7:$A$117,0)))^2+(INDEX(Postes!$C$7:$C$117,MATCH(C82,Postes!$A$7:$A$117,0))-INDEX(Postes!$C$7:$C$117,MATCH(B82,Postes!$A$7:$A$117,0)))^2)</f>
        <v>53.07787276594383</v>
      </c>
      <c r="E82" s="5">
        <f>INDEX(Postes!$D$7:$D$117,MATCH(C82,Postes!$A$7:$A$117,0))+INDEX(Postes!$G$7:$G$117,MATCH(C82,Postes!$A$7:$A$117,0))-INDEX(Postes!$D$7:$D$117,MATCH(B82,Postes!$A$7:$A$117,0))-INDEX(Postes!$G$7:$G$117,MATCH(B82,Postes!$A$7:$A$117,0))</f>
        <v>-0.93398503596163174</v>
      </c>
      <c r="F82" s="5">
        <f>Parametros!$E$8*Parametros!$E$9</f>
        <v>2205</v>
      </c>
      <c r="G82" s="5">
        <f>Parametros!$E$10/1000*Parametros!$E$11</f>
        <v>1.32389775</v>
      </c>
      <c r="H82" s="5">
        <f t="shared" si="12"/>
        <v>1665.5364811972829</v>
      </c>
      <c r="I82" s="5">
        <f t="shared" si="13"/>
        <v>-1.7594852226399258E-2</v>
      </c>
      <c r="J82" s="5">
        <f t="shared" si="14"/>
        <v>55.84380464731511</v>
      </c>
      <c r="K82" s="5">
        <f t="shared" si="15"/>
        <v>-3.3529019194566897E-2</v>
      </c>
      <c r="L82" s="5">
        <f t="shared" si="16"/>
        <v>-1.6606852582316119E-3</v>
      </c>
      <c r="M82" s="5">
        <f t="shared" si="17"/>
        <v>53.08833530493223</v>
      </c>
      <c r="N82" s="5">
        <f>M82*Parametros!$E$5</f>
        <v>159.26500591479669</v>
      </c>
    </row>
    <row r="83" spans="1:14" ht="21" customHeight="1">
      <c r="A83" s="1" t="s">
        <v>400</v>
      </c>
      <c r="B83" s="1" t="s">
        <v>264</v>
      </c>
      <c r="C83" s="1" t="s">
        <v>265</v>
      </c>
      <c r="D83" s="5">
        <f>SQRT((INDEX(Postes!$B$7:$B$117,MATCH(C83,Postes!$A$7:$A$117,0))-INDEX(Postes!$B$7:$B$117,MATCH(B83,Postes!$A$7:$A$117,0)))^2+(INDEX(Postes!$C$7:$C$117,MATCH(C83,Postes!$A$7:$A$117,0))-INDEX(Postes!$C$7:$C$117,MATCH(B83,Postes!$A$7:$A$117,0)))^2)</f>
        <v>53.077872765916737</v>
      </c>
      <c r="E83" s="5">
        <f>INDEX(Postes!$D$7:$D$117,MATCH(C83,Postes!$A$7:$A$117,0))+INDEX(Postes!$G$7:$G$117,MATCH(C83,Postes!$A$7:$A$117,0))-INDEX(Postes!$D$7:$D$117,MATCH(B83,Postes!$A$7:$A$117,0))-INDEX(Postes!$G$7:$G$117,MATCH(B83,Postes!$A$7:$A$117,0))</f>
        <v>6.0609978180554211</v>
      </c>
      <c r="F83" s="5">
        <f>Parametros!$E$8*Parametros!$E$9</f>
        <v>2205</v>
      </c>
      <c r="G83" s="5">
        <f>Parametros!$E$10/1000*Parametros!$E$11</f>
        <v>1.32389775</v>
      </c>
      <c r="H83" s="5">
        <f t="shared" si="12"/>
        <v>1665.5364811972829</v>
      </c>
      <c r="I83" s="5">
        <f t="shared" si="13"/>
        <v>0.11393914848376886</v>
      </c>
      <c r="J83" s="5">
        <f t="shared" si="14"/>
        <v>-163.23087205331274</v>
      </c>
      <c r="K83" s="5">
        <f t="shared" si="15"/>
        <v>9.8004981515609338E-2</v>
      </c>
      <c r="L83" s="5">
        <f t="shared" si="16"/>
        <v>0.12987331545192837</v>
      </c>
      <c r="M83" s="5">
        <f t="shared" si="17"/>
        <v>53.425038249393076</v>
      </c>
      <c r="N83" s="5">
        <f>M83*Parametros!$E$5</f>
        <v>160.27511474817922</v>
      </c>
    </row>
    <row r="84" spans="1:14" ht="21" customHeight="1">
      <c r="A84" s="1" t="s">
        <v>401</v>
      </c>
      <c r="B84" s="1" t="s">
        <v>265</v>
      </c>
      <c r="C84" s="1" t="s">
        <v>266</v>
      </c>
      <c r="D84" s="5">
        <f>SQRT((INDEX(Postes!$B$7:$B$117,MATCH(C84,Postes!$A$7:$A$117,0))-INDEX(Postes!$B$7:$B$117,MATCH(B84,Postes!$A$7:$A$117,0)))^2+(INDEX(Postes!$C$7:$C$117,MATCH(C84,Postes!$A$7:$A$117,0))-INDEX(Postes!$C$7:$C$117,MATCH(B84,Postes!$A$7:$A$117,0)))^2)</f>
        <v>71.769589566125873</v>
      </c>
      <c r="E84" s="5">
        <f>INDEX(Postes!$D$7:$D$117,MATCH(C84,Postes!$A$7:$A$117,0))+INDEX(Postes!$G$7:$G$117,MATCH(C84,Postes!$A$7:$A$117,0))-INDEX(Postes!$D$7:$D$117,MATCH(B84,Postes!$A$7:$A$117,0))-INDEX(Postes!$G$7:$G$117,MATCH(B84,Postes!$A$7:$A$117,0))</f>
        <v>-0.86776176077191813</v>
      </c>
      <c r="F84" s="5">
        <f>Parametros!$E$8*Parametros!$E$9</f>
        <v>2205</v>
      </c>
      <c r="G84" s="5">
        <f>Parametros!$E$10/1000*Parametros!$E$11</f>
        <v>1.32389775</v>
      </c>
      <c r="H84" s="5">
        <f t="shared" si="12"/>
        <v>1665.5364811972829</v>
      </c>
      <c r="I84" s="5">
        <f t="shared" si="13"/>
        <v>-1.2089709524921811E-2</v>
      </c>
      <c r="J84" s="5">
        <f t="shared" si="14"/>
        <v>56.020647043898485</v>
      </c>
      <c r="K84" s="5">
        <f t="shared" si="15"/>
        <v>-3.3635196632635533E-2</v>
      </c>
      <c r="L84" s="5">
        <f t="shared" si="16"/>
        <v>9.4557775827919105E-3</v>
      </c>
      <c r="M84" s="5">
        <f t="shared" si="17"/>
        <v>71.780387794711118</v>
      </c>
      <c r="N84" s="5">
        <f>M84*Parametros!$E$5</f>
        <v>215.34116338413335</v>
      </c>
    </row>
    <row r="85" spans="1:14" ht="21" customHeight="1">
      <c r="A85" s="1" t="s">
        <v>402</v>
      </c>
      <c r="B85" s="1" t="s">
        <v>266</v>
      </c>
      <c r="C85" s="1" t="s">
        <v>267</v>
      </c>
      <c r="D85" s="5">
        <f>SQRT((INDEX(Postes!$B$7:$B$117,MATCH(C85,Postes!$A$7:$A$117,0))-INDEX(Postes!$B$7:$B$117,MATCH(B85,Postes!$A$7:$A$117,0)))^2+(INDEX(Postes!$C$7:$C$117,MATCH(C85,Postes!$A$7:$A$117,0))-INDEX(Postes!$C$7:$C$117,MATCH(B85,Postes!$A$7:$A$117,0)))^2)</f>
        <v>67.989603143173724</v>
      </c>
      <c r="E85" s="5">
        <f>INDEX(Postes!$D$7:$D$117,MATCH(C85,Postes!$A$7:$A$117,0))+INDEX(Postes!$G$7:$G$117,MATCH(C85,Postes!$A$7:$A$117,0))-INDEX(Postes!$D$7:$D$117,MATCH(B85,Postes!$A$7:$A$117,0))-INDEX(Postes!$G$7:$G$117,MATCH(B85,Postes!$A$7:$A$117,0))</f>
        <v>3.5628549348747587</v>
      </c>
      <c r="F85" s="5">
        <f>Parametros!$E$8*Parametros!$E$9</f>
        <v>2205</v>
      </c>
      <c r="G85" s="5">
        <f>Parametros!$E$10/1000*Parametros!$E$11</f>
        <v>1.32389775</v>
      </c>
      <c r="H85" s="5">
        <f t="shared" si="12"/>
        <v>1665.5364811972829</v>
      </c>
      <c r="I85" s="5">
        <f t="shared" si="13"/>
        <v>5.2375350248386875E-2</v>
      </c>
      <c r="J85" s="5">
        <f t="shared" si="14"/>
        <v>-53.238254982586653</v>
      </c>
      <c r="K85" s="5">
        <f t="shared" si="15"/>
        <v>3.19646285647949E-2</v>
      </c>
      <c r="L85" s="5">
        <f t="shared" si="16"/>
        <v>7.2786071931978849E-2</v>
      </c>
      <c r="M85" s="5">
        <f t="shared" si="17"/>
        <v>68.087605523166445</v>
      </c>
      <c r="N85" s="5">
        <f>M85*Parametros!$E$5</f>
        <v>204.26281656949934</v>
      </c>
    </row>
    <row r="86" spans="1:14" ht="21" customHeight="1">
      <c r="A86" s="1" t="s">
        <v>403</v>
      </c>
      <c r="B86" s="1" t="s">
        <v>267</v>
      </c>
      <c r="C86" s="1" t="s">
        <v>268</v>
      </c>
      <c r="D86" s="5">
        <f>SQRT((INDEX(Postes!$B$7:$B$117,MATCH(C86,Postes!$A$7:$A$117,0))-INDEX(Postes!$B$7:$B$117,MATCH(B86,Postes!$A$7:$A$117,0)))^2+(INDEX(Postes!$C$7:$C$117,MATCH(C86,Postes!$A$7:$A$117,0))-INDEX(Postes!$C$7:$C$117,MATCH(B86,Postes!$A$7:$A$117,0)))^2)</f>
        <v>80.009261635417346</v>
      </c>
      <c r="E86" s="5">
        <f>INDEX(Postes!$D$7:$D$117,MATCH(C86,Postes!$A$7:$A$117,0))+INDEX(Postes!$G$7:$G$117,MATCH(C86,Postes!$A$7:$A$117,0))-INDEX(Postes!$D$7:$D$117,MATCH(B86,Postes!$A$7:$A$117,0))-INDEX(Postes!$G$7:$G$117,MATCH(B86,Postes!$A$7:$A$117,0))</f>
        <v>10.21281888419062</v>
      </c>
      <c r="F86" s="5">
        <f>Parametros!$E$8*Parametros!$E$9</f>
        <v>2205</v>
      </c>
      <c r="G86" s="5">
        <f>Parametros!$E$10/1000*Parametros!$E$11</f>
        <v>1.32389775</v>
      </c>
      <c r="H86" s="5">
        <f t="shared" si="12"/>
        <v>1665.5364811972829</v>
      </c>
      <c r="I86" s="5">
        <f t="shared" si="13"/>
        <v>0.12728917277541249</v>
      </c>
      <c r="J86" s="5">
        <f t="shared" si="14"/>
        <v>-172.00013010116481</v>
      </c>
      <c r="K86" s="5">
        <f t="shared" si="15"/>
        <v>0.10327010668509722</v>
      </c>
      <c r="L86" s="5">
        <f t="shared" si="16"/>
        <v>0.15130823886572775</v>
      </c>
      <c r="M86" s="5">
        <f t="shared" si="17"/>
        <v>80.666069383807027</v>
      </c>
      <c r="N86" s="5">
        <f>M86*Parametros!$E$5</f>
        <v>241.99820815142107</v>
      </c>
    </row>
    <row r="87" spans="1:14" ht="21" customHeight="1">
      <c r="A87" s="1" t="s">
        <v>404</v>
      </c>
      <c r="B87" s="1" t="s">
        <v>268</v>
      </c>
      <c r="C87" s="1" t="s">
        <v>269</v>
      </c>
      <c r="D87" s="5">
        <f>SQRT((INDEX(Postes!$B$7:$B$117,MATCH(C87,Postes!$A$7:$A$117,0))-INDEX(Postes!$B$7:$B$117,MATCH(B87,Postes!$A$7:$A$117,0)))^2+(INDEX(Postes!$C$7:$C$117,MATCH(C87,Postes!$A$7:$A$117,0))-INDEX(Postes!$C$7:$C$117,MATCH(B87,Postes!$A$7:$A$117,0)))^2)</f>
        <v>80.009261636514026</v>
      </c>
      <c r="E87" s="5">
        <f>INDEX(Postes!$D$7:$D$117,MATCH(C87,Postes!$A$7:$A$117,0))+INDEX(Postes!$G$7:$G$117,MATCH(C87,Postes!$A$7:$A$117,0))-INDEX(Postes!$D$7:$D$117,MATCH(B87,Postes!$A$7:$A$117,0))-INDEX(Postes!$G$7:$G$117,MATCH(B87,Postes!$A$7:$A$117,0))</f>
        <v>4.2704102342599075</v>
      </c>
      <c r="F87" s="5">
        <f>Parametros!$E$8*Parametros!$E$9</f>
        <v>2205</v>
      </c>
      <c r="G87" s="5">
        <f>Parametros!$E$10/1000*Parametros!$E$11</f>
        <v>1.32389775</v>
      </c>
      <c r="H87" s="5">
        <f t="shared" si="12"/>
        <v>1665.5364811972829</v>
      </c>
      <c r="I87" s="5">
        <f t="shared" si="13"/>
        <v>5.3343515070164653E-2</v>
      </c>
      <c r="J87" s="5">
        <f t="shared" si="14"/>
        <v>-48.840939566399257</v>
      </c>
      <c r="K87" s="5">
        <f t="shared" si="15"/>
        <v>2.9324448979520159E-2</v>
      </c>
      <c r="L87" s="5">
        <f t="shared" si="16"/>
        <v>7.7362581160809157E-2</v>
      </c>
      <c r="M87" s="5">
        <f t="shared" si="17"/>
        <v>80.130827301459433</v>
      </c>
      <c r="N87" s="5">
        <f>M87*Parametros!$E$5</f>
        <v>240.39248190437831</v>
      </c>
    </row>
    <row r="88" spans="1:14" ht="21" customHeight="1">
      <c r="A88" s="1" t="s">
        <v>405</v>
      </c>
      <c r="B88" s="1" t="s">
        <v>269</v>
      </c>
      <c r="C88" s="1" t="s">
        <v>270</v>
      </c>
      <c r="D88" s="5">
        <f>SQRT((INDEX(Postes!$B$7:$B$117,MATCH(C88,Postes!$A$7:$A$117,0))-INDEX(Postes!$B$7:$B$117,MATCH(B88,Postes!$A$7:$A$117,0)))^2+(INDEX(Postes!$C$7:$C$117,MATCH(C88,Postes!$A$7:$A$117,0))-INDEX(Postes!$C$7:$C$117,MATCH(B88,Postes!$A$7:$A$117,0)))^2)</f>
        <v>80.009261635417346</v>
      </c>
      <c r="E88" s="5">
        <f>INDEX(Postes!$D$7:$D$117,MATCH(C88,Postes!$A$7:$A$117,0))+INDEX(Postes!$G$7:$G$117,MATCH(C88,Postes!$A$7:$A$117,0))-INDEX(Postes!$D$7:$D$117,MATCH(B88,Postes!$A$7:$A$117,0))-INDEX(Postes!$G$7:$G$117,MATCH(B88,Postes!$A$7:$A$117,0))</f>
        <v>10.474196554515311</v>
      </c>
      <c r="F88" s="5">
        <f>Parametros!$E$8*Parametros!$E$9</f>
        <v>2205</v>
      </c>
      <c r="G88" s="5">
        <f>Parametros!$E$10/1000*Parametros!$E$11</f>
        <v>1.32389775</v>
      </c>
      <c r="H88" s="5">
        <f t="shared" si="12"/>
        <v>1665.5364811972829</v>
      </c>
      <c r="I88" s="5">
        <f t="shared" si="13"/>
        <v>0.13052874579869544</v>
      </c>
      <c r="J88" s="5">
        <f t="shared" si="14"/>
        <v>-177.39575715494516</v>
      </c>
      <c r="K88" s="5">
        <f t="shared" si="15"/>
        <v>0.10650967970838017</v>
      </c>
      <c r="L88" s="5">
        <f t="shared" si="16"/>
        <v>0.15454781188901073</v>
      </c>
      <c r="M88" s="5">
        <f t="shared" si="17"/>
        <v>80.699577903075252</v>
      </c>
      <c r="N88" s="5">
        <f>M88*Parametros!$E$5</f>
        <v>242.09873370922577</v>
      </c>
    </row>
    <row r="89" spans="1:14" ht="21" customHeight="1">
      <c r="A89" s="1" t="s">
        <v>406</v>
      </c>
      <c r="B89" s="1" t="s">
        <v>270</v>
      </c>
      <c r="C89" s="1" t="s">
        <v>271</v>
      </c>
      <c r="D89" s="5">
        <f>SQRT((INDEX(Postes!$B$7:$B$117,MATCH(C89,Postes!$A$7:$A$117,0))-INDEX(Postes!$B$7:$B$117,MATCH(B89,Postes!$A$7:$A$117,0)))^2+(INDEX(Postes!$C$7:$C$117,MATCH(C89,Postes!$A$7:$A$117,0))-INDEX(Postes!$C$7:$C$117,MATCH(B89,Postes!$A$7:$A$117,0)))^2)</f>
        <v>74.263003342249718</v>
      </c>
      <c r="E89" s="5">
        <f>INDEX(Postes!$D$7:$D$117,MATCH(C89,Postes!$A$7:$A$117,0))+INDEX(Postes!$G$7:$G$117,MATCH(C89,Postes!$A$7:$A$117,0))-INDEX(Postes!$D$7:$D$117,MATCH(B89,Postes!$A$7:$A$117,0))-INDEX(Postes!$G$7:$G$117,MATCH(B89,Postes!$A$7:$A$117,0))</f>
        <v>8.4082858061582559</v>
      </c>
      <c r="F89" s="5">
        <f>Parametros!$E$8*Parametros!$E$9</f>
        <v>2205</v>
      </c>
      <c r="G89" s="5">
        <f>Parametros!$E$10/1000*Parametros!$E$11</f>
        <v>1.32389775</v>
      </c>
      <c r="H89" s="5">
        <f t="shared" si="12"/>
        <v>1665.5364811972829</v>
      </c>
      <c r="I89" s="5">
        <f t="shared" si="13"/>
        <v>0.11297323388748</v>
      </c>
      <c r="J89" s="5">
        <f t="shared" si="14"/>
        <v>-151.02954076730623</v>
      </c>
      <c r="K89" s="5">
        <f t="shared" si="15"/>
        <v>9.0679215059124713E-2</v>
      </c>
      <c r="L89" s="5">
        <f t="shared" si="16"/>
        <v>0.13526725271583531</v>
      </c>
      <c r="M89" s="5">
        <f t="shared" si="17"/>
        <v>74.743606345738939</v>
      </c>
      <c r="N89" s="5">
        <f>M89*Parametros!$E$5</f>
        <v>224.2308190372168</v>
      </c>
    </row>
    <row r="90" spans="1:14" ht="21" customHeight="1">
      <c r="A90" s="1" t="s">
        <v>407</v>
      </c>
      <c r="B90" s="1" t="s">
        <v>271</v>
      </c>
      <c r="C90" s="1" t="s">
        <v>272</v>
      </c>
      <c r="D90" s="5">
        <f>SQRT((INDEX(Postes!$B$7:$B$117,MATCH(C90,Postes!$A$7:$A$117,0))-INDEX(Postes!$B$7:$B$117,MATCH(B90,Postes!$A$7:$A$117,0)))^2+(INDEX(Postes!$C$7:$C$117,MATCH(C90,Postes!$A$7:$A$117,0))-INDEX(Postes!$C$7:$C$117,MATCH(B90,Postes!$A$7:$A$117,0)))^2)</f>
        <v>74.263003343684531</v>
      </c>
      <c r="E90" s="5">
        <f>INDEX(Postes!$D$7:$D$117,MATCH(C90,Postes!$A$7:$A$117,0))+INDEX(Postes!$G$7:$G$117,MATCH(C90,Postes!$A$7:$A$117,0))-INDEX(Postes!$D$7:$D$117,MATCH(B90,Postes!$A$7:$A$117,0))-INDEX(Postes!$G$7:$G$117,MATCH(B90,Postes!$A$7:$A$117,0))</f>
        <v>7.3235260013701922</v>
      </c>
      <c r="F90" s="5">
        <f>Parametros!$E$8*Parametros!$E$9</f>
        <v>2205</v>
      </c>
      <c r="G90" s="5">
        <f>Parametros!$E$10/1000*Parametros!$E$11</f>
        <v>1.32389775</v>
      </c>
      <c r="H90" s="5">
        <f t="shared" si="12"/>
        <v>1665.5364811972829</v>
      </c>
      <c r="I90" s="5">
        <f t="shared" si="13"/>
        <v>9.8448800215360871E-2</v>
      </c>
      <c r="J90" s="5">
        <f t="shared" si="14"/>
        <v>-126.83856661694418</v>
      </c>
      <c r="K90" s="5">
        <f t="shared" si="15"/>
        <v>7.6154781386574832E-2</v>
      </c>
      <c r="L90" s="5">
        <f t="shared" si="16"/>
        <v>0.1207428190441469</v>
      </c>
      <c r="M90" s="5">
        <f t="shared" si="17"/>
        <v>74.62936052703833</v>
      </c>
      <c r="N90" s="5">
        <f>M90*Parametros!$E$5</f>
        <v>223.88808158111499</v>
      </c>
    </row>
    <row r="91" spans="1:14" ht="21" customHeight="1">
      <c r="A91" s="1" t="s">
        <v>408</v>
      </c>
      <c r="B91" s="1" t="s">
        <v>272</v>
      </c>
      <c r="C91" s="1" t="s">
        <v>273</v>
      </c>
      <c r="D91" s="5">
        <f>SQRT((INDEX(Postes!$B$7:$B$117,MATCH(C91,Postes!$A$7:$A$117,0))-INDEX(Postes!$B$7:$B$117,MATCH(B91,Postes!$A$7:$A$117,0)))^2+(INDEX(Postes!$C$7:$C$117,MATCH(C91,Postes!$A$7:$A$117,0))-INDEX(Postes!$C$7:$C$117,MATCH(B91,Postes!$A$7:$A$117,0)))^2)</f>
        <v>74.263003342249718</v>
      </c>
      <c r="E91" s="5">
        <f>INDEX(Postes!$D$7:$D$117,MATCH(C91,Postes!$A$7:$A$117,0))+INDEX(Postes!$G$7:$G$117,MATCH(C91,Postes!$A$7:$A$117,0))-INDEX(Postes!$D$7:$D$117,MATCH(B91,Postes!$A$7:$A$117,0))-INDEX(Postes!$G$7:$G$117,MATCH(B91,Postes!$A$7:$A$117,0))</f>
        <v>12.25415953349866</v>
      </c>
      <c r="F91" s="5">
        <f>Parametros!$E$8*Parametros!$E$9</f>
        <v>2205</v>
      </c>
      <c r="G91" s="5">
        <f>Parametros!$E$10/1000*Parametros!$E$11</f>
        <v>1.32389775</v>
      </c>
      <c r="H91" s="5">
        <f t="shared" si="12"/>
        <v>1665.5364811972829</v>
      </c>
      <c r="I91" s="5">
        <f t="shared" si="13"/>
        <v>0.16425700333504689</v>
      </c>
      <c r="J91" s="5">
        <f t="shared" si="14"/>
        <v>-236.44452967553951</v>
      </c>
      <c r="K91" s="5">
        <f t="shared" si="15"/>
        <v>0.14196298450669159</v>
      </c>
      <c r="L91" s="5">
        <f t="shared" si="16"/>
        <v>0.18655102216340219</v>
      </c>
      <c r="M91" s="5">
        <f t="shared" si="17"/>
        <v>75.27331429690858</v>
      </c>
      <c r="N91" s="5">
        <f>M91*Parametros!$E$5</f>
        <v>225.81994289072574</v>
      </c>
    </row>
    <row r="92" spans="1:14" ht="21" customHeight="1">
      <c r="A92" s="1" t="s">
        <v>409</v>
      </c>
      <c r="B92" s="1" t="s">
        <v>273</v>
      </c>
      <c r="C92" s="1" t="s">
        <v>274</v>
      </c>
      <c r="D92" s="5">
        <f>SQRT((INDEX(Postes!$B$7:$B$117,MATCH(C92,Postes!$A$7:$A$117,0))-INDEX(Postes!$B$7:$B$117,MATCH(B92,Postes!$A$7:$A$117,0)))^2+(INDEX(Postes!$C$7:$C$117,MATCH(C92,Postes!$A$7:$A$117,0))-INDEX(Postes!$C$7:$C$117,MATCH(B92,Postes!$A$7:$A$117,0)))^2)</f>
        <v>37.01814482271029</v>
      </c>
      <c r="E92" s="5">
        <f>INDEX(Postes!$D$7:$D$117,MATCH(C92,Postes!$A$7:$A$117,0))+INDEX(Postes!$G$7:$G$117,MATCH(C92,Postes!$A$7:$A$117,0))-INDEX(Postes!$D$7:$D$117,MATCH(B92,Postes!$A$7:$A$117,0))-INDEX(Postes!$G$7:$G$117,MATCH(B92,Postes!$A$7:$A$117,0))</f>
        <v>-3.8243858315828216</v>
      </c>
      <c r="F92" s="5">
        <f>Parametros!$E$8*Parametros!$E$9</f>
        <v>2205</v>
      </c>
      <c r="G92" s="5">
        <f>Parametros!$E$10/1000*Parametros!$E$11</f>
        <v>1.32389775</v>
      </c>
      <c r="H92" s="5">
        <f t="shared" si="12"/>
        <v>1665.5364811972829</v>
      </c>
      <c r="I92" s="5">
        <f t="shared" si="13"/>
        <v>-0.10312610085866983</v>
      </c>
      <c r="J92" s="5">
        <f t="shared" si="14"/>
        <v>190.26935555510016</v>
      </c>
      <c r="K92" s="5">
        <f t="shared" si="15"/>
        <v>-0.11423908014210753</v>
      </c>
      <c r="L92" s="5">
        <f t="shared" si="16"/>
        <v>-9.2013121575232101E-2</v>
      </c>
      <c r="M92" s="5">
        <f t="shared" si="17"/>
        <v>37.215929193231887</v>
      </c>
      <c r="N92" s="5">
        <f>M92*Parametros!$E$5</f>
        <v>111.64778757969566</v>
      </c>
    </row>
    <row r="93" spans="1:14" ht="21" customHeight="1">
      <c r="A93" s="1" t="s">
        <v>410</v>
      </c>
      <c r="B93" s="1" t="s">
        <v>274</v>
      </c>
      <c r="C93" s="1" t="s">
        <v>275</v>
      </c>
      <c r="D93" s="5">
        <f>SQRT((INDEX(Postes!$B$7:$B$117,MATCH(C93,Postes!$A$7:$A$117,0))-INDEX(Postes!$B$7:$B$117,MATCH(B93,Postes!$A$7:$A$117,0)))^2+(INDEX(Postes!$C$7:$C$117,MATCH(C93,Postes!$A$7:$A$117,0))-INDEX(Postes!$C$7:$C$117,MATCH(B93,Postes!$A$7:$A$117,0)))^2)</f>
        <v>70.695133423470992</v>
      </c>
      <c r="E93" s="5">
        <f>INDEX(Postes!$D$7:$D$117,MATCH(C93,Postes!$A$7:$A$117,0))+INDEX(Postes!$G$7:$G$117,MATCH(C93,Postes!$A$7:$A$117,0))-INDEX(Postes!$D$7:$D$117,MATCH(B93,Postes!$A$7:$A$117,0))-INDEX(Postes!$G$7:$G$117,MATCH(B93,Postes!$A$7:$A$117,0))</f>
        <v>-1.9822057922384371</v>
      </c>
      <c r="F93" s="5">
        <f>Parametros!$E$8*Parametros!$E$9</f>
        <v>2205</v>
      </c>
      <c r="G93" s="5">
        <f>Parametros!$E$10/1000*Parametros!$E$11</f>
        <v>1.32389775</v>
      </c>
      <c r="H93" s="5">
        <f t="shared" si="12"/>
        <v>1665.5364811972829</v>
      </c>
      <c r="I93" s="5">
        <f t="shared" si="13"/>
        <v>-2.8033010566046564E-2</v>
      </c>
      <c r="J93" s="5">
        <f t="shared" si="14"/>
        <v>82.037568487274939</v>
      </c>
      <c r="K93" s="5">
        <f t="shared" si="15"/>
        <v>-4.9255942102391925E-2</v>
      </c>
      <c r="L93" s="5">
        <f t="shared" si="16"/>
        <v>-6.8100790297012026E-3</v>
      </c>
      <c r="M93" s="5">
        <f t="shared" si="17"/>
        <v>70.728222320716483</v>
      </c>
      <c r="N93" s="5">
        <f>M93*Parametros!$E$5</f>
        <v>212.18466696214944</v>
      </c>
    </row>
    <row r="94" spans="1:14" ht="21" customHeight="1">
      <c r="A94" s="1" t="s">
        <v>411</v>
      </c>
      <c r="B94" s="1" t="s">
        <v>275</v>
      </c>
      <c r="C94" s="1" t="s">
        <v>276</v>
      </c>
      <c r="D94" s="5">
        <f>SQRT((INDEX(Postes!$B$7:$B$117,MATCH(C94,Postes!$A$7:$A$117,0))-INDEX(Postes!$B$7:$B$117,MATCH(B94,Postes!$A$7:$A$117,0)))^2+(INDEX(Postes!$C$7:$C$117,MATCH(C94,Postes!$A$7:$A$117,0))-INDEX(Postes!$C$7:$C$117,MATCH(B94,Postes!$A$7:$A$117,0)))^2)</f>
        <v>55.408298670155602</v>
      </c>
      <c r="E94" s="5">
        <f>INDEX(Postes!$D$7:$D$117,MATCH(C94,Postes!$A$7:$A$117,0))+INDEX(Postes!$G$7:$G$117,MATCH(C94,Postes!$A$7:$A$117,0))-INDEX(Postes!$D$7:$D$117,MATCH(B94,Postes!$A$7:$A$117,0))-INDEX(Postes!$G$7:$G$117,MATCH(B94,Postes!$A$7:$A$117,0))</f>
        <v>8.1878684792349308</v>
      </c>
      <c r="F94" s="5">
        <f>Parametros!$E$8*Parametros!$E$9</f>
        <v>2205</v>
      </c>
      <c r="G94" s="5">
        <f>Parametros!$E$10/1000*Parametros!$E$11</f>
        <v>1.32389775</v>
      </c>
      <c r="H94" s="5">
        <f t="shared" si="12"/>
        <v>1665.5364811972829</v>
      </c>
      <c r="I94" s="5">
        <f t="shared" si="13"/>
        <v>0.14723398053414838</v>
      </c>
      <c r="J94" s="5">
        <f t="shared" si="14"/>
        <v>-217.51941651643693</v>
      </c>
      <c r="K94" s="5">
        <f t="shared" si="15"/>
        <v>0.1306002113865867</v>
      </c>
      <c r="L94" s="5">
        <f t="shared" si="16"/>
        <v>0.16386774968171006</v>
      </c>
      <c r="M94" s="5">
        <f t="shared" si="17"/>
        <v>56.012533487905344</v>
      </c>
      <c r="N94" s="5">
        <f>M94*Parametros!$E$5</f>
        <v>168.03760046371605</v>
      </c>
    </row>
    <row r="95" spans="1:14" ht="21" customHeight="1">
      <c r="A95" s="1" t="s">
        <v>412</v>
      </c>
      <c r="B95" s="1" t="s">
        <v>276</v>
      </c>
      <c r="C95" s="1" t="s">
        <v>277</v>
      </c>
      <c r="D95" s="5">
        <f>SQRT((INDEX(Postes!$B$7:$B$117,MATCH(C95,Postes!$A$7:$A$117,0))-INDEX(Postes!$B$7:$B$117,MATCH(B95,Postes!$A$7:$A$117,0)))^2+(INDEX(Postes!$C$7:$C$117,MATCH(C95,Postes!$A$7:$A$117,0))-INDEX(Postes!$C$7:$C$117,MATCH(B95,Postes!$A$7:$A$117,0)))^2)</f>
        <v>55.408298670127913</v>
      </c>
      <c r="E95" s="5">
        <f>INDEX(Postes!$D$7:$D$117,MATCH(C95,Postes!$A$7:$A$117,0))+INDEX(Postes!$G$7:$G$117,MATCH(C95,Postes!$A$7:$A$117,0))-INDEX(Postes!$D$7:$D$117,MATCH(B95,Postes!$A$7:$A$117,0))-INDEX(Postes!$G$7:$G$117,MATCH(B95,Postes!$A$7:$A$117,0))</f>
        <v>8.7587365964745008</v>
      </c>
      <c r="F95" s="5">
        <f>Parametros!$E$8*Parametros!$E$9</f>
        <v>2205</v>
      </c>
      <c r="G95" s="5">
        <f>Parametros!$E$10/1000*Parametros!$E$11</f>
        <v>1.32389775</v>
      </c>
      <c r="H95" s="5">
        <f t="shared" si="12"/>
        <v>1665.5364811972829</v>
      </c>
      <c r="I95" s="5">
        <f t="shared" si="13"/>
        <v>0.15741801644396541</v>
      </c>
      <c r="J95" s="5">
        <f t="shared" si="14"/>
        <v>-234.48129985007421</v>
      </c>
      <c r="K95" s="5">
        <f t="shared" si="15"/>
        <v>0.14078424729641204</v>
      </c>
      <c r="L95" s="5">
        <f t="shared" si="16"/>
        <v>0.17405178559151877</v>
      </c>
      <c r="M95" s="5">
        <f t="shared" si="17"/>
        <v>56.098825159390103</v>
      </c>
      <c r="N95" s="5">
        <f>M95*Parametros!$E$5</f>
        <v>168.29647547817029</v>
      </c>
    </row>
    <row r="96" spans="1:14" ht="21" customHeight="1">
      <c r="A96" s="1" t="s">
        <v>413</v>
      </c>
      <c r="B96" s="1" t="s">
        <v>277</v>
      </c>
      <c r="C96" s="1" t="s">
        <v>278</v>
      </c>
      <c r="D96" s="5">
        <f>SQRT((INDEX(Postes!$B$7:$B$117,MATCH(C96,Postes!$A$7:$A$117,0))-INDEX(Postes!$B$7:$B$117,MATCH(B96,Postes!$A$7:$A$117,0)))^2+(INDEX(Postes!$C$7:$C$117,MATCH(C96,Postes!$A$7:$A$117,0))-INDEX(Postes!$C$7:$C$117,MATCH(B96,Postes!$A$7:$A$117,0)))^2)</f>
        <v>63.217131351994695</v>
      </c>
      <c r="E96" s="5">
        <f>INDEX(Postes!$D$7:$D$117,MATCH(C96,Postes!$A$7:$A$117,0))+INDEX(Postes!$G$7:$G$117,MATCH(C96,Postes!$A$7:$A$117,0))-INDEX(Postes!$D$7:$D$117,MATCH(B96,Postes!$A$7:$A$117,0))-INDEX(Postes!$G$7:$G$117,MATCH(B96,Postes!$A$7:$A$117,0))</f>
        <v>3.647411362687853</v>
      </c>
      <c r="F96" s="5">
        <f>Parametros!$E$8*Parametros!$E$9</f>
        <v>2205</v>
      </c>
      <c r="G96" s="5">
        <f>Parametros!$E$10/1000*Parametros!$E$11</f>
        <v>1.32389775</v>
      </c>
      <c r="H96" s="5">
        <f t="shared" si="12"/>
        <v>1665.5364811972829</v>
      </c>
      <c r="I96" s="5">
        <f t="shared" si="13"/>
        <v>5.7661144964860578E-2</v>
      </c>
      <c r="J96" s="5">
        <f t="shared" si="14"/>
        <v>-64.428174810582959</v>
      </c>
      <c r="K96" s="5">
        <f t="shared" si="15"/>
        <v>3.868313635752265E-2</v>
      </c>
      <c r="L96" s="5">
        <f t="shared" si="16"/>
        <v>7.6639153572198498E-2</v>
      </c>
      <c r="M96" s="5">
        <f t="shared" si="17"/>
        <v>63.326054016484342</v>
      </c>
      <c r="N96" s="5">
        <f>M96*Parametros!$E$5</f>
        <v>189.97816204945303</v>
      </c>
    </row>
    <row r="97" spans="1:14" ht="21" customHeight="1">
      <c r="A97" s="1" t="s">
        <v>414</v>
      </c>
      <c r="B97" s="1" t="s">
        <v>278</v>
      </c>
      <c r="C97" s="1" t="s">
        <v>279</v>
      </c>
      <c r="D97" s="5">
        <f>SQRT((INDEX(Postes!$B$7:$B$117,MATCH(C97,Postes!$A$7:$A$117,0))-INDEX(Postes!$B$7:$B$117,MATCH(B97,Postes!$A$7:$A$117,0)))^2+(INDEX(Postes!$C$7:$C$117,MATCH(C97,Postes!$A$7:$A$117,0))-INDEX(Postes!$C$7:$C$117,MATCH(B97,Postes!$A$7:$A$117,0)))^2)</f>
        <v>45.08917939789221</v>
      </c>
      <c r="E97" s="5">
        <f>INDEX(Postes!$D$7:$D$117,MATCH(C97,Postes!$A$7:$A$117,0))+INDEX(Postes!$G$7:$G$117,MATCH(C97,Postes!$A$7:$A$117,0))-INDEX(Postes!$D$7:$D$117,MATCH(B97,Postes!$A$7:$A$117,0))-INDEX(Postes!$G$7:$G$117,MATCH(B97,Postes!$A$7:$A$117,0))</f>
        <v>-4.2660643030325449</v>
      </c>
      <c r="F97" s="5">
        <f>Parametros!$E$8*Parametros!$E$9</f>
        <v>2205</v>
      </c>
      <c r="G97" s="5">
        <f>Parametros!$E$10/1000*Parametros!$E$11</f>
        <v>1.32389775</v>
      </c>
      <c r="H97" s="5">
        <f t="shared" si="12"/>
        <v>1665.5364811972829</v>
      </c>
      <c r="I97" s="5">
        <f t="shared" si="13"/>
        <v>-9.4470455015388338E-2</v>
      </c>
      <c r="J97" s="5">
        <f t="shared" si="14"/>
        <v>179.88857892238221</v>
      </c>
      <c r="K97" s="5">
        <f t="shared" si="15"/>
        <v>-0.10800638770341915</v>
      </c>
      <c r="L97" s="5">
        <f t="shared" si="16"/>
        <v>-8.0934522327357539E-2</v>
      </c>
      <c r="M97" s="5">
        <f t="shared" si="17"/>
        <v>45.291915080002568</v>
      </c>
      <c r="N97" s="5">
        <f>M97*Parametros!$E$5</f>
        <v>135.87574524000769</v>
      </c>
    </row>
    <row r="98" spans="1:14" ht="21" customHeight="1">
      <c r="A98" s="1" t="s">
        <v>415</v>
      </c>
      <c r="B98" s="1" t="s">
        <v>279</v>
      </c>
      <c r="C98" s="1" t="s">
        <v>280</v>
      </c>
      <c r="D98" s="5">
        <f>SQRT((INDEX(Postes!$B$7:$B$117,MATCH(C98,Postes!$A$7:$A$117,0))-INDEX(Postes!$B$7:$B$117,MATCH(B98,Postes!$A$7:$A$117,0)))^2+(INDEX(Postes!$C$7:$C$117,MATCH(C98,Postes!$A$7:$A$117,0))-INDEX(Postes!$C$7:$C$117,MATCH(B98,Postes!$A$7:$A$117,0)))^2)</f>
        <v>52.391482165823611</v>
      </c>
      <c r="E98" s="5">
        <f>INDEX(Postes!$D$7:$D$117,MATCH(C98,Postes!$A$7:$A$117,0))+INDEX(Postes!$G$7:$G$117,MATCH(C98,Postes!$A$7:$A$117,0))-INDEX(Postes!$D$7:$D$117,MATCH(B98,Postes!$A$7:$A$117,0))-INDEX(Postes!$G$7:$G$117,MATCH(B98,Postes!$A$7:$A$117,0))</f>
        <v>1.4241639868427232</v>
      </c>
      <c r="F98" s="5">
        <f>Parametros!$E$8*Parametros!$E$9</f>
        <v>2205</v>
      </c>
      <c r="G98" s="5">
        <f>Parametros!$E$10/1000*Parametros!$E$11</f>
        <v>1.32389775</v>
      </c>
      <c r="H98" s="5">
        <f t="shared" si="12"/>
        <v>1665.5364811972829</v>
      </c>
      <c r="I98" s="5">
        <f t="shared" si="13"/>
        <v>2.7178653893575707E-2</v>
      </c>
      <c r="J98" s="5">
        <f t="shared" si="14"/>
        <v>-19.071298486673111</v>
      </c>
      <c r="K98" s="5">
        <f t="shared" si="15"/>
        <v>1.1450543834959154E-2</v>
      </c>
      <c r="L98" s="5">
        <f t="shared" si="16"/>
        <v>4.2906763952192256E-2</v>
      </c>
      <c r="M98" s="5">
        <f t="shared" si="17"/>
        <v>52.412994474921156</v>
      </c>
      <c r="N98" s="5">
        <f>M98*Parametros!$E$5</f>
        <v>157.23898342476346</v>
      </c>
    </row>
    <row r="99" spans="1:14" ht="21" customHeight="1">
      <c r="A99" s="1" t="s">
        <v>416</v>
      </c>
      <c r="B99" s="1" t="s">
        <v>280</v>
      </c>
      <c r="C99" s="1" t="s">
        <v>281</v>
      </c>
      <c r="D99" s="5">
        <f>SQRT((INDEX(Postes!$B$7:$B$117,MATCH(C99,Postes!$A$7:$A$117,0))-INDEX(Postes!$B$7:$B$117,MATCH(B99,Postes!$A$7:$A$117,0)))^2+(INDEX(Postes!$C$7:$C$117,MATCH(C99,Postes!$A$7:$A$117,0))-INDEX(Postes!$C$7:$C$117,MATCH(B99,Postes!$A$7:$A$117,0)))^2)</f>
        <v>48.254927655986378</v>
      </c>
      <c r="E99" s="5">
        <f>INDEX(Postes!$D$7:$D$117,MATCH(C99,Postes!$A$7:$A$117,0))+INDEX(Postes!$G$7:$G$117,MATCH(C99,Postes!$A$7:$A$117,0))-INDEX(Postes!$D$7:$D$117,MATCH(B99,Postes!$A$7:$A$117,0))-INDEX(Postes!$G$7:$G$117,MATCH(B99,Postes!$A$7:$A$117,0))</f>
        <v>7.9125804008112031</v>
      </c>
      <c r="F99" s="5">
        <f>Parametros!$E$8*Parametros!$E$9</f>
        <v>2205</v>
      </c>
      <c r="G99" s="5">
        <f>Parametros!$E$10/1000*Parametros!$E$11</f>
        <v>1.32389775</v>
      </c>
      <c r="H99" s="5">
        <f t="shared" si="12"/>
        <v>1665.5364811972829</v>
      </c>
      <c r="I99" s="5">
        <f t="shared" si="13"/>
        <v>0.16324283382689381</v>
      </c>
      <c r="J99" s="5">
        <f t="shared" si="14"/>
        <v>-247.75943120472434</v>
      </c>
      <c r="K99" s="5">
        <f t="shared" si="15"/>
        <v>0.14875653220553936</v>
      </c>
      <c r="L99" s="5">
        <f t="shared" si="16"/>
        <v>0.17772913544824828</v>
      </c>
      <c r="M99" s="5">
        <f t="shared" si="17"/>
        <v>48.901021050233076</v>
      </c>
      <c r="N99" s="5">
        <f>M99*Parametros!$E$5</f>
        <v>146.70306315069922</v>
      </c>
    </row>
    <row r="100" spans="1:14" ht="21" customHeight="1">
      <c r="A100" s="1" t="s">
        <v>417</v>
      </c>
      <c r="B100" s="1" t="s">
        <v>281</v>
      </c>
      <c r="C100" s="1" t="s">
        <v>282</v>
      </c>
      <c r="D100" s="5">
        <f>SQRT((INDEX(Postes!$B$7:$B$117,MATCH(C100,Postes!$A$7:$A$117,0))-INDEX(Postes!$B$7:$B$117,MATCH(B100,Postes!$A$7:$A$117,0)))^2+(INDEX(Postes!$C$7:$C$117,MATCH(C100,Postes!$A$7:$A$117,0))-INDEX(Postes!$C$7:$C$117,MATCH(B100,Postes!$A$7:$A$117,0)))^2)</f>
        <v>49.360111463419344</v>
      </c>
      <c r="E100" s="5">
        <f>INDEX(Postes!$D$7:$D$117,MATCH(C100,Postes!$A$7:$A$117,0))+INDEX(Postes!$G$7:$G$117,MATCH(C100,Postes!$A$7:$A$117,0))-INDEX(Postes!$D$7:$D$117,MATCH(B100,Postes!$A$7:$A$117,0))-INDEX(Postes!$G$7:$G$117,MATCH(B100,Postes!$A$7:$A$117,0))</f>
        <v>7.0698471562017406</v>
      </c>
      <c r="F100" s="5">
        <f>Parametros!$E$8*Parametros!$E$9</f>
        <v>2205</v>
      </c>
      <c r="G100" s="5">
        <f>Parametros!$E$10/1000*Parametros!$E$11</f>
        <v>1.32389775</v>
      </c>
      <c r="H100" s="5">
        <f t="shared" si="12"/>
        <v>1665.5364811972829</v>
      </c>
      <c r="I100" s="5">
        <f t="shared" si="13"/>
        <v>0.14273952245419544</v>
      </c>
      <c r="J100" s="5">
        <f t="shared" si="14"/>
        <v>-213.05782622443155</v>
      </c>
      <c r="K100" s="5">
        <f t="shared" si="15"/>
        <v>0.12792144070676459</v>
      </c>
      <c r="L100" s="5">
        <f t="shared" si="16"/>
        <v>0.15755760420162629</v>
      </c>
      <c r="M100" s="5">
        <f t="shared" si="17"/>
        <v>49.865636202126062</v>
      </c>
      <c r="N100" s="5">
        <f>M100*Parametros!$E$5</f>
        <v>149.59690860637818</v>
      </c>
    </row>
    <row r="101" spans="1:14" ht="21" customHeight="1">
      <c r="A101" s="1" t="s">
        <v>418</v>
      </c>
      <c r="B101" s="1" t="s">
        <v>282</v>
      </c>
      <c r="C101" s="1" t="s">
        <v>283</v>
      </c>
      <c r="D101" s="5">
        <f>SQRT((INDEX(Postes!$B$7:$B$117,MATCH(C101,Postes!$A$7:$A$117,0))-INDEX(Postes!$B$7:$B$117,MATCH(B101,Postes!$A$7:$A$117,0)))^2+(INDEX(Postes!$C$7:$C$117,MATCH(C101,Postes!$A$7:$A$117,0))-INDEX(Postes!$C$7:$C$117,MATCH(B101,Postes!$A$7:$A$117,0)))^2)</f>
        <v>71.762611659101765</v>
      </c>
      <c r="E101" s="5">
        <f>INDEX(Postes!$D$7:$D$117,MATCH(C101,Postes!$A$7:$A$117,0))+INDEX(Postes!$G$7:$G$117,MATCH(C101,Postes!$A$7:$A$117,0))-INDEX(Postes!$D$7:$D$117,MATCH(B101,Postes!$A$7:$A$117,0))-INDEX(Postes!$G$7:$G$117,MATCH(B101,Postes!$A$7:$A$117,0))</f>
        <v>5.6222217626749629</v>
      </c>
      <c r="F101" s="5">
        <f>Parametros!$E$8*Parametros!$E$9</f>
        <v>2205</v>
      </c>
      <c r="G101" s="5">
        <f>Parametros!$E$10/1000*Parametros!$E$11</f>
        <v>1.32389775</v>
      </c>
      <c r="H101" s="5">
        <f t="shared" si="12"/>
        <v>1665.5364811972829</v>
      </c>
      <c r="I101" s="5">
        <f t="shared" si="13"/>
        <v>7.8258754559488372E-2</v>
      </c>
      <c r="J101" s="5">
        <f t="shared" si="14"/>
        <v>-94.461504862341201</v>
      </c>
      <c r="K101" s="5">
        <f t="shared" si="15"/>
        <v>5.6715362244384386E-2</v>
      </c>
      <c r="L101" s="5">
        <f t="shared" si="16"/>
        <v>9.9802146874592365E-2</v>
      </c>
      <c r="M101" s="5">
        <f t="shared" si="17"/>
        <v>71.988044665260603</v>
      </c>
      <c r="N101" s="5">
        <f>M101*Parametros!$E$5</f>
        <v>215.96413399578182</v>
      </c>
    </row>
    <row r="102" spans="1:14" ht="21" customHeight="1">
      <c r="A102" s="1" t="s">
        <v>419</v>
      </c>
      <c r="B102" s="1" t="s">
        <v>283</v>
      </c>
      <c r="C102" s="1" t="s">
        <v>284</v>
      </c>
      <c r="D102" s="5">
        <f>SQRT((INDEX(Postes!$B$7:$B$117,MATCH(C102,Postes!$A$7:$A$117,0))-INDEX(Postes!$B$7:$B$117,MATCH(B102,Postes!$A$7:$A$117,0)))^2+(INDEX(Postes!$C$7:$C$117,MATCH(C102,Postes!$A$7:$A$117,0))-INDEX(Postes!$C$7:$C$117,MATCH(B102,Postes!$A$7:$A$117,0)))^2)</f>
        <v>71.762611657379509</v>
      </c>
      <c r="E102" s="5">
        <f>INDEX(Postes!$D$7:$D$117,MATCH(C102,Postes!$A$7:$A$117,0))+INDEX(Postes!$G$7:$G$117,MATCH(C102,Postes!$A$7:$A$117,0))-INDEX(Postes!$D$7:$D$117,MATCH(B102,Postes!$A$7:$A$117,0))-INDEX(Postes!$G$7:$G$117,MATCH(B102,Postes!$A$7:$A$117,0))</f>
        <v>-2.0845813219097185</v>
      </c>
      <c r="F102" s="5">
        <f>Parametros!$E$8*Parametros!$E$9</f>
        <v>2205</v>
      </c>
      <c r="G102" s="5">
        <f>Parametros!$E$10/1000*Parametros!$E$11</f>
        <v>1.32389775</v>
      </c>
      <c r="H102" s="5">
        <f t="shared" si="12"/>
        <v>1665.5364811972829</v>
      </c>
      <c r="I102" s="5">
        <f t="shared" si="13"/>
        <v>-2.9041962805593326E-2</v>
      </c>
      <c r="J102" s="5">
        <f t="shared" si="14"/>
        <v>84.251754366980038</v>
      </c>
      <c r="K102" s="5">
        <f t="shared" si="15"/>
        <v>-5.0585355120180288E-2</v>
      </c>
      <c r="L102" s="5">
        <f t="shared" si="16"/>
        <v>-7.4985704910063688E-3</v>
      </c>
      <c r="M102" s="5">
        <f t="shared" si="17"/>
        <v>71.798430875745822</v>
      </c>
      <c r="N102" s="5">
        <f>M102*Parametros!$E$5</f>
        <v>215.39529262723747</v>
      </c>
    </row>
    <row r="103" spans="1:14" ht="21" customHeight="1">
      <c r="A103" s="1" t="s">
        <v>420</v>
      </c>
      <c r="B103" s="1" t="s">
        <v>284</v>
      </c>
      <c r="C103" s="1" t="s">
        <v>285</v>
      </c>
      <c r="D103" s="5">
        <f>SQRT((INDEX(Postes!$B$7:$B$117,MATCH(C103,Postes!$A$7:$A$117,0))-INDEX(Postes!$B$7:$B$117,MATCH(B103,Postes!$A$7:$A$117,0)))^2+(INDEX(Postes!$C$7:$C$117,MATCH(C103,Postes!$A$7:$A$117,0))-INDEX(Postes!$C$7:$C$117,MATCH(B103,Postes!$A$7:$A$117,0)))^2)</f>
        <v>71.762611659079596</v>
      </c>
      <c r="E103" s="5">
        <f>INDEX(Postes!$D$7:$D$117,MATCH(C103,Postes!$A$7:$A$117,0))+INDEX(Postes!$G$7:$G$117,MATCH(C103,Postes!$A$7:$A$117,0))-INDEX(Postes!$D$7:$D$117,MATCH(B103,Postes!$A$7:$A$117,0))-INDEX(Postes!$G$7:$G$117,MATCH(B103,Postes!$A$7:$A$117,0))</f>
        <v>-7.876349070385368</v>
      </c>
      <c r="F103" s="5">
        <f>Parametros!$E$8*Parametros!$E$9</f>
        <v>2205</v>
      </c>
      <c r="G103" s="5">
        <f>Parametros!$E$10/1000*Parametros!$E$11</f>
        <v>1.32389775</v>
      </c>
      <c r="H103" s="5">
        <f t="shared" ref="H103:H134" si="18">F103/G103</f>
        <v>1665.5364811972829</v>
      </c>
      <c r="I103" s="5">
        <f t="shared" ref="I103:I134" si="19">ASINH(E103/(2*H103*SINH(D103/(2*H103))))</f>
        <v>-0.10952799714032063</v>
      </c>
      <c r="J103" s="5">
        <f t="shared" ref="J103:J134" si="20">D103/2-H103*I103</f>
        <v>218.3041807792155</v>
      </c>
      <c r="K103" s="5">
        <f t="shared" ref="K103:K134" si="21">-J103/H103</f>
        <v>-0.13107138945541796</v>
      </c>
      <c r="L103" s="5">
        <f t="shared" ref="L103:L116" si="22">(D103-J103)/H103</f>
        <v>-8.79846048252233E-2</v>
      </c>
      <c r="M103" s="5">
        <f t="shared" ref="M103:M134" si="23">H103*(SINH(L103)-SINH(K103))</f>
        <v>72.199072513808915</v>
      </c>
      <c r="N103" s="5">
        <f>M103*Parametros!$E$5</f>
        <v>216.59721754142674</v>
      </c>
    </row>
    <row r="104" spans="1:14" ht="21" customHeight="1">
      <c r="A104" s="1" t="s">
        <v>421</v>
      </c>
      <c r="B104" s="1" t="s">
        <v>285</v>
      </c>
      <c r="C104" s="1" t="s">
        <v>286</v>
      </c>
      <c r="D104" s="5">
        <f>SQRT((INDEX(Postes!$B$7:$B$117,MATCH(C104,Postes!$A$7:$A$117,0))-INDEX(Postes!$B$7:$B$117,MATCH(B104,Postes!$A$7:$A$117,0)))^2+(INDEX(Postes!$C$7:$C$117,MATCH(C104,Postes!$A$7:$A$117,0))-INDEX(Postes!$C$7:$C$117,MATCH(B104,Postes!$A$7:$A$117,0)))^2)</f>
        <v>71.762611657379509</v>
      </c>
      <c r="E104" s="5">
        <f>INDEX(Postes!$D$7:$D$117,MATCH(C104,Postes!$A$7:$A$117,0))+INDEX(Postes!$G$7:$G$117,MATCH(C104,Postes!$A$7:$A$117,0))-INDEX(Postes!$D$7:$D$117,MATCH(B104,Postes!$A$7:$A$117,0))-INDEX(Postes!$G$7:$G$117,MATCH(B104,Postes!$A$7:$A$117,0))</f>
        <v>11.808546337087501</v>
      </c>
      <c r="F104" s="5">
        <f>Parametros!$E$8*Parametros!$E$9</f>
        <v>2205</v>
      </c>
      <c r="G104" s="5">
        <f>Parametros!$E$10/1000*Parametros!$E$11</f>
        <v>1.32389775</v>
      </c>
      <c r="H104" s="5">
        <f t="shared" si="18"/>
        <v>1665.5364811972829</v>
      </c>
      <c r="I104" s="5">
        <f t="shared" si="19"/>
        <v>0.16380388542728169</v>
      </c>
      <c r="J104" s="5">
        <f t="shared" si="20"/>
        <v>-236.94004111230785</v>
      </c>
      <c r="K104" s="5">
        <f t="shared" si="21"/>
        <v>0.1422604931126947</v>
      </c>
      <c r="L104" s="5">
        <f t="shared" si="22"/>
        <v>0.18534727774186863</v>
      </c>
      <c r="M104" s="5">
        <f t="shared" si="23"/>
        <v>72.733149000484957</v>
      </c>
      <c r="N104" s="5">
        <f>M104*Parametros!$E$5</f>
        <v>218.19944700145487</v>
      </c>
    </row>
    <row r="105" spans="1:14" ht="21" customHeight="1">
      <c r="A105" s="1" t="s">
        <v>422</v>
      </c>
      <c r="B105" s="1" t="s">
        <v>286</v>
      </c>
      <c r="C105" s="1" t="s">
        <v>287</v>
      </c>
      <c r="D105" s="5">
        <f>SQRT((INDEX(Postes!$B$7:$B$117,MATCH(C105,Postes!$A$7:$A$117,0))-INDEX(Postes!$B$7:$B$117,MATCH(B105,Postes!$A$7:$A$117,0)))^2+(INDEX(Postes!$C$7:$C$117,MATCH(C105,Postes!$A$7:$A$117,0))-INDEX(Postes!$C$7:$C$117,MATCH(B105,Postes!$A$7:$A$117,0)))^2)</f>
        <v>71.762611659101765</v>
      </c>
      <c r="E105" s="5">
        <f>INDEX(Postes!$D$7:$D$117,MATCH(C105,Postes!$A$7:$A$117,0))+INDEX(Postes!$G$7:$G$117,MATCH(C105,Postes!$A$7:$A$117,0))-INDEX(Postes!$D$7:$D$117,MATCH(B105,Postes!$A$7:$A$117,0))-INDEX(Postes!$G$7:$G$117,MATCH(B105,Postes!$A$7:$A$117,0))</f>
        <v>-1.6785918091276475</v>
      </c>
      <c r="F105" s="5">
        <f>Parametros!$E$8*Parametros!$E$9</f>
        <v>2205</v>
      </c>
      <c r="G105" s="5">
        <f>Parametros!$E$10/1000*Parametros!$E$11</f>
        <v>1.32389775</v>
      </c>
      <c r="H105" s="5">
        <f t="shared" si="18"/>
        <v>1665.5364811972829</v>
      </c>
      <c r="I105" s="5">
        <f t="shared" si="19"/>
        <v>-2.338695509225959E-2</v>
      </c>
      <c r="J105" s="5">
        <f t="shared" si="20"/>
        <v>74.833132719831795</v>
      </c>
      <c r="K105" s="5">
        <f t="shared" si="21"/>
        <v>-4.4930347407363576E-2</v>
      </c>
      <c r="L105" s="5">
        <f t="shared" si="22"/>
        <v>-1.8435627771556009E-3</v>
      </c>
      <c r="M105" s="5">
        <f t="shared" si="23"/>
        <v>71.787790519283504</v>
      </c>
      <c r="N105" s="5">
        <f>M105*Parametros!$E$5</f>
        <v>215.36337155785051</v>
      </c>
    </row>
    <row r="106" spans="1:14" ht="21" customHeight="1">
      <c r="A106" s="1" t="s">
        <v>423</v>
      </c>
      <c r="B106" s="1" t="s">
        <v>287</v>
      </c>
      <c r="C106" s="1" t="s">
        <v>288</v>
      </c>
      <c r="D106" s="5">
        <f>SQRT((INDEX(Postes!$B$7:$B$117,MATCH(C106,Postes!$A$7:$A$117,0))-INDEX(Postes!$B$7:$B$117,MATCH(B106,Postes!$A$7:$A$117,0)))^2+(INDEX(Postes!$C$7:$C$117,MATCH(C106,Postes!$A$7:$A$117,0))-INDEX(Postes!$C$7:$C$117,MATCH(B106,Postes!$A$7:$A$117,0)))^2)</f>
        <v>45.536313382471739</v>
      </c>
      <c r="E106" s="5">
        <f>INDEX(Postes!$D$7:$D$117,MATCH(C106,Postes!$A$7:$A$117,0))+INDEX(Postes!$G$7:$G$117,MATCH(C106,Postes!$A$7:$A$117,0))-INDEX(Postes!$D$7:$D$117,MATCH(B106,Postes!$A$7:$A$117,0))-INDEX(Postes!$G$7:$G$117,MATCH(B106,Postes!$A$7:$A$117,0))</f>
        <v>4.0532620798659078</v>
      </c>
      <c r="F106" s="5">
        <f>Parametros!$E$8*Parametros!$E$9</f>
        <v>2205</v>
      </c>
      <c r="G106" s="5">
        <f>Parametros!$E$10/1000*Parametros!$E$11</f>
        <v>1.32389775</v>
      </c>
      <c r="H106" s="5">
        <f t="shared" si="18"/>
        <v>1665.5364811972829</v>
      </c>
      <c r="I106" s="5">
        <f t="shared" si="19"/>
        <v>8.8891758029496851E-2</v>
      </c>
      <c r="J106" s="5">
        <f t="shared" si="20"/>
        <v>-125.28430918465264</v>
      </c>
      <c r="K106" s="5">
        <f t="shared" si="21"/>
        <v>7.5221594122388186E-2</v>
      </c>
      <c r="L106" s="5">
        <f t="shared" si="22"/>
        <v>0.10256192193660553</v>
      </c>
      <c r="M106" s="5">
        <f t="shared" si="23"/>
        <v>45.717763914076464</v>
      </c>
      <c r="N106" s="5">
        <f>M106*Parametros!$E$5</f>
        <v>137.15329174222938</v>
      </c>
    </row>
    <row r="107" spans="1:14" ht="21" customHeight="1">
      <c r="A107" s="1" t="s">
        <v>424</v>
      </c>
      <c r="B107" s="1" t="s">
        <v>288</v>
      </c>
      <c r="C107" s="1" t="s">
        <v>289</v>
      </c>
      <c r="D107" s="5">
        <f>SQRT((INDEX(Postes!$B$7:$B$117,MATCH(C107,Postes!$A$7:$A$117,0))-INDEX(Postes!$B$7:$B$117,MATCH(B107,Postes!$A$7:$A$117,0)))^2+(INDEX(Postes!$C$7:$C$117,MATCH(C107,Postes!$A$7:$A$117,0))-INDEX(Postes!$C$7:$C$117,MATCH(B107,Postes!$A$7:$A$117,0)))^2)</f>
        <v>45.536313382471739</v>
      </c>
      <c r="E107" s="5">
        <f>INDEX(Postes!$D$7:$D$117,MATCH(C107,Postes!$A$7:$A$117,0))+INDEX(Postes!$G$7:$G$117,MATCH(C107,Postes!$A$7:$A$117,0))-INDEX(Postes!$D$7:$D$117,MATCH(B107,Postes!$A$7:$A$117,0))-INDEX(Postes!$G$7:$G$117,MATCH(B107,Postes!$A$7:$A$117,0))</f>
        <v>-2.3445481751842632</v>
      </c>
      <c r="F107" s="5">
        <f>Parametros!$E$8*Parametros!$E$9</f>
        <v>2205</v>
      </c>
      <c r="G107" s="5">
        <f>Parametros!$E$10/1000*Parametros!$E$11</f>
        <v>1.32389775</v>
      </c>
      <c r="H107" s="5">
        <f t="shared" si="18"/>
        <v>1665.5364811972829</v>
      </c>
      <c r="I107" s="5">
        <f t="shared" si="19"/>
        <v>-5.1463116539462513E-2</v>
      </c>
      <c r="J107" s="5">
        <f t="shared" si="20"/>
        <v>108.48185472381796</v>
      </c>
      <c r="K107" s="5">
        <f t="shared" si="21"/>
        <v>-6.5133280446571185E-2</v>
      </c>
      <c r="L107" s="5">
        <f t="shared" si="22"/>
        <v>-3.7792952632353848E-2</v>
      </c>
      <c r="M107" s="5">
        <f t="shared" si="23"/>
        <v>45.598047216530119</v>
      </c>
      <c r="N107" s="5">
        <f>M107*Parametros!$E$5</f>
        <v>136.79414164959036</v>
      </c>
    </row>
    <row r="108" spans="1:14" ht="21" customHeight="1">
      <c r="A108" s="1" t="s">
        <v>425</v>
      </c>
      <c r="B108" s="1" t="s">
        <v>289</v>
      </c>
      <c r="C108" s="1" t="s">
        <v>290</v>
      </c>
      <c r="D108" s="5">
        <f>SQRT((INDEX(Postes!$B$7:$B$117,MATCH(C108,Postes!$A$7:$A$117,0))-INDEX(Postes!$B$7:$B$117,MATCH(B108,Postes!$A$7:$A$117,0)))^2+(INDEX(Postes!$C$7:$C$117,MATCH(C108,Postes!$A$7:$A$117,0))-INDEX(Postes!$C$7:$C$117,MATCH(B108,Postes!$A$7:$A$117,0)))^2)</f>
        <v>47.97911935509179</v>
      </c>
      <c r="E108" s="5">
        <f>INDEX(Postes!$D$7:$D$117,MATCH(C108,Postes!$A$7:$A$117,0))+INDEX(Postes!$G$7:$G$117,MATCH(C108,Postes!$A$7:$A$117,0))-INDEX(Postes!$D$7:$D$117,MATCH(B108,Postes!$A$7:$A$117,0))-INDEX(Postes!$G$7:$G$117,MATCH(B108,Postes!$A$7:$A$117,0))</f>
        <v>8.3717504220338927</v>
      </c>
      <c r="F108" s="5">
        <f>Parametros!$E$8*Parametros!$E$9</f>
        <v>2205</v>
      </c>
      <c r="G108" s="5">
        <f>Parametros!$E$10/1000*Parametros!$E$11</f>
        <v>1.32389775</v>
      </c>
      <c r="H108" s="5">
        <f t="shared" si="18"/>
        <v>1665.5364811972829</v>
      </c>
      <c r="I108" s="5">
        <f t="shared" si="19"/>
        <v>0.17360794087386167</v>
      </c>
      <c r="J108" s="5">
        <f t="shared" si="20"/>
        <v>-265.16079927341161</v>
      </c>
      <c r="K108" s="5">
        <f t="shared" si="21"/>
        <v>0.15920443788946542</v>
      </c>
      <c r="L108" s="5">
        <f t="shared" si="22"/>
        <v>0.18801144385825791</v>
      </c>
      <c r="M108" s="5">
        <f t="shared" si="23"/>
        <v>48.705659784065361</v>
      </c>
      <c r="N108" s="5">
        <f>M108*Parametros!$E$5</f>
        <v>146.1169793521961</v>
      </c>
    </row>
    <row r="109" spans="1:14" ht="21" customHeight="1">
      <c r="A109" s="1" t="s">
        <v>426</v>
      </c>
      <c r="B109" s="1" t="s">
        <v>290</v>
      </c>
      <c r="C109" s="1" t="s">
        <v>291</v>
      </c>
      <c r="D109" s="5">
        <f>SQRT((INDEX(Postes!$B$7:$B$117,MATCH(C109,Postes!$A$7:$A$117,0))-INDEX(Postes!$B$7:$B$117,MATCH(B109,Postes!$A$7:$A$117,0)))^2+(INDEX(Postes!$C$7:$C$117,MATCH(C109,Postes!$A$7:$A$117,0))-INDEX(Postes!$C$7:$C$117,MATCH(B109,Postes!$A$7:$A$117,0)))^2)</f>
        <v>47.979119354327771</v>
      </c>
      <c r="E109" s="5">
        <f>INDEX(Postes!$D$7:$D$117,MATCH(C109,Postes!$A$7:$A$117,0))+INDEX(Postes!$G$7:$G$117,MATCH(C109,Postes!$A$7:$A$117,0))-INDEX(Postes!$D$7:$D$117,MATCH(B109,Postes!$A$7:$A$117,0))-INDEX(Postes!$G$7:$G$117,MATCH(B109,Postes!$A$7:$A$117,0))</f>
        <v>0.9437602203051032</v>
      </c>
      <c r="F109" s="5">
        <f>Parametros!$E$8*Parametros!$E$9</f>
        <v>2205</v>
      </c>
      <c r="G109" s="5">
        <f>Parametros!$E$10/1000*Parametros!$E$11</f>
        <v>1.32389775</v>
      </c>
      <c r="H109" s="5">
        <f t="shared" si="18"/>
        <v>1665.5364811972829</v>
      </c>
      <c r="I109" s="5">
        <f t="shared" si="19"/>
        <v>1.9668279844629599E-2</v>
      </c>
      <c r="J109" s="5">
        <f t="shared" si="20"/>
        <v>-8.7686779264639405</v>
      </c>
      <c r="K109" s="5">
        <f t="shared" si="21"/>
        <v>5.2647768604627103E-3</v>
      </c>
      <c r="L109" s="5">
        <f t="shared" si="22"/>
        <v>3.4071782828796492E-2</v>
      </c>
      <c r="M109" s="5">
        <f t="shared" si="23"/>
        <v>47.990059107615302</v>
      </c>
      <c r="N109" s="5">
        <f>M109*Parametros!$E$5</f>
        <v>143.9701773228459</v>
      </c>
    </row>
    <row r="110" spans="1:14" ht="21" customHeight="1">
      <c r="A110" s="1" t="s">
        <v>427</v>
      </c>
      <c r="B110" s="1" t="s">
        <v>291</v>
      </c>
      <c r="C110" s="1" t="s">
        <v>292</v>
      </c>
      <c r="D110" s="5">
        <f>SQRT((INDEX(Postes!$B$7:$B$117,MATCH(C110,Postes!$A$7:$A$117,0))-INDEX(Postes!$B$7:$B$117,MATCH(B110,Postes!$A$7:$A$117,0)))^2+(INDEX(Postes!$C$7:$C$117,MATCH(C110,Postes!$A$7:$A$117,0))-INDEX(Postes!$C$7:$C$117,MATCH(B110,Postes!$A$7:$A$117,0)))^2)</f>
        <v>77.614931960992266</v>
      </c>
      <c r="E110" s="5">
        <f>INDEX(Postes!$D$7:$D$117,MATCH(C110,Postes!$A$7:$A$117,0))+INDEX(Postes!$G$7:$G$117,MATCH(C110,Postes!$A$7:$A$117,0))-INDEX(Postes!$D$7:$D$117,MATCH(B110,Postes!$A$7:$A$117,0))-INDEX(Postes!$G$7:$G$117,MATCH(B110,Postes!$A$7:$A$117,0))</f>
        <v>-7.7926952553408224</v>
      </c>
      <c r="F110" s="5">
        <f>Parametros!$E$8*Parametros!$E$9</f>
        <v>2205</v>
      </c>
      <c r="G110" s="5">
        <f>Parametros!$E$10/1000*Parametros!$E$11</f>
        <v>1.32389775</v>
      </c>
      <c r="H110" s="5">
        <f t="shared" si="18"/>
        <v>1665.5364811972829</v>
      </c>
      <c r="I110" s="5">
        <f t="shared" si="19"/>
        <v>-0.10022504811547533</v>
      </c>
      <c r="J110" s="5">
        <f t="shared" si="20"/>
        <v>205.7359399465733</v>
      </c>
      <c r="K110" s="5">
        <f t="shared" si="21"/>
        <v>-0.12352532788635079</v>
      </c>
      <c r="L110" s="5">
        <f t="shared" si="22"/>
        <v>-7.6924768344599881E-2</v>
      </c>
      <c r="M110" s="5">
        <f t="shared" si="23"/>
        <v>78.012140112437095</v>
      </c>
      <c r="N110" s="5">
        <f>M110*Parametros!$E$5</f>
        <v>234.03642033731128</v>
      </c>
    </row>
    <row r="111" spans="1:14" ht="21" customHeight="1">
      <c r="A111" s="1" t="s">
        <v>428</v>
      </c>
      <c r="B111" s="1" t="s">
        <v>292</v>
      </c>
      <c r="C111" s="1" t="s">
        <v>293</v>
      </c>
      <c r="D111" s="5">
        <f>SQRT((INDEX(Postes!$B$7:$B$117,MATCH(C111,Postes!$A$7:$A$117,0))-INDEX(Postes!$B$7:$B$117,MATCH(B111,Postes!$A$7:$A$117,0)))^2+(INDEX(Postes!$C$7:$C$117,MATCH(C111,Postes!$A$7:$A$117,0))-INDEX(Postes!$C$7:$C$117,MATCH(B111,Postes!$A$7:$A$117,0)))^2)</f>
        <v>77.614931962287059</v>
      </c>
      <c r="E111" s="5">
        <f>INDEX(Postes!$D$7:$D$117,MATCH(C111,Postes!$A$7:$A$117,0))+INDEX(Postes!$G$7:$G$117,MATCH(C111,Postes!$A$7:$A$117,0))-INDEX(Postes!$D$7:$D$117,MATCH(B111,Postes!$A$7:$A$117,0))-INDEX(Postes!$G$7:$G$117,MATCH(B111,Postes!$A$7:$A$117,0))</f>
        <v>-5.1437232481031057</v>
      </c>
      <c r="F111" s="5">
        <f>Parametros!$E$8*Parametros!$E$9</f>
        <v>2205</v>
      </c>
      <c r="G111" s="5">
        <f>Parametros!$E$10/1000*Parametros!$E$11</f>
        <v>1.32389775</v>
      </c>
      <c r="H111" s="5">
        <f t="shared" si="18"/>
        <v>1665.5364811972829</v>
      </c>
      <c r="I111" s="5">
        <f t="shared" si="19"/>
        <v>-6.6217942080293232E-2</v>
      </c>
      <c r="J111" s="5">
        <f t="shared" si="20"/>
        <v>149.0958642256806</v>
      </c>
      <c r="K111" s="5">
        <f t="shared" si="21"/>
        <v>-8.9518221851557375E-2</v>
      </c>
      <c r="L111" s="5">
        <f t="shared" si="22"/>
        <v>-4.2917662309029075E-2</v>
      </c>
      <c r="M111" s="5">
        <f t="shared" si="23"/>
        <v>77.79219623223166</v>
      </c>
      <c r="N111" s="5">
        <f>M111*Parametros!$E$5</f>
        <v>233.37658869669497</v>
      </c>
    </row>
    <row r="112" spans="1:14" ht="21" customHeight="1">
      <c r="A112" s="1" t="s">
        <v>429</v>
      </c>
      <c r="B112" s="1" t="s">
        <v>293</v>
      </c>
      <c r="C112" s="1" t="s">
        <v>294</v>
      </c>
      <c r="D112" s="5">
        <f>SQRT((INDEX(Postes!$B$7:$B$117,MATCH(C112,Postes!$A$7:$A$117,0))-INDEX(Postes!$B$7:$B$117,MATCH(B112,Postes!$A$7:$A$117,0)))^2+(INDEX(Postes!$C$7:$C$117,MATCH(C112,Postes!$A$7:$A$117,0))-INDEX(Postes!$C$7:$C$117,MATCH(B112,Postes!$A$7:$A$117,0)))^2)</f>
        <v>58.600186147071753</v>
      </c>
      <c r="E112" s="5">
        <f>INDEX(Postes!$D$7:$D$117,MATCH(C112,Postes!$A$7:$A$117,0))+INDEX(Postes!$G$7:$G$117,MATCH(C112,Postes!$A$7:$A$117,0))-INDEX(Postes!$D$7:$D$117,MATCH(B112,Postes!$A$7:$A$117,0))-INDEX(Postes!$G$7:$G$117,MATCH(B112,Postes!$A$7:$A$117,0))</f>
        <v>0.26301027916033526</v>
      </c>
      <c r="F112" s="5">
        <f>Parametros!$E$8*Parametros!$E$9</f>
        <v>2205</v>
      </c>
      <c r="G112" s="5">
        <f>Parametros!$E$10/1000*Parametros!$E$11</f>
        <v>1.32389775</v>
      </c>
      <c r="H112" s="5">
        <f t="shared" si="18"/>
        <v>1665.5364811972829</v>
      </c>
      <c r="I112" s="5">
        <f t="shared" si="19"/>
        <v>4.487969204363897E-3</v>
      </c>
      <c r="J112" s="5">
        <f t="shared" si="20"/>
        <v>21.82521663717786</v>
      </c>
      <c r="K112" s="5">
        <f t="shared" si="21"/>
        <v>-1.3104015963366137E-2</v>
      </c>
      <c r="L112" s="5">
        <f t="shared" si="22"/>
        <v>2.2079954372093934E-2</v>
      </c>
      <c r="M112" s="5">
        <f t="shared" si="23"/>
        <v>58.603798961372163</v>
      </c>
      <c r="N112" s="5">
        <f>M112*Parametros!$E$5</f>
        <v>175.8113968841165</v>
      </c>
    </row>
    <row r="113" spans="1:14" ht="21" customHeight="1">
      <c r="A113" s="1" t="s">
        <v>430</v>
      </c>
      <c r="B113" s="1" t="s">
        <v>294</v>
      </c>
      <c r="C113" s="1" t="s">
        <v>295</v>
      </c>
      <c r="D113" s="5">
        <f>SQRT((INDEX(Postes!$B$7:$B$117,MATCH(C113,Postes!$A$7:$A$117,0))-INDEX(Postes!$B$7:$B$117,MATCH(B113,Postes!$A$7:$A$117,0)))^2+(INDEX(Postes!$C$7:$C$117,MATCH(C113,Postes!$A$7:$A$117,0))-INDEX(Postes!$C$7:$C$117,MATCH(B113,Postes!$A$7:$A$117,0)))^2)</f>
        <v>58.600186147071753</v>
      </c>
      <c r="E113" s="5">
        <f>INDEX(Postes!$D$7:$D$117,MATCH(C113,Postes!$A$7:$A$117,0))+INDEX(Postes!$G$7:$G$117,MATCH(C113,Postes!$A$7:$A$117,0))-INDEX(Postes!$D$7:$D$117,MATCH(B113,Postes!$A$7:$A$117,0))-INDEX(Postes!$G$7:$G$117,MATCH(B113,Postes!$A$7:$A$117,0))</f>
        <v>4.7979048666351449</v>
      </c>
      <c r="F113" s="5">
        <f>Parametros!$E$8*Parametros!$E$9</f>
        <v>2205</v>
      </c>
      <c r="G113" s="5">
        <f>Parametros!$E$10/1000*Parametros!$E$11</f>
        <v>1.32389775</v>
      </c>
      <c r="H113" s="5">
        <f t="shared" si="18"/>
        <v>1665.5364811972829</v>
      </c>
      <c r="I113" s="5">
        <f t="shared" si="19"/>
        <v>8.1779839681656807E-2</v>
      </c>
      <c r="J113" s="5">
        <f t="shared" si="20"/>
        <v>-106.90721334272872</v>
      </c>
      <c r="K113" s="5">
        <f t="shared" si="21"/>
        <v>6.4187854513926765E-2</v>
      </c>
      <c r="L113" s="5">
        <f t="shared" si="22"/>
        <v>9.937182484938685E-2</v>
      </c>
      <c r="M113" s="5">
        <f t="shared" si="23"/>
        <v>58.799285449801751</v>
      </c>
      <c r="N113" s="5">
        <f>M113*Parametros!$E$5</f>
        <v>176.39785634940526</v>
      </c>
    </row>
    <row r="114" spans="1:14" ht="21" customHeight="1">
      <c r="A114" s="1" t="s">
        <v>431</v>
      </c>
      <c r="B114" s="1" t="s">
        <v>295</v>
      </c>
      <c r="C114" s="1" t="s">
        <v>296</v>
      </c>
      <c r="D114" s="5">
        <f>SQRT((INDEX(Postes!$B$7:$B$117,MATCH(C114,Postes!$A$7:$A$117,0))-INDEX(Postes!$B$7:$B$117,MATCH(B114,Postes!$A$7:$A$117,0)))^2+(INDEX(Postes!$C$7:$C$117,MATCH(C114,Postes!$A$7:$A$117,0))-INDEX(Postes!$C$7:$C$117,MATCH(B114,Postes!$A$7:$A$117,0)))^2)</f>
        <v>43.960363567848439</v>
      </c>
      <c r="E114" s="5">
        <f>INDEX(Postes!$D$7:$D$117,MATCH(C114,Postes!$A$7:$A$117,0))+INDEX(Postes!$G$7:$G$117,MATCH(C114,Postes!$A$7:$A$117,0))-INDEX(Postes!$D$7:$D$117,MATCH(B114,Postes!$A$7:$A$117,0))-INDEX(Postes!$G$7:$G$117,MATCH(B114,Postes!$A$7:$A$117,0))</f>
        <v>-4.0056366491208788</v>
      </c>
      <c r="F114" s="5">
        <f>Parametros!$E$8*Parametros!$E$9</f>
        <v>2205</v>
      </c>
      <c r="G114" s="5">
        <f>Parametros!$E$10/1000*Parametros!$E$11</f>
        <v>1.32389775</v>
      </c>
      <c r="H114" s="5">
        <f t="shared" si="18"/>
        <v>1665.5364811972829</v>
      </c>
      <c r="I114" s="5">
        <f t="shared" si="19"/>
        <v>-9.0991024504061893E-2</v>
      </c>
      <c r="J114" s="5">
        <f t="shared" si="20"/>
        <v>173.52905255695521</v>
      </c>
      <c r="K114" s="5">
        <f t="shared" si="21"/>
        <v>-0.10418808264842845</v>
      </c>
      <c r="L114" s="5">
        <f t="shared" si="22"/>
        <v>-7.7793966359695335E-2</v>
      </c>
      <c r="M114" s="5">
        <f t="shared" si="23"/>
        <v>44.143752479273417</v>
      </c>
      <c r="N114" s="5">
        <f>M114*Parametros!$E$5</f>
        <v>132.43125743782025</v>
      </c>
    </row>
    <row r="115" spans="1:14" ht="21" customHeight="1">
      <c r="A115" s="1" t="s">
        <v>432</v>
      </c>
      <c r="B115" s="1" t="s">
        <v>296</v>
      </c>
      <c r="C115" s="1" t="s">
        <v>297</v>
      </c>
      <c r="D115" s="5">
        <f>SQRT((INDEX(Postes!$B$7:$B$117,MATCH(C115,Postes!$A$7:$A$117,0))-INDEX(Postes!$B$7:$B$117,MATCH(B115,Postes!$A$7:$A$117,0)))^2+(INDEX(Postes!$C$7:$C$117,MATCH(C115,Postes!$A$7:$A$117,0))-INDEX(Postes!$C$7:$C$117,MATCH(B115,Postes!$A$7:$A$117,0)))^2)</f>
        <v>38.097065348248307</v>
      </c>
      <c r="E115" s="5">
        <f>INDEX(Postes!$D$7:$D$117,MATCH(C115,Postes!$A$7:$A$117,0))+INDEX(Postes!$G$7:$G$117,MATCH(C115,Postes!$A$7:$A$117,0))-INDEX(Postes!$D$7:$D$117,MATCH(B115,Postes!$A$7:$A$117,0))-INDEX(Postes!$G$7:$G$117,MATCH(B115,Postes!$A$7:$A$117,0))</f>
        <v>0.39947695460150534</v>
      </c>
      <c r="F115" s="5">
        <f>Parametros!$E$8*Parametros!$E$9</f>
        <v>2205</v>
      </c>
      <c r="G115" s="5">
        <f>Parametros!$E$10/1000*Parametros!$E$11</f>
        <v>1.32389775</v>
      </c>
      <c r="H115" s="5">
        <f t="shared" si="18"/>
        <v>1665.5364811972829</v>
      </c>
      <c r="I115" s="5">
        <f t="shared" si="19"/>
        <v>1.0485346382537827E-2</v>
      </c>
      <c r="J115" s="5">
        <f t="shared" si="20"/>
        <v>1.5848057560174418</v>
      </c>
      <c r="K115" s="5">
        <f t="shared" si="21"/>
        <v>-9.5152869595398638E-4</v>
      </c>
      <c r="L115" s="5">
        <f t="shared" si="22"/>
        <v>2.1922221461029637E-2</v>
      </c>
      <c r="M115" s="5">
        <f t="shared" si="23"/>
        <v>38.099990191044704</v>
      </c>
      <c r="N115" s="5">
        <f>M115*Parametros!$E$5</f>
        <v>114.29997057313412</v>
      </c>
    </row>
    <row r="116" spans="1:14" ht="21" customHeight="1">
      <c r="A116" s="1" t="s">
        <v>433</v>
      </c>
      <c r="B116" s="1" t="s">
        <v>297</v>
      </c>
      <c r="C116" s="1" t="s">
        <v>298</v>
      </c>
      <c r="D116" s="5">
        <f>SQRT((INDEX(Postes!$B$7:$B$117,MATCH(C116,Postes!$A$7:$A$117,0))-INDEX(Postes!$B$7:$B$117,MATCH(B116,Postes!$A$7:$A$117,0)))^2+(INDEX(Postes!$C$7:$C$117,MATCH(C116,Postes!$A$7:$A$117,0))-INDEX(Postes!$C$7:$C$117,MATCH(B116,Postes!$A$7:$A$117,0)))^2)</f>
        <v>19.701946637502019</v>
      </c>
      <c r="E116" s="5">
        <f>INDEX(Postes!$D$7:$D$117,MATCH(C116,Postes!$A$7:$A$117,0))+INDEX(Postes!$G$7:$G$117,MATCH(C116,Postes!$A$7:$A$117,0))-INDEX(Postes!$D$7:$D$117,MATCH(B116,Postes!$A$7:$A$117,0))-INDEX(Postes!$G$7:$G$117,MATCH(B116,Postes!$A$7:$A$117,0))</f>
        <v>0.96862761662750962</v>
      </c>
      <c r="F116" s="5">
        <f>Parametros!$E$8*Parametros!$E$9</f>
        <v>2205</v>
      </c>
      <c r="G116" s="5">
        <f>Parametros!$E$10/1000*Parametros!$E$11</f>
        <v>1.32389775</v>
      </c>
      <c r="H116" s="5">
        <f t="shared" si="18"/>
        <v>1665.5364811972829</v>
      </c>
      <c r="I116" s="5">
        <f t="shared" si="19"/>
        <v>4.9143985884062061E-2</v>
      </c>
      <c r="J116" s="5">
        <f t="shared" si="20"/>
        <v>-72.000128002598672</v>
      </c>
      <c r="K116" s="5">
        <f t="shared" si="21"/>
        <v>4.3229391139388833E-2</v>
      </c>
      <c r="L116" s="5">
        <f t="shared" si="22"/>
        <v>5.505858062873531E-2</v>
      </c>
      <c r="M116" s="5">
        <f t="shared" si="23"/>
        <v>19.725857829916137</v>
      </c>
      <c r="N116" s="5">
        <f>M116*Parametros!$E$5</f>
        <v>59.177573489748411</v>
      </c>
    </row>
    <row r="117" spans="1:14" ht="2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2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2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2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2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2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2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2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2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2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2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2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2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2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2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2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pageMargins left="0.39370078740157477" right="0.39370078740157477" top="0.55118110236220463" bottom="0.55118110236220463" header="0.3" footer="0.3"/>
  <pageSetup paperSize="8" scale="96" fitToHeight="0" orientation="landscape" r:id="rId1"/>
  <headerFooter>
    <oddFooter>&amp;CInstalaciones Eléctricas II | Aquiles Taylor Ramos Yapo | 227368&amp;RHoja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9BD5"/>
    <pageSetUpPr fitToPage="1"/>
  </sheetPr>
  <dimension ref="A1:F55"/>
  <sheetViews>
    <sheetView showGridLines="0" zoomScale="85" zoomScaleNormal="85" workbookViewId="0"/>
  </sheetViews>
  <sheetFormatPr baseColWidth="10" defaultColWidth="9" defaultRowHeight="14.25"/>
  <cols>
    <col min="1" max="1" width="10" customWidth="1"/>
    <col min="2" max="2" width="47" customWidth="1"/>
    <col min="3" max="3" width="15" customWidth="1"/>
    <col min="4" max="4" width="3" customWidth="1"/>
    <col min="5" max="5" width="17" customWidth="1"/>
    <col min="6" max="6" width="58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1" customHeight="1">
      <c r="A2" s="2" t="s">
        <v>462</v>
      </c>
      <c r="B2" s="2"/>
      <c r="C2" s="2"/>
      <c r="D2" s="2"/>
      <c r="E2" s="2"/>
      <c r="F2" s="2" t="s">
        <v>463</v>
      </c>
    </row>
    <row r="3" spans="1:6" ht="21" customHeight="1">
      <c r="A3" s="1"/>
      <c r="B3" s="1"/>
      <c r="C3" s="1"/>
      <c r="D3" s="1"/>
      <c r="E3" s="1"/>
      <c r="F3" s="1"/>
    </row>
    <row r="4" spans="1:6" ht="21" customHeight="1">
      <c r="A4" s="3"/>
      <c r="B4" s="3"/>
      <c r="C4" s="3"/>
      <c r="D4" s="3"/>
      <c r="E4" s="3"/>
      <c r="F4" s="3"/>
    </row>
    <row r="5" spans="1:6" ht="21" customHeight="1">
      <c r="A5" s="1" t="s">
        <v>464</v>
      </c>
      <c r="B5" s="1" t="s">
        <v>465</v>
      </c>
      <c r="C5" s="1" t="s">
        <v>8</v>
      </c>
      <c r="D5" s="1"/>
      <c r="E5" s="10">
        <v>3</v>
      </c>
      <c r="F5" s="1" t="s">
        <v>466</v>
      </c>
    </row>
    <row r="6" spans="1:6" ht="21" customHeight="1">
      <c r="A6" s="1" t="s">
        <v>467</v>
      </c>
      <c r="B6" s="1" t="s">
        <v>468</v>
      </c>
      <c r="C6" s="1" t="s">
        <v>20</v>
      </c>
      <c r="D6" s="1"/>
      <c r="E6" s="10">
        <v>2</v>
      </c>
      <c r="F6" s="1" t="s">
        <v>469</v>
      </c>
    </row>
    <row r="7" spans="1:6" ht="21" customHeight="1">
      <c r="A7" s="1" t="s">
        <v>470</v>
      </c>
      <c r="B7" s="1" t="s">
        <v>471</v>
      </c>
      <c r="C7" s="1" t="s">
        <v>472</v>
      </c>
      <c r="D7" s="1"/>
      <c r="E7" s="11">
        <v>0.03</v>
      </c>
      <c r="F7" s="1" t="s">
        <v>473</v>
      </c>
    </row>
    <row r="8" spans="1:6" ht="21" customHeight="1">
      <c r="A8" s="1" t="s">
        <v>474</v>
      </c>
      <c r="B8" s="1" t="s">
        <v>475</v>
      </c>
      <c r="C8" s="1" t="s">
        <v>476</v>
      </c>
      <c r="D8" s="1"/>
      <c r="E8" s="10">
        <v>14700</v>
      </c>
      <c r="F8" s="1" t="s">
        <v>477</v>
      </c>
    </row>
    <row r="9" spans="1:6" ht="21" customHeight="1">
      <c r="A9" s="1" t="s">
        <v>478</v>
      </c>
      <c r="B9" s="1" t="s">
        <v>479</v>
      </c>
      <c r="C9" s="1" t="s">
        <v>472</v>
      </c>
      <c r="D9" s="1"/>
      <c r="E9" s="11">
        <v>0.15</v>
      </c>
      <c r="F9" s="1" t="s">
        <v>480</v>
      </c>
    </row>
    <row r="10" spans="1:6" ht="21" customHeight="1">
      <c r="A10" s="1" t="s">
        <v>20</v>
      </c>
      <c r="B10" s="1" t="s">
        <v>481</v>
      </c>
      <c r="C10" s="1" t="s">
        <v>482</v>
      </c>
      <c r="D10" s="1"/>
      <c r="E10" s="10">
        <v>135</v>
      </c>
      <c r="F10" s="1" t="s">
        <v>483</v>
      </c>
    </row>
    <row r="11" spans="1:6" ht="21" customHeight="1">
      <c r="A11" s="1" t="s">
        <v>484</v>
      </c>
      <c r="B11" s="1" t="s">
        <v>485</v>
      </c>
      <c r="C11" s="1" t="s">
        <v>486</v>
      </c>
      <c r="D11" s="1"/>
      <c r="E11" s="10">
        <v>9.8066499999999994</v>
      </c>
      <c r="F11" s="1" t="s">
        <v>487</v>
      </c>
    </row>
    <row r="12" spans="1:6" ht="21" customHeight="1">
      <c r="A12" s="1" t="s">
        <v>488</v>
      </c>
      <c r="B12" s="1" t="s">
        <v>489</v>
      </c>
      <c r="C12" s="1" t="s">
        <v>490</v>
      </c>
      <c r="D12" s="1"/>
      <c r="E12" s="10">
        <v>600</v>
      </c>
      <c r="F12" s="1" t="s">
        <v>491</v>
      </c>
    </row>
    <row r="13" spans="1:6" ht="21" customHeight="1">
      <c r="A13" s="1" t="s">
        <v>492</v>
      </c>
      <c r="B13" s="1" t="s">
        <v>493</v>
      </c>
      <c r="C13" s="1" t="s">
        <v>54</v>
      </c>
      <c r="D13" s="1"/>
      <c r="E13" s="10">
        <v>2</v>
      </c>
      <c r="F13" s="1" t="s">
        <v>494</v>
      </c>
    </row>
    <row r="14" spans="1:6" ht="21" customHeight="1">
      <c r="A14" s="1" t="s">
        <v>495</v>
      </c>
      <c r="B14" s="1" t="s">
        <v>496</v>
      </c>
      <c r="C14" s="1" t="s">
        <v>54</v>
      </c>
      <c r="D14" s="1"/>
      <c r="E14" s="10">
        <v>0.65</v>
      </c>
      <c r="F14" s="1" t="s">
        <v>494</v>
      </c>
    </row>
    <row r="15" spans="1:6" ht="21" customHeight="1">
      <c r="A15" s="1" t="s">
        <v>497</v>
      </c>
      <c r="B15" s="1" t="s">
        <v>498</v>
      </c>
      <c r="C15" s="1" t="s">
        <v>20</v>
      </c>
      <c r="D15" s="1"/>
      <c r="E15" s="10">
        <v>0.15</v>
      </c>
      <c r="F15" s="1" t="s">
        <v>499</v>
      </c>
    </row>
    <row r="16" spans="1:6" ht="21" customHeight="1">
      <c r="A16" s="1" t="s">
        <v>500</v>
      </c>
      <c r="B16" s="1" t="s">
        <v>60</v>
      </c>
      <c r="C16" s="1" t="s">
        <v>61</v>
      </c>
      <c r="D16" s="1"/>
      <c r="E16" s="10">
        <v>60</v>
      </c>
      <c r="F16" s="1" t="s">
        <v>501</v>
      </c>
    </row>
    <row r="17" spans="1:6" ht="21" customHeight="1">
      <c r="A17" s="1" t="s">
        <v>502</v>
      </c>
      <c r="B17" s="1" t="s">
        <v>503</v>
      </c>
      <c r="C17" s="1" t="s">
        <v>54</v>
      </c>
      <c r="D17" s="1"/>
      <c r="E17" s="10">
        <v>0.9</v>
      </c>
      <c r="F17" s="1" t="s">
        <v>494</v>
      </c>
    </row>
    <row r="18" spans="1:6" ht="21" customHeight="1">
      <c r="A18" s="1" t="s">
        <v>504</v>
      </c>
      <c r="B18" s="1" t="s">
        <v>505</v>
      </c>
      <c r="C18" s="1" t="s">
        <v>506</v>
      </c>
      <c r="D18" s="1"/>
      <c r="E18" s="10">
        <v>45</v>
      </c>
      <c r="F18" s="1" t="s">
        <v>507</v>
      </c>
    </row>
    <row r="19" spans="1:6" ht="21" customHeight="1">
      <c r="A19" s="1" t="s">
        <v>508</v>
      </c>
      <c r="B19" s="1" t="s">
        <v>509</v>
      </c>
      <c r="C19" s="1" t="s">
        <v>20</v>
      </c>
      <c r="D19" s="1"/>
      <c r="E19" s="10">
        <v>1.2</v>
      </c>
      <c r="F19" s="1" t="s">
        <v>510</v>
      </c>
    </row>
    <row r="20" spans="1:6" ht="21" customHeight="1">
      <c r="A20" s="1" t="s">
        <v>511</v>
      </c>
      <c r="B20" s="1" t="s">
        <v>512</v>
      </c>
      <c r="C20" s="1" t="s">
        <v>20</v>
      </c>
      <c r="D20" s="1"/>
      <c r="E20" s="10">
        <v>1.2</v>
      </c>
      <c r="F20" s="1" t="s">
        <v>510</v>
      </c>
    </row>
    <row r="21" spans="1:6" ht="21" customHeight="1">
      <c r="A21" s="1" t="s">
        <v>513</v>
      </c>
      <c r="B21" s="1" t="s">
        <v>514</v>
      </c>
      <c r="C21" s="1" t="s">
        <v>20</v>
      </c>
      <c r="D21" s="1"/>
      <c r="E21" s="10">
        <v>2.4</v>
      </c>
      <c r="F21" s="1" t="s">
        <v>510</v>
      </c>
    </row>
    <row r="22" spans="1:6" ht="21" customHeight="1">
      <c r="A22" s="1" t="s">
        <v>515</v>
      </c>
      <c r="B22" s="1" t="s">
        <v>516</v>
      </c>
      <c r="C22" s="1" t="s">
        <v>517</v>
      </c>
      <c r="D22" s="1"/>
      <c r="E22" s="10">
        <v>0.67100000000000004</v>
      </c>
      <c r="F22" s="1" t="s">
        <v>518</v>
      </c>
    </row>
    <row r="23" spans="1:6" ht="21" customHeight="1">
      <c r="A23" s="1" t="s">
        <v>519</v>
      </c>
      <c r="B23" s="1" t="s">
        <v>520</v>
      </c>
      <c r="C23" s="1" t="s">
        <v>521</v>
      </c>
      <c r="D23" s="1"/>
      <c r="E23" s="10">
        <v>3.5999999999999999E-3</v>
      </c>
      <c r="F23" s="1" t="s">
        <v>522</v>
      </c>
    </row>
    <row r="24" spans="1:6" ht="21" customHeight="1">
      <c r="A24" s="1" t="s">
        <v>523</v>
      </c>
      <c r="B24" s="1" t="s">
        <v>524</v>
      </c>
      <c r="C24" s="1" t="s">
        <v>525</v>
      </c>
      <c r="D24" s="1"/>
      <c r="E24" s="10">
        <v>75</v>
      </c>
      <c r="F24" s="1" t="s">
        <v>526</v>
      </c>
    </row>
    <row r="25" spans="1:6" ht="21" customHeight="1">
      <c r="A25" s="1" t="s">
        <v>527</v>
      </c>
      <c r="B25" s="1" t="s">
        <v>528</v>
      </c>
      <c r="C25" s="1" t="s">
        <v>20</v>
      </c>
      <c r="D25" s="1"/>
      <c r="E25" s="10">
        <v>8.9999999999999993E-3</v>
      </c>
      <c r="F25" s="1" t="s">
        <v>529</v>
      </c>
    </row>
    <row r="26" spans="1:6" ht="21" customHeight="1">
      <c r="A26" s="1" t="s">
        <v>530</v>
      </c>
      <c r="B26" s="1" t="s">
        <v>531</v>
      </c>
      <c r="C26" s="1" t="s">
        <v>532</v>
      </c>
      <c r="D26" s="1"/>
      <c r="E26" s="10">
        <v>60</v>
      </c>
      <c r="F26" s="1" t="s">
        <v>533</v>
      </c>
    </row>
    <row r="27" spans="1:6" ht="21" customHeight="1">
      <c r="A27" s="1" t="s">
        <v>534</v>
      </c>
      <c r="B27" s="1" t="s">
        <v>535</v>
      </c>
      <c r="C27" s="1" t="s">
        <v>132</v>
      </c>
      <c r="D27" s="1"/>
      <c r="E27" s="10">
        <v>10</v>
      </c>
      <c r="F27" s="1" t="s">
        <v>536</v>
      </c>
    </row>
    <row r="28" spans="1:6" ht="21" customHeight="1">
      <c r="A28" s="1" t="s">
        <v>537</v>
      </c>
      <c r="B28" s="1" t="s">
        <v>538</v>
      </c>
      <c r="C28" s="1" t="s">
        <v>104</v>
      </c>
      <c r="D28" s="1"/>
      <c r="E28" s="10">
        <v>1.05</v>
      </c>
      <c r="F28" s="1" t="s">
        <v>539</v>
      </c>
    </row>
    <row r="29" spans="1:6" ht="21" customHeight="1">
      <c r="A29" s="1" t="s">
        <v>540</v>
      </c>
      <c r="B29" s="1" t="s">
        <v>541</v>
      </c>
      <c r="C29" s="1" t="s">
        <v>35</v>
      </c>
      <c r="D29" s="1"/>
      <c r="E29" s="10">
        <v>380</v>
      </c>
      <c r="F29" s="1" t="s">
        <v>542</v>
      </c>
    </row>
    <row r="30" spans="1:6" ht="21" customHeight="1">
      <c r="A30" s="1" t="s">
        <v>543</v>
      </c>
      <c r="B30" s="1" t="s">
        <v>544</v>
      </c>
      <c r="C30" s="1" t="s">
        <v>16</v>
      </c>
      <c r="D30" s="1"/>
      <c r="E30" s="10">
        <v>250</v>
      </c>
      <c r="F30" s="1" t="s">
        <v>545</v>
      </c>
    </row>
    <row r="31" spans="1:6" ht="21" customHeight="1">
      <c r="A31" s="1" t="s">
        <v>546</v>
      </c>
      <c r="B31" s="1" t="s">
        <v>547</v>
      </c>
      <c r="C31" s="1" t="s">
        <v>104</v>
      </c>
      <c r="D31" s="1"/>
      <c r="E31" s="11">
        <v>0.06</v>
      </c>
      <c r="F31" s="1" t="s">
        <v>548</v>
      </c>
    </row>
    <row r="32" spans="1:6" ht="21" customHeight="1">
      <c r="A32" s="1" t="s">
        <v>549</v>
      </c>
      <c r="B32" s="1" t="s">
        <v>550</v>
      </c>
      <c r="C32" s="1" t="s">
        <v>12</v>
      </c>
      <c r="D32" s="1"/>
      <c r="E32" s="10">
        <v>3.1</v>
      </c>
      <c r="F32" s="1" t="s">
        <v>548</v>
      </c>
    </row>
    <row r="33" spans="1:6" ht="21" customHeight="1">
      <c r="A33" s="1" t="s">
        <v>551</v>
      </c>
      <c r="B33" s="1" t="s">
        <v>552</v>
      </c>
      <c r="C33" s="1" t="s">
        <v>12</v>
      </c>
      <c r="D33" s="1"/>
      <c r="E33" s="10">
        <v>0.45</v>
      </c>
      <c r="F33" s="1" t="s">
        <v>548</v>
      </c>
    </row>
    <row r="34" spans="1:6" ht="21" customHeight="1">
      <c r="A34" s="1" t="s">
        <v>553</v>
      </c>
      <c r="B34" s="1" t="s">
        <v>554</v>
      </c>
      <c r="C34" s="1" t="s">
        <v>124</v>
      </c>
      <c r="D34" s="1"/>
      <c r="E34" s="10">
        <v>2.5</v>
      </c>
      <c r="F34" s="1" t="s">
        <v>548</v>
      </c>
    </row>
    <row r="35" spans="1:6" ht="21" customHeight="1">
      <c r="A35" s="1" t="s">
        <v>555</v>
      </c>
      <c r="B35" s="1" t="s">
        <v>556</v>
      </c>
      <c r="C35" s="1" t="s">
        <v>12</v>
      </c>
      <c r="D35" s="1"/>
      <c r="E35" s="10">
        <v>5</v>
      </c>
      <c r="F35" s="1" t="s">
        <v>557</v>
      </c>
    </row>
    <row r="36" spans="1:6" ht="21" customHeight="1">
      <c r="A36" s="1" t="s">
        <v>558</v>
      </c>
      <c r="B36" s="1" t="s">
        <v>559</v>
      </c>
      <c r="C36" s="1" t="s">
        <v>54</v>
      </c>
      <c r="D36" s="1"/>
      <c r="E36" s="10">
        <v>0.9</v>
      </c>
      <c r="F36" s="1" t="s">
        <v>560</v>
      </c>
    </row>
    <row r="37" spans="1:6" ht="21" customHeight="1">
      <c r="A37" s="1" t="s">
        <v>561</v>
      </c>
      <c r="B37" s="1" t="s">
        <v>562</v>
      </c>
      <c r="C37" s="1" t="s">
        <v>104</v>
      </c>
      <c r="D37" s="1"/>
      <c r="E37" s="10">
        <v>0.02</v>
      </c>
      <c r="F37" s="1" t="s">
        <v>563</v>
      </c>
    </row>
    <row r="38" spans="1:6" ht="21" customHeight="1">
      <c r="A38" s="1" t="s">
        <v>564</v>
      </c>
      <c r="B38" s="1" t="s">
        <v>565</v>
      </c>
      <c r="C38" s="1" t="s">
        <v>104</v>
      </c>
      <c r="D38" s="1"/>
      <c r="E38" s="10">
        <v>0.2</v>
      </c>
      <c r="F38" s="1" t="s">
        <v>563</v>
      </c>
    </row>
    <row r="39" spans="1:6" ht="21" customHeight="1">
      <c r="A39" s="1" t="s">
        <v>566</v>
      </c>
      <c r="B39" s="1" t="s">
        <v>567</v>
      </c>
      <c r="C39" s="1" t="s">
        <v>104</v>
      </c>
      <c r="D39" s="1"/>
      <c r="E39" s="10">
        <v>0.3</v>
      </c>
      <c r="F39" s="1" t="s">
        <v>563</v>
      </c>
    </row>
    <row r="40" spans="1:6" ht="21" customHeight="1">
      <c r="A40" s="1" t="s">
        <v>568</v>
      </c>
      <c r="B40" s="1" t="s">
        <v>569</v>
      </c>
      <c r="C40" s="1" t="s">
        <v>104</v>
      </c>
      <c r="D40" s="1"/>
      <c r="E40" s="10">
        <v>1.8</v>
      </c>
      <c r="F40" s="1" t="s">
        <v>563</v>
      </c>
    </row>
    <row r="41" spans="1:6" ht="21" customHeight="1">
      <c r="A41" s="1" t="s">
        <v>570</v>
      </c>
      <c r="B41" s="1" t="s">
        <v>571</v>
      </c>
      <c r="C41" s="1" t="s">
        <v>12</v>
      </c>
      <c r="D41" s="1"/>
      <c r="E41" s="10">
        <v>200</v>
      </c>
      <c r="F41" s="1" t="s">
        <v>572</v>
      </c>
    </row>
    <row r="42" spans="1:6" ht="21" customHeight="1">
      <c r="A42" s="1" t="s">
        <v>573</v>
      </c>
      <c r="B42" s="1" t="s">
        <v>574</v>
      </c>
      <c r="C42" s="1" t="s">
        <v>575</v>
      </c>
      <c r="D42" s="1"/>
      <c r="E42" s="10">
        <v>2026</v>
      </c>
      <c r="F42" s="1" t="s">
        <v>576</v>
      </c>
    </row>
    <row r="43" spans="1:6" ht="21" customHeight="1">
      <c r="A43" s="1" t="s">
        <v>577</v>
      </c>
      <c r="B43" s="1" t="s">
        <v>578</v>
      </c>
      <c r="C43" s="1" t="s">
        <v>575</v>
      </c>
      <c r="D43" s="1"/>
      <c r="E43" s="10">
        <v>2017</v>
      </c>
      <c r="F43" s="1" t="s">
        <v>579</v>
      </c>
    </row>
    <row r="44" spans="1:6" ht="21" customHeight="1">
      <c r="A44" s="1" t="s">
        <v>580</v>
      </c>
      <c r="B44" s="1" t="s">
        <v>581</v>
      </c>
      <c r="C44" s="1" t="s">
        <v>472</v>
      </c>
      <c r="D44" s="1"/>
      <c r="E44" s="11">
        <v>0.01</v>
      </c>
      <c r="F44" s="1" t="s">
        <v>582</v>
      </c>
    </row>
    <row r="45" spans="1:6" ht="21" customHeight="1">
      <c r="A45" s="1" t="s">
        <v>583</v>
      </c>
      <c r="B45" s="1" t="s">
        <v>584</v>
      </c>
      <c r="C45" s="1" t="s">
        <v>54</v>
      </c>
      <c r="D45" s="1"/>
      <c r="E45" s="10">
        <v>0.8</v>
      </c>
      <c r="F45" s="1" t="s">
        <v>585</v>
      </c>
    </row>
    <row r="46" spans="1:6" ht="21" customHeight="1">
      <c r="A46" s="1" t="s">
        <v>586</v>
      </c>
      <c r="B46" s="1" t="s">
        <v>587</v>
      </c>
      <c r="C46" s="1" t="s">
        <v>8</v>
      </c>
      <c r="D46" s="1"/>
      <c r="E46" s="10">
        <v>60</v>
      </c>
      <c r="F46" s="1" t="s">
        <v>588</v>
      </c>
    </row>
    <row r="47" spans="1:6" ht="21" customHeight="1">
      <c r="A47" s="1" t="s">
        <v>589</v>
      </c>
      <c r="B47" s="1" t="s">
        <v>590</v>
      </c>
      <c r="C47" s="1" t="s">
        <v>12</v>
      </c>
      <c r="D47" s="1"/>
      <c r="E47" s="10">
        <v>5.4100000000000002E-2</v>
      </c>
      <c r="F47" s="1" t="s">
        <v>588</v>
      </c>
    </row>
    <row r="48" spans="1:6" ht="21" customHeight="1">
      <c r="A48" s="1" t="s">
        <v>591</v>
      </c>
      <c r="B48" s="1" t="s">
        <v>592</v>
      </c>
      <c r="C48" s="1" t="s">
        <v>472</v>
      </c>
      <c r="D48" s="1"/>
      <c r="E48" s="11">
        <v>0.05</v>
      </c>
      <c r="F48" s="1" t="s">
        <v>593</v>
      </c>
    </row>
    <row r="49" spans="1:6" ht="21" customHeight="1">
      <c r="A49" s="1"/>
      <c r="B49" s="1"/>
      <c r="C49" s="1"/>
      <c r="D49" s="1"/>
      <c r="E49" s="1"/>
      <c r="F49" s="1"/>
    </row>
    <row r="50" spans="1:6" ht="21" customHeight="1">
      <c r="A50" s="1"/>
      <c r="B50" s="1"/>
      <c r="C50" s="1"/>
      <c r="D50" s="1"/>
      <c r="E50" s="1"/>
      <c r="F50" s="1"/>
    </row>
    <row r="51" spans="1:6" ht="21" customHeight="1">
      <c r="A51" s="1"/>
      <c r="B51" s="1"/>
      <c r="C51" s="1"/>
      <c r="D51" s="1"/>
      <c r="E51" s="1"/>
      <c r="F51" s="1"/>
    </row>
    <row r="52" spans="1:6" ht="21" customHeight="1">
      <c r="A52" s="1"/>
      <c r="B52" s="1"/>
      <c r="C52" s="1"/>
      <c r="D52" s="1"/>
      <c r="E52" s="1"/>
      <c r="F52" s="1"/>
    </row>
    <row r="53" spans="1:6" ht="21" customHeight="1">
      <c r="A53" s="1"/>
      <c r="B53" s="1"/>
      <c r="C53" s="1"/>
      <c r="D53" s="1"/>
      <c r="E53" s="1"/>
      <c r="F53" s="1"/>
    </row>
    <row r="54" spans="1:6" ht="21" customHeight="1">
      <c r="A54" s="1"/>
      <c r="B54" s="1"/>
      <c r="C54" s="1"/>
      <c r="D54" s="1"/>
      <c r="E54" s="1"/>
      <c r="F54" s="1"/>
    </row>
    <row r="55" spans="1:6" ht="21" customHeight="1">
      <c r="A55" s="1"/>
      <c r="B55" s="1"/>
      <c r="C55" s="1"/>
      <c r="D55" s="1"/>
      <c r="E55" s="1"/>
      <c r="F55" s="1"/>
    </row>
  </sheetData>
  <pageMargins left="0.39370078740157477" right="0.39370078740157477" top="0.55118110236220463" bottom="0.55118110236220463" header="0.3" footer="0.3"/>
  <pageSetup paperSize="8" fitToHeight="0" orientation="landscape" r:id="rId1"/>
  <headerFooter>
    <oddFooter>&amp;CInstalaciones Eléctricas II | Aquiles Taylor Ramos Yapo | 227368&amp;RHoja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19</vt:i4>
      </vt:variant>
    </vt:vector>
  </HeadingPairs>
  <TitlesOfParts>
    <vt:vector size="29" baseType="lpstr">
      <vt:lpstr>Resumen</vt:lpstr>
      <vt:lpstr>Demanda</vt:lpstr>
      <vt:lpstr>Electrico</vt:lpstr>
      <vt:lpstr>Flujo</vt:lpstr>
      <vt:lpstr>Cortocircuito</vt:lpstr>
      <vt:lpstr>Mecanica</vt:lpstr>
      <vt:lpstr>Estados</vt:lpstr>
      <vt:lpstr>Postes</vt:lpstr>
      <vt:lpstr>Vanos</vt:lpstr>
      <vt:lpstr>Parametros</vt:lpstr>
      <vt:lpstr>Cortocircuito!Área_de_impresión</vt:lpstr>
      <vt:lpstr>Demanda!Área_de_impresión</vt:lpstr>
      <vt:lpstr>Electrico!Área_de_impresión</vt:lpstr>
      <vt:lpstr>Estados!Área_de_impresión</vt:lpstr>
      <vt:lpstr>Flujo!Área_de_impresión</vt:lpstr>
      <vt:lpstr>Mecanica!Área_de_impresión</vt:lpstr>
      <vt:lpstr>Parametros!Área_de_impresión</vt:lpstr>
      <vt:lpstr>Postes!Área_de_impresión</vt:lpstr>
      <vt:lpstr>Resumen!Área_de_impresión</vt:lpstr>
      <vt:lpstr>Vanos!Área_de_impresión</vt:lpstr>
      <vt:lpstr>Cortocircuito!Títulos_a_imprimir</vt:lpstr>
      <vt:lpstr>Demanda!Títulos_a_imprimir</vt:lpstr>
      <vt:lpstr>Electrico!Títulos_a_imprimir</vt:lpstr>
      <vt:lpstr>Estados!Títulos_a_imprimir</vt:lpstr>
      <vt:lpstr>Flujo!Títulos_a_imprimir</vt:lpstr>
      <vt:lpstr>Mecanica!Títulos_a_imprimir</vt:lpstr>
      <vt:lpstr>Parametros!Títulos_a_imprimir</vt:lpstr>
      <vt:lpstr>Postes!Títulos_a_imprimir</vt:lpstr>
      <vt:lpstr>Vanos!Títulos_a_imprimir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Aquiles Taylor Ramos yapo</cp:lastModifiedBy>
  <cp:lastPrinted>2026-10-19T05:15:24Z</cp:lastPrinted>
  <dcterms:modified xsi:type="dcterms:W3CDTF">2026-10-19T05:15:25Z</dcterms:modified>
</cp:coreProperties>
</file>