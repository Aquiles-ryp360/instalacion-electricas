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P.GORE_INICIALES\S.U. SAN JOSE\CAPITULOII\"/>
    </mc:Choice>
  </mc:AlternateContent>
  <bookViews>
    <workbookView xWindow="0" yWindow="0" windowWidth="20490" windowHeight="7050"/>
  </bookViews>
  <sheets>
    <sheet name="CALCULO CORRRIENTES" sheetId="4" r:id="rId1"/>
    <sheet name="DAÑO TERMICO" sheetId="5" r:id="rId2"/>
    <sheet name="Cuadro fusibles" sheetId="6" r:id="rId3"/>
    <sheet name="CURVAS COORDINAC." sheetId="7" r:id="rId4"/>
  </sheets>
  <definedNames>
    <definedName name="_xlnm._FilterDatabase" localSheetId="1" hidden="1">'DAÑO TERMICO'!$C$49:$D$60</definedName>
    <definedName name="_xlnm.Print_Area" localSheetId="0">'CALCULO CORRRIENTES'!$A$16:$U$89</definedName>
    <definedName name="_xlnm.Print_Area" localSheetId="3">'CURVAS COORDINAC.'!$B$4:$P$76</definedName>
    <definedName name="_xlnm.Print_Area" localSheetId="1">'DAÑO TERMICO'!$A$21:$H$74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5" l="1"/>
  <c r="D54" i="5"/>
  <c r="G53" i="5"/>
  <c r="C56" i="5"/>
  <c r="D55" i="5"/>
  <c r="G54" i="5"/>
  <c r="C53" i="5"/>
  <c r="C52" i="5"/>
  <c r="D51" i="5"/>
  <c r="G56" i="5"/>
  <c r="G55" i="5"/>
  <c r="C54" i="5"/>
  <c r="D53" i="5"/>
  <c r="C51" i="5"/>
  <c r="G74" i="5"/>
  <c r="G73" i="5"/>
  <c r="X55" i="5"/>
  <c r="W55" i="5"/>
  <c r="V55" i="5"/>
  <c r="U55" i="5"/>
  <c r="T55" i="5"/>
  <c r="S55" i="5"/>
  <c r="R55" i="5"/>
  <c r="S82" i="5"/>
  <c r="T82" i="5" s="1"/>
  <c r="D52" i="5"/>
  <c r="G57" i="5"/>
  <c r="O77" i="4"/>
  <c r="M80" i="4" s="1"/>
  <c r="AD42" i="4"/>
  <c r="AC36" i="4"/>
  <c r="AA35" i="4"/>
  <c r="D60" i="5" l="1"/>
  <c r="D59" i="5"/>
  <c r="D58" i="5"/>
  <c r="D57" i="5"/>
  <c r="D56" i="5"/>
  <c r="N71" i="5" l="1"/>
  <c r="R72" i="5" s="1"/>
  <c r="R79" i="5" l="1"/>
  <c r="R78" i="5"/>
  <c r="R77" i="5"/>
  <c r="R76" i="5"/>
  <c r="R75" i="5"/>
  <c r="R74" i="5"/>
  <c r="R73" i="5"/>
  <c r="N83" i="5"/>
  <c r="N82" i="5"/>
  <c r="N81" i="5"/>
  <c r="N80" i="5"/>
  <c r="N79" i="5"/>
  <c r="N78" i="5"/>
  <c r="N77" i="5"/>
  <c r="N76" i="5"/>
  <c r="N75" i="5"/>
  <c r="N74" i="5"/>
  <c r="N73" i="5"/>
  <c r="N72" i="5"/>
  <c r="U82" i="5"/>
  <c r="V82" i="5" s="1"/>
  <c r="O66" i="5"/>
  <c r="N66" i="5"/>
  <c r="O65" i="5"/>
  <c r="N65" i="5"/>
  <c r="O64" i="5"/>
  <c r="N64" i="5"/>
  <c r="O63" i="5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G51" i="5"/>
  <c r="G60" i="5"/>
  <c r="G59" i="5"/>
  <c r="G58" i="5"/>
  <c r="G52" i="5"/>
  <c r="C60" i="5"/>
  <c r="C59" i="5"/>
  <c r="C58" i="5"/>
  <c r="C57" i="5"/>
  <c r="P55" i="5" l="1"/>
  <c r="P59" i="5"/>
  <c r="S59" i="5"/>
  <c r="T59" i="5" s="1"/>
  <c r="P63" i="5"/>
  <c r="S63" i="5"/>
  <c r="T63" i="5" s="1"/>
  <c r="Q56" i="5"/>
  <c r="S56" i="5"/>
  <c r="T56" i="5" s="1"/>
  <c r="Q64" i="5"/>
  <c r="U64" i="5" s="1"/>
  <c r="S64" i="5"/>
  <c r="T64" i="5" s="1"/>
  <c r="Q57" i="5"/>
  <c r="S57" i="5"/>
  <c r="T57" i="5" s="1"/>
  <c r="P61" i="5"/>
  <c r="S61" i="5"/>
  <c r="T61" i="5" s="1"/>
  <c r="Q65" i="5"/>
  <c r="R65" i="5" s="1"/>
  <c r="S65" i="5"/>
  <c r="T65" i="5" s="1"/>
  <c r="Q60" i="5"/>
  <c r="R60" i="5" s="1"/>
  <c r="S60" i="5"/>
  <c r="T60" i="5" s="1"/>
  <c r="Q58" i="5"/>
  <c r="U58" i="5" s="1"/>
  <c r="S58" i="5"/>
  <c r="T58" i="5" s="1"/>
  <c r="Q62" i="5"/>
  <c r="U62" i="5" s="1"/>
  <c r="S62" i="5"/>
  <c r="T62" i="5" s="1"/>
  <c r="P66" i="5"/>
  <c r="S66" i="5"/>
  <c r="T66" i="5" s="1"/>
  <c r="Q66" i="5"/>
  <c r="U66" i="5" s="1"/>
  <c r="W66" i="5" s="1"/>
  <c r="Q55" i="5"/>
  <c r="P58" i="5"/>
  <c r="Q63" i="5"/>
  <c r="U63" i="5" s="1"/>
  <c r="V63" i="5" s="1"/>
  <c r="P62" i="5"/>
  <c r="Q59" i="5"/>
  <c r="U59" i="5" s="1"/>
  <c r="W59" i="5" s="1"/>
  <c r="U56" i="5"/>
  <c r="R56" i="5"/>
  <c r="W62" i="5"/>
  <c r="V62" i="5"/>
  <c r="R57" i="5"/>
  <c r="U57" i="5"/>
  <c r="W58" i="5"/>
  <c r="V58" i="5"/>
  <c r="P57" i="5"/>
  <c r="R63" i="5"/>
  <c r="P65" i="5"/>
  <c r="P56" i="5"/>
  <c r="P60" i="5"/>
  <c r="Q61" i="5"/>
  <c r="R62" i="5"/>
  <c r="P64" i="5"/>
  <c r="U60" i="5" l="1"/>
  <c r="W60" i="5" s="1"/>
  <c r="R64" i="5"/>
  <c r="U65" i="5"/>
  <c r="R58" i="5"/>
  <c r="V66" i="5"/>
  <c r="R66" i="5"/>
  <c r="W63" i="5"/>
  <c r="X63" i="5" s="1"/>
  <c r="Z63" i="5" s="1"/>
  <c r="V59" i="5"/>
  <c r="R59" i="5"/>
  <c r="Y63" i="5"/>
  <c r="AA63" i="5" s="1"/>
  <c r="Y58" i="5"/>
  <c r="AA58" i="5" s="1"/>
  <c r="X58" i="5"/>
  <c r="Z58" i="5" s="1"/>
  <c r="Y62" i="5"/>
  <c r="AA62" i="5" s="1"/>
  <c r="X62" i="5"/>
  <c r="Z62" i="5" s="1"/>
  <c r="Y66" i="5"/>
  <c r="AA66" i="5" s="1"/>
  <c r="X66" i="5"/>
  <c r="Z66" i="5" s="1"/>
  <c r="V57" i="5"/>
  <c r="W57" i="5"/>
  <c r="X59" i="5"/>
  <c r="Z59" i="5" s="1"/>
  <c r="Y59" i="5"/>
  <c r="AA59" i="5" s="1"/>
  <c r="V65" i="5"/>
  <c r="W65" i="5"/>
  <c r="R61" i="5"/>
  <c r="U61" i="5"/>
  <c r="W64" i="5"/>
  <c r="V64" i="5"/>
  <c r="W56" i="5"/>
  <c r="V56" i="5"/>
  <c r="V60" i="5" l="1"/>
  <c r="Y55" i="5"/>
  <c r="AA55" i="5" s="1"/>
  <c r="Z55" i="5"/>
  <c r="X65" i="5"/>
  <c r="Z65" i="5" s="1"/>
  <c r="Y65" i="5"/>
  <c r="AA65" i="5" s="1"/>
  <c r="X57" i="5"/>
  <c r="Z57" i="5" s="1"/>
  <c r="Y57" i="5"/>
  <c r="AA57" i="5" s="1"/>
  <c r="X56" i="5"/>
  <c r="Z56" i="5" s="1"/>
  <c r="Y56" i="5"/>
  <c r="AA56" i="5" s="1"/>
  <c r="AC62" i="5"/>
  <c r="AD62" i="5" s="1"/>
  <c r="AB62" i="5"/>
  <c r="AC63" i="5"/>
  <c r="AD63" i="5" s="1"/>
  <c r="AB63" i="5"/>
  <c r="W61" i="5"/>
  <c r="V61" i="5"/>
  <c r="AC59" i="5"/>
  <c r="AD59" i="5" s="1"/>
  <c r="AB59" i="5"/>
  <c r="Y64" i="5"/>
  <c r="AA64" i="5" s="1"/>
  <c r="X64" i="5"/>
  <c r="Z64" i="5" s="1"/>
  <c r="AC66" i="5"/>
  <c r="AD66" i="5" s="1"/>
  <c r="AB66" i="5"/>
  <c r="AC58" i="5"/>
  <c r="AD58" i="5" s="1"/>
  <c r="AB58" i="5"/>
  <c r="Y60" i="5"/>
  <c r="AA60" i="5" s="1"/>
  <c r="X60" i="5"/>
  <c r="Z60" i="5" s="1"/>
  <c r="M84" i="4"/>
  <c r="M31" i="4"/>
  <c r="M42" i="4" s="1"/>
  <c r="X78" i="4" s="1"/>
  <c r="X87" i="4" l="1"/>
  <c r="X88" i="4" s="1"/>
  <c r="X89" i="4" s="1"/>
  <c r="X90" i="4" s="1"/>
  <c r="X91" i="4" s="1"/>
  <c r="X92" i="4" s="1"/>
  <c r="X93" i="4" s="1"/>
  <c r="X94" i="4" s="1"/>
  <c r="M37" i="4"/>
  <c r="X31" i="4"/>
  <c r="J27" i="5"/>
  <c r="AB65" i="5"/>
  <c r="AC65" i="5"/>
  <c r="AD65" i="5" s="1"/>
  <c r="AB57" i="5"/>
  <c r="AC57" i="5"/>
  <c r="AD57" i="5" s="1"/>
  <c r="AC56" i="5"/>
  <c r="AD56" i="5" s="1"/>
  <c r="AB56" i="5"/>
  <c r="AB60" i="5"/>
  <c r="AC60" i="5"/>
  <c r="AD60" i="5" s="1"/>
  <c r="AC64" i="5"/>
  <c r="AD64" i="5" s="1"/>
  <c r="AB64" i="5"/>
  <c r="X61" i="5"/>
  <c r="Z61" i="5" s="1"/>
  <c r="Y61" i="5"/>
  <c r="AA61" i="5" s="1"/>
  <c r="AB55" i="5"/>
  <c r="AC55" i="5"/>
  <c r="AD55" i="5" s="1"/>
  <c r="D44" i="5" l="1"/>
  <c r="D42" i="5"/>
  <c r="D41" i="5"/>
  <c r="D28" i="5"/>
  <c r="D27" i="5"/>
  <c r="D43" i="5"/>
  <c r="D36" i="5"/>
  <c r="D32" i="5"/>
  <c r="D29" i="5"/>
  <c r="D34" i="5"/>
  <c r="D35" i="5"/>
  <c r="D30" i="5"/>
  <c r="D31" i="5"/>
  <c r="D33" i="5"/>
  <c r="AB61" i="5"/>
  <c r="AC61" i="5"/>
  <c r="AD61" i="5" s="1"/>
  <c r="F53" i="4" l="1"/>
  <c r="G53" i="4" s="1"/>
  <c r="F54" i="4"/>
  <c r="G54" i="4" s="1"/>
  <c r="F55" i="4"/>
  <c r="G55" i="4" s="1"/>
  <c r="F56" i="4"/>
  <c r="G56" i="4" s="1"/>
  <c r="E65" i="4"/>
  <c r="E66" i="4" s="1"/>
  <c r="AA31" i="4"/>
  <c r="F10" i="5"/>
  <c r="F14" i="5" s="1"/>
  <c r="F16" i="5" s="1"/>
  <c r="E10" i="4"/>
  <c r="E14" i="4" s="1"/>
  <c r="E16" i="4" s="1"/>
  <c r="AC40" i="4"/>
  <c r="AD40" i="4" s="1"/>
  <c r="AA33" i="4" l="1"/>
  <c r="X33" i="4"/>
  <c r="M46" i="4"/>
  <c r="X37" i="4" s="1"/>
  <c r="E67" i="4"/>
  <c r="X80" i="4" l="1"/>
  <c r="X77" i="4"/>
  <c r="X82" i="4"/>
  <c r="X79" i="4"/>
  <c r="X35" i="4"/>
  <c r="X76" i="4"/>
  <c r="X83" i="4"/>
  <c r="X81" i="4"/>
</calcChain>
</file>

<file path=xl/sharedStrings.xml><?xml version="1.0" encoding="utf-8"?>
<sst xmlns="http://schemas.openxmlformats.org/spreadsheetml/2006/main" count="238" uniqueCount="163">
  <si>
    <t>Calculo de Potencia del Transformador</t>
  </si>
  <si>
    <t>Potencia de la Electrobomba</t>
  </si>
  <si>
    <t>15HP</t>
  </si>
  <si>
    <t>RPM</t>
  </si>
  <si>
    <t>eficiencia</t>
  </si>
  <si>
    <t>COS FI</t>
  </si>
  <si>
    <t>Por lo tanto la potencia se resume en:</t>
  </si>
  <si>
    <t>Potencia electrobomba</t>
  </si>
  <si>
    <t>KW</t>
  </si>
  <si>
    <t>A.P.</t>
  </si>
  <si>
    <t>Inst Interiores</t>
  </si>
  <si>
    <t>reserva</t>
  </si>
  <si>
    <t>TOTAL</t>
  </si>
  <si>
    <t>La potencia total en KVA es</t>
  </si>
  <si>
    <t>Por lo tanto de acuerdo a normas elegimos un trafo de potencia normalizada</t>
  </si>
  <si>
    <t>imnediata superior el cual resulta:</t>
  </si>
  <si>
    <t>25 KVA</t>
  </si>
  <si>
    <t>CALCULO DE CORRIENTES Y TERMOMAGNETICO</t>
  </si>
  <si>
    <t>Calculo de la corriente nominal</t>
  </si>
  <si>
    <t>KVA</t>
  </si>
  <si>
    <t>KV</t>
  </si>
  <si>
    <t>RESUMEN GENERAL DE LOS VALORES OBTENIDOS</t>
  </si>
  <si>
    <t>EN LADO PRIMARIO</t>
  </si>
  <si>
    <t>EN LADO SECUNDARIO</t>
  </si>
  <si>
    <t>In=</t>
  </si>
  <si>
    <t>A</t>
  </si>
  <si>
    <t>Corriente de sobrecarga</t>
  </si>
  <si>
    <t xml:space="preserve">Ix= </t>
  </si>
  <si>
    <t>Corriente de corto circuito</t>
  </si>
  <si>
    <t>Termomagnetico seleccionado</t>
  </si>
  <si>
    <t>Icc=</t>
  </si>
  <si>
    <t>Corriente Inrush o magnetización</t>
  </si>
  <si>
    <t>Iinrush=</t>
  </si>
  <si>
    <t>CALCULO DE INTERRUPTORES TERMOMAGNETICOS</t>
  </si>
  <si>
    <t>sub estacion</t>
  </si>
  <si>
    <t>M.D. (KW)</t>
  </si>
  <si>
    <t>In</t>
  </si>
  <si>
    <t>Id= 1.25 In</t>
  </si>
  <si>
    <t>TM NORMALIZADO</t>
  </si>
  <si>
    <t>C-I</t>
  </si>
  <si>
    <t>C-II</t>
  </si>
  <si>
    <t>C-III</t>
  </si>
  <si>
    <t>C-IV</t>
  </si>
  <si>
    <t>S.E.2</t>
  </si>
  <si>
    <t>Iluminación</t>
  </si>
  <si>
    <t>Reserva</t>
  </si>
  <si>
    <t>Usos Generales</t>
  </si>
  <si>
    <t>S.E.3</t>
  </si>
  <si>
    <t>CARGA TOTAL</t>
  </si>
  <si>
    <t>PERDIDAS TRANSF 5%</t>
  </si>
  <si>
    <t>POT TRANSFORMADOR KVA</t>
  </si>
  <si>
    <t>POT. NORMALIZADA KVA</t>
  </si>
  <si>
    <t>Voltaje en el lado de baja:</t>
  </si>
  <si>
    <t>Icc</t>
  </si>
  <si>
    <t>TM</t>
  </si>
  <si>
    <t>TM GENERAL</t>
  </si>
  <si>
    <t>TIPO</t>
  </si>
  <si>
    <t>FACTOR</t>
  </si>
  <si>
    <t>NKY-SUBT.</t>
  </si>
  <si>
    <t>N2XSY-SUBT.</t>
  </si>
  <si>
    <t>AL-AEREO</t>
  </si>
  <si>
    <t>TIEMPO</t>
  </si>
  <si>
    <t>CORRIENTE</t>
  </si>
  <si>
    <t>CU-AEREO</t>
  </si>
  <si>
    <t>CALIBRE</t>
  </si>
  <si>
    <t>AL</t>
  </si>
  <si>
    <t>Cu</t>
  </si>
  <si>
    <t>Seg.</t>
  </si>
  <si>
    <t>CALIBRE DEL FUSIBLE DEL LADO DE LA CARGA</t>
  </si>
  <si>
    <t>CORRIENTES LIMITES DE COORDINACIÓN EN AMPERES</t>
  </si>
  <si>
    <t>CALIBRE DEL FUSIBLE DEL LADO DE LA FUENTE</t>
  </si>
  <si>
    <t>2K</t>
  </si>
  <si>
    <t>3K</t>
  </si>
  <si>
    <t>5K</t>
  </si>
  <si>
    <t>8K</t>
  </si>
  <si>
    <t>10K</t>
  </si>
  <si>
    <t>12K</t>
  </si>
  <si>
    <t>15K</t>
  </si>
  <si>
    <t>20K</t>
  </si>
  <si>
    <t>25K</t>
  </si>
  <si>
    <t>30K</t>
  </si>
  <si>
    <t>40K</t>
  </si>
  <si>
    <t>50K</t>
  </si>
  <si>
    <t>65K</t>
  </si>
  <si>
    <t>80K</t>
  </si>
  <si>
    <t>100K</t>
  </si>
  <si>
    <t>1K</t>
  </si>
  <si>
    <t>6K</t>
  </si>
  <si>
    <t>1 EN EL LADO PRIMARIO DEL TRANSFORMADOR</t>
  </si>
  <si>
    <t>1.1 Calculo de la corriente nominal</t>
  </si>
  <si>
    <t>Datos</t>
  </si>
  <si>
    <t>In =</t>
  </si>
  <si>
    <t>1.2 Corriente de sobrecarga</t>
  </si>
  <si>
    <t>1.3.- Corriente de corto circuito</t>
  </si>
  <si>
    <t>2.- EN EL LADO SECUNDARIO DEL TRANSFORMADOR</t>
  </si>
  <si>
    <t>Datos:</t>
  </si>
  <si>
    <t>Tensión en el lado secundario</t>
  </si>
  <si>
    <t>Potencia real</t>
  </si>
  <si>
    <t xml:space="preserve">In = </t>
  </si>
  <si>
    <t xml:space="preserve">Ix = </t>
  </si>
  <si>
    <t>NS COMPAC</t>
  </si>
  <si>
    <t xml:space="preserve">TM-G = </t>
  </si>
  <si>
    <t xml:space="preserve"> TERMICO TRANSFORMADORES Y CONDUCTORES</t>
  </si>
  <si>
    <t>CÁLCULO DE CORRIENTE DE MAGNETIZACION Y DAÑO</t>
  </si>
  <si>
    <t>A) CARGA TERMICA DE TRANSFORMADORES</t>
  </si>
  <si>
    <t>C) CURVA TÉRMICA DE CONDUCTORES</t>
  </si>
  <si>
    <t>D) RESUMEN</t>
  </si>
  <si>
    <t>EQUIPOS</t>
  </si>
  <si>
    <t>SEG.</t>
  </si>
  <si>
    <t>≥</t>
  </si>
  <si>
    <t>NYY</t>
  </si>
  <si>
    <t>Potencia del trasformador</t>
  </si>
  <si>
    <t>Voltaje en el lado de alta</t>
  </si>
  <si>
    <t>Factor de potencia</t>
  </si>
  <si>
    <t>:</t>
  </si>
  <si>
    <t>1.4.- Corriente Inrush o Magnetización</t>
  </si>
  <si>
    <t>Tiempo</t>
  </si>
  <si>
    <t>Corriente</t>
  </si>
  <si>
    <t>Factor de potencia (cos Ø)</t>
  </si>
  <si>
    <t>tiempo</t>
  </si>
  <si>
    <t>Inominal</t>
  </si>
  <si>
    <t xml:space="preserve">B) CARGA INRUSH </t>
  </si>
  <si>
    <t>Cte. Carga termica trafo</t>
  </si>
  <si>
    <t>Cte. Inrush</t>
  </si>
  <si>
    <t>I nominal</t>
  </si>
  <si>
    <t>Tiempo en seg</t>
  </si>
  <si>
    <t>Icc(A)</t>
  </si>
  <si>
    <t>Conductor de M.T.</t>
  </si>
  <si>
    <t>Conductor de B.T.</t>
  </si>
  <si>
    <t>Curva del fusible tipo K</t>
  </si>
  <si>
    <t>Tiempo (seg.)</t>
  </si>
  <si>
    <t>TM2</t>
  </si>
  <si>
    <t>Amp</t>
  </si>
  <si>
    <t>Fusible 1K curva de fusión I (Amp.)</t>
  </si>
  <si>
    <t>Fusible 1K curva de aclaramiento I (Amp.)</t>
  </si>
  <si>
    <t>Fusible 2K curva de fusión I (Amp.)</t>
  </si>
  <si>
    <t>Fusible 2K curva de aclaramiento I (Amp.)</t>
  </si>
  <si>
    <t>Fusible 3K curva de fusión I (Amp.)</t>
  </si>
  <si>
    <t>Fusible 3K curva de aclaramiento I (Amp.)</t>
  </si>
  <si>
    <t>Fusible 6K curva de fusión I (Amp.)</t>
  </si>
  <si>
    <t>Fusible 6K curva de aclaramiento I (Amp.)</t>
  </si>
  <si>
    <t>Fusible 8K curva de fusión I (Amp.)</t>
  </si>
  <si>
    <t>Fusible 8K curva de aclaramiento I (Amp.)</t>
  </si>
  <si>
    <t>Fusible 10K curva de fusión I (Amp.)</t>
  </si>
  <si>
    <t>Fusible 10K curva de aclaramiento I (Amp.)</t>
  </si>
  <si>
    <t>Fusible 12K curva de fusión I (Amp.)</t>
  </si>
  <si>
    <t>Fusible 12K curva de aclaramiento I (Amp.)</t>
  </si>
  <si>
    <t>Fusible 15K curva de fusión I (Amp.)</t>
  </si>
  <si>
    <t>Relación de transformación</t>
  </si>
  <si>
    <t>Aluminio Icc(A)</t>
  </si>
  <si>
    <t>N2XSY        Icc(A)</t>
  </si>
  <si>
    <t xml:space="preserve">A.- Cálculo de la corriente nominal secundario </t>
  </si>
  <si>
    <t>B.- Corriente de sobrecarga</t>
  </si>
  <si>
    <r>
      <t>Para una buena coordinación t2</t>
    </r>
    <r>
      <rPr>
        <sz val="10"/>
        <rFont val="Calibri"/>
        <family val="2"/>
      </rPr>
      <t>≥</t>
    </r>
    <r>
      <rPr>
        <sz val="10"/>
        <rFont val="Arial Narrow"/>
        <family val="2"/>
      </rPr>
      <t>1.33t1</t>
    </r>
  </si>
  <si>
    <t xml:space="preserve"> </t>
  </si>
  <si>
    <t>Por lo tanto el fusible tipo expulsión será de 5 A, tipo K</t>
  </si>
  <si>
    <r>
      <t xml:space="preserve">En derivación
</t>
    </r>
    <r>
      <rPr>
        <sz val="10"/>
        <rFont val="Arial Narrow"/>
        <family val="2"/>
      </rPr>
      <t>Fusible tipo 8 K, (t2)</t>
    </r>
  </si>
  <si>
    <t>Fusible 5K curva de fusión I (Amp.)</t>
  </si>
  <si>
    <t>Fusible 5K curva de aclaramiento I (Amp.)</t>
  </si>
  <si>
    <t>CURVAS DE COORDINACIÓN</t>
  </si>
  <si>
    <r>
      <t xml:space="preserve">En Transformador de 37.5 kVA 
</t>
    </r>
    <r>
      <rPr>
        <sz val="10"/>
        <rFont val="Arial Narrow"/>
        <family val="2"/>
      </rPr>
      <t>Fusible tipo 5 K,  (t1)</t>
    </r>
  </si>
  <si>
    <r>
      <rPr>
        <b/>
        <sz val="10"/>
        <rFont val="Arial Narrow"/>
        <family val="2"/>
      </rPr>
      <t>En termomagnético</t>
    </r>
    <r>
      <rPr>
        <sz val="10"/>
        <rFont val="Arial Narrow"/>
        <family val="2"/>
      </rPr>
      <t xml:space="preserve">
Termomagnetico tipo NS COMPAC 100 A</t>
    </r>
  </si>
  <si>
    <t>Por lo tanto el termomagnético general será de 125 A, tipo Compac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</si>
</sst>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* #,##0.00_ ;_ * \-#,##0.00_ ;_ * &quot;-&quot;??_ ;_ @_ "/>
    <numFmt numFmtId="165" formatCode="0.0\ &quot;A&quot;"/>
    <numFmt numFmtId="166" formatCode="General\ &quot;kV&quot;"/>
    <numFmt numFmtId="167" formatCode="General\ &quot;kW&quot;"/>
    <numFmt numFmtId="168" formatCode="General\ &quot;A&quot;"/>
    <numFmt numFmtId="169" formatCode="_ [$S/.-280A]\ * #,##0.00_ ;_ [$S/.-280A]\ * \-#,##0.00_ ;_ [$S/.-280A]\ * &quot;-&quot;??_ ;_ @_ "/>
    <numFmt numFmtId="170" formatCode="0.0"/>
  </numFmts>
  <fonts count="5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u/>
      <sz val="10"/>
      <name val="Arial Narrow"/>
      <family val="2"/>
    </font>
    <font>
      <sz val="10"/>
      <name val="Arial Narrow"/>
      <family val="2"/>
    </font>
    <font>
      <b/>
      <u/>
      <sz val="12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  <font>
      <b/>
      <sz val="10"/>
      <color theme="0"/>
      <name val="Arial Narrow"/>
      <family val="2"/>
    </font>
    <font>
      <b/>
      <u/>
      <sz val="11"/>
      <name val="Arial Narrow"/>
      <family val="2"/>
    </font>
    <font>
      <sz val="11"/>
      <name val="Arial Narrow"/>
      <family val="2"/>
    </font>
    <font>
      <b/>
      <u/>
      <sz val="14"/>
      <name val="Arial Narrow"/>
      <family val="2"/>
    </font>
    <font>
      <b/>
      <sz val="11"/>
      <name val="Arial Narrow"/>
      <family val="2"/>
    </font>
    <font>
      <b/>
      <i/>
      <sz val="11"/>
      <name val="Arial Narrow"/>
      <family val="2"/>
    </font>
    <font>
      <i/>
      <sz val="11"/>
      <name val="Arial Narrow"/>
      <family val="2"/>
    </font>
    <font>
      <u/>
      <sz val="11"/>
      <name val="Arial Narrow"/>
      <family val="2"/>
    </font>
    <font>
      <sz val="11"/>
      <color indexed="12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 Narrow"/>
      <family val="2"/>
    </font>
    <font>
      <b/>
      <sz val="10"/>
      <name val="Arial"/>
      <family val="2"/>
    </font>
    <font>
      <sz val="10"/>
      <name val="Calibri"/>
      <family val="2"/>
    </font>
    <font>
      <b/>
      <sz val="9"/>
      <name val="Times New Roman"/>
      <family val="1"/>
    </font>
    <font>
      <b/>
      <sz val="10"/>
      <color rgb="FF0070C0"/>
      <name val="Arial Narrow"/>
      <family val="2"/>
    </font>
    <font>
      <b/>
      <u/>
      <sz val="1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164" fontId="1" fillId="0" borderId="0" applyFont="0" applyFill="0" applyBorder="0" applyAlignment="0" applyProtection="0"/>
    <xf numFmtId="0" fontId="11" fillId="22" borderId="0" applyNumberFormat="0" applyBorder="0" applyAlignment="0" applyProtection="0"/>
    <xf numFmtId="0" fontId="12" fillId="0" borderId="0"/>
    <xf numFmtId="0" fontId="12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8" fillId="0" borderId="8" applyNumberFormat="0" applyFill="0" applyAlignment="0" applyProtection="0"/>
    <xf numFmtId="0" fontId="19" fillId="0" borderId="9" applyNumberFormat="0" applyFill="0" applyAlignment="0" applyProtection="0"/>
    <xf numFmtId="164" fontId="40" fillId="0" borderId="0" applyFont="0" applyFill="0" applyBorder="0" applyAlignment="0" applyProtection="0"/>
  </cellStyleXfs>
  <cellXfs count="226">
    <xf numFmtId="0" fontId="0" fillId="0" borderId="0" xfId="0"/>
    <xf numFmtId="0" fontId="12" fillId="0" borderId="0" xfId="34"/>
    <xf numFmtId="0" fontId="21" fillId="0" borderId="10" xfId="34" applyFont="1" applyBorder="1" applyAlignment="1">
      <alignment vertical="justify" wrapText="1"/>
    </xf>
    <xf numFmtId="0" fontId="21" fillId="0" borderId="11" xfId="34" applyFont="1" applyBorder="1" applyAlignment="1">
      <alignment vertical="justify" wrapText="1"/>
    </xf>
    <xf numFmtId="0" fontId="21" fillId="0" borderId="12" xfId="34" applyFont="1" applyBorder="1" applyAlignment="1">
      <alignment horizontal="center" vertical="center"/>
    </xf>
    <xf numFmtId="0" fontId="21" fillId="0" borderId="13" xfId="34" applyFont="1" applyBorder="1" applyAlignment="1">
      <alignment horizontal="center" vertical="center"/>
    </xf>
    <xf numFmtId="0" fontId="21" fillId="0" borderId="14" xfId="34" applyFont="1" applyBorder="1" applyAlignment="1">
      <alignment horizontal="center"/>
    </xf>
    <xf numFmtId="0" fontId="21" fillId="0" borderId="15" xfId="34" applyFont="1" applyBorder="1" applyAlignment="1">
      <alignment horizontal="center"/>
    </xf>
    <xf numFmtId="0" fontId="21" fillId="0" borderId="17" xfId="34" applyFont="1" applyBorder="1" applyAlignment="1">
      <alignment horizontal="center"/>
    </xf>
    <xf numFmtId="0" fontId="21" fillId="0" borderId="16" xfId="34" applyFont="1" applyBorder="1" applyAlignment="1">
      <alignment horizontal="center"/>
    </xf>
    <xf numFmtId="0" fontId="21" fillId="0" borderId="19" xfId="34" applyFont="1" applyBorder="1" applyAlignment="1">
      <alignment horizontal="center"/>
    </xf>
    <xf numFmtId="0" fontId="21" fillId="0" borderId="20" xfId="34" applyFont="1" applyBorder="1" applyAlignment="1">
      <alignment horizontal="center"/>
    </xf>
    <xf numFmtId="0" fontId="21" fillId="0" borderId="18" xfId="34" applyFont="1" applyBorder="1" applyAlignment="1">
      <alignment horizontal="center"/>
    </xf>
    <xf numFmtId="0" fontId="21" fillId="0" borderId="21" xfId="34" applyFont="1" applyBorder="1" applyAlignment="1">
      <alignment horizontal="center"/>
    </xf>
    <xf numFmtId="0" fontId="21" fillId="0" borderId="22" xfId="34" applyFont="1" applyBorder="1" applyAlignment="1">
      <alignment horizontal="center"/>
    </xf>
    <xf numFmtId="0" fontId="21" fillId="0" borderId="23" xfId="34" applyFont="1" applyBorder="1" applyAlignment="1">
      <alignment horizontal="center"/>
    </xf>
    <xf numFmtId="0" fontId="21" fillId="0" borderId="24" xfId="34" applyFont="1" applyBorder="1" applyAlignment="1">
      <alignment horizontal="center"/>
    </xf>
    <xf numFmtId="0" fontId="21" fillId="0" borderId="25" xfId="34" applyFont="1" applyBorder="1" applyAlignment="1">
      <alignment horizontal="center"/>
    </xf>
    <xf numFmtId="0" fontId="23" fillId="0" borderId="18" xfId="34" applyFont="1" applyBorder="1" applyAlignment="1">
      <alignment horizontal="center"/>
    </xf>
    <xf numFmtId="0" fontId="23" fillId="0" borderId="16" xfId="34" applyFont="1" applyBorder="1" applyAlignment="1">
      <alignment horizontal="center"/>
    </xf>
    <xf numFmtId="0" fontId="21" fillId="0" borderId="26" xfId="34" applyFont="1" applyBorder="1" applyAlignment="1">
      <alignment horizontal="center"/>
    </xf>
    <xf numFmtId="0" fontId="21" fillId="0" borderId="27" xfId="34" applyFont="1" applyBorder="1" applyAlignment="1">
      <alignment horizontal="center"/>
    </xf>
    <xf numFmtId="0" fontId="21" fillId="0" borderId="28" xfId="34" applyFont="1" applyBorder="1" applyAlignment="1">
      <alignment horizontal="center"/>
    </xf>
    <xf numFmtId="0" fontId="21" fillId="0" borderId="29" xfId="34" applyFont="1" applyBorder="1" applyAlignment="1">
      <alignment horizontal="center"/>
    </xf>
    <xf numFmtId="0" fontId="21" fillId="0" borderId="30" xfId="34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164" fontId="25" fillId="0" borderId="0" xfId="32" applyFont="1"/>
    <xf numFmtId="164" fontId="25" fillId="0" borderId="34" xfId="32" applyFont="1" applyBorder="1"/>
    <xf numFmtId="0" fontId="25" fillId="0" borderId="0" xfId="0" applyFont="1" applyAlignment="1">
      <alignment horizontal="centerContinuous"/>
    </xf>
    <xf numFmtId="0" fontId="25" fillId="25" borderId="0" xfId="0" applyFont="1" applyFill="1"/>
    <xf numFmtId="0" fontId="25" fillId="0" borderId="0" xfId="0" applyFont="1" applyAlignment="1">
      <alignment horizontal="center"/>
    </xf>
    <xf numFmtId="0" fontId="24" fillId="25" borderId="0" xfId="0" applyFont="1" applyFill="1"/>
    <xf numFmtId="0" fontId="28" fillId="25" borderId="0" xfId="0" applyFont="1" applyFill="1"/>
    <xf numFmtId="0" fontId="29" fillId="0" borderId="0" xfId="0" applyFont="1"/>
    <xf numFmtId="0" fontId="30" fillId="25" borderId="0" xfId="0" applyFont="1" applyFill="1"/>
    <xf numFmtId="2" fontId="28" fillId="25" borderId="0" xfId="0" applyNumberFormat="1" applyFont="1" applyFill="1"/>
    <xf numFmtId="0" fontId="25" fillId="24" borderId="0" xfId="0" applyFont="1" applyFill="1" applyAlignment="1">
      <alignment horizontal="center"/>
    </xf>
    <xf numFmtId="0" fontId="29" fillId="24" borderId="0" xfId="0" applyFont="1" applyFill="1"/>
    <xf numFmtId="0" fontId="25" fillId="24" borderId="0" xfId="0" applyFont="1" applyFill="1"/>
    <xf numFmtId="0" fontId="28" fillId="25" borderId="0" xfId="0" applyFont="1" applyFill="1" applyAlignment="1">
      <alignment horizontal="left"/>
    </xf>
    <xf numFmtId="0" fontId="28" fillId="25" borderId="0" xfId="0" applyFont="1" applyFill="1" applyAlignment="1">
      <alignment horizontal="right"/>
    </xf>
    <xf numFmtId="0" fontId="28" fillId="25" borderId="0" xfId="0" applyFont="1" applyFill="1" applyAlignment="1">
      <alignment horizontal="center"/>
    </xf>
    <xf numFmtId="0" fontId="31" fillId="27" borderId="42" xfId="0" applyFont="1" applyFill="1" applyBorder="1" applyAlignment="1">
      <alignment horizontal="center" vertical="center"/>
    </xf>
    <xf numFmtId="0" fontId="25" fillId="25" borderId="42" xfId="0" applyFont="1" applyFill="1" applyBorder="1" applyAlignment="1">
      <alignment horizontal="center" vertical="center"/>
    </xf>
    <xf numFmtId="2" fontId="28" fillId="25" borderId="40" xfId="0" applyNumberFormat="1" applyFont="1" applyFill="1" applyBorder="1" applyAlignment="1">
      <alignment horizontal="center"/>
    </xf>
    <xf numFmtId="0" fontId="25" fillId="25" borderId="42" xfId="0" applyFont="1" applyFill="1" applyBorder="1" applyAlignment="1">
      <alignment horizontal="center"/>
    </xf>
    <xf numFmtId="0" fontId="28" fillId="25" borderId="42" xfId="0" applyFont="1" applyFill="1" applyBorder="1" applyAlignment="1">
      <alignment horizontal="center" vertical="center"/>
    </xf>
    <xf numFmtId="0" fontId="32" fillId="25" borderId="0" xfId="0" applyFont="1" applyFill="1"/>
    <xf numFmtId="0" fontId="33" fillId="25" borderId="0" xfId="0" applyFont="1" applyFill="1"/>
    <xf numFmtId="0" fontId="33" fillId="25" borderId="0" xfId="0" applyFont="1" applyFill="1" applyAlignment="1">
      <alignment horizontal="right"/>
    </xf>
    <xf numFmtId="164" fontId="33" fillId="25" borderId="0" xfId="32" applyFont="1" applyFill="1"/>
    <xf numFmtId="164" fontId="33" fillId="25" borderId="34" xfId="32" applyFont="1" applyFill="1" applyBorder="1"/>
    <xf numFmtId="0" fontId="33" fillId="25" borderId="0" xfId="0" applyFont="1" applyFill="1" applyAlignment="1">
      <alignment horizontal="centerContinuous"/>
    </xf>
    <xf numFmtId="0" fontId="34" fillId="31" borderId="0" xfId="0" applyFont="1" applyFill="1" applyAlignment="1">
      <alignment horizontal="centerContinuous" vertical="center"/>
    </xf>
    <xf numFmtId="0" fontId="33" fillId="30" borderId="0" xfId="0" applyFont="1" applyFill="1"/>
    <xf numFmtId="0" fontId="35" fillId="30" borderId="0" xfId="0" applyFont="1" applyFill="1"/>
    <xf numFmtId="0" fontId="33" fillId="29" borderId="0" xfId="0" applyFont="1" applyFill="1"/>
    <xf numFmtId="0" fontId="35" fillId="29" borderId="0" xfId="0" applyFont="1" applyFill="1"/>
    <xf numFmtId="0" fontId="33" fillId="25" borderId="0" xfId="0" applyFont="1" applyFill="1" applyAlignment="1">
      <alignment horizontal="left"/>
    </xf>
    <xf numFmtId="0" fontId="33" fillId="25" borderId="0" xfId="0" applyFont="1" applyFill="1" applyAlignment="1">
      <alignment horizontal="center"/>
    </xf>
    <xf numFmtId="0" fontId="35" fillId="25" borderId="31" xfId="0" applyFont="1" applyFill="1" applyBorder="1"/>
    <xf numFmtId="0" fontId="35" fillId="25" borderId="35" xfId="0" applyFont="1" applyFill="1" applyBorder="1"/>
    <xf numFmtId="0" fontId="33" fillId="25" borderId="36" xfId="0" applyFont="1" applyFill="1" applyBorder="1"/>
    <xf numFmtId="0" fontId="33" fillId="25" borderId="37" xfId="0" applyFont="1" applyFill="1" applyBorder="1"/>
    <xf numFmtId="0" fontId="33" fillId="25" borderId="31" xfId="0" applyFont="1" applyFill="1" applyBorder="1"/>
    <xf numFmtId="0" fontId="33" fillId="25" borderId="32" xfId="0" applyFont="1" applyFill="1" applyBorder="1"/>
    <xf numFmtId="169" fontId="33" fillId="25" borderId="0" xfId="0" applyNumberFormat="1" applyFont="1" applyFill="1"/>
    <xf numFmtId="0" fontId="36" fillId="28" borderId="39" xfId="0" applyFont="1" applyFill="1" applyBorder="1" applyAlignment="1">
      <alignment horizontal="right"/>
    </xf>
    <xf numFmtId="165" fontId="36" fillId="28" borderId="41" xfId="0" applyNumberFormat="1" applyFont="1" applyFill="1" applyBorder="1" applyAlignment="1">
      <alignment horizontal="left" vertical="center"/>
    </xf>
    <xf numFmtId="0" fontId="35" fillId="25" borderId="31" xfId="0" applyFont="1" applyFill="1" applyBorder="1" applyAlignment="1">
      <alignment horizontal="right"/>
    </xf>
    <xf numFmtId="2" fontId="35" fillId="25" borderId="0" xfId="0" applyNumberFormat="1" applyFont="1" applyFill="1"/>
    <xf numFmtId="0" fontId="35" fillId="25" borderId="0" xfId="0" applyFont="1" applyFill="1"/>
    <xf numFmtId="0" fontId="35" fillId="25" borderId="32" xfId="0" applyFont="1" applyFill="1" applyBorder="1"/>
    <xf numFmtId="0" fontId="37" fillId="25" borderId="0" xfId="0" applyFont="1" applyFill="1"/>
    <xf numFmtId="0" fontId="37" fillId="29" borderId="0" xfId="0" applyFont="1" applyFill="1"/>
    <xf numFmtId="2" fontId="36" fillId="28" borderId="41" xfId="0" applyNumberFormat="1" applyFont="1" applyFill="1" applyBorder="1" applyAlignment="1">
      <alignment horizontal="left"/>
    </xf>
    <xf numFmtId="0" fontId="35" fillId="25" borderId="33" xfId="0" applyFont="1" applyFill="1" applyBorder="1" applyAlignment="1">
      <alignment horizontal="right"/>
    </xf>
    <xf numFmtId="2" fontId="35" fillId="25" borderId="34" xfId="0" applyNumberFormat="1" applyFont="1" applyFill="1" applyBorder="1"/>
    <xf numFmtId="0" fontId="35" fillId="25" borderId="34" xfId="0" applyFont="1" applyFill="1" applyBorder="1"/>
    <xf numFmtId="0" fontId="33" fillId="25" borderId="33" xfId="0" applyFont="1" applyFill="1" applyBorder="1"/>
    <xf numFmtId="0" fontId="33" fillId="25" borderId="34" xfId="0" applyFont="1" applyFill="1" applyBorder="1"/>
    <xf numFmtId="0" fontId="33" fillId="25" borderId="38" xfId="0" applyFont="1" applyFill="1" applyBorder="1"/>
    <xf numFmtId="0" fontId="38" fillId="25" borderId="0" xfId="0" applyFont="1" applyFill="1"/>
    <xf numFmtId="165" fontId="36" fillId="28" borderId="41" xfId="0" applyNumberFormat="1" applyFont="1" applyFill="1" applyBorder="1" applyAlignment="1">
      <alignment horizontal="left"/>
    </xf>
    <xf numFmtId="0" fontId="37" fillId="28" borderId="39" xfId="0" applyFont="1" applyFill="1" applyBorder="1"/>
    <xf numFmtId="0" fontId="36" fillId="28" borderId="40" xfId="0" applyFont="1" applyFill="1" applyBorder="1" applyAlignment="1">
      <alignment horizontal="right"/>
    </xf>
    <xf numFmtId="0" fontId="33" fillId="25" borderId="39" xfId="0" applyFont="1" applyFill="1" applyBorder="1"/>
    <xf numFmtId="0" fontId="33" fillId="25" borderId="40" xfId="0" applyFont="1" applyFill="1" applyBorder="1"/>
    <xf numFmtId="0" fontId="33" fillId="25" borderId="41" xfId="0" applyFont="1" applyFill="1" applyBorder="1"/>
    <xf numFmtId="0" fontId="33" fillId="25" borderId="42" xfId="0" applyFont="1" applyFill="1" applyBorder="1" applyAlignment="1">
      <alignment horizontal="center"/>
    </xf>
    <xf numFmtId="0" fontId="33" fillId="25" borderId="42" xfId="0" applyFont="1" applyFill="1" applyBorder="1"/>
    <xf numFmtId="0" fontId="33" fillId="25" borderId="40" xfId="0" applyFont="1" applyFill="1" applyBorder="1" applyAlignment="1">
      <alignment horizontal="right"/>
    </xf>
    <xf numFmtId="2" fontId="33" fillId="25" borderId="40" xfId="0" applyNumberFormat="1" applyFont="1" applyFill="1" applyBorder="1"/>
    <xf numFmtId="2" fontId="39" fillId="25" borderId="40" xfId="0" applyNumberFormat="1" applyFont="1" applyFill="1" applyBorder="1"/>
    <xf numFmtId="0" fontId="33" fillId="25" borderId="35" xfId="0" applyFont="1" applyFill="1" applyBorder="1"/>
    <xf numFmtId="0" fontId="33" fillId="25" borderId="36" xfId="0" applyFont="1" applyFill="1" applyBorder="1" applyAlignment="1">
      <alignment horizontal="right"/>
    </xf>
    <xf numFmtId="2" fontId="33" fillId="25" borderId="36" xfId="0" applyNumberFormat="1" applyFont="1" applyFill="1" applyBorder="1"/>
    <xf numFmtId="164" fontId="33" fillId="25" borderId="36" xfId="32" applyFont="1" applyFill="1" applyBorder="1"/>
    <xf numFmtId="164" fontId="33" fillId="25" borderId="0" xfId="32" applyFont="1" applyFill="1" applyBorder="1"/>
    <xf numFmtId="164" fontId="39" fillId="25" borderId="0" xfId="0" applyNumberFormat="1" applyFont="1" applyFill="1"/>
    <xf numFmtId="0" fontId="35" fillId="25" borderId="34" xfId="0" applyFont="1" applyFill="1" applyBorder="1" applyAlignment="1">
      <alignment horizontal="right"/>
    </xf>
    <xf numFmtId="0" fontId="33" fillId="31" borderId="0" xfId="0" applyFont="1" applyFill="1"/>
    <xf numFmtId="0" fontId="35" fillId="31" borderId="0" xfId="0" applyFont="1" applyFill="1"/>
    <xf numFmtId="166" fontId="33" fillId="25" borderId="0" xfId="0" applyNumberFormat="1" applyFont="1" applyFill="1" applyAlignment="1">
      <alignment horizontal="left" vertical="center"/>
    </xf>
    <xf numFmtId="2" fontId="33" fillId="25" borderId="32" xfId="0" applyNumberFormat="1" applyFont="1" applyFill="1" applyBorder="1" applyAlignment="1">
      <alignment horizontal="center"/>
    </xf>
    <xf numFmtId="167" fontId="33" fillId="25" borderId="0" xfId="0" applyNumberFormat="1" applyFont="1" applyFill="1" applyAlignment="1">
      <alignment horizontal="left" vertical="center"/>
    </xf>
    <xf numFmtId="0" fontId="33" fillId="25" borderId="0" xfId="0" applyFont="1" applyFill="1" applyAlignment="1">
      <alignment horizontal="left" vertical="center"/>
    </xf>
    <xf numFmtId="0" fontId="36" fillId="28" borderId="39" xfId="0" applyFont="1" applyFill="1" applyBorder="1" applyAlignment="1">
      <alignment horizontal="right" vertical="center"/>
    </xf>
    <xf numFmtId="168" fontId="36" fillId="28" borderId="41" xfId="0" applyNumberFormat="1" applyFont="1" applyFill="1" applyBorder="1" applyAlignment="1">
      <alignment horizontal="left"/>
    </xf>
    <xf numFmtId="2" fontId="35" fillId="29" borderId="0" xfId="0" applyNumberFormat="1" applyFont="1" applyFill="1"/>
    <xf numFmtId="2" fontId="33" fillId="25" borderId="38" xfId="0" applyNumberFormat="1" applyFont="1" applyFill="1" applyBorder="1" applyAlignment="1">
      <alignment horizontal="center"/>
    </xf>
    <xf numFmtId="0" fontId="36" fillId="32" borderId="39" xfId="0" applyFont="1" applyFill="1" applyBorder="1" applyAlignment="1">
      <alignment horizontal="right"/>
    </xf>
    <xf numFmtId="168" fontId="36" fillId="32" borderId="41" xfId="0" applyNumberFormat="1" applyFont="1" applyFill="1" applyBorder="1" applyAlignment="1">
      <alignment horizontal="left" vertical="center"/>
    </xf>
    <xf numFmtId="0" fontId="33" fillId="25" borderId="0" xfId="0" applyFont="1" applyFill="1" applyAlignment="1">
      <alignment horizontal="center" vertical="center"/>
    </xf>
    <xf numFmtId="2" fontId="33" fillId="25" borderId="46" xfId="0" applyNumberFormat="1" applyFont="1" applyFill="1" applyBorder="1" applyAlignment="1">
      <alignment horizontal="center"/>
    </xf>
    <xf numFmtId="0" fontId="33" fillId="25" borderId="46" xfId="0" quotePrefix="1" applyFont="1" applyFill="1" applyBorder="1" applyAlignment="1">
      <alignment horizontal="center"/>
    </xf>
    <xf numFmtId="0" fontId="33" fillId="25" borderId="46" xfId="0" applyFont="1" applyFill="1" applyBorder="1" applyAlignment="1">
      <alignment horizontal="center"/>
    </xf>
    <xf numFmtId="0" fontId="33" fillId="25" borderId="44" xfId="0" applyFont="1" applyFill="1" applyBorder="1" applyAlignment="1">
      <alignment horizontal="center"/>
    </xf>
    <xf numFmtId="0" fontId="33" fillId="25" borderId="46" xfId="0" applyFont="1" applyFill="1" applyBorder="1"/>
    <xf numFmtId="0" fontId="33" fillId="25" borderId="44" xfId="0" applyFont="1" applyFill="1" applyBorder="1"/>
    <xf numFmtId="0" fontId="33" fillId="25" borderId="42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2" fontId="25" fillId="0" borderId="39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2" fontId="33" fillId="25" borderId="31" xfId="0" applyNumberFormat="1" applyFont="1" applyFill="1" applyBorder="1" applyAlignment="1">
      <alignment horizontal="center"/>
    </xf>
    <xf numFmtId="0" fontId="33" fillId="25" borderId="31" xfId="0" quotePrefix="1" applyFont="1" applyFill="1" applyBorder="1" applyAlignment="1">
      <alignment horizontal="center"/>
    </xf>
    <xf numFmtId="0" fontId="33" fillId="25" borderId="31" xfId="0" applyFont="1" applyFill="1" applyBorder="1" applyAlignment="1">
      <alignment horizontal="center"/>
    </xf>
    <xf numFmtId="0" fontId="33" fillId="25" borderId="33" xfId="0" applyFont="1" applyFill="1" applyBorder="1" applyAlignment="1">
      <alignment horizontal="center"/>
    </xf>
    <xf numFmtId="0" fontId="33" fillId="25" borderId="43" xfId="0" applyFont="1" applyFill="1" applyBorder="1" applyAlignment="1">
      <alignment horizontal="center" vertical="center"/>
    </xf>
    <xf numFmtId="165" fontId="33" fillId="25" borderId="43" xfId="0" applyNumberFormat="1" applyFont="1" applyFill="1" applyBorder="1"/>
    <xf numFmtId="165" fontId="33" fillId="25" borderId="46" xfId="0" applyNumberFormat="1" applyFont="1" applyFill="1" applyBorder="1"/>
    <xf numFmtId="165" fontId="33" fillId="25" borderId="44" xfId="0" applyNumberFormat="1" applyFont="1" applyFill="1" applyBorder="1"/>
    <xf numFmtId="0" fontId="1" fillId="33" borderId="0" xfId="0" applyFont="1" applyFill="1" applyAlignment="1">
      <alignment horizontal="center"/>
    </xf>
    <xf numFmtId="0" fontId="43" fillId="33" borderId="0" xfId="0" applyFont="1" applyFill="1" applyAlignment="1">
      <alignment horizontal="center"/>
    </xf>
    <xf numFmtId="0" fontId="43" fillId="33" borderId="0" xfId="0" quotePrefix="1" applyFont="1" applyFill="1" applyAlignment="1">
      <alignment horizontal="center"/>
    </xf>
    <xf numFmtId="0" fontId="41" fillId="25" borderId="42" xfId="0" applyFont="1" applyFill="1" applyBorder="1" applyAlignment="1">
      <alignment horizontal="center"/>
    </xf>
    <xf numFmtId="4" fontId="41" fillId="25" borderId="42" xfId="0" applyNumberFormat="1" applyFont="1" applyFill="1" applyBorder="1" applyAlignment="1">
      <alignment horizontal="center"/>
    </xf>
    <xf numFmtId="0" fontId="41" fillId="25" borderId="42" xfId="0" quotePrefix="1" applyFont="1" applyFill="1" applyBorder="1" applyAlignment="1">
      <alignment horizontal="center"/>
    </xf>
    <xf numFmtId="0" fontId="42" fillId="34" borderId="42" xfId="0" applyFont="1" applyFill="1" applyBorder="1" applyAlignment="1">
      <alignment horizontal="center" vertical="center" wrapText="1"/>
    </xf>
    <xf numFmtId="0" fontId="42" fillId="34" borderId="42" xfId="0" applyFont="1" applyFill="1" applyBorder="1" applyAlignment="1">
      <alignment horizontal="center" vertical="center"/>
    </xf>
    <xf numFmtId="0" fontId="44" fillId="34" borderId="38" xfId="0" applyFont="1" applyFill="1" applyBorder="1" applyAlignment="1">
      <alignment horizontal="center" vertical="center"/>
    </xf>
    <xf numFmtId="0" fontId="44" fillId="34" borderId="33" xfId="0" applyFont="1" applyFill="1" applyBorder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wrapText="1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center" vertical="center"/>
    </xf>
    <xf numFmtId="164" fontId="1" fillId="33" borderId="0" xfId="44" applyFont="1" applyFill="1" applyAlignment="1">
      <alignment horizontal="center" vertical="center"/>
    </xf>
    <xf numFmtId="2" fontId="43" fillId="33" borderId="0" xfId="0" applyNumberFormat="1" applyFont="1" applyFill="1" applyAlignment="1">
      <alignment horizontal="center"/>
    </xf>
    <xf numFmtId="164" fontId="25" fillId="25" borderId="0" xfId="32" applyFont="1" applyFill="1" applyBorder="1"/>
    <xf numFmtId="164" fontId="30" fillId="25" borderId="0" xfId="0" applyNumberFormat="1" applyFont="1" applyFill="1"/>
    <xf numFmtId="2" fontId="25" fillId="25" borderId="0" xfId="0" applyNumberFormat="1" applyFont="1" applyFill="1"/>
    <xf numFmtId="0" fontId="25" fillId="25" borderId="0" xfId="0" applyFont="1" applyFill="1" applyAlignment="1">
      <alignment horizontal="right"/>
    </xf>
    <xf numFmtId="0" fontId="0" fillId="33" borderId="46" xfId="0" applyFill="1" applyBorder="1" applyAlignment="1">
      <alignment horizontal="center" vertical="center"/>
    </xf>
    <xf numFmtId="170" fontId="0" fillId="33" borderId="46" xfId="0" applyNumberFormat="1" applyFill="1" applyBorder="1" applyAlignment="1">
      <alignment horizontal="center" vertical="center"/>
    </xf>
    <xf numFmtId="0" fontId="0" fillId="33" borderId="44" xfId="0" applyFill="1" applyBorder="1" applyAlignment="1">
      <alignment horizontal="center" vertical="center"/>
    </xf>
    <xf numFmtId="170" fontId="0" fillId="33" borderId="44" xfId="0" applyNumberFormat="1" applyFill="1" applyBorder="1" applyAlignment="1">
      <alignment horizontal="center" vertical="center"/>
    </xf>
    <xf numFmtId="0" fontId="31" fillId="27" borderId="41" xfId="0" applyFont="1" applyFill="1" applyBorder="1" applyAlignment="1">
      <alignment horizontal="center" vertical="center"/>
    </xf>
    <xf numFmtId="0" fontId="25" fillId="25" borderId="37" xfId="0" applyFont="1" applyFill="1" applyBorder="1" applyAlignment="1">
      <alignment horizontal="left" vertical="center" wrapText="1"/>
    </xf>
    <xf numFmtId="0" fontId="25" fillId="25" borderId="38" xfId="0" applyFont="1" applyFill="1" applyBorder="1" applyAlignment="1">
      <alignment horizontal="left" vertical="center" wrapText="1"/>
    </xf>
    <xf numFmtId="0" fontId="28" fillId="25" borderId="42" xfId="0" applyFont="1" applyFill="1" applyBorder="1" applyAlignment="1">
      <alignment horizontal="left" vertical="center" wrapText="1"/>
    </xf>
    <xf numFmtId="0" fontId="28" fillId="25" borderId="37" xfId="0" applyFont="1" applyFill="1" applyBorder="1" applyAlignment="1">
      <alignment horizontal="left" vertical="center" wrapText="1"/>
    </xf>
    <xf numFmtId="0" fontId="28" fillId="25" borderId="38" xfId="0" applyFont="1" applyFill="1" applyBorder="1" applyAlignment="1">
      <alignment horizontal="left" vertical="center" wrapText="1"/>
    </xf>
    <xf numFmtId="0" fontId="0" fillId="33" borderId="0" xfId="0" applyFill="1" applyAlignment="1">
      <alignment horizontal="left"/>
    </xf>
    <xf numFmtId="0" fontId="44" fillId="25" borderId="0" xfId="0" applyFont="1" applyFill="1" applyAlignment="1">
      <alignment horizontal="center" vertical="center"/>
    </xf>
    <xf numFmtId="2" fontId="25" fillId="25" borderId="0" xfId="0" applyNumberFormat="1" applyFont="1" applyFill="1" applyAlignment="1">
      <alignment horizontal="center" vertical="center"/>
    </xf>
    <xf numFmtId="0" fontId="12" fillId="25" borderId="47" xfId="0" applyFont="1" applyFill="1" applyBorder="1"/>
    <xf numFmtId="0" fontId="12" fillId="25" borderId="49" xfId="0" applyFont="1" applyFill="1" applyBorder="1"/>
    <xf numFmtId="0" fontId="12" fillId="25" borderId="50" xfId="0" applyFont="1" applyFill="1" applyBorder="1"/>
    <xf numFmtId="0" fontId="12" fillId="25" borderId="51" xfId="0" applyFont="1" applyFill="1" applyBorder="1"/>
    <xf numFmtId="0" fontId="12" fillId="25" borderId="0" xfId="0" applyFont="1" applyFill="1"/>
    <xf numFmtId="0" fontId="12" fillId="25" borderId="52" xfId="0" applyFont="1" applyFill="1" applyBorder="1"/>
    <xf numFmtId="0" fontId="12" fillId="25" borderId="53" xfId="0" applyFont="1" applyFill="1" applyBorder="1"/>
    <xf numFmtId="0" fontId="12" fillId="25" borderId="54" xfId="0" applyFont="1" applyFill="1" applyBorder="1"/>
    <xf numFmtId="0" fontId="12" fillId="35" borderId="0" xfId="0" applyFont="1" applyFill="1"/>
    <xf numFmtId="0" fontId="12" fillId="35" borderId="0" xfId="0" applyFont="1" applyFill="1" applyAlignment="1">
      <alignment horizontal="center"/>
    </xf>
    <xf numFmtId="0" fontId="25" fillId="25" borderId="39" xfId="0" applyFont="1" applyFill="1" applyBorder="1" applyAlignment="1">
      <alignment vertical="center"/>
    </xf>
    <xf numFmtId="2" fontId="28" fillId="25" borderId="42" xfId="0" applyNumberFormat="1" applyFont="1" applyFill="1" applyBorder="1" applyAlignment="1">
      <alignment horizontal="center"/>
    </xf>
    <xf numFmtId="168" fontId="35" fillId="25" borderId="0" xfId="0" applyNumberFormat="1" applyFont="1" applyFill="1"/>
    <xf numFmtId="0" fontId="21" fillId="34" borderId="20" xfId="34" applyFont="1" applyFill="1" applyBorder="1" applyAlignment="1">
      <alignment horizontal="center"/>
    </xf>
    <xf numFmtId="0" fontId="48" fillId="25" borderId="0" xfId="0" applyFont="1" applyFill="1" applyAlignment="1">
      <alignment horizontal="left"/>
    </xf>
    <xf numFmtId="0" fontId="47" fillId="0" borderId="12" xfId="34" applyFont="1" applyFill="1" applyBorder="1" applyAlignment="1">
      <alignment horizontal="center" vertical="center"/>
    </xf>
    <xf numFmtId="0" fontId="21" fillId="0" borderId="15" xfId="34" applyFont="1" applyFill="1" applyBorder="1" applyAlignment="1">
      <alignment horizontal="center"/>
    </xf>
    <xf numFmtId="0" fontId="21" fillId="0" borderId="16" xfId="34" applyFont="1" applyFill="1" applyBorder="1" applyAlignment="1">
      <alignment horizontal="center"/>
    </xf>
    <xf numFmtId="0" fontId="23" fillId="0" borderId="14" xfId="34" applyFont="1" applyFill="1" applyBorder="1" applyAlignment="1">
      <alignment horizontal="center"/>
    </xf>
    <xf numFmtId="0" fontId="21" fillId="0" borderId="20" xfId="34" applyFont="1" applyFill="1" applyBorder="1" applyAlignment="1">
      <alignment horizontal="center"/>
    </xf>
    <xf numFmtId="0" fontId="21" fillId="0" borderId="18" xfId="34" applyFont="1" applyFill="1" applyBorder="1" applyAlignment="1">
      <alignment horizontal="center"/>
    </xf>
    <xf numFmtId="0" fontId="21" fillId="34" borderId="14" xfId="34" applyFont="1" applyFill="1" applyBorder="1" applyAlignment="1">
      <alignment horizontal="center"/>
    </xf>
    <xf numFmtId="0" fontId="23" fillId="34" borderId="12" xfId="34" applyFont="1" applyFill="1" applyBorder="1" applyAlignment="1">
      <alignment horizontal="center" vertical="center"/>
    </xf>
    <xf numFmtId="0" fontId="35" fillId="25" borderId="39" xfId="0" applyFont="1" applyFill="1" applyBorder="1" applyAlignment="1">
      <alignment horizontal="center"/>
    </xf>
    <xf numFmtId="0" fontId="35" fillId="25" borderId="40" xfId="0" applyFont="1" applyFill="1" applyBorder="1" applyAlignment="1">
      <alignment horizontal="center"/>
    </xf>
    <xf numFmtId="0" fontId="35" fillId="25" borderId="41" xfId="0" applyFont="1" applyFill="1" applyBorder="1" applyAlignment="1">
      <alignment horizontal="center"/>
    </xf>
    <xf numFmtId="0" fontId="35" fillId="26" borderId="42" xfId="0" applyFont="1" applyFill="1" applyBorder="1" applyAlignment="1">
      <alignment horizontal="center" vertical="center"/>
    </xf>
    <xf numFmtId="168" fontId="35" fillId="26" borderId="42" xfId="0" applyNumberFormat="1" applyFont="1" applyFill="1" applyBorder="1" applyAlignment="1">
      <alignment horizontal="center" vertical="center"/>
    </xf>
    <xf numFmtId="0" fontId="33" fillId="25" borderId="42" xfId="0" applyFont="1" applyFill="1" applyBorder="1" applyAlignment="1">
      <alignment horizontal="center"/>
    </xf>
    <xf numFmtId="0" fontId="26" fillId="25" borderId="0" xfId="0" applyFont="1" applyFill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8" fillId="34" borderId="42" xfId="0" applyFont="1" applyFill="1" applyBorder="1" applyAlignment="1">
      <alignment horizontal="center"/>
    </xf>
    <xf numFmtId="0" fontId="28" fillId="34" borderId="39" xfId="0" applyFont="1" applyFill="1" applyBorder="1" applyAlignment="1">
      <alignment horizontal="center"/>
    </xf>
    <xf numFmtId="0" fontId="28" fillId="34" borderId="40" xfId="0" applyFont="1" applyFill="1" applyBorder="1" applyAlignment="1">
      <alignment horizontal="center"/>
    </xf>
    <xf numFmtId="0" fontId="28" fillId="34" borderId="41" xfId="0" applyFont="1" applyFill="1" applyBorder="1" applyAlignment="1">
      <alignment horizontal="center"/>
    </xf>
    <xf numFmtId="0" fontId="31" fillId="27" borderId="39" xfId="0" applyFont="1" applyFill="1" applyBorder="1" applyAlignment="1">
      <alignment horizontal="center" vertical="center"/>
    </xf>
    <xf numFmtId="0" fontId="31" fillId="27" borderId="41" xfId="0" applyFont="1" applyFill="1" applyBorder="1" applyAlignment="1">
      <alignment horizontal="center" vertical="center"/>
    </xf>
    <xf numFmtId="0" fontId="25" fillId="25" borderId="35" xfId="0" applyFont="1" applyFill="1" applyBorder="1" applyAlignment="1">
      <alignment horizontal="left" vertical="center" wrapText="1"/>
    </xf>
    <xf numFmtId="0" fontId="25" fillId="25" borderId="37" xfId="0" applyFont="1" applyFill="1" applyBorder="1" applyAlignment="1">
      <alignment horizontal="left" vertical="center" wrapText="1"/>
    </xf>
    <xf numFmtId="0" fontId="25" fillId="25" borderId="33" xfId="0" applyFont="1" applyFill="1" applyBorder="1" applyAlignment="1">
      <alignment horizontal="left" vertical="center" wrapText="1"/>
    </xf>
    <xf numFmtId="0" fontId="25" fillId="25" borderId="38" xfId="0" applyFont="1" applyFill="1" applyBorder="1" applyAlignment="1">
      <alignment horizontal="left" vertical="center" wrapText="1"/>
    </xf>
    <xf numFmtId="0" fontId="28" fillId="25" borderId="42" xfId="0" applyFont="1" applyFill="1" applyBorder="1" applyAlignment="1">
      <alignment horizontal="left" vertical="center" wrapText="1"/>
    </xf>
    <xf numFmtId="0" fontId="28" fillId="25" borderId="35" xfId="0" applyFont="1" applyFill="1" applyBorder="1" applyAlignment="1">
      <alignment horizontal="left" vertical="center" wrapText="1"/>
    </xf>
    <xf numFmtId="0" fontId="28" fillId="25" borderId="37" xfId="0" applyFont="1" applyFill="1" applyBorder="1" applyAlignment="1">
      <alignment horizontal="left" vertical="center" wrapText="1"/>
    </xf>
    <xf numFmtId="0" fontId="28" fillId="25" borderId="33" xfId="0" applyFont="1" applyFill="1" applyBorder="1" applyAlignment="1">
      <alignment horizontal="left" vertical="center" wrapText="1"/>
    </xf>
    <xf numFmtId="0" fontId="28" fillId="25" borderId="38" xfId="0" applyFont="1" applyFill="1" applyBorder="1" applyAlignment="1">
      <alignment horizontal="left" vertical="center" wrapText="1"/>
    </xf>
    <xf numFmtId="0" fontId="25" fillId="25" borderId="43" xfId="0" applyFont="1" applyFill="1" applyBorder="1" applyAlignment="1">
      <alignment horizontal="center" vertical="center"/>
    </xf>
    <xf numFmtId="0" fontId="25" fillId="25" borderId="44" xfId="0" applyFont="1" applyFill="1" applyBorder="1" applyAlignment="1">
      <alignment horizontal="center" vertical="center"/>
    </xf>
    <xf numFmtId="2" fontId="25" fillId="25" borderId="43" xfId="0" applyNumberFormat="1" applyFont="1" applyFill="1" applyBorder="1" applyAlignment="1">
      <alignment horizontal="center" vertical="center"/>
    </xf>
    <xf numFmtId="2" fontId="25" fillId="25" borderId="44" xfId="0" applyNumberFormat="1" applyFont="1" applyFill="1" applyBorder="1" applyAlignment="1">
      <alignment horizontal="center" vertical="center"/>
    </xf>
    <xf numFmtId="0" fontId="45" fillId="33" borderId="42" xfId="0" applyFont="1" applyFill="1" applyBorder="1" applyAlignment="1">
      <alignment horizontal="center" vertical="center" wrapText="1"/>
    </xf>
    <xf numFmtId="0" fontId="45" fillId="33" borderId="0" xfId="0" applyFont="1" applyFill="1" applyAlignment="1">
      <alignment horizontal="center" vertical="center" wrapText="1"/>
    </xf>
    <xf numFmtId="0" fontId="22" fillId="0" borderId="45" xfId="34" applyFont="1" applyBorder="1" applyAlignment="1">
      <alignment horizontal="center" vertical="center"/>
    </xf>
    <xf numFmtId="0" fontId="22" fillId="0" borderId="12" xfId="34" applyFont="1" applyBorder="1" applyAlignment="1">
      <alignment horizontal="center" vertical="center"/>
    </xf>
    <xf numFmtId="0" fontId="22" fillId="0" borderId="13" xfId="34" applyFont="1" applyBorder="1" applyAlignment="1">
      <alignment horizontal="center" vertical="center"/>
    </xf>
    <xf numFmtId="0" fontId="49" fillId="25" borderId="48" xfId="0" applyFont="1" applyFill="1" applyBorder="1" applyAlignment="1">
      <alignment horizontal="center" wrapText="1"/>
    </xf>
    <xf numFmtId="0" fontId="49" fillId="25" borderId="48" xfId="0" applyFont="1" applyFill="1" applyBorder="1" applyAlignment="1">
      <alignment horizontal="center"/>
    </xf>
    <xf numFmtId="0" fontId="49" fillId="25" borderId="0" xfId="0" applyFont="1" applyFill="1" applyAlignment="1">
      <alignment horizontal="center"/>
    </xf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Millares" xfId="44" builtinId="3"/>
    <cellStyle name="Millares_Icc. _UPEU 15KVA, 22.9KV BIF." xfId="32"/>
    <cellStyle name="Neutral" xfId="33" builtinId="28" customBuiltin="1"/>
    <cellStyle name="Normal" xfId="0" builtinId="0"/>
    <cellStyle name="Normal 2" xfId="34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1" xfId="40"/>
    <cellStyle name="Título 2" xfId="41" builtinId="17" customBuiltin="1"/>
    <cellStyle name="Título 3" xfId="42" builtinId="18" customBuiltin="1"/>
    <cellStyle name="Total" xfId="43" builtinId="25" customBuiltin="1"/>
  </cellStyles>
  <dxfs count="12">
    <dxf>
      <font>
        <name val="Arial Narrow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 Narrow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EA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728291014875346E-2"/>
          <c:y val="1.3833108867152038E-2"/>
          <c:w val="0.89365124899814197"/>
          <c:h val="0.928690483688023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'DAÑO TERMICO'!$W$51:$W$54</c:f>
              <c:strCache>
                <c:ptCount val="4"/>
                <c:pt idx="0">
                  <c:v>Fusible 8K curva de fusión I (Amp.)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'DAÑO TERMICO'!$W$55:$W$66</c:f>
              <c:numCache>
                <c:formatCode>0.0</c:formatCode>
                <c:ptCount val="12"/>
                <c:pt idx="0">
                  <c:v>295.44223499999998</c:v>
                </c:pt>
                <c:pt idx="1">
                  <c:v>183.83072399999998</c:v>
                </c:pt>
                <c:pt idx="2">
                  <c:v>98.480744999999999</c:v>
                </c:pt>
                <c:pt idx="3">
                  <c:v>52.523063999999998</c:v>
                </c:pt>
                <c:pt idx="4">
                  <c:v>45.957680999999994</c:v>
                </c:pt>
                <c:pt idx="5">
                  <c:v>29.544223499999998</c:v>
                </c:pt>
                <c:pt idx="6">
                  <c:v>22.978840499999997</c:v>
                </c:pt>
                <c:pt idx="7">
                  <c:v>16.4134575</c:v>
                </c:pt>
                <c:pt idx="8">
                  <c:v>13.787304300000001</c:v>
                </c:pt>
                <c:pt idx="9">
                  <c:v>13.130765999999999</c:v>
                </c:pt>
                <c:pt idx="10">
                  <c:v>13.130765999999999</c:v>
                </c:pt>
                <c:pt idx="11">
                  <c:v>13.130765999999999</c:v>
                </c:pt>
              </c:numCache>
            </c:numRef>
          </c:xVal>
          <c:yVal>
            <c:numRef>
              <c:f>'DAÑO TERMICO'!$L$55:$L$66</c:f>
              <c:numCache>
                <c:formatCode>General</c:formatCode>
                <c:ptCount val="12"/>
                <c:pt idx="0">
                  <c:v>1.2999999999999999E-2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1</c:v>
                </c:pt>
                <c:pt idx="6">
                  <c:v>2</c:v>
                </c:pt>
                <c:pt idx="7">
                  <c:v>10</c:v>
                </c:pt>
                <c:pt idx="8">
                  <c:v>30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5-4E6B-A81C-ED3B988C027F}"/>
            </c:ext>
          </c:extLst>
        </c:ser>
        <c:ser>
          <c:idx val="1"/>
          <c:order val="1"/>
          <c:tx>
            <c:strRef>
              <c:f>'DAÑO TERMICO'!$X$51:$X$54</c:f>
              <c:strCache>
                <c:ptCount val="4"/>
                <c:pt idx="0">
                  <c:v>Fusible 8K curva de aclaramiento I (Amp.)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'DAÑO TERMICO'!$X$55:$X$66</c:f>
              <c:numCache>
                <c:formatCode>0.0</c:formatCode>
                <c:ptCount val="12"/>
                <c:pt idx="0">
                  <c:v>384.0749055</c:v>
                </c:pt>
                <c:pt idx="1">
                  <c:v>238.97994119999998</c:v>
                </c:pt>
                <c:pt idx="2">
                  <c:v>128.0249685</c:v>
                </c:pt>
                <c:pt idx="3">
                  <c:v>68.279983200000004</c:v>
                </c:pt>
                <c:pt idx="4">
                  <c:v>59.744985299999996</c:v>
                </c:pt>
                <c:pt idx="5">
                  <c:v>38.407490549999999</c:v>
                </c:pt>
                <c:pt idx="6">
                  <c:v>29.872492649999998</c:v>
                </c:pt>
                <c:pt idx="7">
                  <c:v>21.337494750000001</c:v>
                </c:pt>
                <c:pt idx="8">
                  <c:v>17.923495590000002</c:v>
                </c:pt>
                <c:pt idx="9">
                  <c:v>17.069995800000001</c:v>
                </c:pt>
                <c:pt idx="10">
                  <c:v>17.069995800000001</c:v>
                </c:pt>
                <c:pt idx="11">
                  <c:v>17.069995800000001</c:v>
                </c:pt>
              </c:numCache>
            </c:numRef>
          </c:xVal>
          <c:yVal>
            <c:numRef>
              <c:f>'DAÑO TERMICO'!$L$55:$L$66</c:f>
              <c:numCache>
                <c:formatCode>General</c:formatCode>
                <c:ptCount val="12"/>
                <c:pt idx="0">
                  <c:v>1.2999999999999999E-2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1</c:v>
                </c:pt>
                <c:pt idx="6">
                  <c:v>2</c:v>
                </c:pt>
                <c:pt idx="7">
                  <c:v>10</c:v>
                </c:pt>
                <c:pt idx="8">
                  <c:v>30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5-4E6B-A81C-ED3B988C027F}"/>
            </c:ext>
          </c:extLst>
        </c:ser>
        <c:ser>
          <c:idx val="4"/>
          <c:order val="2"/>
          <c:tx>
            <c:strRef>
              <c:f>'DAÑO TERMICO'!$B$24</c:f>
              <c:strCache>
                <c:ptCount val="1"/>
                <c:pt idx="0">
                  <c:v>A) CARGA TERMICA DE TRANSFORMADORES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'DAÑO TERMICO'!$D$27:$D$36</c:f>
              <c:numCache>
                <c:formatCode>0.00</c:formatCode>
                <c:ptCount val="10"/>
                <c:pt idx="0">
                  <c:v>1.4215063445956697</c:v>
                </c:pt>
                <c:pt idx="1">
                  <c:v>1.5527223148660392</c:v>
                </c:pt>
                <c:pt idx="2">
                  <c:v>2.3181488081098616</c:v>
                </c:pt>
                <c:pt idx="3">
                  <c:v>3.2803992567592379</c:v>
                </c:pt>
                <c:pt idx="4">
                  <c:v>3.6959164959487412</c:v>
                </c:pt>
                <c:pt idx="5">
                  <c:v>4.3738656756789842</c:v>
                </c:pt>
                <c:pt idx="6">
                  <c:v>5.4673320945987296</c:v>
                </c:pt>
                <c:pt idx="7">
                  <c:v>6.5607985135184759</c:v>
                </c:pt>
                <c:pt idx="8">
                  <c:v>7.6542649324382221</c:v>
                </c:pt>
                <c:pt idx="9">
                  <c:v>8.7477313513579684</c:v>
                </c:pt>
              </c:numCache>
            </c:numRef>
          </c:xVal>
          <c:yVal>
            <c:numRef>
              <c:f>'DAÑO TERMICO'!$C$27:$C$36</c:f>
              <c:numCache>
                <c:formatCode>General</c:formatCode>
                <c:ptCount val="10"/>
                <c:pt idx="0">
                  <c:v>60</c:v>
                </c:pt>
                <c:pt idx="1">
                  <c:v>30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5-4E6B-A81C-ED3B988C027F}"/>
            </c:ext>
          </c:extLst>
        </c:ser>
        <c:ser>
          <c:idx val="5"/>
          <c:order val="3"/>
          <c:tx>
            <c:strRef>
              <c:f>'DAÑO TERMICO'!$L$69</c:f>
              <c:strCache>
                <c:ptCount val="1"/>
                <c:pt idx="0">
                  <c:v>TM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'DAÑO TERMICO'!$R$72:$R$79</c:f>
              <c:numCache>
                <c:formatCode>_ * #,##0.00_ ;_ * \-#,##0.00_ ;_ * "-"??_ ;_ @_ </c:formatCode>
                <c:ptCount val="8"/>
                <c:pt idx="0">
                  <c:v>2.2040000000000002</c:v>
                </c:pt>
                <c:pt idx="1">
                  <c:v>2.2800000000000002</c:v>
                </c:pt>
                <c:pt idx="2">
                  <c:v>2.66</c:v>
                </c:pt>
                <c:pt idx="3">
                  <c:v>10.64</c:v>
                </c:pt>
                <c:pt idx="4">
                  <c:v>12.16</c:v>
                </c:pt>
                <c:pt idx="5">
                  <c:v>13.3</c:v>
                </c:pt>
                <c:pt idx="6">
                  <c:v>14.06</c:v>
                </c:pt>
                <c:pt idx="7">
                  <c:v>15.200000000000001</c:v>
                </c:pt>
              </c:numCache>
            </c:numRef>
          </c:xVal>
          <c:yVal>
            <c:numRef>
              <c:f>'DAÑO TERMICO'!$P$72:$P$79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100</c:v>
                </c:pt>
                <c:pt idx="3">
                  <c:v>1</c:v>
                </c:pt>
                <c:pt idx="4">
                  <c:v>0.8</c:v>
                </c:pt>
                <c:pt idx="5">
                  <c:v>0.04</c:v>
                </c:pt>
                <c:pt idx="6">
                  <c:v>0.02</c:v>
                </c:pt>
                <c:pt idx="7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35-4E6B-A81C-ED3B988C027F}"/>
            </c:ext>
          </c:extLst>
        </c:ser>
        <c:ser>
          <c:idx val="6"/>
          <c:order val="4"/>
          <c:tx>
            <c:strRef>
              <c:f>'DAÑO TERMICO'!$C$50</c:f>
              <c:strCache>
                <c:ptCount val="1"/>
                <c:pt idx="0">
                  <c:v>Aluminio Icc(A)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'DAÑO TERMICO'!$C$51:$C$60</c:f>
              <c:numCache>
                <c:formatCode>#,##0.00</c:formatCode>
                <c:ptCount val="10"/>
                <c:pt idx="0">
                  <c:v>594.00973211724397</c:v>
                </c:pt>
                <c:pt idx="1">
                  <c:v>664.12307015529882</c:v>
                </c:pt>
                <c:pt idx="2">
                  <c:v>766.863266658405</c:v>
                </c:pt>
                <c:pt idx="3">
                  <c:v>939.21185289848211</c:v>
                </c:pt>
                <c:pt idx="4">
                  <c:v>1328.2461403105976</c:v>
                </c:pt>
                <c:pt idx="5">
                  <c:v>1878.4237057969642</c:v>
                </c:pt>
                <c:pt idx="6">
                  <c:v>2100.1415483545388</c:v>
                </c:pt>
                <c:pt idx="7">
                  <c:v>2425.0345765576208</c:v>
                </c:pt>
                <c:pt idx="8">
                  <c:v>2970.0486605862197</c:v>
                </c:pt>
                <c:pt idx="9">
                  <c:v>4200.2830967090777</c:v>
                </c:pt>
              </c:numCache>
            </c:numRef>
          </c:xVal>
          <c:yVal>
            <c:numRef>
              <c:f>'DAÑO TERMICO'!$B$51:$B$60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35-4E6B-A81C-ED3B988C027F}"/>
            </c:ext>
          </c:extLst>
        </c:ser>
        <c:ser>
          <c:idx val="8"/>
          <c:order val="5"/>
          <c:tx>
            <c:strRef>
              <c:f>'DAÑO TERMICO'!$F$49:$G$49</c:f>
              <c:strCache>
                <c:ptCount val="1"/>
                <c:pt idx="0">
                  <c:v>Conductor de B.T.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'DAÑO TERMICO'!$G$51:$G$60</c:f>
              <c:numCache>
                <c:formatCode>#,##0.00</c:formatCode>
                <c:ptCount val="10"/>
                <c:pt idx="0">
                  <c:v>928.26605595271008</c:v>
                </c:pt>
                <c:pt idx="1">
                  <c:v>1037.8330011579417</c:v>
                </c:pt>
                <c:pt idx="2">
                  <c:v>1198.3863251848295</c:v>
                </c:pt>
                <c:pt idx="3">
                  <c:v>1467.7175057159332</c:v>
                </c:pt>
                <c:pt idx="4">
                  <c:v>2075.6660023158834</c:v>
                </c:pt>
                <c:pt idx="5">
                  <c:v>2935.4350114318663</c:v>
                </c:pt>
                <c:pt idx="6">
                  <c:v>3281.9161145472622</c:v>
                </c:pt>
                <c:pt idx="7">
                  <c:v>3789.6303043832654</c:v>
                </c:pt>
                <c:pt idx="8">
                  <c:v>4641.3302797635506</c:v>
                </c:pt>
                <c:pt idx="9">
                  <c:v>6563.8322290945243</c:v>
                </c:pt>
              </c:numCache>
            </c:numRef>
          </c:xVal>
          <c:yVal>
            <c:numRef>
              <c:f>'DAÑO TERMICO'!$F$51:$F$60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35-4E6B-A81C-ED3B988C027F}"/>
            </c:ext>
          </c:extLst>
        </c:ser>
        <c:ser>
          <c:idx val="9"/>
          <c:order val="6"/>
          <c:tx>
            <c:strRef>
              <c:f>'CALCULO CORRRIENTES'!$W$74:$X$74</c:f>
              <c:strCache>
                <c:ptCount val="1"/>
                <c:pt idx="0">
                  <c:v>Icc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'CALCULO CORRRIENTES'!$X$76:$X$83</c:f>
              <c:numCache>
                <c:formatCode>0.00</c:formatCode>
                <c:ptCount val="8"/>
                <c:pt idx="0">
                  <c:v>4.3738656756789842</c:v>
                </c:pt>
                <c:pt idx="1">
                  <c:v>4.3738656756789842</c:v>
                </c:pt>
                <c:pt idx="2">
                  <c:v>4.3738656756789842</c:v>
                </c:pt>
                <c:pt idx="3">
                  <c:v>4.3738656756789842</c:v>
                </c:pt>
                <c:pt idx="4">
                  <c:v>4.3738656756789842</c:v>
                </c:pt>
                <c:pt idx="5">
                  <c:v>4.3738656756789842</c:v>
                </c:pt>
                <c:pt idx="6">
                  <c:v>4.3738656756789842</c:v>
                </c:pt>
                <c:pt idx="7">
                  <c:v>4.3738656756789842</c:v>
                </c:pt>
              </c:numCache>
            </c:numRef>
          </c:xVal>
          <c:yVal>
            <c:numRef>
              <c:f>'CALCULO CORRRIENTES'!$W$76:$W$83</c:f>
              <c:numCache>
                <c:formatCode>General</c:formatCode>
                <c:ptCount val="8"/>
                <c:pt idx="0" formatCode="0.00">
                  <c:v>300</c:v>
                </c:pt>
                <c:pt idx="1">
                  <c:v>100</c:v>
                </c:pt>
                <c:pt idx="2">
                  <c:v>12</c:v>
                </c:pt>
                <c:pt idx="3">
                  <c:v>0.9</c:v>
                </c:pt>
                <c:pt idx="4">
                  <c:v>0.3</c:v>
                </c:pt>
                <c:pt idx="5">
                  <c:v>0.2</c:v>
                </c:pt>
                <c:pt idx="6">
                  <c:v>0.1</c:v>
                </c:pt>
                <c:pt idx="7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35-4E6B-A81C-ED3B988C027F}"/>
            </c:ext>
          </c:extLst>
        </c:ser>
        <c:ser>
          <c:idx val="10"/>
          <c:order val="7"/>
          <c:tx>
            <c:strRef>
              <c:f>'DAÑO TERMICO'!$B$38</c:f>
              <c:strCache>
                <c:ptCount val="1"/>
                <c:pt idx="0">
                  <c:v>B) CARGA INRUSH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'DAÑO TERMICO'!$D$41:$D$44</c:f>
              <c:numCache>
                <c:formatCode>0.00</c:formatCode>
                <c:ptCount val="4"/>
                <c:pt idx="0">
                  <c:v>3.9364791081110857</c:v>
                </c:pt>
                <c:pt idx="1">
                  <c:v>2.1869328378394921</c:v>
                </c:pt>
                <c:pt idx="2">
                  <c:v>0.49205988851388571</c:v>
                </c:pt>
                <c:pt idx="3">
                  <c:v>0.2186932837839492</c:v>
                </c:pt>
              </c:numCache>
            </c:numRef>
          </c:xVal>
          <c:yVal>
            <c:numRef>
              <c:f>'DAÑO TERMICO'!$C$41:$C$44</c:f>
              <c:numCache>
                <c:formatCode>General</c:formatCode>
                <c:ptCount val="4"/>
                <c:pt idx="0">
                  <c:v>0.01</c:v>
                </c:pt>
                <c:pt idx="1">
                  <c:v>0.1</c:v>
                </c:pt>
                <c:pt idx="2">
                  <c:v>2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35-4E6B-A81C-ED3B988C027F}"/>
            </c:ext>
          </c:extLst>
        </c:ser>
        <c:ser>
          <c:idx val="2"/>
          <c:order val="8"/>
          <c:tx>
            <c:strRef>
              <c:f>'DAÑO TERMICO'!$S$51:$S$54</c:f>
              <c:strCache>
                <c:ptCount val="4"/>
                <c:pt idx="0">
                  <c:v>Fusible 5K curva de fusión I (Amp.)</c:v>
                </c:pt>
              </c:strCache>
            </c:strRef>
          </c:tx>
          <c:spPr>
            <a:ln w="28575">
              <a:solidFill>
                <a:srgbClr val="CEA202"/>
              </a:solidFill>
              <a:prstDash val="sysDash"/>
            </a:ln>
          </c:spPr>
          <c:marker>
            <c:symbol val="none"/>
          </c:marker>
          <c:xVal>
            <c:numRef>
              <c:f>'DAÑO TERMICO'!$S$55:$S$66</c:f>
              <c:numCache>
                <c:formatCode>0.0</c:formatCode>
                <c:ptCount val="12"/>
                <c:pt idx="0">
                  <c:v>158.73749999999998</c:v>
                </c:pt>
                <c:pt idx="1">
                  <c:v>98.77</c:v>
                </c:pt>
                <c:pt idx="2">
                  <c:v>52.912499999999994</c:v>
                </c:pt>
                <c:pt idx="3">
                  <c:v>28.22</c:v>
                </c:pt>
                <c:pt idx="4">
                  <c:v>24.692499999999999</c:v>
                </c:pt>
                <c:pt idx="5">
                  <c:v>15.873749999999999</c:v>
                </c:pt>
                <c:pt idx="6">
                  <c:v>12.34625</c:v>
                </c:pt>
                <c:pt idx="7">
                  <c:v>8.8187499999999996</c:v>
                </c:pt>
                <c:pt idx="8">
                  <c:v>7.4077500000000001</c:v>
                </c:pt>
                <c:pt idx="9">
                  <c:v>7.0549999999999997</c:v>
                </c:pt>
                <c:pt idx="10">
                  <c:v>7.0549999999999997</c:v>
                </c:pt>
                <c:pt idx="11">
                  <c:v>7.0549999999999997</c:v>
                </c:pt>
              </c:numCache>
            </c:numRef>
          </c:xVal>
          <c:yVal>
            <c:numRef>
              <c:f>'DAÑO TERMICO'!$L$55:$L$66</c:f>
              <c:numCache>
                <c:formatCode>General</c:formatCode>
                <c:ptCount val="12"/>
                <c:pt idx="0">
                  <c:v>1.2999999999999999E-2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1</c:v>
                </c:pt>
                <c:pt idx="6">
                  <c:v>2</c:v>
                </c:pt>
                <c:pt idx="7">
                  <c:v>10</c:v>
                </c:pt>
                <c:pt idx="8">
                  <c:v>30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35-4E6B-A81C-ED3B988C027F}"/>
            </c:ext>
          </c:extLst>
        </c:ser>
        <c:ser>
          <c:idx val="3"/>
          <c:order val="9"/>
          <c:tx>
            <c:strRef>
              <c:f>'DAÑO TERMICO'!$T$51:$T$54</c:f>
              <c:strCache>
                <c:ptCount val="4"/>
                <c:pt idx="0">
                  <c:v>Fusible 5K curva de aclaramiento I (Amp.)</c:v>
                </c:pt>
              </c:strCache>
            </c:strRef>
          </c:tx>
          <c:spPr>
            <a:ln w="28575"/>
          </c:spPr>
          <c:marker>
            <c:symbol val="none"/>
          </c:marker>
          <c:xVal>
            <c:numRef>
              <c:f>'DAÑO TERMICO'!$T$55:$T$66</c:f>
              <c:numCache>
                <c:formatCode>0.0</c:formatCode>
                <c:ptCount val="12"/>
                <c:pt idx="0">
                  <c:v>206.35874999999999</c:v>
                </c:pt>
                <c:pt idx="1">
                  <c:v>128.40100000000001</c:v>
                </c:pt>
                <c:pt idx="2">
                  <c:v>68.786249999999995</c:v>
                </c:pt>
                <c:pt idx="3">
                  <c:v>36.686</c:v>
                </c:pt>
                <c:pt idx="4">
                  <c:v>32.100250000000003</c:v>
                </c:pt>
                <c:pt idx="5">
                  <c:v>20.635874999999999</c:v>
                </c:pt>
                <c:pt idx="6">
                  <c:v>16.050125000000001</c:v>
                </c:pt>
                <c:pt idx="7">
                  <c:v>11.464375</c:v>
                </c:pt>
                <c:pt idx="8">
                  <c:v>9.6300749999999997</c:v>
                </c:pt>
                <c:pt idx="9">
                  <c:v>9.1715</c:v>
                </c:pt>
                <c:pt idx="10">
                  <c:v>9.1715</c:v>
                </c:pt>
                <c:pt idx="11">
                  <c:v>9.1715</c:v>
                </c:pt>
              </c:numCache>
            </c:numRef>
          </c:xVal>
          <c:yVal>
            <c:numRef>
              <c:f>'DAÑO TERMICO'!$L$55:$L$66</c:f>
              <c:numCache>
                <c:formatCode>General</c:formatCode>
                <c:ptCount val="12"/>
                <c:pt idx="0">
                  <c:v>1.2999999999999999E-2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1</c:v>
                </c:pt>
                <c:pt idx="6">
                  <c:v>2</c:v>
                </c:pt>
                <c:pt idx="7">
                  <c:v>10</c:v>
                </c:pt>
                <c:pt idx="8">
                  <c:v>30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335-4E6B-A81C-ED3B988C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581800"/>
        <c:axId val="371582192"/>
      </c:scatterChart>
      <c:valAx>
        <c:axId val="371581800"/>
        <c:scaling>
          <c:logBase val="10"/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CORRIENTE </a:t>
                </a:r>
                <a:r>
                  <a:rPr lang="es-PE" sz="14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EN AMPERIOS</a:t>
                </a:r>
                <a:endParaRPr lang="es-PE" sz="140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3566443514126779"/>
              <c:y val="0.973877982457343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71582192"/>
        <c:crosses val="autoZero"/>
        <c:crossBetween val="midCat"/>
        <c:majorUnit val="10"/>
      </c:valAx>
      <c:valAx>
        <c:axId val="37158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TIEMPO</a:t>
                </a:r>
                <a:r>
                  <a:rPr lang="es-PE" sz="14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SEGUNDOS</a:t>
                </a:r>
                <a:endParaRPr lang="es-PE" sz="140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71581800"/>
        <c:crossesAt val="1.3000000000000003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30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48125" y="23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5</xdr:col>
      <xdr:colOff>476250</xdr:colOff>
      <xdr:row>30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048125" y="23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22</xdr:col>
      <xdr:colOff>529591</xdr:colOff>
      <xdr:row>22</xdr:row>
      <xdr:rowOff>60960</xdr:rowOff>
    </xdr:from>
    <xdr:ext cx="2228850" cy="26456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62951" y="464820"/>
          <a:ext cx="2228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165068</xdr:colOff>
      <xdr:row>27</xdr:row>
      <xdr:rowOff>158750</xdr:rowOff>
    </xdr:from>
    <xdr:ext cx="1612932" cy="486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376735" y="1545167"/>
              <a:ext cx="1612932" cy="48683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PE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𝐶𝑜𝑠</m:t>
                        </m:r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Ø</m:t>
                        </m:r>
                      </m:den>
                    </m:f>
                  </m:oMath>
                </m:oMathPara>
              </a14:m>
              <a:endParaRPr lang="es-PE" sz="1400" b="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376735" y="1545167"/>
              <a:ext cx="1612932" cy="48683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𝐼_𝑛=𝑃/(√3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×𝑉_𝑙×𝐶𝑜𝑠Ø)</a:t>
              </a:r>
              <a:endParaRPr lang="es-PE" sz="1400" b="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74083</xdr:colOff>
      <xdr:row>74</xdr:row>
      <xdr:rowOff>137583</xdr:rowOff>
    </xdr:from>
    <xdr:ext cx="1608667" cy="486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285750" y="6021916"/>
              <a:ext cx="1608667" cy="48683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PE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PE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𝐶𝑜𝑠</m:t>
                        </m:r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Ø</m:t>
                        </m:r>
                      </m:den>
                    </m:f>
                  </m:oMath>
                </m:oMathPara>
              </a14:m>
              <a:endParaRPr lang="es-PE" sz="1400" b="0"/>
            </a:p>
          </xdr:txBody>
        </xdr:sp>
      </mc:Choice>
      <mc:Fallback xmlns="">
        <xdr:sp macro="" textlink="">
          <xdr:nvSpPr>
            <xdr:cNvPr id="18" name="CuadroTexto 17"/>
            <xdr:cNvSpPr txBox="1"/>
          </xdr:nvSpPr>
          <xdr:spPr>
            <a:xfrm>
              <a:off x="285750" y="6021916"/>
              <a:ext cx="1608667" cy="486832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𝐼_𝑛=𝑃/(√3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×𝑉_𝑙×𝐶𝑜𝑠Ø)</a:t>
              </a:r>
              <a:endParaRPr lang="es-PE" sz="1400" b="0"/>
            </a:p>
          </xdr:txBody>
        </xdr:sp>
      </mc:Fallback>
    </mc:AlternateContent>
    <xdr:clientData/>
  </xdr:oneCellAnchor>
  <xdr:oneCellAnchor>
    <xdr:from>
      <xdr:col>1</xdr:col>
      <xdr:colOff>179917</xdr:colOff>
      <xdr:row>25</xdr:row>
      <xdr:rowOff>153934</xdr:rowOff>
    </xdr:from>
    <xdr:ext cx="177080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391584" y="1159351"/>
              <a:ext cx="1770800" cy="210763"/>
            </a:xfrm>
            <a:prstGeom prst="rect">
              <a:avLst/>
            </a:prstGeom>
            <a:solidFill>
              <a:srgbClr val="FFFF00"/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4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s-PE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4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𝐶𝑜𝑠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∅; [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𝑘𝑊</m:t>
                    </m:r>
                    <m:r>
                      <a:rPr lang="es-PE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PE" sz="1400" b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391584" y="1159351"/>
              <a:ext cx="1770800" cy="210763"/>
            </a:xfrm>
            <a:prstGeom prst="rect">
              <a:avLst/>
            </a:prstGeom>
            <a:solidFill>
              <a:srgbClr val="FFFF00"/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𝑃=𝑆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×𝐶𝑜𝑠∅; [𝑘𝑊</a:t>
              </a:r>
              <a:r>
                <a:rPr lang="es-PE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s-PE" sz="1400" b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137583</xdr:colOff>
      <xdr:row>35</xdr:row>
      <xdr:rowOff>42335</xdr:rowOff>
    </xdr:from>
    <xdr:ext cx="1439333" cy="253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349250" y="2878668"/>
              <a:ext cx="1439333" cy="253999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=1.5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 [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3" name="CuadroTexto 12"/>
            <xdr:cNvSpPr txBox="1"/>
          </xdr:nvSpPr>
          <xdr:spPr>
            <a:xfrm>
              <a:off x="349250" y="2878668"/>
              <a:ext cx="1439333" cy="253999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𝐼_𝑋=1.5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×𝐼_𝑛; [𝐴]</a:t>
              </a:r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169333</xdr:colOff>
      <xdr:row>40</xdr:row>
      <xdr:rowOff>148168</xdr:rowOff>
    </xdr:from>
    <xdr:ext cx="141816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381000" y="4127501"/>
              <a:ext cx="1418167" cy="210763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𝑐𝑐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=20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 [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4" name="CuadroTexto 13"/>
            <xdr:cNvSpPr txBox="1"/>
          </xdr:nvSpPr>
          <xdr:spPr>
            <a:xfrm>
              <a:off x="381000" y="4127501"/>
              <a:ext cx="1418167" cy="210763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𝐼_𝑐𝑐=20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×𝐼_𝑛; [𝐴]</a:t>
              </a:r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190499</xdr:colOff>
      <xdr:row>44</xdr:row>
      <xdr:rowOff>148167</xdr:rowOff>
    </xdr:from>
    <xdr:ext cx="1682751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402166" y="4889500"/>
              <a:ext cx="1682751" cy="210763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𝑖𝑛𝑟𝑢𝑠h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=12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 [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5" name="CuadroTexto 14"/>
            <xdr:cNvSpPr txBox="1"/>
          </xdr:nvSpPr>
          <xdr:spPr>
            <a:xfrm>
              <a:off x="402166" y="4889500"/>
              <a:ext cx="1682751" cy="210763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𝐼_𝑖𝑛𝑟𝑢𝑠ℎ=12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×𝐼_𝑛; [𝐴]</a:t>
              </a:r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137583</xdr:colOff>
      <xdr:row>83</xdr:row>
      <xdr:rowOff>0</xdr:rowOff>
    </xdr:from>
    <xdr:ext cx="1439333" cy="253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349250" y="7609417"/>
              <a:ext cx="1439333" cy="253999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</a:rPr>
                      <m:t>=1.</m:t>
                    </m:r>
                    <m:r>
                      <a:rPr lang="es-CR" sz="14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s-PE" sz="1400" b="0" i="1">
                        <a:latin typeface="Cambria Math" panose="02040503050406030204" pitchFamily="18" charset="0"/>
                      </a:rPr>
                      <m:t>5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PE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 [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  <m:r>
                      <a:rPr lang="es-PE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349250" y="7609417"/>
              <a:ext cx="1439333" cy="253999"/>
            </a:xfrm>
            <a:prstGeom prst="rect">
              <a:avLst/>
            </a:prstGeom>
            <a:solidFill>
              <a:srgbClr val="FFFF0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𝐼_𝑋=1.</a:t>
              </a:r>
              <a:r>
                <a:rPr lang="es-CR" sz="1400" b="0" i="0">
                  <a:latin typeface="Cambria Math" panose="02040503050406030204" pitchFamily="18" charset="0"/>
                </a:rPr>
                <a:t>2</a:t>
              </a:r>
              <a:r>
                <a:rPr lang="es-PE" sz="1400" b="0" i="0">
                  <a:latin typeface="Cambria Math" panose="02040503050406030204" pitchFamily="18" charset="0"/>
                </a:rPr>
                <a:t>5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×𝐼_𝑛; [𝐴]</a:t>
              </a:r>
              <a:endParaRPr lang="es-PE" sz="1400" b="0" i="1">
                <a:latin typeface="Arial Narrow" panose="020B0606020202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3</xdr:row>
      <xdr:rowOff>85725</xdr:rowOff>
    </xdr:from>
    <xdr:to>
      <xdr:col>1</xdr:col>
      <xdr:colOff>1047750</xdr:colOff>
      <xdr:row>3</xdr:row>
      <xdr:rowOff>371475</xdr:rowOff>
    </xdr:to>
    <xdr:sp macro="" textlink="">
      <xdr:nvSpPr>
        <xdr:cNvPr id="3103" name="Line 129">
          <a:extLs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>
          <a:spLocks noChangeShapeType="1"/>
        </xdr:cNvSpPr>
      </xdr:nvSpPr>
      <xdr:spPr bwMode="auto">
        <a:xfrm>
          <a:off x="1809750" y="5810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762000</xdr:colOff>
      <xdr:row>4</xdr:row>
      <xdr:rowOff>133350</xdr:rowOff>
    </xdr:from>
    <xdr:to>
      <xdr:col>1</xdr:col>
      <xdr:colOff>1038225</xdr:colOff>
      <xdr:row>4</xdr:row>
      <xdr:rowOff>133350</xdr:rowOff>
    </xdr:to>
    <xdr:sp macro="" textlink="">
      <xdr:nvSpPr>
        <xdr:cNvPr id="3104" name="Line 130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SpPr>
          <a:spLocks noChangeShapeType="1"/>
        </xdr:cNvSpPr>
      </xdr:nvSpPr>
      <xdr:spPr bwMode="auto">
        <a:xfrm>
          <a:off x="1524000" y="10763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66260</xdr:colOff>
      <xdr:row>2</xdr:row>
      <xdr:rowOff>113913</xdr:rowOff>
    </xdr:from>
    <xdr:to>
      <xdr:col>26</xdr:col>
      <xdr:colOff>386626</xdr:colOff>
      <xdr:row>20</xdr:row>
      <xdr:rowOff>24847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4434" y="445217"/>
          <a:ext cx="7178366" cy="3464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38100</xdr:rowOff>
    </xdr:from>
    <xdr:to>
      <xdr:col>0</xdr:col>
      <xdr:colOff>247650</xdr:colOff>
      <xdr:row>9</xdr:row>
      <xdr:rowOff>38099</xdr:rowOff>
    </xdr:to>
    <xdr:sp macro="" textlink="">
      <xdr:nvSpPr>
        <xdr:cNvPr id="4717" name="Text Box 15">
          <a:extLst>
            <a:ext uri="{FF2B5EF4-FFF2-40B4-BE49-F238E27FC236}">
              <a16:creationId xmlns:a16="http://schemas.microsoft.com/office/drawing/2014/main" id="{00000000-0008-0000-0300-00006D120000}"/>
            </a:ext>
          </a:extLst>
        </xdr:cNvPr>
        <xdr:cNvSpPr txBox="1">
          <a:spLocks noChangeArrowheads="1"/>
        </xdr:cNvSpPr>
      </xdr:nvSpPr>
      <xdr:spPr bwMode="auto">
        <a:xfrm>
          <a:off x="0" y="1333500"/>
          <a:ext cx="24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314325</xdr:colOff>
      <xdr:row>8</xdr:row>
      <xdr:rowOff>57150</xdr:rowOff>
    </xdr:to>
    <xdr:sp macro="" textlink="">
      <xdr:nvSpPr>
        <xdr:cNvPr id="4718" name="Text Box 16">
          <a:extLst>
            <a:ext uri="{FF2B5EF4-FFF2-40B4-BE49-F238E27FC236}">
              <a16:creationId xmlns:a16="http://schemas.microsoft.com/office/drawing/2014/main" id="{00000000-0008-0000-0300-00006E120000}"/>
            </a:ext>
          </a:extLst>
        </xdr:cNvPr>
        <xdr:cNvSpPr txBox="1">
          <a:spLocks noChangeArrowheads="1"/>
        </xdr:cNvSpPr>
      </xdr:nvSpPr>
      <xdr:spPr bwMode="auto">
        <a:xfrm flipH="1">
          <a:off x="0" y="1181100"/>
          <a:ext cx="3143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63</xdr:row>
      <xdr:rowOff>47625</xdr:rowOff>
    </xdr:from>
    <xdr:to>
      <xdr:col>0</xdr:col>
      <xdr:colOff>85725</xdr:colOff>
      <xdr:row>64</xdr:row>
      <xdr:rowOff>85725</xdr:rowOff>
    </xdr:to>
    <xdr:sp macro="" textlink="">
      <xdr:nvSpPr>
        <xdr:cNvPr id="4719" name="Text Box 21">
          <a:extLst>
            <a:ext uri="{FF2B5EF4-FFF2-40B4-BE49-F238E27FC236}">
              <a16:creationId xmlns:a16="http://schemas.microsoft.com/office/drawing/2014/main" id="{00000000-0008-0000-0300-00006F120000}"/>
            </a:ext>
          </a:extLst>
        </xdr:cNvPr>
        <xdr:cNvSpPr txBox="1">
          <a:spLocks noChangeArrowheads="1"/>
        </xdr:cNvSpPr>
      </xdr:nvSpPr>
      <xdr:spPr bwMode="auto">
        <a:xfrm>
          <a:off x="0" y="10248900"/>
          <a:ext cx="857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47625</xdr:rowOff>
    </xdr:from>
    <xdr:to>
      <xdr:col>0</xdr:col>
      <xdr:colOff>228600</xdr:colOff>
      <xdr:row>45</xdr:row>
      <xdr:rowOff>76201</xdr:rowOff>
    </xdr:to>
    <xdr:sp macro="" textlink="">
      <xdr:nvSpPr>
        <xdr:cNvPr id="4720" name="Text Box 22">
          <a:extLst>
            <a:ext uri="{FF2B5EF4-FFF2-40B4-BE49-F238E27FC236}">
              <a16:creationId xmlns:a16="http://schemas.microsoft.com/office/drawing/2014/main" id="{00000000-0008-0000-0300-000070120000}"/>
            </a:ext>
          </a:extLst>
        </xdr:cNvPr>
        <xdr:cNvSpPr txBox="1">
          <a:spLocks noChangeArrowheads="1"/>
        </xdr:cNvSpPr>
      </xdr:nvSpPr>
      <xdr:spPr bwMode="auto">
        <a:xfrm>
          <a:off x="0" y="7172325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104775</xdr:colOff>
      <xdr:row>39</xdr:row>
      <xdr:rowOff>66675</xdr:rowOff>
    </xdr:to>
    <xdr:sp macro="" textlink="">
      <xdr:nvSpPr>
        <xdr:cNvPr id="4721" name="Text Box 23">
          <a:extLst>
            <a:ext uri="{FF2B5EF4-FFF2-40B4-BE49-F238E27FC236}">
              <a16:creationId xmlns:a16="http://schemas.microsoft.com/office/drawing/2014/main" id="{00000000-0008-0000-0300-000071120000}"/>
            </a:ext>
          </a:extLst>
        </xdr:cNvPr>
        <xdr:cNvSpPr txBox="1">
          <a:spLocks noChangeArrowheads="1"/>
        </xdr:cNvSpPr>
      </xdr:nvSpPr>
      <xdr:spPr bwMode="auto">
        <a:xfrm>
          <a:off x="0" y="6191250"/>
          <a:ext cx="1047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26</xdr:col>
      <xdr:colOff>596900</xdr:colOff>
      <xdr:row>47</xdr:row>
      <xdr:rowOff>76200</xdr:rowOff>
    </xdr:from>
    <xdr:ext cx="863600" cy="342786"/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016125" y="9820275"/>
          <a:ext cx="8636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26</xdr:col>
      <xdr:colOff>419100</xdr:colOff>
      <xdr:row>15</xdr:row>
      <xdr:rowOff>0</xdr:rowOff>
    </xdr:from>
    <xdr:ext cx="723900" cy="264560"/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187109100" y="2428875"/>
          <a:ext cx="723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27</xdr:col>
      <xdr:colOff>444500</xdr:colOff>
      <xdr:row>15</xdr:row>
      <xdr:rowOff>127000</xdr:rowOff>
    </xdr:from>
    <xdr:ext cx="533400" cy="342786"/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644775" y="4660900"/>
          <a:ext cx="5334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28</xdr:col>
      <xdr:colOff>203200</xdr:colOff>
      <xdr:row>63</xdr:row>
      <xdr:rowOff>76200</xdr:rowOff>
    </xdr:from>
    <xdr:ext cx="660400" cy="264560"/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3184525" y="12411075"/>
          <a:ext cx="660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25</xdr:col>
      <xdr:colOff>187325</xdr:colOff>
      <xdr:row>49</xdr:row>
      <xdr:rowOff>67235</xdr:rowOff>
    </xdr:from>
    <xdr:ext cx="863600" cy="342786"/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9781611" y="8187978"/>
          <a:ext cx="8636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s-ES" sz="1600" b="1"/>
            <a:t>Inrush</a:t>
          </a:r>
        </a:p>
      </xdr:txBody>
    </xdr:sp>
    <xdr:clientData/>
  </xdr:oneCellAnchor>
  <xdr:oneCellAnchor>
    <xdr:from>
      <xdr:col>25</xdr:col>
      <xdr:colOff>409575</xdr:colOff>
      <xdr:row>14</xdr:row>
      <xdr:rowOff>14007</xdr:rowOff>
    </xdr:from>
    <xdr:ext cx="723900" cy="311496"/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838325" y="4533900"/>
          <a:ext cx="7239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s-ES" sz="1400" b="1"/>
            <a:t>2 K</a:t>
          </a:r>
          <a:r>
            <a:rPr lang="es-ES" sz="1100" baseline="0"/>
            <a:t> </a:t>
          </a:r>
          <a:endParaRPr lang="es-ES" sz="1100"/>
        </a:p>
      </xdr:txBody>
    </xdr:sp>
    <xdr:clientData/>
  </xdr:oneCellAnchor>
  <xdr:oneCellAnchor>
    <xdr:from>
      <xdr:col>26</xdr:col>
      <xdr:colOff>406400</xdr:colOff>
      <xdr:row>14</xdr:row>
      <xdr:rowOff>26707</xdr:rowOff>
    </xdr:from>
    <xdr:ext cx="533400" cy="342786"/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644775" y="4660900"/>
          <a:ext cx="5334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s-ES" sz="1600" b="1"/>
            <a:t>5K</a:t>
          </a:r>
        </a:p>
      </xdr:txBody>
    </xdr:sp>
    <xdr:clientData/>
  </xdr:oneCellAnchor>
  <xdr:oneCellAnchor>
    <xdr:from>
      <xdr:col>27</xdr:col>
      <xdr:colOff>203200</xdr:colOff>
      <xdr:row>63</xdr:row>
      <xdr:rowOff>76200</xdr:rowOff>
    </xdr:from>
    <xdr:ext cx="660400" cy="264560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3184525" y="12411075"/>
          <a:ext cx="660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26</xdr:col>
      <xdr:colOff>400050</xdr:colOff>
      <xdr:row>64</xdr:row>
      <xdr:rowOff>114300</xdr:rowOff>
    </xdr:from>
    <xdr:to>
      <xdr:col>28</xdr:col>
      <xdr:colOff>123825</xdr:colOff>
      <xdr:row>67</xdr:row>
      <xdr:rowOff>0</xdr:rowOff>
    </xdr:to>
    <xdr:sp macro="" textlink="">
      <xdr:nvSpPr>
        <xdr:cNvPr id="18178" name="24 CuadroTexto">
          <a:extLst>
            <a:ext uri="{FF2B5EF4-FFF2-40B4-BE49-F238E27FC236}">
              <a16:creationId xmlns:a16="http://schemas.microsoft.com/office/drawing/2014/main" id="{00000000-0008-0000-0300-000002470000}"/>
            </a:ext>
          </a:extLst>
        </xdr:cNvPr>
        <xdr:cNvSpPr txBox="1">
          <a:spLocks noChangeArrowheads="1"/>
        </xdr:cNvSpPr>
      </xdr:nvSpPr>
      <xdr:spPr bwMode="auto">
        <a:xfrm>
          <a:off x="187090050" y="10315575"/>
          <a:ext cx="12477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s-ES_tradnl" sz="1200" b="1" i="0" strike="noStrike">
              <a:solidFill>
                <a:srgbClr val="000000"/>
              </a:solidFill>
              <a:latin typeface="Calibri"/>
            </a:rPr>
            <a:t>Icc=18,91</a:t>
          </a:r>
        </a:p>
      </xdr:txBody>
    </xdr:sp>
    <xdr:clientData/>
  </xdr:twoCellAnchor>
  <xdr:twoCellAnchor>
    <xdr:from>
      <xdr:col>36</xdr:col>
      <xdr:colOff>762000</xdr:colOff>
      <xdr:row>91</xdr:row>
      <xdr:rowOff>57150</xdr:rowOff>
    </xdr:from>
    <xdr:to>
      <xdr:col>36</xdr:col>
      <xdr:colOff>762000</xdr:colOff>
      <xdr:row>91</xdr:row>
      <xdr:rowOff>57150</xdr:rowOff>
    </xdr:to>
    <xdr:sp macro="" textlink="">
      <xdr:nvSpPr>
        <xdr:cNvPr id="4743" name="Line 784">
          <a:extLst>
            <a:ext uri="{FF2B5EF4-FFF2-40B4-BE49-F238E27FC236}">
              <a16:creationId xmlns:a16="http://schemas.microsoft.com/office/drawing/2014/main" id="{00000000-0008-0000-0300-000087120000}"/>
            </a:ext>
          </a:extLst>
        </xdr:cNvPr>
        <xdr:cNvSpPr>
          <a:spLocks noChangeShapeType="1"/>
        </xdr:cNvSpPr>
      </xdr:nvSpPr>
      <xdr:spPr bwMode="auto">
        <a:xfrm flipH="1">
          <a:off x="28194000" y="14792325"/>
          <a:ext cx="0" cy="0"/>
        </a:xfrm>
        <a:prstGeom prst="line">
          <a:avLst/>
        </a:prstGeom>
        <a:noFill/>
        <a:ln w="952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204107</xdr:colOff>
      <xdr:row>6</xdr:row>
      <xdr:rowOff>68035</xdr:rowOff>
    </xdr:from>
    <xdr:to>
      <xdr:col>15</xdr:col>
      <xdr:colOff>530679</xdr:colOff>
      <xdr:row>75</xdr:row>
      <xdr:rowOff>27214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99155</xdr:colOff>
      <xdr:row>71</xdr:row>
      <xdr:rowOff>54426</xdr:rowOff>
    </xdr:from>
    <xdr:to>
      <xdr:col>8</xdr:col>
      <xdr:colOff>262441</xdr:colOff>
      <xdr:row>73</xdr:row>
      <xdr:rowOff>13607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585555" y="11767455"/>
          <a:ext cx="947057" cy="28575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/>
            <a:t>I</a:t>
          </a:r>
          <a:r>
            <a:rPr lang="es-PE" sz="1100" b="1"/>
            <a:t>cc</a:t>
          </a:r>
          <a:r>
            <a:rPr lang="es-PE" sz="1400" b="1" baseline="0"/>
            <a:t> = 11.35</a:t>
          </a:r>
          <a:endParaRPr lang="es-PE" sz="1400" b="1"/>
        </a:p>
      </xdr:txBody>
    </xdr:sp>
    <xdr:clientData/>
  </xdr:twoCellAnchor>
  <xdr:twoCellAnchor>
    <xdr:from>
      <xdr:col>1</xdr:col>
      <xdr:colOff>209668</xdr:colOff>
      <xdr:row>50</xdr:row>
      <xdr:rowOff>67446</xdr:rowOff>
    </xdr:from>
    <xdr:to>
      <xdr:col>2</xdr:col>
      <xdr:colOff>468203</xdr:colOff>
      <xdr:row>52</xdr:row>
      <xdr:rowOff>42597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993439" y="8351475"/>
          <a:ext cx="1042307" cy="301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 baseline="0"/>
            <a:t>T2 = 0.34 seg.</a:t>
          </a:r>
          <a:endParaRPr lang="es-PE" sz="1100" b="1"/>
        </a:p>
      </xdr:txBody>
    </xdr:sp>
    <xdr:clientData/>
  </xdr:twoCellAnchor>
  <xdr:twoCellAnchor>
    <xdr:from>
      <xdr:col>1</xdr:col>
      <xdr:colOff>201266</xdr:colOff>
      <xdr:row>53</xdr:row>
      <xdr:rowOff>159381</xdr:rowOff>
    </xdr:from>
    <xdr:to>
      <xdr:col>2</xdr:col>
      <xdr:colOff>432587</xdr:colOff>
      <xdr:row>55</xdr:row>
      <xdr:rowOff>120925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985037" y="8933267"/>
          <a:ext cx="1015093" cy="28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 baseline="0"/>
            <a:t>T1 = 0.23 seg.</a:t>
          </a:r>
          <a:endParaRPr lang="es-PE" sz="1100" b="1"/>
        </a:p>
      </xdr:txBody>
    </xdr:sp>
    <xdr:clientData/>
  </xdr:twoCellAnchor>
  <xdr:twoCellAnchor>
    <xdr:from>
      <xdr:col>5</xdr:col>
      <xdr:colOff>634092</xdr:colOff>
      <xdr:row>12</xdr:row>
      <xdr:rowOff>68035</xdr:rowOff>
    </xdr:from>
    <xdr:to>
      <xdr:col>6</xdr:col>
      <xdr:colOff>307521</xdr:colOff>
      <xdr:row>13</xdr:row>
      <xdr:rowOff>81643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4552949" y="2147206"/>
          <a:ext cx="457201" cy="176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5 K</a:t>
          </a:r>
        </a:p>
      </xdr:txBody>
    </xdr:sp>
    <xdr:clientData/>
  </xdr:twoCellAnchor>
  <xdr:twoCellAnchor>
    <xdr:from>
      <xdr:col>4</xdr:col>
      <xdr:colOff>544288</xdr:colOff>
      <xdr:row>12</xdr:row>
      <xdr:rowOff>54429</xdr:rowOff>
    </xdr:from>
    <xdr:to>
      <xdr:col>5</xdr:col>
      <xdr:colOff>217717</xdr:colOff>
      <xdr:row>13</xdr:row>
      <xdr:rowOff>68037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3592288" y="2136322"/>
          <a:ext cx="435429" cy="176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3 K</a:t>
          </a:r>
        </a:p>
      </xdr:txBody>
    </xdr:sp>
    <xdr:clientData/>
  </xdr:twoCellAnchor>
  <xdr:twoCellAnchor>
    <xdr:from>
      <xdr:col>6</xdr:col>
      <xdr:colOff>677005</xdr:colOff>
      <xdr:row>27</xdr:row>
      <xdr:rowOff>52187</xdr:rowOff>
    </xdr:from>
    <xdr:to>
      <xdr:col>7</xdr:col>
      <xdr:colOff>139366</xdr:colOff>
      <xdr:row>39</xdr:row>
      <xdr:rowOff>93329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 rot="3861126">
          <a:off x="4502414" y="5457864"/>
          <a:ext cx="2000571" cy="24613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ysClr val="windowText" lastClr="000000"/>
              </a:solidFill>
              <a:latin typeface="+mj-lt"/>
            </a:rPr>
            <a:t>DAÑO</a:t>
          </a:r>
          <a:r>
            <a:rPr lang="es-PE" sz="1100" b="1" baseline="0">
              <a:solidFill>
                <a:sysClr val="windowText" lastClr="000000"/>
              </a:solidFill>
              <a:latin typeface="+mj-lt"/>
            </a:rPr>
            <a:t> TERMICO TRAFO 37.5 kVA</a:t>
          </a:r>
          <a:endParaRPr lang="es-PE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  <xdr:twoCellAnchor editAs="oneCell">
    <xdr:from>
      <xdr:col>10</xdr:col>
      <xdr:colOff>107673</xdr:colOff>
      <xdr:row>41</xdr:row>
      <xdr:rowOff>105900</xdr:rowOff>
    </xdr:from>
    <xdr:to>
      <xdr:col>12</xdr:col>
      <xdr:colOff>115956</xdr:colOff>
      <xdr:row>45</xdr:row>
      <xdr:rowOff>43308</xdr:rowOff>
    </xdr:to>
    <xdr:sp macro="" textlink="">
      <xdr:nvSpPr>
        <xdr:cNvPr id="34" name="Text Box 17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7727673" y="7005313"/>
          <a:ext cx="1532283" cy="6000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l" rtl="0">
            <a:defRPr sz="1000"/>
          </a:pPr>
          <a:r>
            <a:rPr lang="es-P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Daño térmico </a:t>
          </a:r>
        </a:p>
        <a:p>
          <a:pPr algn="l" rtl="0">
            <a:defRPr sz="1000"/>
          </a:pPr>
          <a:r>
            <a:rPr lang="es-P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AAAC 35mm2</a:t>
          </a:r>
        </a:p>
      </xdr:txBody>
    </xdr:sp>
    <xdr:clientData/>
  </xdr:twoCellAnchor>
  <xdr:twoCellAnchor>
    <xdr:from>
      <xdr:col>10</xdr:col>
      <xdr:colOff>213572</xdr:colOff>
      <xdr:row>44</xdr:row>
      <xdr:rowOff>127788</xdr:rowOff>
    </xdr:from>
    <xdr:to>
      <xdr:col>12</xdr:col>
      <xdr:colOff>186358</xdr:colOff>
      <xdr:row>44</xdr:row>
      <xdr:rowOff>127788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7833572" y="7524158"/>
          <a:ext cx="149678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54428</xdr:colOff>
      <xdr:row>31</xdr:row>
      <xdr:rowOff>27215</xdr:rowOff>
    </xdr:from>
    <xdr:to>
      <xdr:col>12</xdr:col>
      <xdr:colOff>231324</xdr:colOff>
      <xdr:row>39</xdr:row>
      <xdr:rowOff>68039</xdr:rowOff>
    </xdr:to>
    <xdr:cxnSp macro="">
      <xdr:nvCxnSpPr>
        <xdr:cNvPr id="13" name="Conector angula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 rot="16200000" flipH="1">
          <a:off x="8232321" y="5402036"/>
          <a:ext cx="1347110" cy="938896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176893</xdr:colOff>
      <xdr:row>27</xdr:row>
      <xdr:rowOff>108857</xdr:rowOff>
    </xdr:from>
    <xdr:to>
      <xdr:col>12</xdr:col>
      <xdr:colOff>13607</xdr:colOff>
      <xdr:row>31</xdr:row>
      <xdr:rowOff>46265</xdr:rowOff>
    </xdr:to>
    <xdr:sp macro="" textlink="">
      <xdr:nvSpPr>
        <xdr:cNvPr id="40" name="Text Box 17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7796893" y="4626428"/>
          <a:ext cx="1360714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Daño térmico 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CU NYY  35mm2</a:t>
          </a:r>
        </a:p>
      </xdr:txBody>
    </xdr:sp>
    <xdr:clientData/>
  </xdr:twoCellAnchor>
  <xdr:twoCellAnchor>
    <xdr:from>
      <xdr:col>4</xdr:col>
      <xdr:colOff>334500</xdr:colOff>
      <xdr:row>31</xdr:row>
      <xdr:rowOff>15382</xdr:rowOff>
    </xdr:from>
    <xdr:to>
      <xdr:col>4</xdr:col>
      <xdr:colOff>598060</xdr:colOff>
      <xdr:row>35</xdr:row>
      <xdr:rowOff>129798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 rot="4216730">
          <a:off x="3217586" y="5448982"/>
          <a:ext cx="767559" cy="2635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latin typeface="+mj-lt"/>
            </a:rPr>
            <a:t>CURVA</a:t>
          </a:r>
          <a:r>
            <a:rPr lang="es-PE" sz="1050" b="1" baseline="0">
              <a:latin typeface="+mj-lt"/>
            </a:rPr>
            <a:t> TM</a:t>
          </a:r>
          <a:endParaRPr lang="es-PE" sz="1050" b="1">
            <a:latin typeface="+mj-lt"/>
          </a:endParaRPr>
        </a:p>
      </xdr:txBody>
    </xdr:sp>
    <xdr:clientData/>
  </xdr:twoCellAnchor>
  <xdr:twoCellAnchor editAs="oneCell">
    <xdr:from>
      <xdr:col>5</xdr:col>
      <xdr:colOff>676808</xdr:colOff>
      <xdr:row>64</xdr:row>
      <xdr:rowOff>12304</xdr:rowOff>
    </xdr:from>
    <xdr:to>
      <xdr:col>7</xdr:col>
      <xdr:colOff>328465</xdr:colOff>
      <xdr:row>67</xdr:row>
      <xdr:rowOff>115363</xdr:rowOff>
    </xdr:to>
    <xdr:sp macro="" textlink="">
      <xdr:nvSpPr>
        <xdr:cNvPr id="47" name="Text Box 1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4595665" y="10582333"/>
          <a:ext cx="1219200" cy="5929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l" rtl="0">
            <a:defRPr sz="1000"/>
          </a:pPr>
          <a:r>
            <a:rPr lang="es-P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INRUSH</a:t>
          </a:r>
        </a:p>
      </xdr:txBody>
    </xdr:sp>
    <xdr:clientData/>
  </xdr:twoCellAnchor>
  <xdr:twoCellAnchor>
    <xdr:from>
      <xdr:col>5</xdr:col>
      <xdr:colOff>696923</xdr:colOff>
      <xdr:row>67</xdr:row>
      <xdr:rowOff>472</xdr:rowOff>
    </xdr:from>
    <xdr:to>
      <xdr:col>7</xdr:col>
      <xdr:colOff>204817</xdr:colOff>
      <xdr:row>67</xdr:row>
      <xdr:rowOff>12895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>
          <a:off x="4615780" y="11060358"/>
          <a:ext cx="1075437" cy="1242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623323</xdr:colOff>
      <xdr:row>9</xdr:row>
      <xdr:rowOff>122462</xdr:rowOff>
    </xdr:from>
    <xdr:to>
      <xdr:col>15</xdr:col>
      <xdr:colOff>16280</xdr:colOff>
      <xdr:row>17</xdr:row>
      <xdr:rowOff>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1323" y="1700891"/>
          <a:ext cx="3964957" cy="1183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54429</xdr:colOff>
      <xdr:row>11</xdr:row>
      <xdr:rowOff>54428</xdr:rowOff>
    </xdr:from>
    <xdr:to>
      <xdr:col>12</xdr:col>
      <xdr:colOff>489858</xdr:colOff>
      <xdr:row>12</xdr:row>
      <xdr:rowOff>68035</xdr:rowOff>
    </xdr:to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9198429" y="1959428"/>
          <a:ext cx="435429" cy="1768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3 K</a:t>
          </a:r>
        </a:p>
      </xdr:txBody>
    </xdr:sp>
    <xdr:clientData/>
  </xdr:twoCellAnchor>
  <xdr:twoCellAnchor>
    <xdr:from>
      <xdr:col>10</xdr:col>
      <xdr:colOff>598714</xdr:colOff>
      <xdr:row>11</xdr:row>
      <xdr:rowOff>54428</xdr:rowOff>
    </xdr:from>
    <xdr:to>
      <xdr:col>11</xdr:col>
      <xdr:colOff>272143</xdr:colOff>
      <xdr:row>12</xdr:row>
      <xdr:rowOff>68035</xdr:rowOff>
    </xdr:to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8218714" y="1959428"/>
          <a:ext cx="435429" cy="1768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5 K</a:t>
          </a:r>
        </a:p>
      </xdr:txBody>
    </xdr:sp>
    <xdr:clientData/>
  </xdr:twoCellAnchor>
  <xdr:twoCellAnchor>
    <xdr:from>
      <xdr:col>13</xdr:col>
      <xdr:colOff>272138</xdr:colOff>
      <xdr:row>10</xdr:row>
      <xdr:rowOff>136071</xdr:rowOff>
    </xdr:from>
    <xdr:to>
      <xdr:col>14</xdr:col>
      <xdr:colOff>312964</xdr:colOff>
      <xdr:row>12</xdr:row>
      <xdr:rowOff>68034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0178138" y="1891392"/>
          <a:ext cx="802826" cy="258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/>
            <a:t>37.5 kVA</a:t>
          </a:r>
        </a:p>
      </xdr:txBody>
    </xdr:sp>
    <xdr:clientData/>
  </xdr:twoCellAnchor>
  <xdr:twoCellAnchor editAs="oneCell">
    <xdr:from>
      <xdr:col>27</xdr:col>
      <xdr:colOff>287111</xdr:colOff>
      <xdr:row>49</xdr:row>
      <xdr:rowOff>58511</xdr:rowOff>
    </xdr:from>
    <xdr:to>
      <xdr:col>29</xdr:col>
      <xdr:colOff>649062</xdr:colOff>
      <xdr:row>52</xdr:row>
      <xdr:rowOff>107498</xdr:rowOff>
    </xdr:to>
    <xdr:sp macro="" textlink="">
      <xdr:nvSpPr>
        <xdr:cNvPr id="18179" name="24 CuadroTexto">
          <a:extLst>
            <a:ext uri="{FF2B5EF4-FFF2-40B4-BE49-F238E27FC236}">
              <a16:creationId xmlns:a16="http://schemas.microsoft.com/office/drawing/2014/main" id="{00000000-0008-0000-0300-000003470000}"/>
            </a:ext>
          </a:extLst>
        </xdr:cNvPr>
        <xdr:cNvSpPr txBox="1">
          <a:spLocks noChangeArrowheads="1"/>
        </xdr:cNvSpPr>
      </xdr:nvSpPr>
      <xdr:spPr bwMode="auto">
        <a:xfrm>
          <a:off x="21448940" y="8179254"/>
          <a:ext cx="1929493" cy="538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200"/>
            </a:lnSpc>
            <a:defRPr sz="1000"/>
          </a:pPr>
          <a:r>
            <a:rPr lang="es-ES_tradnl" sz="1200" b="1" i="0" strike="noStrike">
              <a:solidFill>
                <a:srgbClr val="000000"/>
              </a:solidFill>
              <a:latin typeface="Calibri"/>
            </a:rPr>
            <a:t>Desplazado 75%</a:t>
          </a:r>
        </a:p>
        <a:p>
          <a:pPr algn="l" rtl="1">
            <a:lnSpc>
              <a:spcPts val="1200"/>
            </a:lnSpc>
            <a:defRPr sz="1000"/>
          </a:pPr>
          <a:endParaRPr lang="es-ES_tradnl" sz="1200" b="1" i="0" strike="noStrike">
            <a:solidFill>
              <a:srgbClr val="000000"/>
            </a:solidFill>
            <a:latin typeface="Calibri"/>
          </a:endParaRPr>
        </a:p>
      </xdr:txBody>
    </xdr:sp>
    <xdr:clientData/>
  </xdr:twoCellAnchor>
  <xdr:twoCellAnchor editAs="oneCell">
    <xdr:from>
      <xdr:col>26</xdr:col>
      <xdr:colOff>710293</xdr:colOff>
      <xdr:row>51</xdr:row>
      <xdr:rowOff>6804</xdr:rowOff>
    </xdr:from>
    <xdr:to>
      <xdr:col>28</xdr:col>
      <xdr:colOff>634092</xdr:colOff>
      <xdr:row>51</xdr:row>
      <xdr:rowOff>6804</xdr:rowOff>
    </xdr:to>
    <xdr:sp macro="" textlink="">
      <xdr:nvSpPr>
        <xdr:cNvPr id="4733" name="Line 774">
          <a:extLst>
            <a:ext uri="{FF2B5EF4-FFF2-40B4-BE49-F238E27FC236}">
              <a16:creationId xmlns:a16="http://schemas.microsoft.com/office/drawing/2014/main" id="{00000000-0008-0000-0300-00007D120000}"/>
            </a:ext>
          </a:extLst>
        </xdr:cNvPr>
        <xdr:cNvSpPr>
          <a:spLocks noChangeShapeType="1"/>
        </xdr:cNvSpPr>
      </xdr:nvSpPr>
      <xdr:spPr bwMode="auto">
        <a:xfrm flipH="1">
          <a:off x="21088350" y="8454118"/>
          <a:ext cx="149134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617528</xdr:colOff>
      <xdr:row>17</xdr:row>
      <xdr:rowOff>26270</xdr:rowOff>
    </xdr:from>
    <xdr:to>
      <xdr:col>5</xdr:col>
      <xdr:colOff>65314</xdr:colOff>
      <xdr:row>24</xdr:row>
      <xdr:rowOff>65316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A0AF9F5-74F0-47B5-813F-F13C03BC021C}"/>
            </a:ext>
          </a:extLst>
        </xdr:cNvPr>
        <xdr:cNvSpPr txBox="1"/>
      </xdr:nvSpPr>
      <xdr:spPr>
        <a:xfrm rot="5400000">
          <a:off x="3277370" y="3397114"/>
          <a:ext cx="1182046" cy="23155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latin typeface="+mj-lt"/>
            </a:rPr>
            <a:t>CURVA</a:t>
          </a:r>
          <a:r>
            <a:rPr lang="es-PE" sz="1050" b="1" baseline="0">
              <a:latin typeface="+mj-lt"/>
            </a:rPr>
            <a:t>  CLEARING</a:t>
          </a:r>
          <a:endParaRPr lang="es-PE" sz="1050" b="1">
            <a:latin typeface="+mj-lt"/>
          </a:endParaRPr>
        </a:p>
      </xdr:txBody>
    </xdr:sp>
    <xdr:clientData/>
  </xdr:twoCellAnchor>
  <xdr:twoCellAnchor>
    <xdr:from>
      <xdr:col>5</xdr:col>
      <xdr:colOff>160328</xdr:colOff>
      <xdr:row>15</xdr:row>
      <xdr:rowOff>156900</xdr:rowOff>
    </xdr:from>
    <xdr:to>
      <xdr:col>5</xdr:col>
      <xdr:colOff>391885</xdr:colOff>
      <xdr:row>23</xdr:row>
      <xdr:rowOff>32661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317FE67-A590-46BB-940D-C1380F891920}"/>
            </a:ext>
          </a:extLst>
        </xdr:cNvPr>
        <xdr:cNvSpPr txBox="1"/>
      </xdr:nvSpPr>
      <xdr:spPr>
        <a:xfrm rot="5400000">
          <a:off x="3603941" y="3201173"/>
          <a:ext cx="1182046" cy="23155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latin typeface="+mj-lt"/>
            </a:rPr>
            <a:t>CURVA</a:t>
          </a:r>
          <a:r>
            <a:rPr lang="es-PE" sz="1050" b="1" baseline="0">
              <a:latin typeface="+mj-lt"/>
            </a:rPr>
            <a:t>  MELTING</a:t>
          </a:r>
          <a:endParaRPr lang="es-PE" sz="1050" b="1">
            <a:latin typeface="+mj-lt"/>
          </a:endParaRPr>
        </a:p>
      </xdr:txBody>
    </xdr:sp>
    <xdr:clientData/>
  </xdr:twoCellAnchor>
  <xdr:twoCellAnchor>
    <xdr:from>
      <xdr:col>5</xdr:col>
      <xdr:colOff>541329</xdr:colOff>
      <xdr:row>15</xdr:row>
      <xdr:rowOff>4499</xdr:rowOff>
    </xdr:from>
    <xdr:to>
      <xdr:col>5</xdr:col>
      <xdr:colOff>772886</xdr:colOff>
      <xdr:row>22</xdr:row>
      <xdr:rowOff>43545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86310A7-E9E0-4381-9EA0-8BBD4635F8D9}"/>
            </a:ext>
          </a:extLst>
        </xdr:cNvPr>
        <xdr:cNvSpPr txBox="1"/>
      </xdr:nvSpPr>
      <xdr:spPr>
        <a:xfrm rot="5400000">
          <a:off x="3984942" y="3048772"/>
          <a:ext cx="1182046" cy="23155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latin typeface="+mj-lt"/>
            </a:rPr>
            <a:t>CURVA</a:t>
          </a:r>
          <a:r>
            <a:rPr lang="es-PE" sz="1050" b="1" baseline="0">
              <a:latin typeface="+mj-lt"/>
            </a:rPr>
            <a:t>  CLEARING</a:t>
          </a:r>
          <a:endParaRPr lang="es-PE" sz="1050" b="1">
            <a:latin typeface="+mj-lt"/>
          </a:endParaRPr>
        </a:p>
      </xdr:txBody>
    </xdr:sp>
    <xdr:clientData/>
  </xdr:twoCellAnchor>
  <xdr:twoCellAnchor>
    <xdr:from>
      <xdr:col>6</xdr:col>
      <xdr:colOff>29699</xdr:colOff>
      <xdr:row>14</xdr:row>
      <xdr:rowOff>48044</xdr:rowOff>
    </xdr:from>
    <xdr:to>
      <xdr:col>6</xdr:col>
      <xdr:colOff>261256</xdr:colOff>
      <xdr:row>21</xdr:row>
      <xdr:rowOff>87090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AAA88C9-9F5E-453F-BEC8-CFA3353CE749}"/>
            </a:ext>
          </a:extLst>
        </xdr:cNvPr>
        <xdr:cNvSpPr txBox="1"/>
      </xdr:nvSpPr>
      <xdr:spPr>
        <a:xfrm rot="5400000">
          <a:off x="4257084" y="2929031"/>
          <a:ext cx="1182046" cy="23155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latin typeface="+mj-lt"/>
            </a:rPr>
            <a:t>CURVA</a:t>
          </a:r>
          <a:r>
            <a:rPr lang="es-PE" sz="1050" b="1" baseline="0">
              <a:latin typeface="+mj-lt"/>
            </a:rPr>
            <a:t>  MELTING</a:t>
          </a:r>
          <a:endParaRPr lang="es-PE" sz="1050" b="1">
            <a:latin typeface="+mj-lt"/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0.04913</cdr:x>
      <cdr:y>0.71248</cdr:y>
    </cdr:from>
    <cdr:to>
      <cdr:x>0.47134</cdr:x>
      <cdr:y>0.71301</cdr:y>
    </cdr:to>
    <cdr:sp macro="" textlink="">
      <cdr:nvSpPr>
        <cdr:cNvPr id="2" name="1 Conector recto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10800000" flipV="1">
          <a:off x="555138" y="7998279"/>
          <a:ext cx="4770698" cy="589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 algn="ctr">
          <a:solidFill>
            <a:srgbClr val="FF0000"/>
          </a:solidFill>
          <a:prstDash val="dash"/>
          <a:round/>
          <a:headEnd type="oval" w="med" len="med"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0.05344</cdr:x>
      <cdr:y>0.66162</cdr:y>
    </cdr:from>
    <cdr:to>
      <cdr:x>0.47327</cdr:x>
      <cdr:y>0.66497</cdr:y>
    </cdr:to>
    <cdr:sp macro="" textlink="">
      <cdr:nvSpPr>
        <cdr:cNvPr id="3" name="1 Conector recto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10800000">
          <a:off x="603837" y="7427275"/>
          <a:ext cx="4743770" cy="3760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 algn="ctr">
          <a:solidFill>
            <a:srgbClr val="FF0000"/>
          </a:solidFill>
          <a:prstDash val="dash"/>
          <a:round/>
          <a:headEnd type="oval" w="med" len="med"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PE"/>
        </a:p>
      </cdr:txBody>
    </cdr:sp>
  </cdr:relSizeAnchor>
</c:userShapes>
</file>

<file path=xl/tables/table1.xml><?xml version="1.0" encoding="utf-8"?>
<table xmlns="http://schemas.openxmlformats.org/spreadsheetml/2006/main" id="1" name="Tabla1" displayName="Tabla1" ref="C26:D36" totalsRowShown="0" headerRowDxfId="11" headerRowBorderDxfId="10" tableBorderDxfId="9" totalsRowBorderDxfId="8">
  <autoFilter ref="C26:D36"/>
  <tableColumns count="2">
    <tableColumn id="1" name="Tiempo" dataDxfId="7"/>
    <tableColumn id="2" name="Corriente" dataDxfId="6">
      <calculatedColumnFormula>I27*$J$27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C40:D44" totalsRowShown="0" headerRowDxfId="5" headerRowBorderDxfId="4" tableBorderDxfId="3" totalsRowBorderDxfId="2">
  <autoFilter ref="C40:D44"/>
  <tableColumns count="2">
    <tableColumn id="1" name="TIEMPO" dataDxfId="1"/>
    <tableColumn id="2" name="CORRIEN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4"/>
  <sheetViews>
    <sheetView tabSelected="1" view="pageBreakPreview" topLeftCell="A73" zoomScaleNormal="100" zoomScaleSheetLayoutView="100" workbookViewId="0">
      <selection activeCell="K89" sqref="K89"/>
    </sheetView>
  </sheetViews>
  <sheetFormatPr baseColWidth="10" defaultColWidth="11.42578125" defaultRowHeight="16.5" x14ac:dyDescent="0.3"/>
  <cols>
    <col min="1" max="1" width="3.140625" style="50" customWidth="1"/>
    <col min="2" max="8" width="4.42578125" style="50" customWidth="1"/>
    <col min="9" max="9" width="6.85546875" style="50" customWidth="1"/>
    <col min="10" max="11" width="4.42578125" style="50" customWidth="1"/>
    <col min="12" max="12" width="5" style="50" customWidth="1"/>
    <col min="13" max="13" width="8.5703125" style="50" customWidth="1"/>
    <col min="14" max="14" width="4.42578125" style="50" customWidth="1"/>
    <col min="15" max="15" width="8.140625" style="50" customWidth="1"/>
    <col min="16" max="21" width="4.42578125" style="50" customWidth="1"/>
    <col min="22" max="23" width="11.42578125" style="50"/>
    <col min="24" max="24" width="8.140625" style="50" customWidth="1"/>
    <col min="25" max="25" width="12" style="50" customWidth="1"/>
    <col min="26" max="26" width="11.42578125" style="50"/>
    <col min="27" max="27" width="7.28515625" style="50" bestFit="1" customWidth="1"/>
    <col min="28" max="16384" width="11.42578125" style="50"/>
  </cols>
  <sheetData>
    <row r="1" spans="2:6" ht="42" hidden="1" customHeight="1" x14ac:dyDescent="0.3">
      <c r="B1" s="49" t="s">
        <v>0</v>
      </c>
    </row>
    <row r="2" spans="2:6" ht="42.75" hidden="1" customHeight="1" x14ac:dyDescent="0.3"/>
    <row r="3" spans="2:6" ht="48" hidden="1" customHeight="1" x14ac:dyDescent="0.3">
      <c r="B3" s="50" t="s">
        <v>1</v>
      </c>
      <c r="D3" s="51" t="s">
        <v>2</v>
      </c>
    </row>
    <row r="4" spans="2:6" ht="41.25" hidden="1" customHeight="1" x14ac:dyDescent="0.3">
      <c r="B4" s="50" t="s">
        <v>3</v>
      </c>
      <c r="D4" s="50">
        <v>1755</v>
      </c>
    </row>
    <row r="5" spans="2:6" ht="43.5" hidden="1" customHeight="1" x14ac:dyDescent="0.3">
      <c r="B5" s="50" t="s">
        <v>4</v>
      </c>
      <c r="D5" s="50">
        <v>80</v>
      </c>
    </row>
    <row r="6" spans="2:6" ht="42" hidden="1" customHeight="1" x14ac:dyDescent="0.3">
      <c r="B6" s="50" t="s">
        <v>5</v>
      </c>
      <c r="D6" s="50">
        <v>0.85</v>
      </c>
    </row>
    <row r="7" spans="2:6" ht="40.5" hidden="1" customHeight="1" x14ac:dyDescent="0.3"/>
    <row r="8" spans="2:6" ht="49.5" hidden="1" customHeight="1" x14ac:dyDescent="0.3">
      <c r="B8" s="50" t="s">
        <v>6</v>
      </c>
    </row>
    <row r="9" spans="2:6" ht="34.5" hidden="1" customHeight="1" x14ac:dyDescent="0.3"/>
    <row r="10" spans="2:6" ht="41.25" hidden="1" customHeight="1" x14ac:dyDescent="0.3">
      <c r="B10" s="50" t="s">
        <v>7</v>
      </c>
      <c r="E10" s="50">
        <f>15*0.746*1.2</f>
        <v>13.427999999999999</v>
      </c>
      <c r="F10" s="50" t="s">
        <v>8</v>
      </c>
    </row>
    <row r="11" spans="2:6" ht="48.75" hidden="1" customHeight="1" x14ac:dyDescent="0.3">
      <c r="B11" s="50" t="s">
        <v>9</v>
      </c>
      <c r="E11" s="50">
        <v>0.12</v>
      </c>
      <c r="F11" s="50" t="s">
        <v>8</v>
      </c>
    </row>
    <row r="12" spans="2:6" ht="18" hidden="1" customHeight="1" x14ac:dyDescent="0.3">
      <c r="B12" s="50" t="s">
        <v>10</v>
      </c>
      <c r="E12" s="52">
        <v>2</v>
      </c>
      <c r="F12" s="50" t="s">
        <v>8</v>
      </c>
    </row>
    <row r="13" spans="2:6" ht="66" hidden="1" customHeight="1" x14ac:dyDescent="0.3">
      <c r="B13" s="50" t="s">
        <v>11</v>
      </c>
      <c r="E13" s="53">
        <v>5</v>
      </c>
      <c r="F13" s="50" t="s">
        <v>8</v>
      </c>
    </row>
    <row r="14" spans="2:6" ht="24" hidden="1" customHeight="1" x14ac:dyDescent="0.3">
      <c r="D14" s="50" t="s">
        <v>12</v>
      </c>
      <c r="E14" s="50">
        <f>SUM(E10:E13)</f>
        <v>20.547999999999998</v>
      </c>
      <c r="F14" s="50" t="s">
        <v>8</v>
      </c>
    </row>
    <row r="15" spans="2:6" ht="36.75" hidden="1" customHeight="1" x14ac:dyDescent="0.3"/>
    <row r="16" spans="2:6" ht="52.5" hidden="1" customHeight="1" x14ac:dyDescent="0.3">
      <c r="B16" s="50" t="s">
        <v>13</v>
      </c>
      <c r="E16" s="50">
        <f>+E14/0.8</f>
        <v>25.684999999999995</v>
      </c>
    </row>
    <row r="17" spans="1:28" ht="31.5" hidden="1" customHeight="1" x14ac:dyDescent="0.3"/>
    <row r="18" spans="1:28" ht="200.25" hidden="1" customHeight="1" x14ac:dyDescent="0.3">
      <c r="B18" s="50" t="s">
        <v>14</v>
      </c>
    </row>
    <row r="19" spans="1:28" ht="9.75" hidden="1" customHeight="1" x14ac:dyDescent="0.3">
      <c r="B19" s="50" t="s">
        <v>15</v>
      </c>
      <c r="D19" s="50" t="s">
        <v>16</v>
      </c>
    </row>
    <row r="20" spans="1:28" hidden="1" x14ac:dyDescent="0.3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</row>
    <row r="21" spans="1:28" ht="18" x14ac:dyDescent="0.3">
      <c r="A21" s="55" t="s">
        <v>17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3" spans="1:28" x14ac:dyDescent="0.3">
      <c r="A23" s="56"/>
      <c r="B23" s="57" t="s">
        <v>88</v>
      </c>
      <c r="C23" s="57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</row>
    <row r="25" spans="1:28" x14ac:dyDescent="0.3">
      <c r="A25" s="58"/>
      <c r="B25" s="59" t="s">
        <v>89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spans="1:28" x14ac:dyDescent="0.3">
      <c r="J26" s="50" t="s">
        <v>90</v>
      </c>
    </row>
    <row r="27" spans="1:28" x14ac:dyDescent="0.3">
      <c r="J27" s="60" t="s">
        <v>111</v>
      </c>
      <c r="O27" s="61" t="s">
        <v>114</v>
      </c>
      <c r="P27" s="50">
        <v>5</v>
      </c>
      <c r="Q27" s="50" t="s">
        <v>19</v>
      </c>
    </row>
    <row r="28" spans="1:28" x14ac:dyDescent="0.3">
      <c r="J28" s="50" t="s">
        <v>112</v>
      </c>
      <c r="O28" s="61" t="s">
        <v>114</v>
      </c>
      <c r="P28" s="50">
        <v>13.2</v>
      </c>
      <c r="Q28" s="50" t="s">
        <v>20</v>
      </c>
      <c r="W28" s="191" t="s">
        <v>21</v>
      </c>
      <c r="X28" s="192"/>
      <c r="Y28" s="192"/>
      <c r="Z28" s="192"/>
      <c r="AA28" s="192"/>
      <c r="AB28" s="193"/>
    </row>
    <row r="29" spans="1:28" x14ac:dyDescent="0.3">
      <c r="J29" s="50" t="s">
        <v>113</v>
      </c>
      <c r="O29" s="61" t="s">
        <v>114</v>
      </c>
      <c r="P29" s="50">
        <v>0.9</v>
      </c>
      <c r="W29" s="62" t="s">
        <v>22</v>
      </c>
      <c r="Z29" s="63" t="s">
        <v>23</v>
      </c>
      <c r="AA29" s="64"/>
      <c r="AB29" s="65"/>
    </row>
    <row r="30" spans="1:28" x14ac:dyDescent="0.3">
      <c r="W30" s="66" t="s">
        <v>18</v>
      </c>
      <c r="Z30" s="66" t="s">
        <v>18</v>
      </c>
      <c r="AB30" s="67"/>
    </row>
    <row r="31" spans="1:28" x14ac:dyDescent="0.3">
      <c r="K31" s="68"/>
      <c r="L31" s="69" t="s">
        <v>91</v>
      </c>
      <c r="M31" s="70">
        <f>(P27*0.9)/(SQRT(3)*P28*P29)</f>
        <v>0.2186932837839492</v>
      </c>
      <c r="W31" s="71" t="s">
        <v>24</v>
      </c>
      <c r="X31" s="72">
        <f>M31</f>
        <v>0.2186932837839492</v>
      </c>
      <c r="Y31" s="73" t="s">
        <v>25</v>
      </c>
      <c r="Z31" s="71" t="s">
        <v>24</v>
      </c>
      <c r="AA31" s="72">
        <f>M80</f>
        <v>6.56</v>
      </c>
      <c r="AB31" s="74" t="s">
        <v>25</v>
      </c>
    </row>
    <row r="32" spans="1:28" x14ac:dyDescent="0.3">
      <c r="L32" s="75"/>
      <c r="M32" s="75"/>
      <c r="W32" s="66" t="s">
        <v>26</v>
      </c>
      <c r="Z32" s="66" t="s">
        <v>26</v>
      </c>
      <c r="AB32" s="67"/>
    </row>
    <row r="33" spans="1:30" x14ac:dyDescent="0.3">
      <c r="L33" s="75"/>
      <c r="M33" s="75"/>
      <c r="W33" s="71" t="s">
        <v>27</v>
      </c>
      <c r="X33" s="72">
        <f>M37</f>
        <v>0.32803992567592377</v>
      </c>
      <c r="Y33" s="73" t="s">
        <v>25</v>
      </c>
      <c r="Z33" s="71" t="s">
        <v>27</v>
      </c>
      <c r="AA33" s="72">
        <f>M84</f>
        <v>8.1999999999999993</v>
      </c>
      <c r="AB33" s="74" t="s">
        <v>25</v>
      </c>
    </row>
    <row r="34" spans="1:30" x14ac:dyDescent="0.3">
      <c r="A34" s="58"/>
      <c r="B34" s="59" t="s">
        <v>92</v>
      </c>
      <c r="C34" s="58"/>
      <c r="D34" s="58"/>
      <c r="E34" s="58"/>
      <c r="F34" s="58"/>
      <c r="G34" s="58"/>
      <c r="H34" s="58"/>
      <c r="I34" s="58"/>
      <c r="J34" s="58"/>
      <c r="K34" s="58"/>
      <c r="L34" s="76"/>
      <c r="M34" s="76"/>
      <c r="N34" s="58"/>
      <c r="O34" s="58"/>
      <c r="P34" s="58"/>
      <c r="Q34" s="58" t="s">
        <v>154</v>
      </c>
      <c r="R34" s="58"/>
      <c r="S34" s="58"/>
      <c r="T34" s="58"/>
      <c r="U34" s="58"/>
      <c r="W34" s="66" t="s">
        <v>28</v>
      </c>
      <c r="Z34" s="66" t="s">
        <v>29</v>
      </c>
      <c r="AB34" s="67"/>
    </row>
    <row r="35" spans="1:30" x14ac:dyDescent="0.3">
      <c r="L35" s="75"/>
      <c r="M35" s="75"/>
      <c r="W35" s="71" t="s">
        <v>30</v>
      </c>
      <c r="X35" s="72">
        <f>M42</f>
        <v>4.3738656756789842</v>
      </c>
      <c r="Y35" s="73" t="s">
        <v>25</v>
      </c>
      <c r="Z35" s="71" t="s">
        <v>101</v>
      </c>
      <c r="AA35" s="180">
        <f>+K88</f>
        <v>15</v>
      </c>
      <c r="AB35" s="74"/>
    </row>
    <row r="36" spans="1:30" x14ac:dyDescent="0.3">
      <c r="D36" s="73"/>
      <c r="L36" s="75"/>
      <c r="M36" s="75"/>
      <c r="W36" s="66" t="s">
        <v>31</v>
      </c>
      <c r="Z36" s="66"/>
      <c r="AB36" s="67"/>
      <c r="AC36" s="50">
        <f>230^2/250000000</f>
        <v>2.1159999999999999E-4</v>
      </c>
    </row>
    <row r="37" spans="1:30" x14ac:dyDescent="0.3">
      <c r="L37" s="69" t="s">
        <v>99</v>
      </c>
      <c r="M37" s="77">
        <f>1.5*M31</f>
        <v>0.32803992567592377</v>
      </c>
      <c r="W37" s="78" t="s">
        <v>32</v>
      </c>
      <c r="X37" s="79">
        <f>M46</f>
        <v>2.6243194054073902</v>
      </c>
      <c r="Y37" s="80" t="s">
        <v>25</v>
      </c>
      <c r="Z37" s="81"/>
      <c r="AA37" s="82"/>
      <c r="AB37" s="83"/>
    </row>
    <row r="39" spans="1:30" x14ac:dyDescent="0.3">
      <c r="H39" s="73" t="s">
        <v>155</v>
      </c>
      <c r="AC39" s="50">
        <v>0.23</v>
      </c>
    </row>
    <row r="40" spans="1:30" x14ac:dyDescent="0.3">
      <c r="A40" s="58"/>
      <c r="B40" s="59" t="s">
        <v>93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Y40" s="84"/>
      <c r="AC40" s="50">
        <f>C82*100/(4%)</f>
        <v>0</v>
      </c>
      <c r="AD40" s="50">
        <f>AC40*0.23/13.2</f>
        <v>0</v>
      </c>
    </row>
    <row r="42" spans="1:30" x14ac:dyDescent="0.3">
      <c r="L42" s="69" t="s">
        <v>30</v>
      </c>
      <c r="M42" s="85">
        <f>20*M31</f>
        <v>4.3738656756789842</v>
      </c>
      <c r="V42" s="50" t="s">
        <v>31</v>
      </c>
      <c r="AC42" s="50">
        <v>800</v>
      </c>
      <c r="AD42" s="50">
        <f>(AC42*0.23/13.2)*1.13</f>
        <v>15.75151515151515</v>
      </c>
    </row>
    <row r="44" spans="1:30" x14ac:dyDescent="0.3">
      <c r="A44" s="58"/>
      <c r="B44" s="59" t="s">
        <v>115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6" spans="1:30" x14ac:dyDescent="0.3">
      <c r="K46" s="86"/>
      <c r="L46" s="87" t="s">
        <v>32</v>
      </c>
      <c r="M46" s="70">
        <f>M31*12</f>
        <v>2.6243194054073902</v>
      </c>
    </row>
    <row r="47" spans="1:30" ht="15" hidden="1" customHeight="1" x14ac:dyDescent="0.3"/>
    <row r="48" spans="1:30" ht="15" hidden="1" customHeight="1" x14ac:dyDescent="0.3"/>
    <row r="49" spans="2:22" ht="15" hidden="1" customHeight="1" x14ac:dyDescent="0.3">
      <c r="B49" s="49" t="s">
        <v>33</v>
      </c>
    </row>
    <row r="50" spans="2:22" ht="15" hidden="1" customHeight="1" x14ac:dyDescent="0.3"/>
    <row r="51" spans="2:22" ht="15" hidden="1" customHeight="1" x14ac:dyDescent="0.3"/>
    <row r="52" spans="2:22" ht="15" hidden="1" customHeight="1" x14ac:dyDescent="0.3">
      <c r="B52" s="88" t="s">
        <v>34</v>
      </c>
      <c r="C52" s="89"/>
      <c r="D52" s="90"/>
      <c r="E52" s="91" t="s">
        <v>35</v>
      </c>
      <c r="F52" s="91" t="s">
        <v>36</v>
      </c>
      <c r="G52" s="91" t="s">
        <v>37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2" t="s">
        <v>38</v>
      </c>
    </row>
    <row r="53" spans="2:22" ht="15" hidden="1" customHeight="1" x14ac:dyDescent="0.3">
      <c r="B53" s="88" t="s">
        <v>39</v>
      </c>
      <c r="C53" s="93"/>
      <c r="D53" s="89"/>
      <c r="E53" s="94">
        <v>8.49</v>
      </c>
      <c r="F53" s="95">
        <f>+E53/(0.38*0.8*1.732)</f>
        <v>16.124498602163605</v>
      </c>
      <c r="G53" s="95">
        <f>+F53*1.25</f>
        <v>20.155623252704508</v>
      </c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0">
        <v>20</v>
      </c>
    </row>
    <row r="54" spans="2:22" ht="15" hidden="1" customHeight="1" x14ac:dyDescent="0.3">
      <c r="B54" s="88" t="s">
        <v>40</v>
      </c>
      <c r="C54" s="93"/>
      <c r="D54" s="89"/>
      <c r="E54" s="94">
        <v>7.55</v>
      </c>
      <c r="F54" s="95">
        <f>+E54/(0.38*0.8*1.732)</f>
        <v>14.339218427130177</v>
      </c>
      <c r="G54" s="95">
        <f>+F54*1.25</f>
        <v>17.924023033912722</v>
      </c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0">
        <v>20</v>
      </c>
    </row>
    <row r="55" spans="2:22" ht="15" hidden="1" customHeight="1" x14ac:dyDescent="0.3">
      <c r="B55" s="88" t="s">
        <v>41</v>
      </c>
      <c r="C55" s="93"/>
      <c r="D55" s="89"/>
      <c r="E55" s="94">
        <v>0</v>
      </c>
      <c r="F55" s="95">
        <f>+E55/(0.38*0.8*1.732)</f>
        <v>0</v>
      </c>
      <c r="G55" s="95">
        <f>+F55*1.25</f>
        <v>0</v>
      </c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0">
        <v>40</v>
      </c>
    </row>
    <row r="56" spans="2:22" ht="15" hidden="1" customHeight="1" x14ac:dyDescent="0.3">
      <c r="B56" s="88" t="s">
        <v>42</v>
      </c>
      <c r="C56" s="93"/>
      <c r="D56" s="89"/>
      <c r="E56" s="94">
        <v>0</v>
      </c>
      <c r="F56" s="95">
        <f>+E56/(0.38*0.8*1.732)</f>
        <v>0</v>
      </c>
      <c r="G56" s="95">
        <f>+F56*1.25</f>
        <v>0</v>
      </c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0">
        <v>40</v>
      </c>
    </row>
    <row r="57" spans="2:22" ht="15" hidden="1" customHeight="1" x14ac:dyDescent="0.3">
      <c r="B57" s="88" t="s">
        <v>43</v>
      </c>
      <c r="C57" s="93"/>
      <c r="D57" s="8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0">
        <v>400</v>
      </c>
    </row>
    <row r="58" spans="2:22" ht="15" hidden="1" customHeight="1" x14ac:dyDescent="0.3">
      <c r="B58" s="88"/>
      <c r="C58" s="93" t="s">
        <v>44</v>
      </c>
      <c r="D58" s="8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0">
        <v>20</v>
      </c>
    </row>
    <row r="59" spans="2:22" ht="15" hidden="1" customHeight="1" x14ac:dyDescent="0.3">
      <c r="B59" s="88"/>
      <c r="C59" s="93" t="s">
        <v>45</v>
      </c>
      <c r="D59" s="8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0">
        <v>100</v>
      </c>
    </row>
    <row r="60" spans="2:22" ht="15" hidden="1" customHeight="1" x14ac:dyDescent="0.3">
      <c r="B60" s="88"/>
      <c r="C60" s="93" t="s">
        <v>46</v>
      </c>
      <c r="D60" s="8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0">
        <v>100</v>
      </c>
    </row>
    <row r="61" spans="2:22" ht="15" hidden="1" customHeight="1" x14ac:dyDescent="0.3">
      <c r="B61" s="88" t="s">
        <v>47</v>
      </c>
      <c r="C61" s="93"/>
      <c r="D61" s="8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0">
        <v>400</v>
      </c>
    </row>
    <row r="62" spans="2:22" ht="15" hidden="1" customHeight="1" x14ac:dyDescent="0.3">
      <c r="B62" s="96"/>
      <c r="C62" s="97" t="s">
        <v>44</v>
      </c>
      <c r="D62" s="64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65">
        <v>20</v>
      </c>
    </row>
    <row r="63" spans="2:22" ht="15" hidden="1" customHeight="1" x14ac:dyDescent="0.3">
      <c r="B63" s="96"/>
      <c r="C63" s="97" t="s">
        <v>45</v>
      </c>
      <c r="D63" s="64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65">
        <v>100</v>
      </c>
    </row>
    <row r="64" spans="2:22" ht="15" hidden="1" customHeight="1" x14ac:dyDescent="0.3">
      <c r="B64" s="96"/>
      <c r="C64" s="97" t="s">
        <v>46</v>
      </c>
      <c r="D64" s="64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65">
        <v>100</v>
      </c>
    </row>
    <row r="65" spans="1:26" ht="15" hidden="1" customHeight="1" x14ac:dyDescent="0.3">
      <c r="B65" s="96"/>
      <c r="C65" s="64" t="s">
        <v>48</v>
      </c>
      <c r="D65" s="64"/>
      <c r="E65" s="99">
        <f>SUM(E51:E61)</f>
        <v>16.04</v>
      </c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5"/>
    </row>
    <row r="66" spans="1:26" ht="15" hidden="1" customHeight="1" x14ac:dyDescent="0.3">
      <c r="B66" s="66"/>
      <c r="C66" s="50" t="s">
        <v>49</v>
      </c>
      <c r="E66" s="100">
        <f>+E65*0.05</f>
        <v>0.80200000000000005</v>
      </c>
      <c r="V66" s="67"/>
    </row>
    <row r="67" spans="1:26" ht="15" hidden="1" customHeight="1" x14ac:dyDescent="0.3">
      <c r="B67" s="66"/>
      <c r="C67" s="50" t="s">
        <v>50</v>
      </c>
      <c r="E67" s="101">
        <f>(E65+E66)/P29</f>
        <v>18.713333333333331</v>
      </c>
      <c r="V67" s="67"/>
    </row>
    <row r="68" spans="1:26" ht="15" hidden="1" customHeight="1" x14ac:dyDescent="0.3">
      <c r="B68" s="81"/>
      <c r="C68" s="82" t="s">
        <v>51</v>
      </c>
      <c r="D68" s="82"/>
      <c r="E68" s="102">
        <v>25</v>
      </c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3"/>
    </row>
    <row r="69" spans="1:26" ht="15" hidden="1" customHeight="1" x14ac:dyDescent="0.3"/>
    <row r="70" spans="1:26" ht="15" hidden="1" customHeight="1" x14ac:dyDescent="0.3">
      <c r="B70" s="50" t="s">
        <v>52</v>
      </c>
      <c r="D70" s="50">
        <v>0.38</v>
      </c>
      <c r="E70" s="50" t="s">
        <v>20</v>
      </c>
    </row>
    <row r="72" spans="1:26" x14ac:dyDescent="0.3">
      <c r="A72" s="103"/>
      <c r="B72" s="104" t="s">
        <v>94</v>
      </c>
      <c r="C72" s="104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</row>
    <row r="73" spans="1:26" x14ac:dyDescent="0.3">
      <c r="B73" s="73"/>
      <c r="C73" s="73"/>
    </row>
    <row r="74" spans="1:26" x14ac:dyDescent="0.3">
      <c r="A74" s="58"/>
      <c r="B74" s="59" t="s">
        <v>151</v>
      </c>
      <c r="C74" s="59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W74" s="191" t="s">
        <v>53</v>
      </c>
      <c r="X74" s="193"/>
      <c r="Y74" s="191" t="s">
        <v>54</v>
      </c>
      <c r="Z74" s="193"/>
    </row>
    <row r="75" spans="1:26" x14ac:dyDescent="0.3">
      <c r="H75" s="50" t="s">
        <v>95</v>
      </c>
      <c r="W75" s="122" t="s">
        <v>119</v>
      </c>
      <c r="X75" s="122" t="s">
        <v>117</v>
      </c>
      <c r="Y75" s="122" t="s">
        <v>117</v>
      </c>
      <c r="Z75" s="122" t="s">
        <v>119</v>
      </c>
    </row>
    <row r="76" spans="1:26" x14ac:dyDescent="0.3">
      <c r="H76" s="50" t="s">
        <v>96</v>
      </c>
      <c r="N76" s="115" t="s">
        <v>114</v>
      </c>
      <c r="O76" s="105">
        <v>0.44</v>
      </c>
      <c r="W76" s="116">
        <v>300</v>
      </c>
      <c r="X76" s="106">
        <f>M42</f>
        <v>4.3738656756789842</v>
      </c>
      <c r="Y76" s="120">
        <v>2.375</v>
      </c>
      <c r="Z76" s="120">
        <v>0.01</v>
      </c>
    </row>
    <row r="77" spans="1:26" x14ac:dyDescent="0.3">
      <c r="H77" s="50" t="s">
        <v>97</v>
      </c>
      <c r="N77" s="115" t="s">
        <v>114</v>
      </c>
      <c r="O77" s="107">
        <f>P27*0.9</f>
        <v>4.5</v>
      </c>
      <c r="W77" s="117">
        <v>100</v>
      </c>
      <c r="X77" s="106">
        <f>M42</f>
        <v>4.3738656756789842</v>
      </c>
      <c r="Y77" s="120">
        <v>2.375</v>
      </c>
      <c r="Z77" s="120">
        <v>4</v>
      </c>
    </row>
    <row r="78" spans="1:26" ht="16.5" customHeight="1" x14ac:dyDescent="0.3">
      <c r="H78" s="50" t="s">
        <v>118</v>
      </c>
      <c r="N78" s="115" t="s">
        <v>114</v>
      </c>
      <c r="O78" s="108">
        <v>0.9</v>
      </c>
      <c r="W78" s="117">
        <v>12</v>
      </c>
      <c r="X78" s="106">
        <f>M42</f>
        <v>4.3738656756789842</v>
      </c>
      <c r="Y78" s="120">
        <v>1.93</v>
      </c>
      <c r="Z78" s="120">
        <v>6</v>
      </c>
    </row>
    <row r="79" spans="1:26" ht="14.25" customHeight="1" x14ac:dyDescent="0.3">
      <c r="W79" s="117">
        <v>0.9</v>
      </c>
      <c r="X79" s="106">
        <f>M42</f>
        <v>4.3738656756789842</v>
      </c>
      <c r="Y79" s="120">
        <v>1.52</v>
      </c>
      <c r="Z79" s="120">
        <v>10</v>
      </c>
    </row>
    <row r="80" spans="1:26" x14ac:dyDescent="0.3">
      <c r="L80" s="109" t="s">
        <v>98</v>
      </c>
      <c r="M80" s="110">
        <f>ROUND(O77/(SQRT(3)*O76*O78),2)</f>
        <v>6.56</v>
      </c>
      <c r="W80" s="117">
        <v>0.3</v>
      </c>
      <c r="X80" s="106">
        <f>M42</f>
        <v>4.3738656756789842</v>
      </c>
      <c r="Y80" s="120">
        <v>1.19</v>
      </c>
      <c r="Z80" s="120">
        <v>20</v>
      </c>
    </row>
    <row r="81" spans="1:26" x14ac:dyDescent="0.3">
      <c r="W81" s="118">
        <v>0.2</v>
      </c>
      <c r="X81" s="106">
        <f>M42</f>
        <v>4.3738656756789842</v>
      </c>
      <c r="Y81" s="120">
        <v>0.91</v>
      </c>
      <c r="Z81" s="120">
        <v>31</v>
      </c>
    </row>
    <row r="82" spans="1:26" x14ac:dyDescent="0.3">
      <c r="A82" s="58"/>
      <c r="B82" s="59" t="s">
        <v>152</v>
      </c>
      <c r="C82" s="111"/>
      <c r="D82" s="59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W82" s="118">
        <v>0.1</v>
      </c>
      <c r="X82" s="106">
        <f>M42</f>
        <v>4.3738656756789842</v>
      </c>
      <c r="Y82" s="120"/>
      <c r="Z82" s="120"/>
    </row>
    <row r="83" spans="1:26" x14ac:dyDescent="0.3">
      <c r="C83" s="73"/>
      <c r="D83" s="73"/>
      <c r="W83" s="119">
        <v>0.01</v>
      </c>
      <c r="X83" s="112">
        <f>M42</f>
        <v>4.3738656756789842</v>
      </c>
      <c r="Y83" s="121"/>
      <c r="Z83" s="121"/>
    </row>
    <row r="84" spans="1:26" x14ac:dyDescent="0.3">
      <c r="L84" s="113" t="s">
        <v>99</v>
      </c>
      <c r="M84" s="114">
        <f>ROUND(M80*1.25,2)</f>
        <v>8.1999999999999993</v>
      </c>
    </row>
    <row r="85" spans="1:26" x14ac:dyDescent="0.3">
      <c r="D85" s="73"/>
      <c r="W85" s="196" t="s">
        <v>124</v>
      </c>
      <c r="X85" s="196"/>
    </row>
    <row r="86" spans="1:26" x14ac:dyDescent="0.3">
      <c r="A86" s="58"/>
      <c r="B86" s="58" t="s">
        <v>162</v>
      </c>
      <c r="C86" s="58"/>
      <c r="D86" s="58"/>
      <c r="E86" s="59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W86" s="122" t="s">
        <v>119</v>
      </c>
      <c r="X86" s="130" t="s">
        <v>117</v>
      </c>
    </row>
    <row r="87" spans="1:26" x14ac:dyDescent="0.3">
      <c r="W87" s="126">
        <v>300</v>
      </c>
      <c r="X87" s="131">
        <f>+M31</f>
        <v>0.2186932837839492</v>
      </c>
    </row>
    <row r="88" spans="1:26" x14ac:dyDescent="0.3">
      <c r="D88" s="194" t="s">
        <v>55</v>
      </c>
      <c r="E88" s="194"/>
      <c r="F88" s="194"/>
      <c r="G88" s="194"/>
      <c r="H88" s="194" t="s">
        <v>100</v>
      </c>
      <c r="I88" s="194"/>
      <c r="J88" s="194"/>
      <c r="K88" s="195">
        <v>15</v>
      </c>
      <c r="L88" s="195"/>
      <c r="W88" s="127">
        <v>100</v>
      </c>
      <c r="X88" s="132">
        <f>+X87</f>
        <v>0.2186932837839492</v>
      </c>
    </row>
    <row r="89" spans="1:26" x14ac:dyDescent="0.3">
      <c r="W89" s="127">
        <v>12</v>
      </c>
      <c r="X89" s="132">
        <f t="shared" ref="X89:X94" si="0">+X88</f>
        <v>0.2186932837839492</v>
      </c>
    </row>
    <row r="90" spans="1:26" x14ac:dyDescent="0.3">
      <c r="W90" s="127">
        <v>0.9</v>
      </c>
      <c r="X90" s="132">
        <f t="shared" si="0"/>
        <v>0.2186932837839492</v>
      </c>
    </row>
    <row r="91" spans="1:26" x14ac:dyDescent="0.3">
      <c r="W91" s="127">
        <v>0.3</v>
      </c>
      <c r="X91" s="132">
        <f t="shared" si="0"/>
        <v>0.2186932837839492</v>
      </c>
    </row>
    <row r="92" spans="1:26" x14ac:dyDescent="0.3">
      <c r="W92" s="128">
        <v>0.2</v>
      </c>
      <c r="X92" s="132">
        <f t="shared" si="0"/>
        <v>0.2186932837839492</v>
      </c>
    </row>
    <row r="93" spans="1:26" x14ac:dyDescent="0.3">
      <c r="W93" s="128">
        <v>0.1</v>
      </c>
      <c r="X93" s="132">
        <f t="shared" si="0"/>
        <v>0.2186932837839492</v>
      </c>
    </row>
    <row r="94" spans="1:26" x14ac:dyDescent="0.3">
      <c r="W94" s="129">
        <v>0.01</v>
      </c>
      <c r="X94" s="133">
        <f t="shared" si="0"/>
        <v>0.2186932837839492</v>
      </c>
    </row>
  </sheetData>
  <mergeCells count="7">
    <mergeCell ref="W28:AB28"/>
    <mergeCell ref="D88:G88"/>
    <mergeCell ref="H88:J88"/>
    <mergeCell ref="K88:L88"/>
    <mergeCell ref="W74:X74"/>
    <mergeCell ref="Y74:Z74"/>
    <mergeCell ref="W85:X85"/>
  </mergeCells>
  <phoneticPr fontId="0" type="noConversion"/>
  <printOptions horizontalCentered="1" verticalCentered="1"/>
  <pageMargins left="0.9055118110236221" right="0.74803149606299213" top="0.98425196850393704" bottom="0.98425196850393704" header="0" footer="0"/>
  <pageSetup paperSize="9" scale="83" fitToHeight="2" orientation="portrait" horizontalDpi="4294967295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9"/>
  <sheetViews>
    <sheetView view="pageBreakPreview" topLeftCell="A47" zoomScale="70" zoomScaleNormal="100" zoomScaleSheetLayoutView="70" workbookViewId="0">
      <selection activeCell="N51" sqref="N51:N54"/>
    </sheetView>
  </sheetViews>
  <sheetFormatPr baseColWidth="10" defaultColWidth="11.42578125" defaultRowHeight="12.75" x14ac:dyDescent="0.2"/>
  <cols>
    <col min="1" max="1" width="2.85546875" style="26" customWidth="1"/>
    <col min="2" max="2" width="11.42578125" style="26"/>
    <col min="3" max="3" width="13.140625" style="26" customWidth="1"/>
    <col min="4" max="4" width="15.140625" style="26" customWidth="1"/>
    <col min="5" max="5" width="5.7109375" style="26" customWidth="1"/>
    <col min="6" max="6" width="13" style="26" customWidth="1"/>
    <col min="7" max="7" width="11.42578125" style="26"/>
    <col min="8" max="8" width="4.5703125" style="26" customWidth="1"/>
    <col min="9" max="9" width="18.85546875" style="26" customWidth="1"/>
    <col min="10" max="10" width="4.42578125" style="26" customWidth="1"/>
    <col min="11" max="11" width="11.42578125" style="26"/>
    <col min="12" max="12" width="9.140625" style="26" customWidth="1"/>
    <col min="13" max="13" width="13.42578125" style="26" customWidth="1"/>
    <col min="14" max="16384" width="11.42578125" style="26"/>
  </cols>
  <sheetData>
    <row r="1" spans="2:7" hidden="1" x14ac:dyDescent="0.2">
      <c r="B1" s="25" t="s">
        <v>0</v>
      </c>
    </row>
    <row r="2" spans="2:7" hidden="1" x14ac:dyDescent="0.2"/>
    <row r="3" spans="2:7" hidden="1" x14ac:dyDescent="0.2">
      <c r="B3" s="26" t="s">
        <v>1</v>
      </c>
      <c r="D3" s="27" t="s">
        <v>2</v>
      </c>
      <c r="E3" s="27"/>
    </row>
    <row r="4" spans="2:7" hidden="1" x14ac:dyDescent="0.2">
      <c r="B4" s="26" t="s">
        <v>3</v>
      </c>
      <c r="D4" s="26">
        <v>1755</v>
      </c>
    </row>
    <row r="5" spans="2:7" hidden="1" x14ac:dyDescent="0.2">
      <c r="B5" s="26" t="s">
        <v>4</v>
      </c>
      <c r="D5" s="26">
        <v>80</v>
      </c>
    </row>
    <row r="6" spans="2:7" hidden="1" x14ac:dyDescent="0.2">
      <c r="B6" s="26" t="s">
        <v>5</v>
      </c>
      <c r="D6" s="26">
        <v>0.85</v>
      </c>
    </row>
    <row r="7" spans="2:7" hidden="1" x14ac:dyDescent="0.2"/>
    <row r="8" spans="2:7" hidden="1" x14ac:dyDescent="0.2">
      <c r="B8" s="26" t="s">
        <v>6</v>
      </c>
    </row>
    <row r="9" spans="2:7" hidden="1" x14ac:dyDescent="0.2"/>
    <row r="10" spans="2:7" hidden="1" x14ac:dyDescent="0.2">
      <c r="B10" s="26" t="s">
        <v>7</v>
      </c>
      <c r="F10" s="26">
        <f>15*0.746*1.2</f>
        <v>13.427999999999999</v>
      </c>
      <c r="G10" s="26" t="s">
        <v>8</v>
      </c>
    </row>
    <row r="11" spans="2:7" hidden="1" x14ac:dyDescent="0.2">
      <c r="B11" s="26" t="s">
        <v>9</v>
      </c>
      <c r="F11" s="26">
        <v>0.12</v>
      </c>
      <c r="G11" s="26" t="s">
        <v>8</v>
      </c>
    </row>
    <row r="12" spans="2:7" hidden="1" x14ac:dyDescent="0.2">
      <c r="B12" s="26" t="s">
        <v>10</v>
      </c>
      <c r="F12" s="28">
        <v>2</v>
      </c>
      <c r="G12" s="26" t="s">
        <v>8</v>
      </c>
    </row>
    <row r="13" spans="2:7" hidden="1" x14ac:dyDescent="0.2">
      <c r="B13" s="26" t="s">
        <v>11</v>
      </c>
      <c r="F13" s="29">
        <v>5</v>
      </c>
      <c r="G13" s="26" t="s">
        <v>8</v>
      </c>
    </row>
    <row r="14" spans="2:7" hidden="1" x14ac:dyDescent="0.2">
      <c r="D14" s="26" t="s">
        <v>12</v>
      </c>
      <c r="F14" s="26">
        <f>SUM(F10:F13)</f>
        <v>20.547999999999998</v>
      </c>
      <c r="G14" s="26" t="s">
        <v>8</v>
      </c>
    </row>
    <row r="15" spans="2:7" hidden="1" x14ac:dyDescent="0.2"/>
    <row r="16" spans="2:7" hidden="1" x14ac:dyDescent="0.2">
      <c r="B16" s="26" t="s">
        <v>13</v>
      </c>
      <c r="F16" s="26">
        <f>+F14/0.8</f>
        <v>25.684999999999995</v>
      </c>
    </row>
    <row r="17" spans="1:13" hidden="1" x14ac:dyDescent="0.2"/>
    <row r="18" spans="1:13" hidden="1" x14ac:dyDescent="0.2">
      <c r="B18" s="26" t="s">
        <v>14</v>
      </c>
    </row>
    <row r="19" spans="1:13" hidden="1" x14ac:dyDescent="0.2">
      <c r="B19" s="26" t="s">
        <v>15</v>
      </c>
      <c r="D19" s="26" t="s">
        <v>16</v>
      </c>
    </row>
    <row r="20" spans="1:13" x14ac:dyDescent="0.2">
      <c r="B20" s="30"/>
      <c r="C20" s="30"/>
      <c r="D20" s="30"/>
      <c r="E20" s="30"/>
      <c r="F20" s="30"/>
      <c r="G20" s="30"/>
      <c r="H20" s="30"/>
    </row>
    <row r="21" spans="1:13" ht="15.75" x14ac:dyDescent="0.2">
      <c r="A21" s="31"/>
      <c r="B21" s="197" t="s">
        <v>103</v>
      </c>
      <c r="C21" s="197"/>
      <c r="D21" s="197"/>
      <c r="E21" s="197"/>
      <c r="F21" s="197"/>
      <c r="G21" s="197"/>
      <c r="H21" s="31"/>
      <c r="L21" s="32" t="s">
        <v>56</v>
      </c>
      <c r="M21" s="32" t="s">
        <v>57</v>
      </c>
    </row>
    <row r="22" spans="1:13" ht="15.75" x14ac:dyDescent="0.2">
      <c r="A22" s="31"/>
      <c r="B22" s="198" t="s">
        <v>102</v>
      </c>
      <c r="C22" s="198"/>
      <c r="D22" s="198"/>
      <c r="E22" s="198"/>
      <c r="F22" s="198"/>
      <c r="G22" s="198"/>
      <c r="H22" s="31"/>
      <c r="L22" s="32"/>
      <c r="M22" s="32"/>
    </row>
    <row r="23" spans="1:13" x14ac:dyDescent="0.2">
      <c r="A23" s="31"/>
      <c r="B23" s="33"/>
      <c r="C23" s="31"/>
      <c r="D23" s="31"/>
      <c r="E23" s="31"/>
      <c r="F23" s="31"/>
      <c r="G23" s="31"/>
      <c r="H23" s="31"/>
      <c r="L23" s="32" t="s">
        <v>58</v>
      </c>
      <c r="M23" s="32">
        <v>113</v>
      </c>
    </row>
    <row r="24" spans="1:13" x14ac:dyDescent="0.2">
      <c r="A24" s="31"/>
      <c r="B24" s="34" t="s">
        <v>104</v>
      </c>
      <c r="C24" s="31"/>
      <c r="D24" s="31"/>
      <c r="E24" s="31"/>
      <c r="F24" s="31"/>
      <c r="G24" s="31"/>
      <c r="H24" s="31"/>
      <c r="L24" s="32" t="s">
        <v>59</v>
      </c>
      <c r="M24" s="32">
        <v>143.5</v>
      </c>
    </row>
    <row r="25" spans="1:13" x14ac:dyDescent="0.2">
      <c r="A25" s="31"/>
      <c r="B25" s="33"/>
      <c r="C25" s="31"/>
      <c r="D25" s="31"/>
      <c r="E25" s="31"/>
      <c r="F25" s="31"/>
      <c r="G25" s="31"/>
      <c r="H25" s="31"/>
      <c r="L25" s="32" t="s">
        <v>60</v>
      </c>
      <c r="M25" s="32">
        <v>88.5</v>
      </c>
    </row>
    <row r="26" spans="1:13" x14ac:dyDescent="0.2">
      <c r="A26" s="31"/>
      <c r="B26" s="31"/>
      <c r="C26" s="142" t="s">
        <v>116</v>
      </c>
      <c r="D26" s="143" t="s">
        <v>117</v>
      </c>
      <c r="E26" s="166"/>
      <c r="F26" s="31"/>
      <c r="G26" s="31"/>
      <c r="H26" s="31"/>
      <c r="I26" s="26" t="s">
        <v>122</v>
      </c>
      <c r="J26" s="26" t="s">
        <v>120</v>
      </c>
      <c r="L26" s="32" t="s">
        <v>63</v>
      </c>
      <c r="M26" s="32">
        <v>120</v>
      </c>
    </row>
    <row r="27" spans="1:13" x14ac:dyDescent="0.2">
      <c r="A27" s="31"/>
      <c r="B27" s="34"/>
      <c r="C27" s="123">
        <v>60</v>
      </c>
      <c r="D27" s="124">
        <f>I27*$J$27</f>
        <v>1.4215063445956697</v>
      </c>
      <c r="E27" s="167"/>
      <c r="F27" s="31"/>
      <c r="G27" s="31"/>
      <c r="H27" s="31"/>
      <c r="I27" s="26">
        <v>6.5</v>
      </c>
      <c r="J27" s="26">
        <f>+'CALCULO CORRRIENTES'!M31</f>
        <v>0.2186932837839492</v>
      </c>
      <c r="L27" s="27" t="s">
        <v>110</v>
      </c>
      <c r="M27" s="32">
        <v>138.30000000000001</v>
      </c>
    </row>
    <row r="28" spans="1:13" x14ac:dyDescent="0.2">
      <c r="A28" s="31"/>
      <c r="B28" s="31"/>
      <c r="C28" s="123">
        <v>30</v>
      </c>
      <c r="D28" s="124">
        <f>I28*$J$27</f>
        <v>1.5527223148660392</v>
      </c>
      <c r="E28" s="167"/>
      <c r="F28" s="31"/>
      <c r="G28" s="31"/>
      <c r="H28" s="31"/>
      <c r="I28" s="26">
        <v>7.1</v>
      </c>
      <c r="L28" s="32" t="s">
        <v>64</v>
      </c>
      <c r="M28" s="35" t="s">
        <v>65</v>
      </c>
    </row>
    <row r="29" spans="1:13" x14ac:dyDescent="0.2">
      <c r="A29" s="31"/>
      <c r="B29" s="31"/>
      <c r="C29" s="123">
        <v>10</v>
      </c>
      <c r="D29" s="124">
        <f t="shared" ref="D29:D36" si="0">I29*$J$27</f>
        <v>2.3181488081098616</v>
      </c>
      <c r="E29" s="167"/>
      <c r="F29" s="31"/>
      <c r="G29" s="31"/>
      <c r="H29" s="31"/>
      <c r="I29" s="26">
        <v>10.6</v>
      </c>
      <c r="L29" s="26">
        <v>16</v>
      </c>
    </row>
    <row r="30" spans="1:13" x14ac:dyDescent="0.2">
      <c r="A30" s="31"/>
      <c r="B30" s="31"/>
      <c r="C30" s="123">
        <v>5</v>
      </c>
      <c r="D30" s="124">
        <f t="shared" si="0"/>
        <v>3.2803992567592379</v>
      </c>
      <c r="E30" s="167"/>
      <c r="F30" s="31"/>
      <c r="G30" s="31"/>
      <c r="H30" s="31"/>
      <c r="I30" s="26">
        <v>15</v>
      </c>
      <c r="L30" s="26">
        <v>25</v>
      </c>
    </row>
    <row r="31" spans="1:13" x14ac:dyDescent="0.2">
      <c r="A31" s="31"/>
      <c r="B31" s="31"/>
      <c r="C31" s="123">
        <v>4</v>
      </c>
      <c r="D31" s="124">
        <f t="shared" si="0"/>
        <v>3.6959164959487412</v>
      </c>
      <c r="E31" s="167"/>
      <c r="F31" s="36"/>
      <c r="G31" s="31"/>
      <c r="H31" s="31"/>
      <c r="I31" s="26">
        <v>16.899999999999999</v>
      </c>
      <c r="L31" s="35">
        <v>35</v>
      </c>
    </row>
    <row r="32" spans="1:13" x14ac:dyDescent="0.2">
      <c r="A32" s="31"/>
      <c r="B32" s="31"/>
      <c r="C32" s="125">
        <v>3</v>
      </c>
      <c r="D32" s="124">
        <f t="shared" si="0"/>
        <v>4.3738656756789842</v>
      </c>
      <c r="E32" s="167"/>
      <c r="F32" s="36"/>
      <c r="G32" s="31"/>
      <c r="H32" s="31"/>
      <c r="I32" s="26">
        <v>20</v>
      </c>
      <c r="L32" s="35"/>
    </row>
    <row r="33" spans="1:41" x14ac:dyDescent="0.2">
      <c r="A33" s="31"/>
      <c r="B33" s="31"/>
      <c r="C33" s="125">
        <v>2</v>
      </c>
      <c r="D33" s="124">
        <f t="shared" si="0"/>
        <v>5.4673320945987296</v>
      </c>
      <c r="E33" s="167"/>
      <c r="F33" s="36"/>
      <c r="G33" s="31"/>
      <c r="H33" s="31"/>
      <c r="I33" s="26">
        <v>25</v>
      </c>
      <c r="L33" s="35"/>
    </row>
    <row r="34" spans="1:41" x14ac:dyDescent="0.2">
      <c r="A34" s="31"/>
      <c r="B34" s="31"/>
      <c r="C34" s="125">
        <v>1.5</v>
      </c>
      <c r="D34" s="124">
        <f t="shared" si="0"/>
        <v>6.5607985135184759</v>
      </c>
      <c r="E34" s="167"/>
      <c r="F34" s="36"/>
      <c r="G34" s="31"/>
      <c r="H34" s="31"/>
      <c r="I34" s="26">
        <v>30</v>
      </c>
      <c r="L34" s="35"/>
    </row>
    <row r="35" spans="1:41" x14ac:dyDescent="0.2">
      <c r="A35" s="31"/>
      <c r="B35" s="31"/>
      <c r="C35" s="125">
        <v>1</v>
      </c>
      <c r="D35" s="124">
        <f t="shared" si="0"/>
        <v>7.6542649324382221</v>
      </c>
      <c r="E35" s="167"/>
      <c r="F35" s="36"/>
      <c r="G35" s="31"/>
      <c r="H35" s="31"/>
      <c r="I35" s="26">
        <v>35</v>
      </c>
      <c r="L35" s="35"/>
    </row>
    <row r="36" spans="1:41" x14ac:dyDescent="0.2">
      <c r="A36" s="31"/>
      <c r="B36" s="31"/>
      <c r="C36" s="125">
        <v>0.8</v>
      </c>
      <c r="D36" s="124">
        <f t="shared" si="0"/>
        <v>8.7477313513579684</v>
      </c>
      <c r="E36" s="167"/>
      <c r="F36" s="36"/>
      <c r="G36" s="31"/>
      <c r="H36" s="31"/>
      <c r="I36" s="26">
        <v>40</v>
      </c>
      <c r="L36" s="35"/>
    </row>
    <row r="37" spans="1:41" x14ac:dyDescent="0.2">
      <c r="A37" s="31"/>
      <c r="B37" s="31"/>
      <c r="C37" s="31"/>
      <c r="D37" s="31"/>
      <c r="E37" s="31"/>
      <c r="F37" s="31"/>
      <c r="G37" s="31"/>
      <c r="H37" s="31"/>
    </row>
    <row r="38" spans="1:41" x14ac:dyDescent="0.2">
      <c r="A38" s="31"/>
      <c r="B38" s="34" t="s">
        <v>121</v>
      </c>
      <c r="C38" s="31"/>
      <c r="D38" s="34"/>
      <c r="E38" s="34"/>
      <c r="F38" s="34"/>
      <c r="G38" s="31"/>
      <c r="H38" s="31"/>
    </row>
    <row r="39" spans="1:41" x14ac:dyDescent="0.2">
      <c r="A39" s="31"/>
      <c r="B39" s="31"/>
      <c r="C39" s="37"/>
      <c r="D39" s="34"/>
      <c r="E39" s="34"/>
      <c r="F39" s="31"/>
      <c r="G39" s="31"/>
      <c r="H39" s="31"/>
      <c r="L39" s="38" t="s">
        <v>64</v>
      </c>
      <c r="M39" s="39" t="s">
        <v>66</v>
      </c>
      <c r="N39" s="39"/>
    </row>
    <row r="40" spans="1:41" x14ac:dyDescent="0.2">
      <c r="A40" s="31"/>
      <c r="B40" s="31"/>
      <c r="C40" s="142" t="s">
        <v>61</v>
      </c>
      <c r="D40" s="143" t="s">
        <v>62</v>
      </c>
      <c r="E40" s="166"/>
      <c r="F40" s="31"/>
      <c r="G40" s="31"/>
      <c r="H40" s="31"/>
      <c r="I40" s="26" t="s">
        <v>123</v>
      </c>
      <c r="L40" s="39">
        <v>16</v>
      </c>
      <c r="M40" s="40"/>
      <c r="N40" s="40"/>
    </row>
    <row r="41" spans="1:41" ht="13.5" customHeight="1" x14ac:dyDescent="0.2">
      <c r="A41" s="31"/>
      <c r="B41" s="41"/>
      <c r="C41" s="123">
        <v>0.01</v>
      </c>
      <c r="D41" s="124">
        <f>I41*$J$27</f>
        <v>3.9364791081110857</v>
      </c>
      <c r="E41" s="167"/>
      <c r="F41" s="31"/>
      <c r="G41" s="31"/>
      <c r="H41" s="31"/>
      <c r="I41" s="26">
        <v>18</v>
      </c>
      <c r="L41" s="40">
        <v>25</v>
      </c>
      <c r="M41" s="40"/>
      <c r="N41" s="40"/>
    </row>
    <row r="42" spans="1:41" x14ac:dyDescent="0.2">
      <c r="A42" s="31"/>
      <c r="B42" s="31"/>
      <c r="C42" s="123">
        <v>0.1</v>
      </c>
      <c r="D42" s="124">
        <f>I42*$J$27</f>
        <v>2.1869328378394921</v>
      </c>
      <c r="E42" s="167"/>
      <c r="F42" s="31"/>
      <c r="G42" s="31"/>
      <c r="H42" s="31"/>
      <c r="I42" s="26">
        <v>10</v>
      </c>
      <c r="L42" s="40">
        <v>35</v>
      </c>
      <c r="M42" s="40"/>
      <c r="N42" s="40"/>
    </row>
    <row r="43" spans="1:41" x14ac:dyDescent="0.2">
      <c r="A43" s="31"/>
      <c r="B43" s="31"/>
      <c r="C43" s="123">
        <v>2</v>
      </c>
      <c r="D43" s="124">
        <f>I43*$J$27</f>
        <v>0.49205988851388571</v>
      </c>
      <c r="E43" s="167"/>
      <c r="F43" s="31"/>
      <c r="G43" s="31"/>
      <c r="H43" s="31"/>
      <c r="I43" s="26">
        <v>2.25</v>
      </c>
      <c r="L43" s="40">
        <v>50</v>
      </c>
      <c r="M43" s="40"/>
      <c r="N43" s="40"/>
    </row>
    <row r="44" spans="1:41" x14ac:dyDescent="0.2">
      <c r="A44" s="31"/>
      <c r="B44" s="31"/>
      <c r="C44" s="125">
        <v>10</v>
      </c>
      <c r="D44" s="124">
        <f>I44*$J$27</f>
        <v>0.2186932837839492</v>
      </c>
      <c r="E44" s="167"/>
      <c r="F44" s="31"/>
      <c r="G44" s="31"/>
      <c r="H44" s="31"/>
      <c r="I44" s="26">
        <v>1</v>
      </c>
    </row>
    <row r="45" spans="1:41" x14ac:dyDescent="0.2">
      <c r="A45" s="31"/>
      <c r="B45" s="31"/>
      <c r="F45" s="31"/>
      <c r="G45" s="31"/>
      <c r="H45" s="31"/>
    </row>
    <row r="46" spans="1:41" x14ac:dyDescent="0.2">
      <c r="A46" s="31"/>
      <c r="B46" s="42"/>
      <c r="C46" s="31"/>
      <c r="D46" s="31"/>
      <c r="E46" s="31"/>
      <c r="F46" s="31"/>
      <c r="G46" s="31"/>
      <c r="H46" s="31"/>
    </row>
    <row r="47" spans="1:41" x14ac:dyDescent="0.2">
      <c r="A47" s="31"/>
      <c r="B47" s="34" t="s">
        <v>105</v>
      </c>
      <c r="C47" s="34"/>
      <c r="D47" s="31"/>
      <c r="E47" s="31"/>
      <c r="F47" s="31"/>
      <c r="G47" s="43"/>
      <c r="H47" s="31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</row>
    <row r="48" spans="1:41" x14ac:dyDescent="0.2">
      <c r="A48" s="31"/>
      <c r="B48" s="34"/>
      <c r="C48" s="34"/>
      <c r="D48" s="31"/>
      <c r="E48" s="31"/>
      <c r="F48" s="31"/>
      <c r="G48" s="43"/>
      <c r="H48" s="31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</row>
    <row r="49" spans="1:41" x14ac:dyDescent="0.2">
      <c r="A49" s="31"/>
      <c r="B49" s="200" t="s">
        <v>127</v>
      </c>
      <c r="C49" s="201"/>
      <c r="D49" s="202"/>
      <c r="E49" s="31"/>
      <c r="F49" s="199" t="s">
        <v>128</v>
      </c>
      <c r="G49" s="199"/>
      <c r="H49" s="31"/>
      <c r="K49" s="145" t="s">
        <v>129</v>
      </c>
      <c r="L49" s="145"/>
      <c r="M49" s="145"/>
      <c r="N49" s="145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5"/>
      <c r="AH49" s="145"/>
      <c r="AI49" s="145"/>
      <c r="AJ49" s="145"/>
      <c r="AK49" s="145"/>
      <c r="AL49" s="145"/>
      <c r="AM49" s="145"/>
      <c r="AN49" s="145"/>
      <c r="AO49" s="145"/>
    </row>
    <row r="50" spans="1:41" ht="25.5" x14ac:dyDescent="0.2">
      <c r="A50" s="31"/>
      <c r="B50" s="140" t="s">
        <v>125</v>
      </c>
      <c r="C50" s="140" t="s">
        <v>149</v>
      </c>
      <c r="D50" s="140" t="s">
        <v>150</v>
      </c>
      <c r="E50" s="31"/>
      <c r="F50" s="140" t="s">
        <v>125</v>
      </c>
      <c r="G50" s="141" t="s">
        <v>126</v>
      </c>
      <c r="H50" s="31"/>
      <c r="K50" s="145"/>
      <c r="L50" s="145"/>
      <c r="M50" s="145"/>
      <c r="N50" s="145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5"/>
      <c r="AH50" s="145"/>
      <c r="AI50" s="145"/>
      <c r="AJ50" s="145"/>
      <c r="AK50" s="145"/>
      <c r="AL50" s="145"/>
      <c r="AM50" s="145"/>
      <c r="AN50" s="145"/>
      <c r="AO50" s="145"/>
    </row>
    <row r="51" spans="1:41" ht="12.75" customHeight="1" x14ac:dyDescent="0.2">
      <c r="A51" s="31"/>
      <c r="B51" s="137">
        <v>5</v>
      </c>
      <c r="C51" s="138">
        <f t="shared" ref="C51:C56" si="1">$L$31*88.5*SQRT(0.18388/B51)</f>
        <v>594.00973211724397</v>
      </c>
      <c r="D51" s="138">
        <f>$M$24*88.5*SQRT(0.18388/B51)</f>
        <v>2435.4399016807001</v>
      </c>
      <c r="E51" s="31"/>
      <c r="F51" s="137">
        <v>5</v>
      </c>
      <c r="G51" s="138">
        <f t="shared" ref="G51:G60" si="2">$L$42*138.3*SQRT(0.18388/F51)</f>
        <v>928.26605595271008</v>
      </c>
      <c r="H51" s="31"/>
      <c r="K51" s="145"/>
      <c r="L51" s="218" t="s">
        <v>130</v>
      </c>
      <c r="M51" s="218" t="s">
        <v>133</v>
      </c>
      <c r="N51" s="218" t="s">
        <v>134</v>
      </c>
      <c r="O51" s="218" t="s">
        <v>135</v>
      </c>
      <c r="P51" s="218" t="s">
        <v>136</v>
      </c>
      <c r="Q51" s="218" t="s">
        <v>137</v>
      </c>
      <c r="R51" s="218" t="s">
        <v>138</v>
      </c>
      <c r="S51" s="218" t="s">
        <v>157</v>
      </c>
      <c r="T51" s="218" t="s">
        <v>158</v>
      </c>
      <c r="U51" s="218" t="s">
        <v>139</v>
      </c>
      <c r="V51" s="218" t="s">
        <v>140</v>
      </c>
      <c r="W51" s="218" t="s">
        <v>141</v>
      </c>
      <c r="X51" s="218" t="s">
        <v>142</v>
      </c>
      <c r="Y51" s="218" t="s">
        <v>143</v>
      </c>
      <c r="Z51" s="218" t="s">
        <v>144</v>
      </c>
      <c r="AA51" s="218" t="s">
        <v>145</v>
      </c>
      <c r="AB51" s="218" t="s">
        <v>146</v>
      </c>
      <c r="AC51" s="218" t="s">
        <v>147</v>
      </c>
      <c r="AD51" s="218" t="s">
        <v>147</v>
      </c>
      <c r="AE51" s="219"/>
      <c r="AF51" s="146"/>
      <c r="AG51" s="145"/>
      <c r="AH51" s="145"/>
      <c r="AI51" s="145"/>
      <c r="AJ51" s="145"/>
      <c r="AK51" s="145"/>
      <c r="AL51" s="145"/>
      <c r="AM51" s="145"/>
      <c r="AN51" s="145"/>
      <c r="AO51" s="145"/>
    </row>
    <row r="52" spans="1:41" ht="12.75" customHeight="1" x14ac:dyDescent="0.2">
      <c r="A52" s="31"/>
      <c r="B52" s="137">
        <v>4</v>
      </c>
      <c r="C52" s="138">
        <f t="shared" si="1"/>
        <v>664.12307015529882</v>
      </c>
      <c r="D52" s="138">
        <f>$M$24*88.5*SQRT(0.18388/B52)</f>
        <v>2722.9045876367254</v>
      </c>
      <c r="E52" s="31"/>
      <c r="F52" s="137">
        <v>4</v>
      </c>
      <c r="G52" s="138">
        <f t="shared" si="2"/>
        <v>1037.8330011579417</v>
      </c>
      <c r="H52" s="31"/>
      <c r="K52" s="145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9"/>
      <c r="AF52" s="146"/>
      <c r="AG52" s="145"/>
      <c r="AH52" s="145"/>
      <c r="AI52" s="145"/>
      <c r="AJ52" s="145"/>
      <c r="AK52" s="145"/>
      <c r="AL52" s="145"/>
      <c r="AM52" s="145"/>
      <c r="AN52" s="145"/>
      <c r="AO52" s="145"/>
    </row>
    <row r="53" spans="1:41" x14ac:dyDescent="0.2">
      <c r="A53" s="31"/>
      <c r="B53" s="137">
        <v>3</v>
      </c>
      <c r="C53" s="138">
        <f t="shared" si="1"/>
        <v>766.863266658405</v>
      </c>
      <c r="D53" s="138">
        <f>$M$24*88.5*SQRT(0.18388/B53)</f>
        <v>3144.1393932994606</v>
      </c>
      <c r="E53" s="31"/>
      <c r="F53" s="137">
        <v>3</v>
      </c>
      <c r="G53" s="138">
        <f>$L$42*138.3*SQRT(0.18388/F53)</f>
        <v>1198.3863251848295</v>
      </c>
      <c r="H53" s="31"/>
      <c r="K53" s="145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9"/>
      <c r="AF53" s="146"/>
      <c r="AG53" s="145"/>
      <c r="AH53" s="145"/>
      <c r="AI53" s="145"/>
      <c r="AJ53" s="145"/>
      <c r="AK53" s="145"/>
      <c r="AL53" s="145"/>
      <c r="AM53" s="145"/>
      <c r="AN53" s="145"/>
      <c r="AO53" s="145"/>
    </row>
    <row r="54" spans="1:41" x14ac:dyDescent="0.2">
      <c r="A54" s="31"/>
      <c r="B54" s="139">
        <v>2</v>
      </c>
      <c r="C54" s="138">
        <f t="shared" si="1"/>
        <v>939.21185289848211</v>
      </c>
      <c r="D54" s="138">
        <f>$M$24*88.5*SQRT(0.18388/B54)</f>
        <v>3850.7685968837768</v>
      </c>
      <c r="E54" s="31"/>
      <c r="F54" s="139">
        <v>2</v>
      </c>
      <c r="G54" s="138">
        <f>$L$42*138.3*SQRT(0.18388/F54)</f>
        <v>1467.7175057159332</v>
      </c>
      <c r="H54" s="31"/>
      <c r="K54" s="145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9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</row>
    <row r="55" spans="1:41" x14ac:dyDescent="0.2">
      <c r="A55" s="31"/>
      <c r="B55" s="139">
        <v>1</v>
      </c>
      <c r="C55" s="138">
        <f t="shared" si="1"/>
        <v>1328.2461403105976</v>
      </c>
      <c r="D55" s="138">
        <f>$M$24*88.5*SQRT(0.18388/B55)</f>
        <v>5445.8091752734508</v>
      </c>
      <c r="E55" s="31"/>
      <c r="F55" s="139">
        <v>1</v>
      </c>
      <c r="G55" s="138">
        <f>$L$42*138.3*SQRT(0.18388/F55)</f>
        <v>2075.6660023158834</v>
      </c>
      <c r="H55" s="31"/>
      <c r="K55" s="145"/>
      <c r="L55" s="155">
        <v>1.2999999999999999E-2</v>
      </c>
      <c r="M55" s="156">
        <v>45</v>
      </c>
      <c r="N55" s="156">
        <f t="shared" ref="N55:N66" si="3">M55*1.3</f>
        <v>58.5</v>
      </c>
      <c r="O55" s="156">
        <f t="shared" ref="O55:O66" si="4">+M55*2.125</f>
        <v>95.625</v>
      </c>
      <c r="P55" s="156">
        <f t="shared" ref="P55:P66" si="5">+O55*1.3</f>
        <v>124.3125</v>
      </c>
      <c r="Q55" s="156">
        <f t="shared" ref="Q55:Q66" si="6">+O55*1.41</f>
        <v>134.83124999999998</v>
      </c>
      <c r="R55" s="156">
        <f>+Q55*1.3</f>
        <v>175.28062499999999</v>
      </c>
      <c r="S55" s="156">
        <f>+O55*1.66</f>
        <v>158.73749999999998</v>
      </c>
      <c r="T55" s="156">
        <f>+S55*1.3</f>
        <v>206.35874999999999</v>
      </c>
      <c r="U55" s="156">
        <f>+Q55*1.66</f>
        <v>223.81987499999997</v>
      </c>
      <c r="V55" s="156">
        <f>+U55*1.3</f>
        <v>290.96583749999996</v>
      </c>
      <c r="W55" s="156">
        <f>+U55*1.32</f>
        <v>295.44223499999998</v>
      </c>
      <c r="X55" s="156">
        <f>+W55*1.3</f>
        <v>384.0749055</v>
      </c>
      <c r="Y55" s="156">
        <f t="shared" ref="Y55:Y66" si="7">1.33*W55</f>
        <v>392.93817254999999</v>
      </c>
      <c r="Z55" s="156">
        <f t="shared" ref="Z55:Z66" si="8">1.3*X55</f>
        <v>499.29737714999999</v>
      </c>
      <c r="AA55" s="156">
        <f t="shared" ref="AA55:AA66" si="9">1.31*Y55</f>
        <v>514.74900604050003</v>
      </c>
      <c r="AB55" s="156">
        <f t="shared" ref="AB55:AB66" si="10">1.3*AA55</f>
        <v>669.17370785265007</v>
      </c>
      <c r="AC55" s="156">
        <f t="shared" ref="AC55:AC66" si="11">1.33*AA55</f>
        <v>684.61617803386514</v>
      </c>
      <c r="AD55" s="156">
        <f t="shared" ref="AD55:AD66" si="12">1.3*AC55</f>
        <v>890.00103144402476</v>
      </c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</row>
    <row r="56" spans="1:41" x14ac:dyDescent="0.2">
      <c r="A56" s="31"/>
      <c r="B56" s="139">
        <v>0.5</v>
      </c>
      <c r="C56" s="138">
        <f t="shared" si="1"/>
        <v>1878.4237057969642</v>
      </c>
      <c r="D56" s="138">
        <f t="shared" ref="D56:D60" si="13">$M$24*88.5*SQRT(0.18388/B56)</f>
        <v>7701.5371937675536</v>
      </c>
      <c r="E56" s="31"/>
      <c r="F56" s="139">
        <v>0.5</v>
      </c>
      <c r="G56" s="138">
        <f>$L$42*138.3*SQRT(0.18388/F56)</f>
        <v>2935.4350114318663</v>
      </c>
      <c r="H56" s="31"/>
      <c r="K56" s="145"/>
      <c r="L56" s="155">
        <v>0.03</v>
      </c>
      <c r="M56" s="156">
        <v>28</v>
      </c>
      <c r="N56" s="156">
        <f t="shared" si="3"/>
        <v>36.4</v>
      </c>
      <c r="O56" s="156">
        <f t="shared" si="4"/>
        <v>59.5</v>
      </c>
      <c r="P56" s="156">
        <f t="shared" si="5"/>
        <v>77.350000000000009</v>
      </c>
      <c r="Q56" s="156">
        <f t="shared" si="6"/>
        <v>83.894999999999996</v>
      </c>
      <c r="R56" s="156">
        <f t="shared" ref="R56:R66" si="14">+Q56*1.3</f>
        <v>109.0635</v>
      </c>
      <c r="S56" s="156">
        <f t="shared" ref="S56:S66" si="15">+O56*1.66</f>
        <v>98.77</v>
      </c>
      <c r="T56" s="156">
        <f>+S56*1.3</f>
        <v>128.40100000000001</v>
      </c>
      <c r="U56" s="156">
        <f t="shared" ref="U56:U66" si="16">+Q56*1.66</f>
        <v>139.26569999999998</v>
      </c>
      <c r="V56" s="156">
        <f>+U56*1.3</f>
        <v>181.04540999999998</v>
      </c>
      <c r="W56" s="156">
        <f t="shared" ref="W56:W66" si="17">+U56*1.32</f>
        <v>183.83072399999998</v>
      </c>
      <c r="X56" s="156">
        <f t="shared" ref="X56:X66" si="18">+W56*1.3</f>
        <v>238.97994119999998</v>
      </c>
      <c r="Y56" s="156">
        <f t="shared" si="7"/>
        <v>244.49486291999997</v>
      </c>
      <c r="Z56" s="156">
        <f t="shared" si="8"/>
        <v>310.67392355999999</v>
      </c>
      <c r="AA56" s="156">
        <f t="shared" si="9"/>
        <v>320.28827042519998</v>
      </c>
      <c r="AB56" s="156">
        <f t="shared" si="10"/>
        <v>416.37475155276002</v>
      </c>
      <c r="AC56" s="156">
        <f t="shared" si="11"/>
        <v>425.983399665516</v>
      </c>
      <c r="AD56" s="156">
        <f t="shared" si="12"/>
        <v>553.77841956517079</v>
      </c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</row>
    <row r="57" spans="1:41" x14ac:dyDescent="0.2">
      <c r="A57" s="31"/>
      <c r="B57" s="139">
        <v>0.4</v>
      </c>
      <c r="C57" s="138">
        <f t="shared" ref="C57:C60" si="19">$L$31*88.5*SQRT(0.18388/B57)</f>
        <v>2100.1415483545388</v>
      </c>
      <c r="D57" s="138">
        <f t="shared" si="13"/>
        <v>8610.5803482536085</v>
      </c>
      <c r="E57" s="31"/>
      <c r="F57" s="139">
        <v>0.4</v>
      </c>
      <c r="G57" s="138">
        <f>$L$42*138.3*SQRT(0.18388/F57)</f>
        <v>3281.9161145472622</v>
      </c>
      <c r="H57" s="31"/>
      <c r="K57" s="145"/>
      <c r="L57" s="155">
        <v>0.1</v>
      </c>
      <c r="M57" s="156">
        <v>15</v>
      </c>
      <c r="N57" s="156">
        <f t="shared" si="3"/>
        <v>19.5</v>
      </c>
      <c r="O57" s="156">
        <f t="shared" si="4"/>
        <v>31.875</v>
      </c>
      <c r="P57" s="156">
        <f t="shared" si="5"/>
        <v>41.4375</v>
      </c>
      <c r="Q57" s="156">
        <f t="shared" si="6"/>
        <v>44.943749999999994</v>
      </c>
      <c r="R57" s="156">
        <f t="shared" si="14"/>
        <v>58.426874999999995</v>
      </c>
      <c r="S57" s="156">
        <f t="shared" si="15"/>
        <v>52.912499999999994</v>
      </c>
      <c r="T57" s="156">
        <f t="shared" ref="T57:T66" si="20">+S57*1.3</f>
        <v>68.786249999999995</v>
      </c>
      <c r="U57" s="156">
        <f t="shared" si="16"/>
        <v>74.606624999999994</v>
      </c>
      <c r="V57" s="156">
        <f t="shared" ref="V57:V66" si="21">+U57*1.3</f>
        <v>96.988612500000002</v>
      </c>
      <c r="W57" s="156">
        <f t="shared" si="17"/>
        <v>98.480744999999999</v>
      </c>
      <c r="X57" s="156">
        <f t="shared" si="18"/>
        <v>128.0249685</v>
      </c>
      <c r="Y57" s="156">
        <f t="shared" si="7"/>
        <v>130.97939085000002</v>
      </c>
      <c r="Z57" s="156">
        <f t="shared" si="8"/>
        <v>166.43245905000001</v>
      </c>
      <c r="AA57" s="156">
        <f t="shared" si="9"/>
        <v>171.58300201350002</v>
      </c>
      <c r="AB57" s="156">
        <f t="shared" si="10"/>
        <v>223.05790261755004</v>
      </c>
      <c r="AC57" s="156">
        <f t="shared" si="11"/>
        <v>228.20539267795505</v>
      </c>
      <c r="AD57" s="156">
        <f t="shared" si="12"/>
        <v>296.66701048134155</v>
      </c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</row>
    <row r="58" spans="1:41" x14ac:dyDescent="0.2">
      <c r="A58" s="31"/>
      <c r="B58" s="137">
        <v>0.3</v>
      </c>
      <c r="C58" s="138">
        <f t="shared" si="19"/>
        <v>2425.0345765576208</v>
      </c>
      <c r="D58" s="138">
        <f t="shared" si="13"/>
        <v>9942.6417638862458</v>
      </c>
      <c r="E58" s="31"/>
      <c r="F58" s="137">
        <v>0.3</v>
      </c>
      <c r="G58" s="138">
        <f t="shared" si="2"/>
        <v>3789.6303043832654</v>
      </c>
      <c r="H58" s="31"/>
      <c r="K58" s="145"/>
      <c r="L58" s="155">
        <v>0.3</v>
      </c>
      <c r="M58" s="156">
        <v>8</v>
      </c>
      <c r="N58" s="156">
        <f t="shared" si="3"/>
        <v>10.4</v>
      </c>
      <c r="O58" s="156">
        <f t="shared" si="4"/>
        <v>17</v>
      </c>
      <c r="P58" s="156">
        <f t="shared" si="5"/>
        <v>22.1</v>
      </c>
      <c r="Q58" s="156">
        <f t="shared" si="6"/>
        <v>23.97</v>
      </c>
      <c r="R58" s="156">
        <f t="shared" si="14"/>
        <v>31.160999999999998</v>
      </c>
      <c r="S58" s="156">
        <f t="shared" si="15"/>
        <v>28.22</v>
      </c>
      <c r="T58" s="156">
        <f t="shared" si="20"/>
        <v>36.686</v>
      </c>
      <c r="U58" s="156">
        <f t="shared" si="16"/>
        <v>39.790199999999999</v>
      </c>
      <c r="V58" s="156">
        <f t="shared" si="21"/>
        <v>51.727260000000001</v>
      </c>
      <c r="W58" s="156">
        <f t="shared" si="17"/>
        <v>52.523063999999998</v>
      </c>
      <c r="X58" s="156">
        <f t="shared" si="18"/>
        <v>68.279983200000004</v>
      </c>
      <c r="Y58" s="156">
        <f t="shared" si="7"/>
        <v>69.855675120000001</v>
      </c>
      <c r="Z58" s="156">
        <f t="shared" si="8"/>
        <v>88.763978160000008</v>
      </c>
      <c r="AA58" s="156">
        <f t="shared" si="9"/>
        <v>91.510934407200011</v>
      </c>
      <c r="AB58" s="156">
        <f t="shared" si="10"/>
        <v>118.96421472936002</v>
      </c>
      <c r="AC58" s="156">
        <f t="shared" si="11"/>
        <v>121.70954276157602</v>
      </c>
      <c r="AD58" s="156">
        <f t="shared" si="12"/>
        <v>158.22240559004882</v>
      </c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</row>
    <row r="59" spans="1:41" x14ac:dyDescent="0.2">
      <c r="A59" s="31"/>
      <c r="B59" s="137">
        <v>0.2</v>
      </c>
      <c r="C59" s="138">
        <f t="shared" si="19"/>
        <v>2970.0486605862197</v>
      </c>
      <c r="D59" s="138">
        <f t="shared" si="13"/>
        <v>12177.199508403502</v>
      </c>
      <c r="E59" s="31"/>
      <c r="F59" s="137">
        <v>0.2</v>
      </c>
      <c r="G59" s="138">
        <f t="shared" si="2"/>
        <v>4641.3302797635506</v>
      </c>
      <c r="H59" s="31"/>
      <c r="K59" s="145"/>
      <c r="L59" s="155">
        <v>0.4</v>
      </c>
      <c r="M59" s="156">
        <v>7</v>
      </c>
      <c r="N59" s="156">
        <f t="shared" si="3"/>
        <v>9.1</v>
      </c>
      <c r="O59" s="156">
        <f t="shared" si="4"/>
        <v>14.875</v>
      </c>
      <c r="P59" s="156">
        <f t="shared" si="5"/>
        <v>19.337500000000002</v>
      </c>
      <c r="Q59" s="156">
        <f t="shared" si="6"/>
        <v>20.973749999999999</v>
      </c>
      <c r="R59" s="156">
        <f t="shared" si="14"/>
        <v>27.265875000000001</v>
      </c>
      <c r="S59" s="156">
        <f t="shared" si="15"/>
        <v>24.692499999999999</v>
      </c>
      <c r="T59" s="156">
        <f t="shared" si="20"/>
        <v>32.100250000000003</v>
      </c>
      <c r="U59" s="156">
        <f t="shared" si="16"/>
        <v>34.816424999999995</v>
      </c>
      <c r="V59" s="156">
        <f t="shared" si="21"/>
        <v>45.261352499999994</v>
      </c>
      <c r="W59" s="156">
        <f t="shared" si="17"/>
        <v>45.957680999999994</v>
      </c>
      <c r="X59" s="156">
        <f t="shared" si="18"/>
        <v>59.744985299999996</v>
      </c>
      <c r="Y59" s="156">
        <f t="shared" si="7"/>
        <v>61.123715729999994</v>
      </c>
      <c r="Z59" s="156">
        <f t="shared" si="8"/>
        <v>77.668480889999998</v>
      </c>
      <c r="AA59" s="156">
        <f t="shared" si="9"/>
        <v>80.072067606299996</v>
      </c>
      <c r="AB59" s="156">
        <f t="shared" si="10"/>
        <v>104.09368788819</v>
      </c>
      <c r="AC59" s="156">
        <f t="shared" si="11"/>
        <v>106.495849916379</v>
      </c>
      <c r="AD59" s="156">
        <f t="shared" si="12"/>
        <v>138.4446048912927</v>
      </c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</row>
    <row r="60" spans="1:41" x14ac:dyDescent="0.2">
      <c r="A60" s="31"/>
      <c r="B60" s="137">
        <v>0.1</v>
      </c>
      <c r="C60" s="138">
        <f t="shared" si="19"/>
        <v>4200.2830967090777</v>
      </c>
      <c r="D60" s="138">
        <f t="shared" si="13"/>
        <v>17221.160696507217</v>
      </c>
      <c r="E60" s="31"/>
      <c r="F60" s="137">
        <v>0.1</v>
      </c>
      <c r="G60" s="138">
        <f t="shared" si="2"/>
        <v>6563.8322290945243</v>
      </c>
      <c r="H60" s="31"/>
      <c r="K60" s="145"/>
      <c r="L60" s="155">
        <v>1</v>
      </c>
      <c r="M60" s="156">
        <v>4.5</v>
      </c>
      <c r="N60" s="156">
        <f t="shared" si="3"/>
        <v>5.8500000000000005</v>
      </c>
      <c r="O60" s="156">
        <f t="shared" si="4"/>
        <v>9.5625</v>
      </c>
      <c r="P60" s="156">
        <f t="shared" si="5"/>
        <v>12.43125</v>
      </c>
      <c r="Q60" s="156">
        <f t="shared" si="6"/>
        <v>13.483124999999999</v>
      </c>
      <c r="R60" s="156">
        <f t="shared" si="14"/>
        <v>17.528062500000001</v>
      </c>
      <c r="S60" s="156">
        <f t="shared" si="15"/>
        <v>15.873749999999999</v>
      </c>
      <c r="T60" s="156">
        <f t="shared" si="20"/>
        <v>20.635874999999999</v>
      </c>
      <c r="U60" s="156">
        <f t="shared" si="16"/>
        <v>22.381987499999997</v>
      </c>
      <c r="V60" s="156">
        <f t="shared" si="21"/>
        <v>29.096583749999997</v>
      </c>
      <c r="W60" s="156">
        <f t="shared" si="17"/>
        <v>29.544223499999998</v>
      </c>
      <c r="X60" s="156">
        <f t="shared" si="18"/>
        <v>38.407490549999999</v>
      </c>
      <c r="Y60" s="156">
        <f t="shared" si="7"/>
        <v>39.293817255</v>
      </c>
      <c r="Z60" s="156">
        <f t="shared" si="8"/>
        <v>49.929737715000002</v>
      </c>
      <c r="AA60" s="156">
        <f t="shared" si="9"/>
        <v>51.474900604049999</v>
      </c>
      <c r="AB60" s="156">
        <f t="shared" si="10"/>
        <v>66.917370785265007</v>
      </c>
      <c r="AC60" s="156">
        <f t="shared" si="11"/>
        <v>68.461617803386503</v>
      </c>
      <c r="AD60" s="156">
        <f t="shared" si="12"/>
        <v>89.000103144402459</v>
      </c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</row>
    <row r="61" spans="1:41" x14ac:dyDescent="0.2">
      <c r="A61" s="31"/>
      <c r="B61" s="31"/>
      <c r="C61" s="31"/>
      <c r="D61" s="31"/>
      <c r="E61" s="31"/>
      <c r="F61" s="31"/>
      <c r="G61" s="31"/>
      <c r="H61" s="31"/>
      <c r="K61" s="145"/>
      <c r="L61" s="155">
        <v>2</v>
      </c>
      <c r="M61" s="156">
        <v>3.5</v>
      </c>
      <c r="N61" s="156">
        <f t="shared" si="3"/>
        <v>4.55</v>
      </c>
      <c r="O61" s="156">
        <f t="shared" si="4"/>
        <v>7.4375</v>
      </c>
      <c r="P61" s="156">
        <f t="shared" si="5"/>
        <v>9.6687500000000011</v>
      </c>
      <c r="Q61" s="156">
        <f t="shared" si="6"/>
        <v>10.486875</v>
      </c>
      <c r="R61" s="156">
        <f t="shared" si="14"/>
        <v>13.632937500000001</v>
      </c>
      <c r="S61" s="156">
        <f t="shared" si="15"/>
        <v>12.34625</v>
      </c>
      <c r="T61" s="156">
        <f t="shared" si="20"/>
        <v>16.050125000000001</v>
      </c>
      <c r="U61" s="156">
        <f t="shared" si="16"/>
        <v>17.408212499999998</v>
      </c>
      <c r="V61" s="156">
        <f t="shared" si="21"/>
        <v>22.630676249999997</v>
      </c>
      <c r="W61" s="156">
        <f t="shared" si="17"/>
        <v>22.978840499999997</v>
      </c>
      <c r="X61" s="156">
        <f t="shared" si="18"/>
        <v>29.872492649999998</v>
      </c>
      <c r="Y61" s="156">
        <f t="shared" si="7"/>
        <v>30.561857864999997</v>
      </c>
      <c r="Z61" s="156">
        <f t="shared" si="8"/>
        <v>38.834240444999999</v>
      </c>
      <c r="AA61" s="156">
        <f t="shared" si="9"/>
        <v>40.036033803149998</v>
      </c>
      <c r="AB61" s="156">
        <f t="shared" si="10"/>
        <v>52.046843944095002</v>
      </c>
      <c r="AC61" s="156">
        <f t="shared" si="11"/>
        <v>53.2479249581895</v>
      </c>
      <c r="AD61" s="156">
        <f t="shared" si="12"/>
        <v>69.222302445646349</v>
      </c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</row>
    <row r="62" spans="1:41" x14ac:dyDescent="0.2">
      <c r="A62" s="31"/>
      <c r="B62" s="31"/>
      <c r="C62" s="37"/>
      <c r="D62" s="34"/>
      <c r="E62" s="34"/>
      <c r="F62" s="31"/>
      <c r="G62" s="31"/>
      <c r="H62" s="31"/>
      <c r="K62" s="145"/>
      <c r="L62" s="155">
        <v>10</v>
      </c>
      <c r="M62" s="156">
        <v>2.5</v>
      </c>
      <c r="N62" s="156">
        <f t="shared" si="3"/>
        <v>3.25</v>
      </c>
      <c r="O62" s="156">
        <f t="shared" si="4"/>
        <v>5.3125</v>
      </c>
      <c r="P62" s="156">
        <f t="shared" si="5"/>
        <v>6.90625</v>
      </c>
      <c r="Q62" s="156">
        <f t="shared" si="6"/>
        <v>7.4906249999999996</v>
      </c>
      <c r="R62" s="156">
        <f t="shared" si="14"/>
        <v>9.7378125000000004</v>
      </c>
      <c r="S62" s="156">
        <f t="shared" si="15"/>
        <v>8.8187499999999996</v>
      </c>
      <c r="T62" s="156">
        <f t="shared" si="20"/>
        <v>11.464375</v>
      </c>
      <c r="U62" s="156">
        <f t="shared" si="16"/>
        <v>12.4344375</v>
      </c>
      <c r="V62" s="156">
        <f t="shared" si="21"/>
        <v>16.16476875</v>
      </c>
      <c r="W62" s="156">
        <f t="shared" si="17"/>
        <v>16.4134575</v>
      </c>
      <c r="X62" s="156">
        <f t="shared" si="18"/>
        <v>21.337494750000001</v>
      </c>
      <c r="Y62" s="156">
        <f t="shared" si="7"/>
        <v>21.829898475</v>
      </c>
      <c r="Z62" s="156">
        <f t="shared" si="8"/>
        <v>27.738743175000003</v>
      </c>
      <c r="AA62" s="156">
        <f t="shared" si="9"/>
        <v>28.59716700225</v>
      </c>
      <c r="AB62" s="156">
        <f t="shared" si="10"/>
        <v>37.176317102925005</v>
      </c>
      <c r="AC62" s="156">
        <f t="shared" si="11"/>
        <v>38.034232112992505</v>
      </c>
      <c r="AD62" s="156">
        <f t="shared" si="12"/>
        <v>49.444501746890261</v>
      </c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</row>
    <row r="63" spans="1:41" x14ac:dyDescent="0.2">
      <c r="B63" s="31"/>
      <c r="C63" s="31"/>
      <c r="D63" s="31"/>
      <c r="E63" s="31"/>
      <c r="F63" s="31"/>
      <c r="G63" s="31"/>
      <c r="H63" s="31"/>
      <c r="K63" s="145"/>
      <c r="L63" s="155">
        <v>30</v>
      </c>
      <c r="M63" s="156">
        <v>2.1</v>
      </c>
      <c r="N63" s="156">
        <f t="shared" si="3"/>
        <v>2.7300000000000004</v>
      </c>
      <c r="O63" s="156">
        <f t="shared" si="4"/>
        <v>4.4625000000000004</v>
      </c>
      <c r="P63" s="156">
        <f t="shared" si="5"/>
        <v>5.8012500000000005</v>
      </c>
      <c r="Q63" s="156">
        <f t="shared" si="6"/>
        <v>6.2921250000000004</v>
      </c>
      <c r="R63" s="156">
        <f t="shared" si="14"/>
        <v>8.1797625000000007</v>
      </c>
      <c r="S63" s="156">
        <f t="shared" si="15"/>
        <v>7.4077500000000001</v>
      </c>
      <c r="T63" s="156">
        <f t="shared" si="20"/>
        <v>9.6300749999999997</v>
      </c>
      <c r="U63" s="156">
        <f t="shared" si="16"/>
        <v>10.4449275</v>
      </c>
      <c r="V63" s="156">
        <f t="shared" si="21"/>
        <v>13.578405750000002</v>
      </c>
      <c r="W63" s="156">
        <f t="shared" si="17"/>
        <v>13.787304300000001</v>
      </c>
      <c r="X63" s="156">
        <f t="shared" si="18"/>
        <v>17.923495590000002</v>
      </c>
      <c r="Y63" s="156">
        <f t="shared" si="7"/>
        <v>18.337114719000002</v>
      </c>
      <c r="Z63" s="156">
        <f t="shared" si="8"/>
        <v>23.300544267000003</v>
      </c>
      <c r="AA63" s="156">
        <f t="shared" si="9"/>
        <v>24.021620281890005</v>
      </c>
      <c r="AB63" s="156">
        <f t="shared" si="10"/>
        <v>31.228106366457009</v>
      </c>
      <c r="AC63" s="156">
        <f t="shared" si="11"/>
        <v>31.948754974913708</v>
      </c>
      <c r="AD63" s="156">
        <f t="shared" si="12"/>
        <v>41.533381467387819</v>
      </c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</row>
    <row r="64" spans="1:41" x14ac:dyDescent="0.2">
      <c r="A64" s="31"/>
      <c r="B64" s="31"/>
      <c r="C64" s="31"/>
      <c r="D64" s="31"/>
      <c r="E64" s="31"/>
      <c r="F64" s="31"/>
      <c r="G64" s="31"/>
      <c r="H64" s="31"/>
      <c r="K64" s="145"/>
      <c r="L64" s="155">
        <v>100</v>
      </c>
      <c r="M64" s="156">
        <v>2</v>
      </c>
      <c r="N64" s="156">
        <f t="shared" si="3"/>
        <v>2.6</v>
      </c>
      <c r="O64" s="156">
        <f t="shared" si="4"/>
        <v>4.25</v>
      </c>
      <c r="P64" s="156">
        <f t="shared" si="5"/>
        <v>5.5250000000000004</v>
      </c>
      <c r="Q64" s="156">
        <f t="shared" si="6"/>
        <v>5.9924999999999997</v>
      </c>
      <c r="R64" s="156">
        <f t="shared" si="14"/>
        <v>7.7902499999999995</v>
      </c>
      <c r="S64" s="156">
        <f t="shared" si="15"/>
        <v>7.0549999999999997</v>
      </c>
      <c r="T64" s="156">
        <f t="shared" si="20"/>
        <v>9.1715</v>
      </c>
      <c r="U64" s="156">
        <f t="shared" si="16"/>
        <v>9.9475499999999997</v>
      </c>
      <c r="V64" s="156">
        <f t="shared" si="21"/>
        <v>12.931815</v>
      </c>
      <c r="W64" s="156">
        <f t="shared" si="17"/>
        <v>13.130765999999999</v>
      </c>
      <c r="X64" s="156">
        <f t="shared" si="18"/>
        <v>17.069995800000001</v>
      </c>
      <c r="Y64" s="156">
        <f t="shared" si="7"/>
        <v>17.46391878</v>
      </c>
      <c r="Z64" s="156">
        <f t="shared" si="8"/>
        <v>22.190994540000002</v>
      </c>
      <c r="AA64" s="156">
        <f t="shared" si="9"/>
        <v>22.877733601800003</v>
      </c>
      <c r="AB64" s="156">
        <f t="shared" si="10"/>
        <v>29.741053682340006</v>
      </c>
      <c r="AC64" s="156">
        <f t="shared" si="11"/>
        <v>30.427385690394004</v>
      </c>
      <c r="AD64" s="156">
        <f t="shared" si="12"/>
        <v>39.555601397512206</v>
      </c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</row>
    <row r="65" spans="1:41" x14ac:dyDescent="0.2">
      <c r="A65" s="31"/>
      <c r="B65" s="34" t="s">
        <v>106</v>
      </c>
      <c r="C65" s="31"/>
      <c r="D65" s="31"/>
      <c r="E65" s="31"/>
      <c r="F65" s="31"/>
      <c r="G65" s="31"/>
      <c r="H65" s="31"/>
      <c r="K65" s="145"/>
      <c r="L65" s="155">
        <v>200</v>
      </c>
      <c r="M65" s="156">
        <v>2</v>
      </c>
      <c r="N65" s="156">
        <f t="shared" si="3"/>
        <v>2.6</v>
      </c>
      <c r="O65" s="156">
        <f t="shared" si="4"/>
        <v>4.25</v>
      </c>
      <c r="P65" s="156">
        <f t="shared" si="5"/>
        <v>5.5250000000000004</v>
      </c>
      <c r="Q65" s="156">
        <f t="shared" si="6"/>
        <v>5.9924999999999997</v>
      </c>
      <c r="R65" s="156">
        <f t="shared" si="14"/>
        <v>7.7902499999999995</v>
      </c>
      <c r="S65" s="156">
        <f t="shared" si="15"/>
        <v>7.0549999999999997</v>
      </c>
      <c r="T65" s="156">
        <f t="shared" si="20"/>
        <v>9.1715</v>
      </c>
      <c r="U65" s="156">
        <f t="shared" si="16"/>
        <v>9.9475499999999997</v>
      </c>
      <c r="V65" s="156">
        <f t="shared" si="21"/>
        <v>12.931815</v>
      </c>
      <c r="W65" s="156">
        <f t="shared" si="17"/>
        <v>13.130765999999999</v>
      </c>
      <c r="X65" s="156">
        <f t="shared" si="18"/>
        <v>17.069995800000001</v>
      </c>
      <c r="Y65" s="156">
        <f t="shared" si="7"/>
        <v>17.46391878</v>
      </c>
      <c r="Z65" s="156">
        <f t="shared" si="8"/>
        <v>22.190994540000002</v>
      </c>
      <c r="AA65" s="156">
        <f t="shared" si="9"/>
        <v>22.877733601800003</v>
      </c>
      <c r="AB65" s="156">
        <f t="shared" si="10"/>
        <v>29.741053682340006</v>
      </c>
      <c r="AC65" s="156">
        <f t="shared" si="11"/>
        <v>30.427385690394004</v>
      </c>
      <c r="AD65" s="156">
        <f t="shared" si="12"/>
        <v>39.555601397512206</v>
      </c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</row>
    <row r="66" spans="1:41" x14ac:dyDescent="0.2">
      <c r="A66" s="31"/>
      <c r="B66" s="34"/>
      <c r="C66" s="31"/>
      <c r="D66" s="31"/>
      <c r="E66" s="31"/>
      <c r="F66" s="31"/>
      <c r="G66" s="31"/>
      <c r="H66" s="31"/>
      <c r="K66" s="145"/>
      <c r="L66" s="157">
        <v>300</v>
      </c>
      <c r="M66" s="158">
        <v>2</v>
      </c>
      <c r="N66" s="158">
        <f t="shared" si="3"/>
        <v>2.6</v>
      </c>
      <c r="O66" s="158">
        <f t="shared" si="4"/>
        <v>4.25</v>
      </c>
      <c r="P66" s="158">
        <f t="shared" si="5"/>
        <v>5.5250000000000004</v>
      </c>
      <c r="Q66" s="158">
        <f t="shared" si="6"/>
        <v>5.9924999999999997</v>
      </c>
      <c r="R66" s="158">
        <f t="shared" si="14"/>
        <v>7.7902499999999995</v>
      </c>
      <c r="S66" s="158">
        <f t="shared" si="15"/>
        <v>7.0549999999999997</v>
      </c>
      <c r="T66" s="158">
        <f t="shared" si="20"/>
        <v>9.1715</v>
      </c>
      <c r="U66" s="158">
        <f t="shared" si="16"/>
        <v>9.9475499999999997</v>
      </c>
      <c r="V66" s="158">
        <f t="shared" si="21"/>
        <v>12.931815</v>
      </c>
      <c r="W66" s="158">
        <f t="shared" si="17"/>
        <v>13.130765999999999</v>
      </c>
      <c r="X66" s="158">
        <f t="shared" si="18"/>
        <v>17.069995800000001</v>
      </c>
      <c r="Y66" s="158">
        <f t="shared" si="7"/>
        <v>17.46391878</v>
      </c>
      <c r="Z66" s="158">
        <f t="shared" si="8"/>
        <v>22.190994540000002</v>
      </c>
      <c r="AA66" s="158">
        <f t="shared" si="9"/>
        <v>22.877733601800003</v>
      </c>
      <c r="AB66" s="158">
        <f t="shared" si="10"/>
        <v>29.741053682340006</v>
      </c>
      <c r="AC66" s="158">
        <f t="shared" si="11"/>
        <v>30.427385690394004</v>
      </c>
      <c r="AD66" s="158">
        <f t="shared" si="12"/>
        <v>39.555601397512206</v>
      </c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</row>
    <row r="67" spans="1:41" x14ac:dyDescent="0.2">
      <c r="A67" s="31"/>
      <c r="B67" s="31"/>
      <c r="C67" s="203" t="s">
        <v>107</v>
      </c>
      <c r="D67" s="204"/>
      <c r="E67" s="159"/>
      <c r="F67" s="44" t="s">
        <v>61</v>
      </c>
      <c r="G67" s="44" t="s">
        <v>108</v>
      </c>
      <c r="H67" s="31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</row>
    <row r="68" spans="1:41" ht="12.75" customHeight="1" x14ac:dyDescent="0.2">
      <c r="A68" s="31"/>
      <c r="B68" s="31"/>
      <c r="C68" s="205" t="s">
        <v>161</v>
      </c>
      <c r="D68" s="206"/>
      <c r="E68" s="160"/>
      <c r="F68" s="214">
        <v>0.01</v>
      </c>
      <c r="G68" s="214" t="s">
        <v>67</v>
      </c>
      <c r="H68" s="31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</row>
    <row r="69" spans="1:41" x14ac:dyDescent="0.2">
      <c r="A69" s="31"/>
      <c r="B69" s="34"/>
      <c r="C69" s="207"/>
      <c r="D69" s="208"/>
      <c r="E69" s="161"/>
      <c r="F69" s="215"/>
      <c r="G69" s="215"/>
      <c r="H69" s="31"/>
      <c r="K69" s="145"/>
      <c r="L69" s="145" t="s">
        <v>54</v>
      </c>
      <c r="M69" s="145"/>
      <c r="N69" s="145"/>
      <c r="O69" s="145"/>
      <c r="P69" s="145" t="s">
        <v>131</v>
      </c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</row>
    <row r="70" spans="1:41" ht="12.75" customHeight="1" x14ac:dyDescent="0.2">
      <c r="A70" s="31"/>
      <c r="B70" s="31"/>
      <c r="C70" s="210" t="s">
        <v>160</v>
      </c>
      <c r="D70" s="211"/>
      <c r="E70" s="163"/>
      <c r="F70" s="216">
        <v>0.23</v>
      </c>
      <c r="G70" s="214" t="s">
        <v>67</v>
      </c>
      <c r="H70" s="31"/>
      <c r="K70" s="145"/>
      <c r="L70" s="134" t="s">
        <v>119</v>
      </c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</row>
    <row r="71" spans="1:41" x14ac:dyDescent="0.2">
      <c r="A71" s="31"/>
      <c r="B71" s="31"/>
      <c r="C71" s="212"/>
      <c r="D71" s="213"/>
      <c r="E71" s="164"/>
      <c r="F71" s="217"/>
      <c r="G71" s="215"/>
      <c r="H71" s="31"/>
      <c r="K71" s="145"/>
      <c r="L71" s="144"/>
      <c r="M71" s="145"/>
      <c r="N71" s="145">
        <f>10/0.38</f>
        <v>26.315789473684209</v>
      </c>
      <c r="O71" s="145"/>
      <c r="P71" s="144" t="s">
        <v>116</v>
      </c>
      <c r="Q71" s="145" t="s">
        <v>132</v>
      </c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</row>
    <row r="72" spans="1:41" ht="26.25" customHeight="1" x14ac:dyDescent="0.2">
      <c r="A72" s="31"/>
      <c r="B72" s="31"/>
      <c r="C72" s="209" t="s">
        <v>156</v>
      </c>
      <c r="D72" s="209"/>
      <c r="E72" s="162"/>
      <c r="F72" s="45">
        <v>0.34</v>
      </c>
      <c r="G72" s="45" t="s">
        <v>67</v>
      </c>
      <c r="H72" s="31"/>
      <c r="K72" s="145"/>
      <c r="L72" s="144">
        <v>800</v>
      </c>
      <c r="M72" s="144">
        <v>280</v>
      </c>
      <c r="N72" s="145">
        <f>+M72/$N$71</f>
        <v>10.64</v>
      </c>
      <c r="O72" s="147">
        <v>1</v>
      </c>
      <c r="P72" s="148">
        <v>1000</v>
      </c>
      <c r="Q72" s="144">
        <v>58</v>
      </c>
      <c r="R72" s="149">
        <f>+Q72/$N$71</f>
        <v>2.2040000000000002</v>
      </c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</row>
    <row r="73" spans="1:41" x14ac:dyDescent="0.2">
      <c r="A73" s="31"/>
      <c r="B73" s="31"/>
      <c r="C73" s="178" t="s">
        <v>153</v>
      </c>
      <c r="D73" s="46"/>
      <c r="E73" s="179">
        <v>0.34</v>
      </c>
      <c r="F73" s="47" t="s">
        <v>109</v>
      </c>
      <c r="G73" s="48">
        <f>F70*1.33</f>
        <v>0.30590000000000001</v>
      </c>
      <c r="H73" s="31"/>
      <c r="K73" s="145"/>
      <c r="L73" s="144">
        <v>500</v>
      </c>
      <c r="M73" s="144">
        <v>280</v>
      </c>
      <c r="N73" s="145">
        <f t="shared" ref="N73:N83" si="22">+M73/$N$71</f>
        <v>10.64</v>
      </c>
      <c r="O73" s="147">
        <v>2</v>
      </c>
      <c r="P73" s="148">
        <v>500</v>
      </c>
      <c r="Q73" s="144">
        <v>60</v>
      </c>
      <c r="R73" s="149">
        <f t="shared" ref="R73:R79" si="23">+Q73/$N$71</f>
        <v>2.2800000000000002</v>
      </c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</row>
    <row r="74" spans="1:41" x14ac:dyDescent="0.2">
      <c r="A74" s="31"/>
      <c r="B74" s="31"/>
      <c r="C74" s="31"/>
      <c r="D74" s="31"/>
      <c r="E74" s="31"/>
      <c r="F74" s="43"/>
      <c r="G74" s="182" t="str">
        <f>IF(E73&gt;=G73,"Cumple¡¡","No Cumple")</f>
        <v>Cumple¡¡</v>
      </c>
      <c r="H74" s="31"/>
      <c r="K74" s="144"/>
      <c r="L74" s="144">
        <v>330</v>
      </c>
      <c r="M74" s="144">
        <v>280</v>
      </c>
      <c r="N74" s="145">
        <f t="shared" si="22"/>
        <v>10.64</v>
      </c>
      <c r="O74" s="147">
        <v>3</v>
      </c>
      <c r="P74" s="148">
        <v>100</v>
      </c>
      <c r="Q74" s="144">
        <v>70</v>
      </c>
      <c r="R74" s="149">
        <f t="shared" si="23"/>
        <v>2.66</v>
      </c>
      <c r="S74" s="145"/>
      <c r="T74" s="145"/>
      <c r="U74" s="145"/>
      <c r="V74" s="145"/>
      <c r="W74" s="145"/>
      <c r="X74" s="145"/>
      <c r="Y74" s="145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</row>
    <row r="75" spans="1:41" x14ac:dyDescent="0.2">
      <c r="B75" s="31"/>
      <c r="C75" s="154"/>
      <c r="D75" s="31"/>
      <c r="E75" s="31"/>
      <c r="F75" s="153"/>
      <c r="G75" s="153"/>
      <c r="H75" s="31"/>
      <c r="K75" s="144"/>
      <c r="L75" s="144">
        <v>10</v>
      </c>
      <c r="M75" s="144">
        <v>390</v>
      </c>
      <c r="N75" s="145">
        <f t="shared" si="22"/>
        <v>14.82</v>
      </c>
      <c r="O75" s="147">
        <v>4</v>
      </c>
      <c r="P75" s="148">
        <v>1</v>
      </c>
      <c r="Q75" s="144">
        <v>280</v>
      </c>
      <c r="R75" s="149">
        <f t="shared" si="23"/>
        <v>10.64</v>
      </c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</row>
    <row r="76" spans="1:41" x14ac:dyDescent="0.2">
      <c r="B76" s="31"/>
      <c r="C76" s="154"/>
      <c r="D76" s="31"/>
      <c r="E76" s="31"/>
      <c r="F76" s="153"/>
      <c r="G76" s="153"/>
      <c r="H76" s="31"/>
      <c r="K76" s="144"/>
      <c r="L76" s="144">
        <v>1</v>
      </c>
      <c r="M76" s="144">
        <v>730</v>
      </c>
      <c r="N76" s="145">
        <f t="shared" si="22"/>
        <v>27.740000000000002</v>
      </c>
      <c r="O76" s="147">
        <v>5</v>
      </c>
      <c r="P76" s="148">
        <v>0.8</v>
      </c>
      <c r="Q76" s="144">
        <v>320</v>
      </c>
      <c r="R76" s="149">
        <f t="shared" si="23"/>
        <v>12.16</v>
      </c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</row>
    <row r="77" spans="1:41" x14ac:dyDescent="0.2">
      <c r="B77" s="31"/>
      <c r="C77" s="154"/>
      <c r="D77" s="31"/>
      <c r="E77" s="31"/>
      <c r="F77" s="153"/>
      <c r="G77" s="153"/>
      <c r="H77" s="31"/>
      <c r="K77" s="144"/>
      <c r="L77" s="144">
        <v>0.5</v>
      </c>
      <c r="M77" s="144">
        <v>1000</v>
      </c>
      <c r="N77" s="145">
        <f t="shared" si="22"/>
        <v>38</v>
      </c>
      <c r="O77" s="147">
        <v>6</v>
      </c>
      <c r="P77" s="148">
        <v>0.04</v>
      </c>
      <c r="Q77" s="144">
        <v>350</v>
      </c>
      <c r="R77" s="149">
        <f t="shared" si="23"/>
        <v>13.3</v>
      </c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</row>
    <row r="78" spans="1:41" x14ac:dyDescent="0.2">
      <c r="B78" s="31"/>
      <c r="C78" s="154"/>
      <c r="D78" s="31"/>
      <c r="E78" s="31"/>
      <c r="F78" s="153"/>
      <c r="G78" s="153"/>
      <c r="H78" s="31"/>
      <c r="K78" s="144"/>
      <c r="L78" s="144">
        <v>0.2</v>
      </c>
      <c r="M78" s="144">
        <v>1800</v>
      </c>
      <c r="N78" s="145">
        <f t="shared" si="22"/>
        <v>68.400000000000006</v>
      </c>
      <c r="O78" s="147">
        <v>7</v>
      </c>
      <c r="P78" s="148">
        <v>0.02</v>
      </c>
      <c r="Q78" s="144">
        <v>370</v>
      </c>
      <c r="R78" s="149">
        <f t="shared" si="23"/>
        <v>14.06</v>
      </c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</row>
    <row r="79" spans="1:41" x14ac:dyDescent="0.2">
      <c r="B79" s="31"/>
      <c r="C79" s="154"/>
      <c r="D79" s="31"/>
      <c r="E79" s="31"/>
      <c r="F79" s="151"/>
      <c r="G79" s="31"/>
      <c r="H79" s="31"/>
      <c r="K79" s="144"/>
      <c r="L79" s="144">
        <v>0.1</v>
      </c>
      <c r="M79" s="144">
        <v>2500</v>
      </c>
      <c r="N79" s="145">
        <f t="shared" si="22"/>
        <v>95</v>
      </c>
      <c r="O79" s="147">
        <v>8</v>
      </c>
      <c r="P79" s="148">
        <v>0.01</v>
      </c>
      <c r="Q79" s="144">
        <v>400</v>
      </c>
      <c r="R79" s="149">
        <f t="shared" si="23"/>
        <v>15.200000000000001</v>
      </c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</row>
    <row r="80" spans="1:41" x14ac:dyDescent="0.2">
      <c r="B80" s="31"/>
      <c r="C80" s="154"/>
      <c r="D80" s="31"/>
      <c r="E80" s="31"/>
      <c r="F80" s="151"/>
      <c r="G80" s="31"/>
      <c r="H80" s="31"/>
      <c r="K80" s="144"/>
      <c r="L80" s="144">
        <v>0.1</v>
      </c>
      <c r="M80" s="144">
        <v>2500</v>
      </c>
      <c r="N80" s="145">
        <f t="shared" si="22"/>
        <v>95</v>
      </c>
      <c r="O80" s="144"/>
      <c r="P80" s="144"/>
      <c r="Q80" s="144"/>
      <c r="R80" s="144"/>
      <c r="S80" s="144">
        <v>10</v>
      </c>
      <c r="T80" s="144">
        <v>0.38</v>
      </c>
      <c r="U80" s="144">
        <v>10</v>
      </c>
      <c r="V80" s="144">
        <v>0.38</v>
      </c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</row>
    <row r="81" spans="1:41" x14ac:dyDescent="0.2">
      <c r="B81" s="31"/>
      <c r="C81" s="31"/>
      <c r="D81" s="31"/>
      <c r="E81" s="31"/>
      <c r="F81" s="152"/>
      <c r="G81" s="31"/>
      <c r="H81" s="31"/>
      <c r="K81" s="144"/>
      <c r="L81" s="144">
        <v>0.05</v>
      </c>
      <c r="M81" s="144">
        <v>2500</v>
      </c>
      <c r="N81" s="145">
        <f t="shared" si="22"/>
        <v>95</v>
      </c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</row>
    <row r="82" spans="1:41" x14ac:dyDescent="0.2">
      <c r="B82" s="31"/>
      <c r="C82" s="31"/>
      <c r="D82" s="31"/>
      <c r="E82" s="31"/>
      <c r="F82" s="42"/>
      <c r="G82" s="31"/>
      <c r="H82" s="31"/>
      <c r="K82" s="144"/>
      <c r="L82" s="144">
        <v>0.05</v>
      </c>
      <c r="M82" s="144">
        <v>6000</v>
      </c>
      <c r="N82" s="145">
        <f t="shared" si="22"/>
        <v>228.00000000000003</v>
      </c>
      <c r="O82" s="144"/>
      <c r="P82" s="165" t="s">
        <v>148</v>
      </c>
      <c r="Q82" s="144"/>
      <c r="R82" s="144"/>
      <c r="S82" s="144">
        <f>+S80/T80</f>
        <v>26.315789473684209</v>
      </c>
      <c r="T82" s="144">
        <f>+S82*10</f>
        <v>263.15789473684208</v>
      </c>
      <c r="U82" s="144">
        <f>+U80/V80</f>
        <v>26.315789473684209</v>
      </c>
      <c r="V82" s="144">
        <f>+U82*10</f>
        <v>263.15789473684208</v>
      </c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</row>
    <row r="83" spans="1:41" x14ac:dyDescent="0.2">
      <c r="B83" s="31"/>
      <c r="C83" s="31"/>
      <c r="D83" s="31"/>
      <c r="E83" s="31"/>
      <c r="F83" s="31"/>
      <c r="G83" s="31"/>
      <c r="H83" s="31"/>
      <c r="K83" s="144"/>
      <c r="L83" s="144">
        <v>0.01</v>
      </c>
      <c r="M83" s="144">
        <v>6000</v>
      </c>
      <c r="N83" s="145">
        <f t="shared" si="22"/>
        <v>228.00000000000003</v>
      </c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</row>
    <row r="84" spans="1:41" x14ac:dyDescent="0.2">
      <c r="H84" s="31"/>
      <c r="K84" s="144"/>
      <c r="L84" s="135"/>
      <c r="M84" s="150"/>
      <c r="N84" s="135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</row>
    <row r="85" spans="1:41" x14ac:dyDescent="0.2">
      <c r="H85" s="31"/>
      <c r="K85" s="144"/>
      <c r="L85" s="136"/>
      <c r="M85" s="136"/>
      <c r="N85" s="135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</row>
    <row r="86" spans="1:41" x14ac:dyDescent="0.2">
      <c r="H86" s="31"/>
      <c r="K86" s="144"/>
      <c r="L86" s="136"/>
      <c r="M86" s="136"/>
      <c r="N86" s="135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</row>
    <row r="87" spans="1:41" x14ac:dyDescent="0.2">
      <c r="H87" s="31"/>
      <c r="K87" s="144"/>
      <c r="L87" s="135"/>
      <c r="M87" s="136"/>
      <c r="N87" s="135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</row>
    <row r="88" spans="1:41" x14ac:dyDescent="0.2">
      <c r="H88" s="31"/>
    </row>
    <row r="89" spans="1:41" x14ac:dyDescent="0.2">
      <c r="H89" s="31"/>
    </row>
    <row r="90" spans="1:41" x14ac:dyDescent="0.2">
      <c r="H90" s="31"/>
    </row>
    <row r="91" spans="1:41" ht="15" customHeight="1" x14ac:dyDescent="0.2">
      <c r="H91" s="31"/>
    </row>
    <row r="92" spans="1:41" x14ac:dyDescent="0.2">
      <c r="H92" s="31"/>
    </row>
    <row r="93" spans="1:41" ht="26.25" customHeight="1" x14ac:dyDescent="0.2">
      <c r="H93" s="31"/>
    </row>
    <row r="94" spans="1:41" x14ac:dyDescent="0.2">
      <c r="H94" s="31"/>
    </row>
    <row r="95" spans="1:41" x14ac:dyDescent="0.2">
      <c r="H95" s="31"/>
    </row>
    <row r="96" spans="1:41" x14ac:dyDescent="0.2">
      <c r="A96" s="31"/>
      <c r="B96" s="31"/>
      <c r="C96" s="31"/>
      <c r="D96" s="31"/>
      <c r="E96" s="31"/>
      <c r="F96" s="31"/>
      <c r="G96" s="31"/>
      <c r="H96" s="31"/>
    </row>
    <row r="97" spans="1:8" x14ac:dyDescent="0.2">
      <c r="A97" s="31"/>
      <c r="B97" s="31"/>
      <c r="C97" s="31"/>
      <c r="D97" s="31"/>
      <c r="E97" s="31"/>
      <c r="F97" s="31"/>
      <c r="G97" s="31"/>
      <c r="H97" s="31"/>
    </row>
    <row r="98" spans="1:8" x14ac:dyDescent="0.2">
      <c r="A98" s="31"/>
      <c r="B98" s="31"/>
      <c r="C98" s="31"/>
      <c r="D98" s="31"/>
      <c r="E98" s="31"/>
      <c r="F98" s="31"/>
      <c r="G98" s="31"/>
      <c r="H98" s="31"/>
    </row>
    <row r="99" spans="1:8" x14ac:dyDescent="0.2">
      <c r="H99" s="35"/>
    </row>
  </sheetData>
  <mergeCells count="32">
    <mergeCell ref="AA51:AA54"/>
    <mergeCell ref="AB51:AB54"/>
    <mergeCell ref="AC51:AC54"/>
    <mergeCell ref="AD51:AD54"/>
    <mergeCell ref="AE51:AE54"/>
    <mergeCell ref="V51:V54"/>
    <mergeCell ref="W51:W54"/>
    <mergeCell ref="X51:X54"/>
    <mergeCell ref="Y51:Y54"/>
    <mergeCell ref="Z51:Z54"/>
    <mergeCell ref="O51:O54"/>
    <mergeCell ref="P51:P54"/>
    <mergeCell ref="Q51:Q54"/>
    <mergeCell ref="R51:R54"/>
    <mergeCell ref="U51:U54"/>
    <mergeCell ref="S51:S54"/>
    <mergeCell ref="T51:T54"/>
    <mergeCell ref="M51:M54"/>
    <mergeCell ref="L51:L54"/>
    <mergeCell ref="N51:N54"/>
    <mergeCell ref="G68:G69"/>
    <mergeCell ref="G70:G71"/>
    <mergeCell ref="C68:D69"/>
    <mergeCell ref="C72:D72"/>
    <mergeCell ref="C70:D71"/>
    <mergeCell ref="F68:F69"/>
    <mergeCell ref="F70:F71"/>
    <mergeCell ref="B21:G21"/>
    <mergeCell ref="B22:G22"/>
    <mergeCell ref="F49:G49"/>
    <mergeCell ref="B49:D49"/>
    <mergeCell ref="C67:D67"/>
  </mergeCells>
  <phoneticPr fontId="20" type="noConversion"/>
  <printOptions horizontalCentered="1" verticalCentered="1"/>
  <pageMargins left="0.9055118110236221" right="0.74803149606299213" top="0" bottom="0.98425196850393704" header="0" footer="0"/>
  <pageSetup paperSize="9" orientation="portrait" horizontalDpi="4294967295" verticalDpi="300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1"/>
  <sheetViews>
    <sheetView zoomScale="115" workbookViewId="0">
      <selection activeCell="H12" sqref="H12"/>
    </sheetView>
  </sheetViews>
  <sheetFormatPr baseColWidth="10" defaultColWidth="11.42578125" defaultRowHeight="12.75" x14ac:dyDescent="0.2"/>
  <cols>
    <col min="1" max="1" width="11.42578125" style="1"/>
    <col min="2" max="2" width="16.85546875" style="1" customWidth="1"/>
    <col min="3" max="4" width="6.42578125" style="1" customWidth="1"/>
    <col min="5" max="17" width="6" style="1" customWidth="1"/>
    <col min="18" max="16384" width="11.42578125" style="1"/>
  </cols>
  <sheetData>
    <row r="3" spans="2:17" ht="13.5" thickBot="1" x14ac:dyDescent="0.25"/>
    <row r="4" spans="2:17" ht="35.25" customHeight="1" thickBot="1" x14ac:dyDescent="0.25">
      <c r="B4" s="2" t="s">
        <v>68</v>
      </c>
      <c r="C4" s="3"/>
      <c r="D4" s="3"/>
      <c r="E4" s="220" t="s">
        <v>69</v>
      </c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2:17" ht="35.25" customHeight="1" thickBot="1" x14ac:dyDescent="0.25">
      <c r="B5" s="2" t="s">
        <v>70</v>
      </c>
      <c r="C5" s="4" t="s">
        <v>71</v>
      </c>
      <c r="D5" s="4" t="s">
        <v>72</v>
      </c>
      <c r="E5" s="190" t="s">
        <v>73</v>
      </c>
      <c r="F5" s="183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84</v>
      </c>
      <c r="Q5" s="5" t="s">
        <v>85</v>
      </c>
    </row>
    <row r="6" spans="2:17" x14ac:dyDescent="0.2">
      <c r="B6" s="6" t="s">
        <v>86</v>
      </c>
      <c r="C6" s="11">
        <v>80</v>
      </c>
      <c r="D6" s="11">
        <v>115</v>
      </c>
      <c r="E6" s="181">
        <v>140</v>
      </c>
      <c r="F6" s="184">
        <v>225</v>
      </c>
      <c r="G6" s="7">
        <v>320</v>
      </c>
      <c r="H6" s="7">
        <v>435</v>
      </c>
      <c r="I6" s="7">
        <v>570</v>
      </c>
      <c r="J6" s="7">
        <v>760</v>
      </c>
      <c r="K6" s="7">
        <v>980</v>
      </c>
      <c r="L6" s="7">
        <v>1250</v>
      </c>
      <c r="M6" s="7">
        <v>1650</v>
      </c>
      <c r="N6" s="7">
        <v>2200</v>
      </c>
      <c r="O6" s="7">
        <v>2650</v>
      </c>
      <c r="P6" s="7">
        <v>3400</v>
      </c>
      <c r="Q6" s="8">
        <v>4300</v>
      </c>
    </row>
    <row r="7" spans="2:17" x14ac:dyDescent="0.2">
      <c r="B7" s="6" t="s">
        <v>71</v>
      </c>
      <c r="C7" s="11">
        <v>65</v>
      </c>
      <c r="D7" s="11">
        <v>95</v>
      </c>
      <c r="E7" s="181">
        <v>120</v>
      </c>
      <c r="F7" s="185">
        <v>205</v>
      </c>
      <c r="G7" s="9">
        <v>305</v>
      </c>
      <c r="H7" s="9">
        <v>430</v>
      </c>
      <c r="I7" s="9">
        <v>570</v>
      </c>
      <c r="J7" s="9">
        <v>760</v>
      </c>
      <c r="K7" s="9">
        <v>980</v>
      </c>
      <c r="L7" s="9">
        <v>1250</v>
      </c>
      <c r="M7" s="9">
        <v>1650</v>
      </c>
      <c r="N7" s="9">
        <v>2200</v>
      </c>
      <c r="O7" s="9">
        <v>2650</v>
      </c>
      <c r="P7" s="9">
        <v>3400</v>
      </c>
      <c r="Q7" s="10">
        <v>4300</v>
      </c>
    </row>
    <row r="8" spans="2:17" x14ac:dyDescent="0.2">
      <c r="B8" s="189" t="s">
        <v>72</v>
      </c>
      <c r="C8" s="181"/>
      <c r="D8" s="181"/>
      <c r="E8" s="181">
        <v>100</v>
      </c>
      <c r="F8" s="185">
        <v>195</v>
      </c>
      <c r="G8" s="9">
        <v>300</v>
      </c>
      <c r="H8" s="9">
        <v>420</v>
      </c>
      <c r="I8" s="9">
        <v>560</v>
      </c>
      <c r="J8" s="9">
        <v>760</v>
      </c>
      <c r="K8" s="9">
        <v>980</v>
      </c>
      <c r="L8" s="9">
        <v>1250</v>
      </c>
      <c r="M8" s="9">
        <v>1650</v>
      </c>
      <c r="N8" s="9">
        <v>2200</v>
      </c>
      <c r="O8" s="9">
        <v>2650</v>
      </c>
      <c r="P8" s="9">
        <v>3400</v>
      </c>
      <c r="Q8" s="10">
        <v>4300</v>
      </c>
    </row>
    <row r="9" spans="2:17" x14ac:dyDescent="0.2">
      <c r="B9" s="186" t="s">
        <v>73</v>
      </c>
      <c r="C9" s="187"/>
      <c r="D9" s="187"/>
      <c r="E9" s="188"/>
      <c r="F9" s="185">
        <v>105</v>
      </c>
      <c r="G9" s="9">
        <v>270</v>
      </c>
      <c r="H9" s="9">
        <v>410</v>
      </c>
      <c r="I9" s="9">
        <v>550</v>
      </c>
      <c r="J9" s="9">
        <v>760</v>
      </c>
      <c r="K9" s="9">
        <v>980</v>
      </c>
      <c r="L9" s="9">
        <v>1250</v>
      </c>
      <c r="M9" s="9">
        <v>1650</v>
      </c>
      <c r="N9" s="9">
        <v>2200</v>
      </c>
      <c r="O9" s="9">
        <v>2650</v>
      </c>
      <c r="P9" s="9">
        <v>3400</v>
      </c>
      <c r="Q9" s="10">
        <v>4300</v>
      </c>
    </row>
    <row r="10" spans="2:17" x14ac:dyDescent="0.2">
      <c r="B10" s="6" t="s">
        <v>87</v>
      </c>
      <c r="C10" s="11"/>
      <c r="D10" s="11"/>
      <c r="E10" s="12"/>
      <c r="F10" s="9">
        <v>95</v>
      </c>
      <c r="G10" s="9">
        <v>270</v>
      </c>
      <c r="H10" s="9">
        <v>410</v>
      </c>
      <c r="I10" s="9">
        <v>550</v>
      </c>
      <c r="J10" s="9">
        <v>760</v>
      </c>
      <c r="K10" s="9">
        <v>980</v>
      </c>
      <c r="L10" s="9">
        <v>1250</v>
      </c>
      <c r="M10" s="9">
        <v>1650</v>
      </c>
      <c r="N10" s="9">
        <v>2200</v>
      </c>
      <c r="O10" s="9">
        <v>2650</v>
      </c>
      <c r="P10" s="9">
        <v>3400</v>
      </c>
      <c r="Q10" s="10">
        <v>4300</v>
      </c>
    </row>
    <row r="11" spans="2:17" x14ac:dyDescent="0.2">
      <c r="B11" s="6" t="s">
        <v>74</v>
      </c>
      <c r="C11" s="11"/>
      <c r="D11" s="11"/>
      <c r="E11" s="12"/>
      <c r="F11" s="9"/>
      <c r="G11" s="9">
        <v>140</v>
      </c>
      <c r="H11" s="9">
        <v>350</v>
      </c>
      <c r="I11" s="9">
        <v>510</v>
      </c>
      <c r="J11" s="9">
        <v>730</v>
      </c>
      <c r="K11" s="9">
        <v>940</v>
      </c>
      <c r="L11" s="9">
        <v>1200</v>
      </c>
      <c r="M11" s="9">
        <v>1600</v>
      </c>
      <c r="N11" s="9">
        <v>2200</v>
      </c>
      <c r="O11" s="9">
        <v>2650</v>
      </c>
      <c r="P11" s="9">
        <v>3400</v>
      </c>
      <c r="Q11" s="10">
        <v>4300</v>
      </c>
    </row>
    <row r="12" spans="2:17" x14ac:dyDescent="0.2">
      <c r="B12" s="13" t="s">
        <v>75</v>
      </c>
      <c r="C12" s="14"/>
      <c r="D12" s="14"/>
      <c r="E12" s="15"/>
      <c r="F12" s="16"/>
      <c r="G12" s="16"/>
      <c r="H12" s="16">
        <v>250</v>
      </c>
      <c r="I12" s="16">
        <v>450</v>
      </c>
      <c r="J12" s="16">
        <v>690</v>
      </c>
      <c r="K12" s="16">
        <v>920</v>
      </c>
      <c r="L12" s="16">
        <v>1200</v>
      </c>
      <c r="M12" s="16">
        <v>1600</v>
      </c>
      <c r="N12" s="16">
        <v>2200</v>
      </c>
      <c r="O12" s="16">
        <v>2650</v>
      </c>
      <c r="P12" s="16">
        <v>3400</v>
      </c>
      <c r="Q12" s="17">
        <v>4300</v>
      </c>
    </row>
    <row r="13" spans="2:17" x14ac:dyDescent="0.2">
      <c r="B13" s="6" t="s">
        <v>76</v>
      </c>
      <c r="C13" s="11"/>
      <c r="D13" s="11"/>
      <c r="E13" s="12"/>
      <c r="F13" s="9"/>
      <c r="G13" s="9"/>
      <c r="H13" s="9"/>
      <c r="I13" s="9">
        <v>280</v>
      </c>
      <c r="J13" s="9">
        <v>600</v>
      </c>
      <c r="K13" s="9">
        <v>850</v>
      </c>
      <c r="L13" s="9">
        <v>1150</v>
      </c>
      <c r="M13" s="9">
        <v>1550</v>
      </c>
      <c r="N13" s="9">
        <v>2150</v>
      </c>
      <c r="O13" s="9">
        <v>2650</v>
      </c>
      <c r="P13" s="9">
        <v>3400</v>
      </c>
      <c r="Q13" s="10">
        <v>4300</v>
      </c>
    </row>
    <row r="14" spans="2:17" x14ac:dyDescent="0.2">
      <c r="B14" s="6" t="s">
        <v>77</v>
      </c>
      <c r="C14" s="11"/>
      <c r="D14" s="11"/>
      <c r="E14" s="18"/>
      <c r="F14" s="19"/>
      <c r="G14" s="19"/>
      <c r="H14" s="19"/>
      <c r="I14" s="19"/>
      <c r="J14" s="9">
        <v>425</v>
      </c>
      <c r="K14" s="9">
        <v>750</v>
      </c>
      <c r="L14" s="9">
        <v>1050</v>
      </c>
      <c r="M14" s="9">
        <v>1500</v>
      </c>
      <c r="N14" s="9">
        <v>2100</v>
      </c>
      <c r="O14" s="9">
        <v>2500</v>
      </c>
      <c r="P14" s="9">
        <v>3300</v>
      </c>
      <c r="Q14" s="10">
        <v>4200</v>
      </c>
    </row>
    <row r="15" spans="2:17" x14ac:dyDescent="0.2">
      <c r="B15" s="6" t="s">
        <v>78</v>
      </c>
      <c r="C15" s="11"/>
      <c r="D15" s="11"/>
      <c r="E15" s="12"/>
      <c r="F15" s="9"/>
      <c r="G15" s="9"/>
      <c r="H15" s="9"/>
      <c r="I15" s="9"/>
      <c r="J15" s="9"/>
      <c r="K15" s="9">
        <v>480</v>
      </c>
      <c r="L15" s="9">
        <v>880</v>
      </c>
      <c r="M15" s="9">
        <v>1400</v>
      </c>
      <c r="N15" s="9">
        <v>2000</v>
      </c>
      <c r="O15" s="9">
        <v>2450</v>
      </c>
      <c r="P15" s="9">
        <v>3200</v>
      </c>
      <c r="Q15" s="10">
        <v>4100</v>
      </c>
    </row>
    <row r="16" spans="2:17" x14ac:dyDescent="0.2">
      <c r="B16" s="6" t="s">
        <v>79</v>
      </c>
      <c r="C16" s="11"/>
      <c r="D16" s="11"/>
      <c r="E16" s="12"/>
      <c r="F16" s="9"/>
      <c r="G16" s="9"/>
      <c r="H16" s="9"/>
      <c r="I16" s="9"/>
      <c r="J16" s="9"/>
      <c r="K16" s="9"/>
      <c r="L16" s="9">
        <v>600</v>
      </c>
      <c r="M16" s="9">
        <v>1250</v>
      </c>
      <c r="N16" s="9">
        <v>1900</v>
      </c>
      <c r="O16" s="9">
        <v>2400</v>
      </c>
      <c r="P16" s="9">
        <v>3100</v>
      </c>
      <c r="Q16" s="10">
        <v>4100</v>
      </c>
    </row>
    <row r="17" spans="2:17" x14ac:dyDescent="0.2">
      <c r="B17" s="6" t="s">
        <v>80</v>
      </c>
      <c r="C17" s="11"/>
      <c r="D17" s="11"/>
      <c r="E17" s="12"/>
      <c r="F17" s="9"/>
      <c r="G17" s="9"/>
      <c r="H17" s="9"/>
      <c r="I17" s="9"/>
      <c r="J17" s="9"/>
      <c r="K17" s="9"/>
      <c r="L17" s="9"/>
      <c r="M17" s="9">
        <v>900</v>
      </c>
      <c r="N17" s="9">
        <v>1700</v>
      </c>
      <c r="O17" s="9">
        <v>2250</v>
      </c>
      <c r="P17" s="9">
        <v>3000</v>
      </c>
      <c r="Q17" s="10">
        <v>4000</v>
      </c>
    </row>
    <row r="18" spans="2:17" x14ac:dyDescent="0.2">
      <c r="B18" s="6" t="s">
        <v>81</v>
      </c>
      <c r="C18" s="11"/>
      <c r="D18" s="11"/>
      <c r="E18" s="12"/>
      <c r="F18" s="9"/>
      <c r="G18" s="9"/>
      <c r="H18" s="9"/>
      <c r="I18" s="9"/>
      <c r="J18" s="9"/>
      <c r="K18" s="9"/>
      <c r="L18" s="9"/>
      <c r="M18" s="9"/>
      <c r="N18" s="9">
        <v>1150</v>
      </c>
      <c r="O18" s="9">
        <v>1900</v>
      </c>
      <c r="P18" s="9">
        <v>2900</v>
      </c>
      <c r="Q18" s="10">
        <v>3800</v>
      </c>
    </row>
    <row r="19" spans="2:17" x14ac:dyDescent="0.2">
      <c r="B19" s="6" t="s">
        <v>82</v>
      </c>
      <c r="C19" s="11"/>
      <c r="D19" s="11"/>
      <c r="E19" s="12"/>
      <c r="F19" s="9"/>
      <c r="G19" s="9"/>
      <c r="H19" s="9"/>
      <c r="I19" s="9"/>
      <c r="J19" s="9"/>
      <c r="K19" s="9"/>
      <c r="L19" s="9"/>
      <c r="M19" s="9"/>
      <c r="N19" s="9"/>
      <c r="O19" s="9">
        <v>1200</v>
      </c>
      <c r="P19" s="9">
        <v>2400</v>
      </c>
      <c r="Q19" s="10">
        <v>3600</v>
      </c>
    </row>
    <row r="20" spans="2:17" x14ac:dyDescent="0.2">
      <c r="B20" s="6" t="s">
        <v>83</v>
      </c>
      <c r="C20" s="11"/>
      <c r="D20" s="11"/>
      <c r="E20" s="12"/>
      <c r="F20" s="9"/>
      <c r="G20" s="9"/>
      <c r="H20" s="9"/>
      <c r="I20" s="9"/>
      <c r="J20" s="9"/>
      <c r="K20" s="9"/>
      <c r="L20" s="9"/>
      <c r="M20" s="9"/>
      <c r="N20" s="9"/>
      <c r="O20" s="9"/>
      <c r="P20" s="9">
        <v>1750</v>
      </c>
      <c r="Q20" s="10">
        <v>3100</v>
      </c>
    </row>
    <row r="21" spans="2:17" ht="13.5" thickBot="1" x14ac:dyDescent="0.25">
      <c r="B21" s="20" t="s">
        <v>84</v>
      </c>
      <c r="C21" s="21"/>
      <c r="D21" s="21"/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>
        <v>2300</v>
      </c>
    </row>
  </sheetData>
  <mergeCells count="1">
    <mergeCell ref="E4:Q4"/>
  </mergeCells>
  <phoneticPr fontId="20" type="noConversion"/>
  <pageMargins left="0" right="0.78740157480314965" top="0.98425196850393704" bottom="0.98425196850393704" header="0" footer="0"/>
  <pageSetup paperSize="9" scale="120" orientation="portrait" horizontalDpi="4294967295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76"/>
  <sheetViews>
    <sheetView topLeftCell="A5" zoomScale="70" zoomScaleNormal="70" zoomScaleSheetLayoutView="70" workbookViewId="0">
      <selection activeCell="X10" sqref="X10"/>
    </sheetView>
  </sheetViews>
  <sheetFormatPr baseColWidth="10" defaultColWidth="11.42578125" defaultRowHeight="12.75" x14ac:dyDescent="0.2"/>
  <cols>
    <col min="1" max="16384" width="11.42578125" style="176"/>
  </cols>
  <sheetData>
    <row r="1" spans="2:35" x14ac:dyDescent="0.2"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</row>
    <row r="2" spans="2:35" x14ac:dyDescent="0.2"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</row>
    <row r="3" spans="2:35" x14ac:dyDescent="0.2"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</row>
    <row r="4" spans="2:35" ht="13.5" thickBot="1" x14ac:dyDescent="0.25"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</row>
    <row r="5" spans="2:35" ht="17.25" customHeight="1" x14ac:dyDescent="0.2">
      <c r="B5" s="168"/>
      <c r="C5" s="223" t="s">
        <v>159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169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</row>
    <row r="6" spans="2:35" ht="17.25" customHeight="1" x14ac:dyDescent="0.2">
      <c r="B6" s="170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171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</row>
    <row r="7" spans="2:35" x14ac:dyDescent="0.2">
      <c r="B7" s="170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1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</row>
    <row r="8" spans="2:35" x14ac:dyDescent="0.2">
      <c r="B8" s="170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1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</row>
    <row r="9" spans="2:35" x14ac:dyDescent="0.2">
      <c r="B9" s="170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1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</row>
    <row r="10" spans="2:35" x14ac:dyDescent="0.2">
      <c r="B10" s="170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1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</row>
    <row r="11" spans="2:35" x14ac:dyDescent="0.2">
      <c r="B11" s="170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1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</row>
    <row r="12" spans="2:35" x14ac:dyDescent="0.2">
      <c r="B12" s="170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1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</row>
    <row r="13" spans="2:35" x14ac:dyDescent="0.2">
      <c r="B13" s="170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1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</row>
    <row r="14" spans="2:35" x14ac:dyDescent="0.2">
      <c r="B14" s="170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1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</row>
    <row r="15" spans="2:35" x14ac:dyDescent="0.2">
      <c r="B15" s="170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1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</row>
    <row r="16" spans="2:35" x14ac:dyDescent="0.2">
      <c r="B16" s="170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1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</row>
    <row r="17" spans="2:35" x14ac:dyDescent="0.2">
      <c r="B17" s="170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1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</row>
    <row r="18" spans="2:35" x14ac:dyDescent="0.2">
      <c r="B18" s="170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1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</row>
    <row r="19" spans="2:35" x14ac:dyDescent="0.2">
      <c r="B19" s="170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1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</row>
    <row r="20" spans="2:35" x14ac:dyDescent="0.2">
      <c r="B20" s="170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1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</row>
    <row r="21" spans="2:35" x14ac:dyDescent="0.2">
      <c r="B21" s="170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1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</row>
    <row r="22" spans="2:35" x14ac:dyDescent="0.2">
      <c r="B22" s="170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1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</row>
    <row r="23" spans="2:35" x14ac:dyDescent="0.2">
      <c r="B23" s="170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1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</row>
    <row r="24" spans="2:35" x14ac:dyDescent="0.2">
      <c r="B24" s="170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1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</row>
    <row r="25" spans="2:35" x14ac:dyDescent="0.2">
      <c r="B25" s="170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1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</row>
    <row r="26" spans="2:35" x14ac:dyDescent="0.2">
      <c r="B26" s="170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1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</row>
    <row r="27" spans="2:35" x14ac:dyDescent="0.2">
      <c r="B27" s="170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1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</row>
    <row r="28" spans="2:35" x14ac:dyDescent="0.2">
      <c r="B28" s="170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1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</row>
    <row r="29" spans="2:35" x14ac:dyDescent="0.2">
      <c r="B29" s="170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1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</row>
    <row r="30" spans="2:35" x14ac:dyDescent="0.2">
      <c r="B30" s="170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1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</row>
    <row r="31" spans="2:35" x14ac:dyDescent="0.2">
      <c r="B31" s="170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1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2:35" x14ac:dyDescent="0.2">
      <c r="B32" s="170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1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</row>
    <row r="33" spans="2:35" x14ac:dyDescent="0.2">
      <c r="B33" s="170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1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</row>
    <row r="34" spans="2:35" x14ac:dyDescent="0.2">
      <c r="B34" s="170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1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</row>
    <row r="35" spans="2:35" x14ac:dyDescent="0.2">
      <c r="B35" s="170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1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</row>
    <row r="36" spans="2:35" x14ac:dyDescent="0.2">
      <c r="B36" s="170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1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</row>
    <row r="37" spans="2:35" x14ac:dyDescent="0.2">
      <c r="B37" s="170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1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</row>
    <row r="38" spans="2:35" x14ac:dyDescent="0.2">
      <c r="B38" s="170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1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</row>
    <row r="39" spans="2:35" x14ac:dyDescent="0.2">
      <c r="B39" s="170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1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</row>
    <row r="40" spans="2:35" x14ac:dyDescent="0.2">
      <c r="B40" s="170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1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</row>
    <row r="41" spans="2:35" x14ac:dyDescent="0.2">
      <c r="B41" s="170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1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</row>
    <row r="42" spans="2:35" x14ac:dyDescent="0.2">
      <c r="B42" s="170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1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</row>
    <row r="43" spans="2:35" x14ac:dyDescent="0.2">
      <c r="B43" s="170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1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</row>
    <row r="44" spans="2:35" x14ac:dyDescent="0.2">
      <c r="B44" s="170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1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</row>
    <row r="45" spans="2:35" x14ac:dyDescent="0.2">
      <c r="B45" s="170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1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</row>
    <row r="46" spans="2:35" x14ac:dyDescent="0.2">
      <c r="B46" s="170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1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</row>
    <row r="47" spans="2:35" x14ac:dyDescent="0.2">
      <c r="B47" s="170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1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</row>
    <row r="48" spans="2:35" x14ac:dyDescent="0.2">
      <c r="B48" s="170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1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</row>
    <row r="49" spans="2:35" x14ac:dyDescent="0.2">
      <c r="B49" s="170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1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</row>
    <row r="50" spans="2:35" x14ac:dyDescent="0.2">
      <c r="B50" s="170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1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</row>
    <row r="51" spans="2:35" x14ac:dyDescent="0.2">
      <c r="B51" s="170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1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</row>
    <row r="52" spans="2:35" x14ac:dyDescent="0.2">
      <c r="B52" s="170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1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</row>
    <row r="53" spans="2:35" x14ac:dyDescent="0.2">
      <c r="B53" s="170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1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</row>
    <row r="54" spans="2:35" x14ac:dyDescent="0.2">
      <c r="B54" s="170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1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</row>
    <row r="55" spans="2:35" x14ac:dyDescent="0.2">
      <c r="B55" s="170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1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</row>
    <row r="56" spans="2:35" x14ac:dyDescent="0.2">
      <c r="B56" s="170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1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</row>
    <row r="57" spans="2:35" x14ac:dyDescent="0.2">
      <c r="B57" s="170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1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</row>
    <row r="58" spans="2:35" x14ac:dyDescent="0.2">
      <c r="B58" s="170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1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</row>
    <row r="59" spans="2:35" x14ac:dyDescent="0.2">
      <c r="B59" s="170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1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</row>
    <row r="60" spans="2:35" x14ac:dyDescent="0.2">
      <c r="B60" s="170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1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</row>
    <row r="61" spans="2:35" x14ac:dyDescent="0.2">
      <c r="B61" s="170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1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</row>
    <row r="62" spans="2:35" x14ac:dyDescent="0.2">
      <c r="B62" s="170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1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</row>
    <row r="63" spans="2:35" x14ac:dyDescent="0.2">
      <c r="B63" s="170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1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</row>
    <row r="64" spans="2:35" x14ac:dyDescent="0.2">
      <c r="B64" s="170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1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</row>
    <row r="65" spans="2:35" x14ac:dyDescent="0.2">
      <c r="B65" s="170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1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</row>
    <row r="66" spans="2:35" x14ac:dyDescent="0.2">
      <c r="B66" s="170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1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</row>
    <row r="67" spans="2:35" x14ac:dyDescent="0.2">
      <c r="B67" s="170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1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</row>
    <row r="68" spans="2:35" x14ac:dyDescent="0.2">
      <c r="B68" s="170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1"/>
      <c r="U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</row>
    <row r="69" spans="2:35" x14ac:dyDescent="0.2">
      <c r="B69" s="170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1"/>
      <c r="Y69" s="177"/>
      <c r="Z69" s="177"/>
      <c r="AA69" s="177"/>
      <c r="AB69" s="177"/>
      <c r="AD69" s="177"/>
      <c r="AE69" s="177"/>
      <c r="AF69" s="177"/>
      <c r="AG69" s="177"/>
      <c r="AH69" s="177"/>
      <c r="AI69" s="177"/>
    </row>
    <row r="70" spans="2:35" x14ac:dyDescent="0.2">
      <c r="B70" s="170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1"/>
    </row>
    <row r="71" spans="2:35" x14ac:dyDescent="0.2">
      <c r="B71" s="170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1"/>
    </row>
    <row r="72" spans="2:35" x14ac:dyDescent="0.2">
      <c r="B72" s="170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1"/>
    </row>
    <row r="73" spans="2:35" x14ac:dyDescent="0.2">
      <c r="B73" s="170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1"/>
    </row>
    <row r="74" spans="2:35" x14ac:dyDescent="0.2">
      <c r="B74" s="170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1"/>
    </row>
    <row r="75" spans="2:35" x14ac:dyDescent="0.2">
      <c r="B75" s="170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1"/>
    </row>
    <row r="76" spans="2:35" ht="13.5" thickBot="1" x14ac:dyDescent="0.25">
      <c r="B76" s="173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5"/>
    </row>
  </sheetData>
  <mergeCells count="1">
    <mergeCell ref="C5:O6"/>
  </mergeCells>
  <phoneticPr fontId="20" type="noConversion"/>
  <pageMargins left="0.51181102362204722" right="0.31496062992125984" top="0.74803149606299213" bottom="0.55118110236220474" header="0.31496062992125984" footer="0.31496062992125984"/>
  <pageSetup paperSize="9" scale="56" orientation="portrait" horizont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CALCULO CORRRIENTES</vt:lpstr>
      <vt:lpstr>DAÑO TERMICO</vt:lpstr>
      <vt:lpstr>Cuadro fusibles</vt:lpstr>
      <vt:lpstr>CURVAS COORDINAC.</vt:lpstr>
      <vt:lpstr>'CALCULO CORRRIENTES'!Área_de_impresión</vt:lpstr>
      <vt:lpstr>'CURVAS COORDINAC.'!Área_de_impresión</vt:lpstr>
      <vt:lpstr>'DAÑO TERMICO'!Área_de_impresión</vt:lpstr>
    </vt:vector>
  </TitlesOfParts>
  <Company>WINSOFT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Hipolito</dc:creator>
  <cp:lastModifiedBy>HP</cp:lastModifiedBy>
  <cp:lastPrinted>2017-10-05T22:40:40Z</cp:lastPrinted>
  <dcterms:created xsi:type="dcterms:W3CDTF">2011-03-14T22:51:31Z</dcterms:created>
  <dcterms:modified xsi:type="dcterms:W3CDTF">2025-11-12T10:18:55Z</dcterms:modified>
</cp:coreProperties>
</file>