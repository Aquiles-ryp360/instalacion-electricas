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y 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&quot; #,##0.00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5" fillId="0" borderId="2" pivotButton="0" quotePrefix="0" xfId="0"/>
    <xf numFmtId="0" fontId="4" fillId="0" borderId="0" applyAlignment="1" pivotButton="0" quotePrefix="0" xfId="0">
      <alignment horizontal="right"/>
    </xf>
    <xf numFmtId="164" fontId="4" fillId="0" borderId="0" pivotButton="0" quotePrefix="0" xfId="0"/>
    <xf numFmtId="0" fontId="5" fillId="4" borderId="0" applyAlignment="1" pivotButton="0" quotePrefix="0" xfId="0">
      <alignment horizontal="right"/>
    </xf>
    <xf numFmtId="164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24" customWidth="1" min="4" max="4"/>
    <col width="8" customWidth="1" min="5" max="5"/>
    <col width="10" customWidth="1" min="6" max="6"/>
    <col width="18" customWidth="1" min="7" max="7"/>
    <col width="18" customWidth="1" min="8" max="8"/>
    <col width="35" customWidth="1" min="9" max="9"/>
  </cols>
  <sheetData>
    <row r="1">
      <c r="A1" s="1" t="inlineStr">
        <is>
          <t>COTIZACION FORMAL DE MATERIALES ELECTRICOS</t>
        </is>
      </c>
    </row>
    <row r="2">
      <c r="A2" s="2" t="inlineStr">
        <is>
          <t>Proyecto: Instalaciones Electricas Interiores - Vivienda Unifamiliar de 2 Pisos  |  Cliente: Aquiles Taylor Ramos Yapo  |  Fecha: 2026-06-08</t>
        </is>
      </c>
    </row>
    <row r="3"/>
    <row r="4" ht="28" customHeight="1">
      <c r="A4" s="3" t="inlineStr">
        <is>
          <t>Item</t>
        </is>
      </c>
      <c r="B4" s="3" t="inlineStr">
        <is>
          <t>Descripcion del Material</t>
        </is>
      </c>
      <c r="C4" s="3" t="inlineStr">
        <is>
          <t>Marca Validada</t>
        </is>
      </c>
      <c r="D4" s="3" t="inlineStr">
        <is>
          <t>Norma Tecnica</t>
        </is>
      </c>
      <c r="E4" s="3" t="inlineStr">
        <is>
          <t>Unidad</t>
        </is>
      </c>
      <c r="F4" s="3" t="inlineStr">
        <is>
          <t>Cantidad</t>
        </is>
      </c>
      <c r="G4" s="3" t="inlineStr">
        <is>
          <t>Precio Unitario (S/)</t>
        </is>
      </c>
      <c r="H4" s="3" t="inlineStr">
        <is>
          <t>Subtotal (S/)</t>
        </is>
      </c>
      <c r="I4" s="3" t="inlineStr">
        <is>
          <t>Uso / Aplicacion</t>
        </is>
      </c>
    </row>
    <row r="5" ht="20" customHeight="1">
      <c r="A5" s="4" t="n">
        <v>1</v>
      </c>
      <c r="B5" s="5" t="inlineStr">
        <is>
          <t>Cable TW THW 16 mm2 (alimentador trifasico)</t>
        </is>
      </c>
      <c r="C5" s="4" t="inlineStr">
        <is>
          <t>Indeco</t>
        </is>
      </c>
      <c r="D5" s="5" t="inlineStr">
        <is>
          <t>NTP-IEC 60228 / NTP 370.252</t>
        </is>
      </c>
      <c r="E5" s="4" t="inlineStr">
        <is>
          <t>m</t>
        </is>
      </c>
      <c r="F5" s="6" t="n">
        <v>40</v>
      </c>
      <c r="G5" s="7" t="n">
        <v>24.5</v>
      </c>
      <c r="H5" s="7">
        <f>F5*G5</f>
        <v/>
      </c>
      <c r="I5" s="5" t="inlineStr">
        <is>
          <t>Alimentador principal desde medidor a TG</t>
        </is>
      </c>
    </row>
    <row r="6" ht="20" customHeight="1">
      <c r="A6" s="8" t="n">
        <v>2</v>
      </c>
      <c r="B6" s="9" t="inlineStr">
        <is>
          <t>Tubo PVC SAP 40 mm (alimentador)</t>
        </is>
      </c>
      <c r="C6" s="8" t="inlineStr">
        <is>
          <t>Pavco Wavin</t>
        </is>
      </c>
      <c r="D6" s="9" t="inlineStr">
        <is>
          <t>NTP 399.006 (PVC SAP)</t>
        </is>
      </c>
      <c r="E6" s="8" t="inlineStr">
        <is>
          <t>m</t>
        </is>
      </c>
      <c r="F6" s="10" t="n">
        <v>13</v>
      </c>
      <c r="G6" s="11" t="n">
        <v>14.5</v>
      </c>
      <c r="H6" s="11">
        <f>F6*G6</f>
        <v/>
      </c>
      <c r="I6" s="9" t="inlineStr">
        <is>
          <t>Alimentador principal</t>
        </is>
      </c>
    </row>
    <row r="7" ht="20" customHeight="1">
      <c r="A7" s="4" t="n">
        <v>3</v>
      </c>
      <c r="B7" s="5" t="inlineStr">
        <is>
          <t>ITM 2P-63A</t>
        </is>
      </c>
      <c r="C7" s="4" t="inlineStr">
        <is>
          <t>Schneider Electric</t>
        </is>
      </c>
      <c r="D7" s="5" t="inlineStr">
        <is>
          <t>NTP-IEC 60898-1 (Easy9)</t>
        </is>
      </c>
      <c r="E7" s="4" t="inlineStr">
        <is>
          <t>und</t>
        </is>
      </c>
      <c r="F7" s="6" t="n">
        <v>1</v>
      </c>
      <c r="G7" s="7" t="n">
        <v>89</v>
      </c>
      <c r="H7" s="7">
        <f>F7*G7</f>
        <v/>
      </c>
      <c r="I7" s="5" t="inlineStr">
        <is>
          <t>Proteccion general del alimentador</t>
        </is>
      </c>
    </row>
    <row r="8" ht="20" customHeight="1">
      <c r="A8" s="8" t="n">
        <v>4</v>
      </c>
      <c r="B8" s="9" t="inlineStr">
        <is>
          <t>Tablero general para 8 circuitos</t>
        </is>
      </c>
      <c r="C8" s="8" t="inlineStr">
        <is>
          <t>Bticino</t>
        </is>
      </c>
      <c r="D8" s="9" t="inlineStr">
        <is>
          <t>IEC 61439 (Metalico)</t>
        </is>
      </c>
      <c r="E8" s="8" t="inlineStr">
        <is>
          <t>und</t>
        </is>
      </c>
      <c r="F8" s="10" t="n">
        <v>1</v>
      </c>
      <c r="G8" s="11" t="n">
        <v>75</v>
      </c>
      <c r="H8" s="11">
        <f>F8*G8</f>
        <v/>
      </c>
      <c r="I8" s="9" t="inlineStr">
        <is>
          <t>Distribucion de circuitos</t>
        </is>
      </c>
    </row>
    <row r="9" ht="20" customHeight="1">
      <c r="A9" s="4" t="n">
        <v>5</v>
      </c>
      <c r="B9" s="5" t="inlineStr">
        <is>
          <t>Interruptor diferencial 2P-40A-30mA</t>
        </is>
      </c>
      <c r="C9" s="4" t="inlineStr">
        <is>
          <t>Schneider Electric</t>
        </is>
      </c>
      <c r="D9" s="5" t="inlineStr">
        <is>
          <t>NTP-IEC 61008-1 (RCCB)</t>
        </is>
      </c>
      <c r="E9" s="4" t="inlineStr">
        <is>
          <t>und</t>
        </is>
      </c>
      <c r="F9" s="6" t="n">
        <v>1</v>
      </c>
      <c r="G9" s="7" t="n">
        <v>160.6</v>
      </c>
      <c r="H9" s="7">
        <f>F9*G9</f>
        <v/>
      </c>
      <c r="I9" s="5" t="inlineStr">
        <is>
          <t>Proteccion diferencial general</t>
        </is>
      </c>
    </row>
    <row r="10" ht="20" customHeight="1">
      <c r="A10" s="8" t="n">
        <v>6</v>
      </c>
      <c r="B10" s="9" t="inlineStr">
        <is>
          <t>Cable TW THW 2.5 mm2 - C1</t>
        </is>
      </c>
      <c r="C10" s="8" t="inlineStr">
        <is>
          <t>Indeco</t>
        </is>
      </c>
      <c r="D10" s="9" t="inlineStr">
        <is>
          <t>NTP-IEC 60228 / NTP 370.252</t>
        </is>
      </c>
      <c r="E10" s="8" t="inlineStr">
        <is>
          <t>m</t>
        </is>
      </c>
      <c r="F10" s="10" t="n">
        <v>33</v>
      </c>
      <c r="G10" s="11" t="n">
        <v>2.5</v>
      </c>
      <c r="H10" s="11">
        <f>F10*G10</f>
        <v/>
      </c>
      <c r="I10" s="9" t="inlineStr">
        <is>
          <t>Alumbrado 1er Piso</t>
        </is>
      </c>
    </row>
    <row r="11" ht="20" customHeight="1">
      <c r="A11" s="4" t="n">
        <v>7</v>
      </c>
      <c r="B11" s="5" t="inlineStr">
        <is>
          <t>Tubo PVC SAP 20 mm - C1</t>
        </is>
      </c>
      <c r="C11" s="4" t="inlineStr">
        <is>
          <t>Pavco Wavin</t>
        </is>
      </c>
      <c r="D11" s="5" t="inlineStr">
        <is>
          <t>NTP 399.006 (PVC SAP)</t>
        </is>
      </c>
      <c r="E11" s="4" t="inlineStr">
        <is>
          <t>m</t>
        </is>
      </c>
      <c r="F11" s="6" t="n">
        <v>16</v>
      </c>
      <c r="G11" s="7" t="n">
        <v>2.2</v>
      </c>
      <c r="H11" s="7">
        <f>F11*G11</f>
        <v/>
      </c>
      <c r="I11" s="5" t="inlineStr">
        <is>
          <t>Alumbrado 1er Piso</t>
        </is>
      </c>
    </row>
    <row r="12" ht="20" customHeight="1">
      <c r="A12" s="8" t="n">
        <v>8</v>
      </c>
      <c r="B12" s="9" t="inlineStr">
        <is>
          <t>ITM 2P-10A - C1</t>
        </is>
      </c>
      <c r="C12" s="8" t="inlineStr">
        <is>
          <t>Bticino</t>
        </is>
      </c>
      <c r="D12" s="9" t="inlineStr">
        <is>
          <t>NTP-IEC 60898-1 (Btdin)</t>
        </is>
      </c>
      <c r="E12" s="8" t="inlineStr">
        <is>
          <t>und</t>
        </is>
      </c>
      <c r="F12" s="10" t="n">
        <v>1</v>
      </c>
      <c r="G12" s="11" t="n">
        <v>39.9</v>
      </c>
      <c r="H12" s="11">
        <f>F12*G12</f>
        <v/>
      </c>
      <c r="I12" s="9" t="inlineStr">
        <is>
          <t>Proteccion C1</t>
        </is>
      </c>
    </row>
    <row r="13" ht="20" customHeight="1">
      <c r="A13" s="4" t="n">
        <v>9</v>
      </c>
      <c r="B13" s="5" t="inlineStr">
        <is>
          <t>Caja rectangular/octogonal - C1</t>
        </is>
      </c>
      <c r="C13" s="4" t="inlineStr">
        <is>
          <t>Krosch</t>
        </is>
      </c>
      <c r="D13" s="5" t="inlineStr">
        <is>
          <t>NTP 370.054 (Fierro Galv.)</t>
        </is>
      </c>
      <c r="E13" s="4" t="inlineStr">
        <is>
          <t>und</t>
        </is>
      </c>
      <c r="F13" s="6" t="n">
        <v>5</v>
      </c>
      <c r="G13" s="7" t="n">
        <v>3.5</v>
      </c>
      <c r="H13" s="7">
        <f>F13*G13</f>
        <v/>
      </c>
      <c r="I13" s="5" t="inlineStr">
        <is>
          <t>Accesorios C1</t>
        </is>
      </c>
    </row>
    <row r="14" ht="20" customHeight="1">
      <c r="A14" s="8" t="n">
        <v>10</v>
      </c>
      <c r="B14" s="9" t="inlineStr">
        <is>
          <t>Cable TW THW 2.5 mm2 - C2</t>
        </is>
      </c>
      <c r="C14" s="8" t="inlineStr">
        <is>
          <t>Indeco</t>
        </is>
      </c>
      <c r="D14" s="9" t="inlineStr">
        <is>
          <t>NTP-IEC 60228 / NTP 370.252</t>
        </is>
      </c>
      <c r="E14" s="8" t="inlineStr">
        <is>
          <t>m</t>
        </is>
      </c>
      <c r="F14" s="10" t="n">
        <v>40</v>
      </c>
      <c r="G14" s="11" t="n">
        <v>2.5</v>
      </c>
      <c r="H14" s="11">
        <f>F14*G14</f>
        <v/>
      </c>
      <c r="I14" s="9" t="inlineStr">
        <is>
          <t>Tomacorrientes 1er Piso</t>
        </is>
      </c>
    </row>
    <row r="15" ht="20" customHeight="1">
      <c r="A15" s="4" t="n">
        <v>11</v>
      </c>
      <c r="B15" s="5" t="inlineStr">
        <is>
          <t>Tubo PVC SAP 20 mm - C2</t>
        </is>
      </c>
      <c r="C15" s="4" t="inlineStr">
        <is>
          <t>Pavco Wavin</t>
        </is>
      </c>
      <c r="D15" s="5" t="inlineStr">
        <is>
          <t>NTP 399.006 (PVC SAP)</t>
        </is>
      </c>
      <c r="E15" s="4" t="inlineStr">
        <is>
          <t>m</t>
        </is>
      </c>
      <c r="F15" s="6" t="n">
        <v>20</v>
      </c>
      <c r="G15" s="7" t="n">
        <v>2.2</v>
      </c>
      <c r="H15" s="7">
        <f>F15*G15</f>
        <v/>
      </c>
      <c r="I15" s="5" t="inlineStr">
        <is>
          <t>Tomacorrientes 1er Piso</t>
        </is>
      </c>
    </row>
    <row r="16" ht="20" customHeight="1">
      <c r="A16" s="8" t="n">
        <v>12</v>
      </c>
      <c r="B16" s="9" t="inlineStr">
        <is>
          <t>ITM 2P-10A - C2</t>
        </is>
      </c>
      <c r="C16" s="8" t="inlineStr">
        <is>
          <t>Bticino</t>
        </is>
      </c>
      <c r="D16" s="9" t="inlineStr">
        <is>
          <t>NTP-IEC 60898-1 (Btdin)</t>
        </is>
      </c>
      <c r="E16" s="8" t="inlineStr">
        <is>
          <t>und</t>
        </is>
      </c>
      <c r="F16" s="10" t="n">
        <v>1</v>
      </c>
      <c r="G16" s="11" t="n">
        <v>39.9</v>
      </c>
      <c r="H16" s="11">
        <f>F16*G16</f>
        <v/>
      </c>
      <c r="I16" s="9" t="inlineStr">
        <is>
          <t>Proteccion C2</t>
        </is>
      </c>
    </row>
    <row r="17" ht="20" customHeight="1">
      <c r="A17" s="4" t="n">
        <v>13</v>
      </c>
      <c r="B17" s="5" t="inlineStr">
        <is>
          <t>Diferencial 2P-25A-30mA - C2</t>
        </is>
      </c>
      <c r="C17" s="4" t="inlineStr">
        <is>
          <t>Schneider Electric</t>
        </is>
      </c>
      <c r="D17" s="5" t="inlineStr">
        <is>
          <t>NTP-IEC 61008-1 (RCCB)</t>
        </is>
      </c>
      <c r="E17" s="4" t="inlineStr">
        <is>
          <t>und</t>
        </is>
      </c>
      <c r="F17" s="6" t="n">
        <v>1</v>
      </c>
      <c r="G17" s="7" t="n">
        <v>145</v>
      </c>
      <c r="H17" s="7">
        <f>F17*G17</f>
        <v/>
      </c>
      <c r="I17" s="5" t="inlineStr">
        <is>
          <t>Proteccion diferencial C2</t>
        </is>
      </c>
    </row>
    <row r="18" ht="20" customHeight="1">
      <c r="A18" s="8" t="n">
        <v>14</v>
      </c>
      <c r="B18" s="9" t="inlineStr">
        <is>
          <t>Caja rectangular/octogonal - C2</t>
        </is>
      </c>
      <c r="C18" s="8" t="inlineStr">
        <is>
          <t>Krosch</t>
        </is>
      </c>
      <c r="D18" s="9" t="inlineStr">
        <is>
          <t>NTP 370.054 (Fierro Galv.)</t>
        </is>
      </c>
      <c r="E18" s="8" t="inlineStr">
        <is>
          <t>und</t>
        </is>
      </c>
      <c r="F18" s="10" t="n">
        <v>6</v>
      </c>
      <c r="G18" s="11" t="n">
        <v>3.5</v>
      </c>
      <c r="H18" s="11">
        <f>F18*G18</f>
        <v/>
      </c>
      <c r="I18" s="9" t="inlineStr">
        <is>
          <t>Accesorios C2</t>
        </is>
      </c>
    </row>
    <row r="19" ht="20" customHeight="1">
      <c r="A19" s="4" t="n">
        <v>15</v>
      </c>
      <c r="B19" s="5" t="inlineStr">
        <is>
          <t>Cable TW THW 2.5 mm2 - C3</t>
        </is>
      </c>
      <c r="C19" s="4" t="inlineStr">
        <is>
          <t>Indeco</t>
        </is>
      </c>
      <c r="D19" s="5" t="inlineStr">
        <is>
          <t>NTP-IEC 60228 / NTP 370.252</t>
        </is>
      </c>
      <c r="E19" s="4" t="inlineStr">
        <is>
          <t>m</t>
        </is>
      </c>
      <c r="F19" s="6" t="n">
        <v>22</v>
      </c>
      <c r="G19" s="7" t="n">
        <v>2.5</v>
      </c>
      <c r="H19" s="7">
        <f>F19*G19</f>
        <v/>
      </c>
      <c r="I19" s="5" t="inlineStr">
        <is>
          <t>Cocina 1er Piso (Auxiliar)</t>
        </is>
      </c>
    </row>
    <row r="20" ht="20" customHeight="1">
      <c r="A20" s="8" t="n">
        <v>16</v>
      </c>
      <c r="B20" s="9" t="inlineStr">
        <is>
          <t>Tubo PVC SAP 20 mm - C3</t>
        </is>
      </c>
      <c r="C20" s="8" t="inlineStr">
        <is>
          <t>Pavco Wavin</t>
        </is>
      </c>
      <c r="D20" s="9" t="inlineStr">
        <is>
          <t>NTP 399.006 (PVC SAP)</t>
        </is>
      </c>
      <c r="E20" s="8" t="inlineStr">
        <is>
          <t>m</t>
        </is>
      </c>
      <c r="F20" s="10" t="n">
        <v>11</v>
      </c>
      <c r="G20" s="11" t="n">
        <v>2.2</v>
      </c>
      <c r="H20" s="11">
        <f>F20*G20</f>
        <v/>
      </c>
      <c r="I20" s="9" t="inlineStr">
        <is>
          <t>Cocina 1er Piso (Auxiliar)</t>
        </is>
      </c>
    </row>
    <row r="21" ht="20" customHeight="1">
      <c r="A21" s="4" t="n">
        <v>17</v>
      </c>
      <c r="B21" s="5" t="inlineStr">
        <is>
          <t>ITM 2P-10A - C3</t>
        </is>
      </c>
      <c r="C21" s="4" t="inlineStr">
        <is>
          <t>Bticino</t>
        </is>
      </c>
      <c r="D21" s="5" t="inlineStr">
        <is>
          <t>NTP-IEC 60898-1 (Btdin)</t>
        </is>
      </c>
      <c r="E21" s="4" t="inlineStr">
        <is>
          <t>und</t>
        </is>
      </c>
      <c r="F21" s="6" t="n">
        <v>1</v>
      </c>
      <c r="G21" s="7" t="n">
        <v>39.9</v>
      </c>
      <c r="H21" s="7">
        <f>F21*G21</f>
        <v/>
      </c>
      <c r="I21" s="5" t="inlineStr">
        <is>
          <t>Proteccion C3</t>
        </is>
      </c>
    </row>
    <row r="22" ht="20" customHeight="1">
      <c r="A22" s="8" t="n">
        <v>18</v>
      </c>
      <c r="B22" s="9" t="inlineStr">
        <is>
          <t>Diferencial 2P-25A-30mA - C3</t>
        </is>
      </c>
      <c r="C22" s="8" t="inlineStr">
        <is>
          <t>Schneider Electric</t>
        </is>
      </c>
      <c r="D22" s="9" t="inlineStr">
        <is>
          <t>NTP-IEC 61008-1 (RCCB)</t>
        </is>
      </c>
      <c r="E22" s="8" t="inlineStr">
        <is>
          <t>und</t>
        </is>
      </c>
      <c r="F22" s="10" t="n">
        <v>1</v>
      </c>
      <c r="G22" s="11" t="n">
        <v>145</v>
      </c>
      <c r="H22" s="11">
        <f>F22*G22</f>
        <v/>
      </c>
      <c r="I22" s="9" t="inlineStr">
        <is>
          <t>Proteccion diferencial C3</t>
        </is>
      </c>
    </row>
    <row r="23" ht="20" customHeight="1">
      <c r="A23" s="4" t="n">
        <v>19</v>
      </c>
      <c r="B23" s="5" t="inlineStr">
        <is>
          <t>Caja rectangular/octogonal - C3</t>
        </is>
      </c>
      <c r="C23" s="4" t="inlineStr">
        <is>
          <t>Krosch</t>
        </is>
      </c>
      <c r="D23" s="5" t="inlineStr">
        <is>
          <t>NTP 370.054 (Fierro Galv.)</t>
        </is>
      </c>
      <c r="E23" s="4" t="inlineStr">
        <is>
          <t>und</t>
        </is>
      </c>
      <c r="F23" s="6" t="n">
        <v>3</v>
      </c>
      <c r="G23" s="7" t="n">
        <v>3.5</v>
      </c>
      <c r="H23" s="7">
        <f>F23*G23</f>
        <v/>
      </c>
      <c r="I23" s="5" t="inlineStr">
        <is>
          <t>Accesorios C3</t>
        </is>
      </c>
    </row>
    <row r="24" ht="20" customHeight="1">
      <c r="A24" s="8" t="n">
        <v>20</v>
      </c>
      <c r="B24" s="9" t="inlineStr">
        <is>
          <t>Cable TW THW 2.5 mm2 - C4</t>
        </is>
      </c>
      <c r="C24" s="8" t="inlineStr">
        <is>
          <t>Indeco</t>
        </is>
      </c>
      <c r="D24" s="9" t="inlineStr">
        <is>
          <t>NTP-IEC 60228 / NTP 370.252</t>
        </is>
      </c>
      <c r="E24" s="8" t="inlineStr">
        <is>
          <t>m</t>
        </is>
      </c>
      <c r="F24" s="10" t="n">
        <v>48</v>
      </c>
      <c r="G24" s="11" t="n">
        <v>2.5</v>
      </c>
      <c r="H24" s="11">
        <f>F24*G24</f>
        <v/>
      </c>
      <c r="I24" s="9" t="inlineStr">
        <is>
          <t>Alumbrado 2do Piso</t>
        </is>
      </c>
    </row>
    <row r="25" ht="20" customHeight="1">
      <c r="A25" s="4" t="n">
        <v>21</v>
      </c>
      <c r="B25" s="5" t="inlineStr">
        <is>
          <t>Tubo PVC SAP 20 mm - C4</t>
        </is>
      </c>
      <c r="C25" s="4" t="inlineStr">
        <is>
          <t>Pavco Wavin</t>
        </is>
      </c>
      <c r="D25" s="5" t="inlineStr">
        <is>
          <t>NTP 399.006 (PVC SAP)</t>
        </is>
      </c>
      <c r="E25" s="4" t="inlineStr">
        <is>
          <t>m</t>
        </is>
      </c>
      <c r="F25" s="6" t="n">
        <v>24</v>
      </c>
      <c r="G25" s="7" t="n">
        <v>2.2</v>
      </c>
      <c r="H25" s="7">
        <f>F25*G25</f>
        <v/>
      </c>
      <c r="I25" s="5" t="inlineStr">
        <is>
          <t>Alumbrado 2do Piso</t>
        </is>
      </c>
    </row>
    <row r="26" ht="20" customHeight="1">
      <c r="A26" s="8" t="n">
        <v>22</v>
      </c>
      <c r="B26" s="9" t="inlineStr">
        <is>
          <t>ITM 2P-10A - C4</t>
        </is>
      </c>
      <c r="C26" s="8" t="inlineStr">
        <is>
          <t>Bticino</t>
        </is>
      </c>
      <c r="D26" s="9" t="inlineStr">
        <is>
          <t>NTP-IEC 60898-1 (Btdin)</t>
        </is>
      </c>
      <c r="E26" s="8" t="inlineStr">
        <is>
          <t>und</t>
        </is>
      </c>
      <c r="F26" s="10" t="n">
        <v>1</v>
      </c>
      <c r="G26" s="11" t="n">
        <v>39.9</v>
      </c>
      <c r="H26" s="11">
        <f>F26*G26</f>
        <v/>
      </c>
      <c r="I26" s="9" t="inlineStr">
        <is>
          <t>Proteccion C4</t>
        </is>
      </c>
    </row>
    <row r="27" ht="20" customHeight="1">
      <c r="A27" s="4" t="n">
        <v>23</v>
      </c>
      <c r="B27" s="5" t="inlineStr">
        <is>
          <t>Caja rectangular/octogonal - C4</t>
        </is>
      </c>
      <c r="C27" s="4" t="inlineStr">
        <is>
          <t>Krosch</t>
        </is>
      </c>
      <c r="D27" s="5" t="inlineStr">
        <is>
          <t>NTP 370.054 (Fierro Galv.)</t>
        </is>
      </c>
      <c r="E27" s="4" t="inlineStr">
        <is>
          <t>und</t>
        </is>
      </c>
      <c r="F27" s="6" t="n">
        <v>7</v>
      </c>
      <c r="G27" s="7" t="n">
        <v>3.5</v>
      </c>
      <c r="H27" s="7">
        <f>F27*G27</f>
        <v/>
      </c>
      <c r="I27" s="5" t="inlineStr">
        <is>
          <t>Accesorios C4</t>
        </is>
      </c>
    </row>
    <row r="28" ht="20" customHeight="1">
      <c r="A28" s="8" t="n">
        <v>24</v>
      </c>
      <c r="B28" s="9" t="inlineStr">
        <is>
          <t>Cable TW THW 2.5 mm2 - C5</t>
        </is>
      </c>
      <c r="C28" s="8" t="inlineStr">
        <is>
          <t>Indeco</t>
        </is>
      </c>
      <c r="D28" s="9" t="inlineStr">
        <is>
          <t>NTP-IEC 60228 / NTP 370.252</t>
        </is>
      </c>
      <c r="E28" s="8" t="inlineStr">
        <is>
          <t>m</t>
        </is>
      </c>
      <c r="F28" s="10" t="n">
        <v>55</v>
      </c>
      <c r="G28" s="11" t="n">
        <v>2.5</v>
      </c>
      <c r="H28" s="11">
        <f>F28*G28</f>
        <v/>
      </c>
      <c r="I28" s="9" t="inlineStr">
        <is>
          <t>Tomacorrientes 2do Piso</t>
        </is>
      </c>
    </row>
    <row r="29" ht="20" customHeight="1">
      <c r="A29" s="4" t="n">
        <v>25</v>
      </c>
      <c r="B29" s="5" t="inlineStr">
        <is>
          <t>Tubo PVC SAP 20 mm - C5</t>
        </is>
      </c>
      <c r="C29" s="4" t="inlineStr">
        <is>
          <t>Pavco Wavin</t>
        </is>
      </c>
      <c r="D29" s="5" t="inlineStr">
        <is>
          <t>NTP 399.006 (PVC SAP)</t>
        </is>
      </c>
      <c r="E29" s="4" t="inlineStr">
        <is>
          <t>m</t>
        </is>
      </c>
      <c r="F29" s="6" t="n">
        <v>28</v>
      </c>
      <c r="G29" s="7" t="n">
        <v>2.2</v>
      </c>
      <c r="H29" s="7">
        <f>F29*G29</f>
        <v/>
      </c>
      <c r="I29" s="5" t="inlineStr">
        <is>
          <t>Tomacorrientes 2do Piso</t>
        </is>
      </c>
    </row>
    <row r="30" ht="20" customHeight="1">
      <c r="A30" s="8" t="n">
        <v>26</v>
      </c>
      <c r="B30" s="9" t="inlineStr">
        <is>
          <t>ITM 2P-10A - C5</t>
        </is>
      </c>
      <c r="C30" s="8" t="inlineStr">
        <is>
          <t>Bticino</t>
        </is>
      </c>
      <c r="D30" s="9" t="inlineStr">
        <is>
          <t>NTP-IEC 60898-1 (Btdin)</t>
        </is>
      </c>
      <c r="E30" s="8" t="inlineStr">
        <is>
          <t>und</t>
        </is>
      </c>
      <c r="F30" s="10" t="n">
        <v>1</v>
      </c>
      <c r="G30" s="11" t="n">
        <v>39.9</v>
      </c>
      <c r="H30" s="11">
        <f>F30*G30</f>
        <v/>
      </c>
      <c r="I30" s="9" t="inlineStr">
        <is>
          <t>Proteccion C5</t>
        </is>
      </c>
    </row>
    <row r="31" ht="20" customHeight="1">
      <c r="A31" s="4" t="n">
        <v>27</v>
      </c>
      <c r="B31" s="5" t="inlineStr">
        <is>
          <t>Diferencial 2P-25A-30mA - C5</t>
        </is>
      </c>
      <c r="C31" s="4" t="inlineStr">
        <is>
          <t>Schneider Electric</t>
        </is>
      </c>
      <c r="D31" s="5" t="inlineStr">
        <is>
          <t>NTP-IEC 61008-1 (RCCB)</t>
        </is>
      </c>
      <c r="E31" s="4" t="inlineStr">
        <is>
          <t>und</t>
        </is>
      </c>
      <c r="F31" s="6" t="n">
        <v>1</v>
      </c>
      <c r="G31" s="7" t="n">
        <v>145</v>
      </c>
      <c r="H31" s="7">
        <f>F31*G31</f>
        <v/>
      </c>
      <c r="I31" s="5" t="inlineStr">
        <is>
          <t>Proteccion diferencial C5</t>
        </is>
      </c>
    </row>
    <row r="32" ht="20" customHeight="1">
      <c r="A32" s="8" t="n">
        <v>28</v>
      </c>
      <c r="B32" s="9" t="inlineStr">
        <is>
          <t>Caja rectangular/octogonal - C5</t>
        </is>
      </c>
      <c r="C32" s="8" t="inlineStr">
        <is>
          <t>Krosch</t>
        </is>
      </c>
      <c r="D32" s="9" t="inlineStr">
        <is>
          <t>NTP 370.054 (Fierro Galv.)</t>
        </is>
      </c>
      <c r="E32" s="8" t="inlineStr">
        <is>
          <t>und</t>
        </is>
      </c>
      <c r="F32" s="10" t="n">
        <v>8</v>
      </c>
      <c r="G32" s="11" t="n">
        <v>3.5</v>
      </c>
      <c r="H32" s="11">
        <f>F32*G32</f>
        <v/>
      </c>
      <c r="I32" s="9" t="inlineStr">
        <is>
          <t>Accesorios C5</t>
        </is>
      </c>
    </row>
    <row r="33" ht="20" customHeight="1">
      <c r="A33" s="4" t="n">
        <v>29</v>
      </c>
      <c r="B33" s="5" t="inlineStr">
        <is>
          <t>Cable TW THW 10 mm2 - C6</t>
        </is>
      </c>
      <c r="C33" s="4" t="inlineStr">
        <is>
          <t>Indeco</t>
        </is>
      </c>
      <c r="D33" s="5" t="inlineStr">
        <is>
          <t>NTP-IEC 60228 / NTP 370.252</t>
        </is>
      </c>
      <c r="E33" s="4" t="inlineStr">
        <is>
          <t>m</t>
        </is>
      </c>
      <c r="F33" s="6" t="n">
        <v>44</v>
      </c>
      <c r="G33" s="7" t="n">
        <v>14.5</v>
      </c>
      <c r="H33" s="7">
        <f>F33*G33</f>
        <v/>
      </c>
      <c r="I33" s="5" t="inlineStr">
        <is>
          <t>Cocina electrica 2do Piso (escenario por confirmar)</t>
        </is>
      </c>
    </row>
    <row r="34" ht="20" customHeight="1">
      <c r="A34" s="8" t="n">
        <v>30</v>
      </c>
      <c r="B34" s="9" t="inlineStr">
        <is>
          <t>Tubo PVC SAP 20 mm - C6</t>
        </is>
      </c>
      <c r="C34" s="8" t="inlineStr">
        <is>
          <t>Pavco Wavin</t>
        </is>
      </c>
      <c r="D34" s="9" t="inlineStr">
        <is>
          <t>NTP 399.006 (PVC SAP)</t>
        </is>
      </c>
      <c r="E34" s="8" t="inlineStr">
        <is>
          <t>m</t>
        </is>
      </c>
      <c r="F34" s="10" t="n">
        <v>22</v>
      </c>
      <c r="G34" s="11" t="n">
        <v>2.2</v>
      </c>
      <c r="H34" s="11">
        <f>F34*G34</f>
        <v/>
      </c>
      <c r="I34" s="9" t="inlineStr">
        <is>
          <t>Cocina electrica 2do Piso (escenario por confirmar)</t>
        </is>
      </c>
    </row>
    <row r="35" ht="20" customHeight="1">
      <c r="A35" s="4" t="n">
        <v>31</v>
      </c>
      <c r="B35" s="5" t="inlineStr">
        <is>
          <t>ITM 2P-32A - C6</t>
        </is>
      </c>
      <c r="C35" s="4" t="inlineStr">
        <is>
          <t>Bticino</t>
        </is>
      </c>
      <c r="D35" s="5" t="inlineStr">
        <is>
          <t>NTP-IEC 60898-1 (Btdin)</t>
        </is>
      </c>
      <c r="E35" s="4" t="inlineStr">
        <is>
          <t>und</t>
        </is>
      </c>
      <c r="F35" s="6" t="n">
        <v>1</v>
      </c>
      <c r="G35" s="7" t="n">
        <v>39.9</v>
      </c>
      <c r="H35" s="7">
        <f>F35*G35</f>
        <v/>
      </c>
      <c r="I35" s="5" t="inlineStr">
        <is>
          <t>Proteccion C6</t>
        </is>
      </c>
    </row>
    <row r="36" ht="20" customHeight="1">
      <c r="A36" s="8" t="n">
        <v>32</v>
      </c>
      <c r="B36" s="9" t="inlineStr">
        <is>
          <t>Diferencial 2P-40A-30mA - C6</t>
        </is>
      </c>
      <c r="C36" s="8" t="inlineStr">
        <is>
          <t>Schneider Electric</t>
        </is>
      </c>
      <c r="D36" s="9" t="inlineStr">
        <is>
          <t>NTP-IEC 61008-1 (RCCB)</t>
        </is>
      </c>
      <c r="E36" s="8" t="inlineStr">
        <is>
          <t>und</t>
        </is>
      </c>
      <c r="F36" s="10" t="n">
        <v>1</v>
      </c>
      <c r="G36" s="11" t="n">
        <v>160.6</v>
      </c>
      <c r="H36" s="11">
        <f>F36*G36</f>
        <v/>
      </c>
      <c r="I36" s="9" t="inlineStr">
        <is>
          <t>Proteccion diferencial C6</t>
        </is>
      </c>
    </row>
    <row r="37" ht="20" customHeight="1">
      <c r="A37" s="4" t="n">
        <v>33</v>
      </c>
      <c r="B37" s="5" t="inlineStr">
        <is>
          <t>Caja rectangular/octogonal - C6</t>
        </is>
      </c>
      <c r="C37" s="4" t="inlineStr">
        <is>
          <t>Krosch</t>
        </is>
      </c>
      <c r="D37" s="5" t="inlineStr">
        <is>
          <t>NTP 370.054 (Fierro Galv.)</t>
        </is>
      </c>
      <c r="E37" s="4" t="inlineStr">
        <is>
          <t>und</t>
        </is>
      </c>
      <c r="F37" s="6" t="n">
        <v>7</v>
      </c>
      <c r="G37" s="7" t="n">
        <v>3.5</v>
      </c>
      <c r="H37" s="7">
        <f>F37*G37</f>
        <v/>
      </c>
      <c r="I37" s="5" t="inlineStr">
        <is>
          <t>Accesorios C6</t>
        </is>
      </c>
    </row>
    <row r="38" ht="20" customHeight="1">
      <c r="A38" s="8" t="n">
        <v>34</v>
      </c>
      <c r="B38" s="9" t="inlineStr">
        <is>
          <t>Cable TW THW 2.5 mm2 - C7</t>
        </is>
      </c>
      <c r="C38" s="8" t="inlineStr">
        <is>
          <t>Indeco</t>
        </is>
      </c>
      <c r="D38" s="9" t="inlineStr">
        <is>
          <t>NTP-IEC 60228 / NTP 370.252</t>
        </is>
      </c>
      <c r="E38" s="8" t="inlineStr">
        <is>
          <t>m</t>
        </is>
      </c>
      <c r="F38" s="10" t="n">
        <v>33</v>
      </c>
      <c r="G38" s="11" t="n">
        <v>2.5</v>
      </c>
      <c r="H38" s="11">
        <f>F38*G38</f>
        <v/>
      </c>
      <c r="I38" s="9" t="inlineStr">
        <is>
          <t>Lavadora 2do Piso</t>
        </is>
      </c>
    </row>
    <row r="39" ht="20" customHeight="1">
      <c r="A39" s="4" t="n">
        <v>35</v>
      </c>
      <c r="B39" s="5" t="inlineStr">
        <is>
          <t>Tubo PVC SAP 20 mm - C7</t>
        </is>
      </c>
      <c r="C39" s="4" t="inlineStr">
        <is>
          <t>Pavco Wavin</t>
        </is>
      </c>
      <c r="D39" s="5" t="inlineStr">
        <is>
          <t>NTP 399.006 (PVC SAP)</t>
        </is>
      </c>
      <c r="E39" s="4" t="inlineStr">
        <is>
          <t>m</t>
        </is>
      </c>
      <c r="F39" s="6" t="n">
        <v>16</v>
      </c>
      <c r="G39" s="7" t="n">
        <v>2.2</v>
      </c>
      <c r="H39" s="7">
        <f>F39*G39</f>
        <v/>
      </c>
      <c r="I39" s="5" t="inlineStr">
        <is>
          <t>Lavadora 2do Piso</t>
        </is>
      </c>
    </row>
    <row r="40" ht="20" customHeight="1">
      <c r="A40" s="8" t="n">
        <v>36</v>
      </c>
      <c r="B40" s="9" t="inlineStr">
        <is>
          <t>ITM 2P-10A - C7</t>
        </is>
      </c>
      <c r="C40" s="8" t="inlineStr">
        <is>
          <t>Bticino</t>
        </is>
      </c>
      <c r="D40" s="9" t="inlineStr">
        <is>
          <t>NTP-IEC 60898-1 (Btdin)</t>
        </is>
      </c>
      <c r="E40" s="8" t="inlineStr">
        <is>
          <t>und</t>
        </is>
      </c>
      <c r="F40" s="10" t="n">
        <v>1</v>
      </c>
      <c r="G40" s="11" t="n">
        <v>39.9</v>
      </c>
      <c r="H40" s="11">
        <f>F40*G40</f>
        <v/>
      </c>
      <c r="I40" s="9" t="inlineStr">
        <is>
          <t>Proteccion C7</t>
        </is>
      </c>
    </row>
    <row r="41" ht="20" customHeight="1">
      <c r="A41" s="4" t="n">
        <v>37</v>
      </c>
      <c r="B41" s="5" t="inlineStr">
        <is>
          <t>Diferencial 2P-25A-30mA - C7</t>
        </is>
      </c>
      <c r="C41" s="4" t="inlineStr">
        <is>
          <t>Schneider Electric</t>
        </is>
      </c>
      <c r="D41" s="5" t="inlineStr">
        <is>
          <t>NTP-IEC 61008-1 (RCCB)</t>
        </is>
      </c>
      <c r="E41" s="4" t="inlineStr">
        <is>
          <t>und</t>
        </is>
      </c>
      <c r="F41" s="6" t="n">
        <v>1</v>
      </c>
      <c r="G41" s="7" t="n">
        <v>145</v>
      </c>
      <c r="H41" s="7">
        <f>F41*G41</f>
        <v/>
      </c>
      <c r="I41" s="5" t="inlineStr">
        <is>
          <t>Proteccion diferencial C7</t>
        </is>
      </c>
    </row>
    <row r="42" ht="20" customHeight="1">
      <c r="A42" s="8" t="n">
        <v>38</v>
      </c>
      <c r="B42" s="9" t="inlineStr">
        <is>
          <t>Caja rectangular/octogonal - C7</t>
        </is>
      </c>
      <c r="C42" s="8" t="inlineStr">
        <is>
          <t>Krosch</t>
        </is>
      </c>
      <c r="D42" s="9" t="inlineStr">
        <is>
          <t>NTP 370.054 (Fierro Galv.)</t>
        </is>
      </c>
      <c r="E42" s="8" t="inlineStr">
        <is>
          <t>und</t>
        </is>
      </c>
      <c r="F42" s="10" t="n">
        <v>5</v>
      </c>
      <c r="G42" s="11" t="n">
        <v>3.5</v>
      </c>
      <c r="H42" s="11">
        <f>F42*G42</f>
        <v/>
      </c>
      <c r="I42" s="9" t="inlineStr">
        <is>
          <t>Accesorios C7</t>
        </is>
      </c>
    </row>
    <row r="43" ht="20" customHeight="1">
      <c r="A43" s="4" t="n">
        <v>39</v>
      </c>
      <c r="B43" s="5" t="inlineStr">
        <is>
          <t>Cable TW THW 2.5 mm2 - C8</t>
        </is>
      </c>
      <c r="C43" s="4" t="inlineStr">
        <is>
          <t>Indeco</t>
        </is>
      </c>
      <c r="D43" s="5" t="inlineStr">
        <is>
          <t>NTP-IEC 60228 / NTP 370.252</t>
        </is>
      </c>
      <c r="E43" s="4" t="inlineStr">
        <is>
          <t>m</t>
        </is>
      </c>
      <c r="F43" s="6" t="n">
        <v>31</v>
      </c>
      <c r="G43" s="7" t="n">
        <v>2.5</v>
      </c>
      <c r="H43" s="7">
        <f>F43*G43</f>
        <v/>
      </c>
      <c r="I43" s="5" t="inlineStr">
        <is>
          <t>Bomba de Agua Exterior</t>
        </is>
      </c>
    </row>
    <row r="44" ht="20" customHeight="1">
      <c r="A44" s="8" t="n">
        <v>40</v>
      </c>
      <c r="B44" s="9" t="inlineStr">
        <is>
          <t>Tubo PVC SAP 20 mm - C8</t>
        </is>
      </c>
      <c r="C44" s="8" t="inlineStr">
        <is>
          <t>Pavco Wavin</t>
        </is>
      </c>
      <c r="D44" s="9" t="inlineStr">
        <is>
          <t>NTP 399.006 (PVC SAP)</t>
        </is>
      </c>
      <c r="E44" s="8" t="inlineStr">
        <is>
          <t>m</t>
        </is>
      </c>
      <c r="F44" s="10" t="n">
        <v>15</v>
      </c>
      <c r="G44" s="11" t="n">
        <v>2.2</v>
      </c>
      <c r="H44" s="11">
        <f>F44*G44</f>
        <v/>
      </c>
      <c r="I44" s="9" t="inlineStr">
        <is>
          <t>Bomba de Agua Exterior</t>
        </is>
      </c>
    </row>
    <row r="45" ht="20" customHeight="1">
      <c r="A45" s="4" t="n">
        <v>41</v>
      </c>
      <c r="B45" s="5" t="inlineStr">
        <is>
          <t>ITM 2P-10A - C8</t>
        </is>
      </c>
      <c r="C45" s="4" t="inlineStr">
        <is>
          <t>Bticino</t>
        </is>
      </c>
      <c r="D45" s="5" t="inlineStr">
        <is>
          <t>NTP-IEC 60898-1 (Btdin)</t>
        </is>
      </c>
      <c r="E45" s="4" t="inlineStr">
        <is>
          <t>und</t>
        </is>
      </c>
      <c r="F45" s="6" t="n">
        <v>1</v>
      </c>
      <c r="G45" s="7" t="n">
        <v>39.9</v>
      </c>
      <c r="H45" s="7">
        <f>F45*G45</f>
        <v/>
      </c>
      <c r="I45" s="5" t="inlineStr">
        <is>
          <t>Proteccion C8</t>
        </is>
      </c>
    </row>
    <row r="46" ht="20" customHeight="1">
      <c r="A46" s="8" t="n">
        <v>42</v>
      </c>
      <c r="B46" s="9" t="inlineStr">
        <is>
          <t>Diferencial 2P-25A-30mA - C8</t>
        </is>
      </c>
      <c r="C46" s="8" t="inlineStr">
        <is>
          <t>Schneider Electric</t>
        </is>
      </c>
      <c r="D46" s="9" t="inlineStr">
        <is>
          <t>NTP-IEC 61008-1 (RCCB)</t>
        </is>
      </c>
      <c r="E46" s="8" t="inlineStr">
        <is>
          <t>und</t>
        </is>
      </c>
      <c r="F46" s="10" t="n">
        <v>1</v>
      </c>
      <c r="G46" s="11" t="n">
        <v>145</v>
      </c>
      <c r="H46" s="11">
        <f>F46*G46</f>
        <v/>
      </c>
      <c r="I46" s="9" t="inlineStr">
        <is>
          <t>Proteccion diferencial C8</t>
        </is>
      </c>
    </row>
    <row r="47" ht="20" customHeight="1">
      <c r="A47" s="4" t="n">
        <v>43</v>
      </c>
      <c r="B47" s="5" t="inlineStr">
        <is>
          <t>Caja rectangular/octogonal - C8</t>
        </is>
      </c>
      <c r="C47" s="4" t="inlineStr">
        <is>
          <t>Krosch</t>
        </is>
      </c>
      <c r="D47" s="5" t="inlineStr">
        <is>
          <t>NTP 370.054 (Fierro Galv.)</t>
        </is>
      </c>
      <c r="E47" s="4" t="inlineStr">
        <is>
          <t>und</t>
        </is>
      </c>
      <c r="F47" s="6" t="n">
        <v>5</v>
      </c>
      <c r="G47" s="7" t="n">
        <v>3.5</v>
      </c>
      <c r="H47" s="7">
        <f>F47*G47</f>
        <v/>
      </c>
      <c r="I47" s="5" t="inlineStr">
        <is>
          <t>Accesorios C8</t>
        </is>
      </c>
    </row>
    <row r="48" ht="20" customHeight="1">
      <c r="A48" s="8" t="n">
        <v>44</v>
      </c>
      <c r="B48" s="9" t="inlineStr">
        <is>
          <t>Cable de tierra TW 10 mm2 (verde/amarillo)</t>
        </is>
      </c>
      <c r="C48" s="8" t="inlineStr">
        <is>
          <t>Indeco</t>
        </is>
      </c>
      <c r="D48" s="9" t="inlineStr">
        <is>
          <t>NTP-IEC 60228 / NTP 370.252</t>
        </is>
      </c>
      <c r="E48" s="8" t="inlineStr">
        <is>
          <t>m</t>
        </is>
      </c>
      <c r="F48" s="10" t="n">
        <v>46</v>
      </c>
      <c r="G48" s="11" t="n">
        <v>14.5</v>
      </c>
      <c r="H48" s="11">
        <f>F48*G48</f>
        <v/>
      </c>
      <c r="I48" s="9" t="inlineStr">
        <is>
          <t>Puesta a tierra y conexiones equipotenciales</t>
        </is>
      </c>
    </row>
    <row r="49" ht="20" customHeight="1">
      <c r="A49" s="4" t="n">
        <v>45</v>
      </c>
      <c r="B49" s="5" t="inlineStr">
        <is>
          <t>Varilla de puesta a tierra 5/8 x 2.4 m</t>
        </is>
      </c>
      <c r="C49" s="4" t="inlineStr">
        <is>
          <t>Jesa</t>
        </is>
      </c>
      <c r="D49" s="5" t="inlineStr">
        <is>
          <t>NTP 370.056 (Cobre Puro)</t>
        </is>
      </c>
      <c r="E49" s="4" t="inlineStr">
        <is>
          <t>und</t>
        </is>
      </c>
      <c r="F49" s="6" t="n">
        <v>1</v>
      </c>
      <c r="G49" s="7" t="n">
        <v>135</v>
      </c>
      <c r="H49" s="7">
        <f>F49*G49</f>
        <v/>
      </c>
      <c r="I49" s="5" t="inlineStr">
        <is>
          <t>Sistema de puesta a tierra (SPAT)</t>
        </is>
      </c>
    </row>
    <row r="50" ht="20" customHeight="1">
      <c r="A50" s="8" t="n">
        <v>46</v>
      </c>
      <c r="B50" s="9" t="inlineStr">
        <is>
          <t>Cinta de aislar electrica</t>
        </is>
      </c>
      <c r="C50" s="8" t="inlineStr">
        <is>
          <t>3M</t>
        </is>
      </c>
      <c r="D50" s="9" t="inlineStr">
        <is>
          <t>ASTM D3000 / Temflex</t>
        </is>
      </c>
      <c r="E50" s="8" t="inlineStr">
        <is>
          <t>und</t>
        </is>
      </c>
      <c r="F50" s="10" t="n">
        <v>3</v>
      </c>
      <c r="G50" s="11" t="n">
        <v>7.5</v>
      </c>
      <c r="H50" s="11">
        <f>F50*G50</f>
        <v/>
      </c>
      <c r="I50" s="9" t="inlineStr">
        <is>
          <t>Empalmes y conexiones</t>
        </is>
      </c>
    </row>
    <row r="51"/>
    <row r="52">
      <c r="G52" s="12" t="inlineStr">
        <is>
          <t>Total Materiales:</t>
        </is>
      </c>
      <c r="H52" s="13">
        <f>SUM(H5:H50)</f>
        <v/>
      </c>
    </row>
    <row r="53">
      <c r="G53" s="14" t="inlineStr">
        <is>
          <t>Mano de Obra (40%):</t>
        </is>
      </c>
      <c r="H53" s="15">
        <f>H52*0.40</f>
        <v/>
      </c>
    </row>
    <row r="54">
      <c r="G54" s="14" t="inlineStr">
        <is>
          <t>Subtotal General:</t>
        </is>
      </c>
      <c r="H54" s="15">
        <f>H52+H53</f>
        <v/>
      </c>
    </row>
    <row r="55">
      <c r="G55" s="14" t="inlineStr">
        <is>
          <t>IGV (18%):</t>
        </is>
      </c>
      <c r="H55" s="15">
        <f>H54*0.18</f>
        <v/>
      </c>
    </row>
    <row r="56">
      <c r="G56" s="16" t="inlineStr">
        <is>
          <t>TOTAL GENERAL:</t>
        </is>
      </c>
      <c r="H56" s="17">
        <f>H54+H55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2026-06-08T16:28:14Z</dcterms:created>
  <dcterms:modified xmlns:dcterms="http://purl.org/dc/terms/" xmlns:xsi="http://www.w3.org/2001/XMLSchema-instance" xsi:type="dcterms:W3CDTF">2026-06-08T16:28:14Z</dcterms:modified>
</cp:coreProperties>
</file>