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de Ob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S/. #,##0.00"/>
  </numFmts>
  <fonts count="5">
    <font>
      <name val="Calibri"/>
      <family val="2"/>
      <color theme="1"/>
      <sz val="11"/>
      <scheme val="minor"/>
    </font>
    <font>
      <name val="Segoe UI"/>
      <b val="1"/>
      <color rgb="001E3A8A"/>
      <sz val="14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FF6FF"/>
        <bgColor rgb="00EFF6FF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1E3A8A"/>
      </top>
      <bottom style="double">
        <color rgb="001E3A8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/>
    </xf>
    <xf numFmtId="0" fontId="3" fillId="3" borderId="1" pivotButton="0" quotePrefix="0" xfId="0"/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165" fontId="3" fillId="3" borderId="1" applyAlignment="1" pivotButton="0" quotePrefix="0" xfId="0">
      <alignment horizontal="right"/>
    </xf>
    <xf numFmtId="0" fontId="3" fillId="4" borderId="2" pivotButton="0" quotePrefix="0" xfId="0"/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56" customWidth="1" min="2" max="2"/>
    <col width="10" customWidth="1" min="3" max="3"/>
    <col width="11" customWidth="1" min="4" max="4"/>
    <col width="21" customWidth="1" min="5" max="5"/>
    <col width="16" customWidth="1" min="6" max="6"/>
    <col width="16" customWidth="1" min="7" max="7"/>
  </cols>
  <sheetData>
    <row r="1" ht="30" customHeight="1">
      <c r="A1" s="1" t="inlineStr">
        <is>
          <t>PRESUPUESTO REFERENCIAL - INSTALACIONES ELÉCTRICAS</t>
        </is>
      </c>
    </row>
    <row r="2"/>
    <row r="3" ht="26" customHeight="1">
      <c r="A3" s="2" t="inlineStr">
        <is>
          <t>Item</t>
        </is>
      </c>
      <c r="B3" s="2" t="inlineStr">
        <is>
          <t>Descripción de Material / Partida</t>
        </is>
      </c>
      <c r="C3" s="2" t="inlineStr">
        <is>
          <t>Unidad</t>
        </is>
      </c>
      <c r="D3" s="2" t="inlineStr">
        <is>
          <t>Cantidad</t>
        </is>
      </c>
      <c r="E3" s="2" t="inlineStr">
        <is>
          <t>Precio Unit. (S/.)</t>
        </is>
      </c>
      <c r="F3" s="2" t="inlineStr">
        <is>
          <t>Parcial (S/.)</t>
        </is>
      </c>
      <c r="G3" s="2" t="inlineStr">
        <is>
          <t>Observaciones</t>
        </is>
      </c>
    </row>
    <row r="4" ht="20" customHeight="1">
      <c r="A4" s="3" t="inlineStr">
        <is>
          <t>1.00</t>
        </is>
      </c>
      <c r="B4" s="4" t="inlineStr">
        <is>
          <t>CANALIZACIONES Y TUBERÍAS (PVC-P)</t>
        </is>
      </c>
      <c r="C4" s="4" t="n"/>
      <c r="D4" s="4" t="n"/>
      <c r="E4" s="4" t="n"/>
      <c r="F4" s="4" t="n"/>
      <c r="G4" s="4" t="n"/>
    </row>
    <row r="5" ht="20" customHeight="1">
      <c r="A5" s="5" t="inlineStr">
        <is>
          <t>1.01</t>
        </is>
      </c>
      <c r="B5" s="6" t="inlineStr">
        <is>
          <t>Tubería PVC-P ø 15 mm (1/2") empotrada</t>
        </is>
      </c>
      <c r="C5" s="5" t="inlineStr">
        <is>
          <t>m</t>
        </is>
      </c>
      <c r="D5" s="7" t="n">
        <v>60</v>
      </c>
      <c r="E5" s="8" t="n">
        <v>2.5</v>
      </c>
      <c r="F5" s="9">
        <f>D5*E5</f>
        <v/>
      </c>
      <c r="G5" s="6" t="inlineStr">
        <is>
          <t>Referencial</t>
        </is>
      </c>
    </row>
    <row r="6" ht="20" customHeight="1">
      <c r="A6" s="5" t="inlineStr">
        <is>
          <t>1.02</t>
        </is>
      </c>
      <c r="B6" s="6" t="inlineStr">
        <is>
          <t>Tubería PVC-P ø 20 mm (3/4") empotrada</t>
        </is>
      </c>
      <c r="C6" s="5" t="inlineStr">
        <is>
          <t>m</t>
        </is>
      </c>
      <c r="D6" s="7" t="n">
        <v>80</v>
      </c>
      <c r="E6" s="8" t="n">
        <v>3.5</v>
      </c>
      <c r="F6" s="9">
        <f>D6*E6</f>
        <v/>
      </c>
      <c r="G6" s="6" t="inlineStr">
        <is>
          <t>Referencial</t>
        </is>
      </c>
    </row>
    <row r="7" ht="20" customHeight="1">
      <c r="A7" s="5" t="inlineStr">
        <is>
          <t>1.03</t>
        </is>
      </c>
      <c r="B7" s="6" t="inlineStr">
        <is>
          <t>Tubería PVC-P ø 25 mm (1") empotrada</t>
        </is>
      </c>
      <c r="C7" s="5" t="inlineStr">
        <is>
          <t>m</t>
        </is>
      </c>
      <c r="D7" s="7" t="n">
        <v>12</v>
      </c>
      <c r="E7" s="8" t="n">
        <v>5</v>
      </c>
      <c r="F7" s="9">
        <f>D7*E7</f>
        <v/>
      </c>
      <c r="G7" s="6" t="inlineStr">
        <is>
          <t>Referencial</t>
        </is>
      </c>
    </row>
    <row r="8" ht="20" customHeight="1">
      <c r="A8" s="3" t="inlineStr">
        <is>
          <t>2.00</t>
        </is>
      </c>
      <c r="B8" s="4" t="inlineStr">
        <is>
          <t>CONDUCTORES ELÉCTRICOS LSOH</t>
        </is>
      </c>
      <c r="C8" s="4" t="n"/>
      <c r="D8" s="4" t="n"/>
      <c r="E8" s="4" t="n"/>
      <c r="F8" s="4" t="n"/>
      <c r="G8" s="4" t="n"/>
    </row>
    <row r="9" ht="20" customHeight="1">
      <c r="A9" s="5" t="inlineStr">
        <is>
          <t>2.01</t>
        </is>
      </c>
      <c r="B9" s="6" t="inlineStr">
        <is>
          <t>Conductor Cobre 1.5 mm² LSOH</t>
        </is>
      </c>
      <c r="C9" s="5" t="inlineStr">
        <is>
          <t>m</t>
        </is>
      </c>
      <c r="D9" s="7" t="n">
        <v>180</v>
      </c>
      <c r="E9" s="8" t="n">
        <v>1.2</v>
      </c>
      <c r="F9" s="9">
        <f>D9*E9</f>
        <v/>
      </c>
      <c r="G9" s="6" t="inlineStr">
        <is>
          <t>Referencial</t>
        </is>
      </c>
    </row>
    <row r="10" ht="20" customHeight="1">
      <c r="A10" s="5" t="inlineStr">
        <is>
          <t>2.02</t>
        </is>
      </c>
      <c r="B10" s="6" t="inlineStr">
        <is>
          <t>Conductor Cobre 2.5 mm² LSOH</t>
        </is>
      </c>
      <c r="C10" s="5" t="inlineStr">
        <is>
          <t>m</t>
        </is>
      </c>
      <c r="D10" s="7" t="n">
        <v>240</v>
      </c>
      <c r="E10" s="8" t="n">
        <v>2</v>
      </c>
      <c r="F10" s="9">
        <f>D10*E10</f>
        <v/>
      </c>
      <c r="G10" s="6" t="inlineStr">
        <is>
          <t>Referencial</t>
        </is>
      </c>
    </row>
    <row r="11" ht="20" customHeight="1">
      <c r="A11" s="5" t="inlineStr">
        <is>
          <t>2.03</t>
        </is>
      </c>
      <c r="B11" s="6" t="inlineStr">
        <is>
          <t>Conductor Cobre 4.0 mm² LSOH</t>
        </is>
      </c>
      <c r="C11" s="5" t="inlineStr">
        <is>
          <t>m</t>
        </is>
      </c>
      <c r="D11" s="7" t="n">
        <v>45</v>
      </c>
      <c r="E11" s="8" t="n">
        <v>3.2</v>
      </c>
      <c r="F11" s="9">
        <f>D11*E11</f>
        <v/>
      </c>
      <c r="G11" s="6" t="inlineStr">
        <is>
          <t>Referencial</t>
        </is>
      </c>
    </row>
    <row r="12" ht="20" customHeight="1">
      <c r="A12" s="5" t="inlineStr">
        <is>
          <t>2.04</t>
        </is>
      </c>
      <c r="B12" s="6" t="inlineStr">
        <is>
          <t>Conductor Cobre 6.0 mm² LSOH</t>
        </is>
      </c>
      <c r="C12" s="5" t="inlineStr">
        <is>
          <t>m</t>
        </is>
      </c>
      <c r="D12" s="7" t="n">
        <v>15</v>
      </c>
      <c r="E12" s="8" t="n">
        <v>4.5</v>
      </c>
      <c r="F12" s="9">
        <f>D12*E12</f>
        <v/>
      </c>
      <c r="G12" s="6" t="inlineStr">
        <is>
          <t>Referencial</t>
        </is>
      </c>
    </row>
    <row r="13" ht="20" customHeight="1">
      <c r="A13" s="5" t="inlineStr">
        <is>
          <t>2.05</t>
        </is>
      </c>
      <c r="B13" s="6" t="inlineStr">
        <is>
          <t>Conductor Cobre 10.0 mm² LSOH (Alimentador)</t>
        </is>
      </c>
      <c r="C13" s="5" t="inlineStr">
        <is>
          <t>m</t>
        </is>
      </c>
      <c r="D13" s="7" t="n">
        <v>25</v>
      </c>
      <c r="E13" s="8" t="n">
        <v>8</v>
      </c>
      <c r="F13" s="9">
        <f>D13*E13</f>
        <v/>
      </c>
      <c r="G13" s="6" t="inlineStr">
        <is>
          <t>Referencial</t>
        </is>
      </c>
    </row>
    <row r="14" ht="20" customHeight="1">
      <c r="A14" s="3" t="inlineStr">
        <is>
          <t>3.00</t>
        </is>
      </c>
      <c r="B14" s="4" t="inlineStr">
        <is>
          <t>CAJAS METÁLICAS DE CONEXIÓN</t>
        </is>
      </c>
      <c r="C14" s="4" t="n"/>
      <c r="D14" s="4" t="n"/>
      <c r="E14" s="4" t="n"/>
      <c r="F14" s="4" t="n"/>
      <c r="G14" s="4" t="n"/>
    </row>
    <row r="15" ht="20" customHeight="1">
      <c r="A15" s="5" t="inlineStr">
        <is>
          <t>3.01</t>
        </is>
      </c>
      <c r="B15" s="6" t="inlineStr">
        <is>
          <t>Caja Octogonal Fierro Galvanizado 100x100x40 mm</t>
        </is>
      </c>
      <c r="C15" s="5" t="inlineStr">
        <is>
          <t>und</t>
        </is>
      </c>
      <c r="D15" s="7" t="n">
        <v>11</v>
      </c>
      <c r="E15" s="8" t="n">
        <v>1.5</v>
      </c>
      <c r="F15" s="9">
        <f>D15*E15</f>
        <v/>
      </c>
      <c r="G15" s="6" t="inlineStr">
        <is>
          <t>Referencial</t>
        </is>
      </c>
    </row>
    <row r="16" ht="20" customHeight="1">
      <c r="A16" s="5" t="inlineStr">
        <is>
          <t>3.02</t>
        </is>
      </c>
      <c r="B16" s="6" t="inlineStr">
        <is>
          <t>Caja Rectangular Fierro Galvanizado 100x55x50 mm</t>
        </is>
      </c>
      <c r="C16" s="5" t="inlineStr">
        <is>
          <t>und</t>
        </is>
      </c>
      <c r="D16" s="7" t="n">
        <v>25</v>
      </c>
      <c r="E16" s="8" t="n">
        <v>1.5</v>
      </c>
      <c r="F16" s="9">
        <f>D16*E16</f>
        <v/>
      </c>
      <c r="G16" s="6" t="inlineStr">
        <is>
          <t>Referencial</t>
        </is>
      </c>
    </row>
    <row r="17" ht="20" customHeight="1">
      <c r="A17" s="3" t="inlineStr">
        <is>
          <t>4.00</t>
        </is>
      </c>
      <c r="B17" s="4" t="inlineStr">
        <is>
          <t>PLACAS DE INTERRUPTORES Y TOMACORRIENTES</t>
        </is>
      </c>
      <c r="C17" s="4" t="n"/>
      <c r="D17" s="4" t="n"/>
      <c r="E17" s="4" t="n"/>
      <c r="F17" s="4" t="n"/>
      <c r="G17" s="4" t="n"/>
    </row>
    <row r="18" ht="20" customHeight="1">
      <c r="A18" s="5" t="inlineStr">
        <is>
          <t>4.01</t>
        </is>
      </c>
      <c r="B18" s="6" t="inlineStr">
        <is>
          <t>Placa Tomacorriente Doble Universal con tierra</t>
        </is>
      </c>
      <c r="C18" s="5" t="inlineStr">
        <is>
          <t>und</t>
        </is>
      </c>
      <c r="D18" s="7" t="n">
        <v>18</v>
      </c>
      <c r="E18" s="8" t="n">
        <v>12</v>
      </c>
      <c r="F18" s="9">
        <f>D18*E18</f>
        <v/>
      </c>
      <c r="G18" s="6" t="inlineStr">
        <is>
          <t>Referencial</t>
        </is>
      </c>
    </row>
    <row r="19" ht="20" customHeight="1">
      <c r="A19" s="5" t="inlineStr">
        <is>
          <t>4.02</t>
        </is>
      </c>
      <c r="B19" s="6" t="inlineStr">
        <is>
          <t>Placa Tomacorriente Universal GFCI</t>
        </is>
      </c>
      <c r="C19" s="5" t="inlineStr">
        <is>
          <t>und</t>
        </is>
      </c>
      <c r="D19" s="7" t="n">
        <v>1</v>
      </c>
      <c r="E19" s="8" t="n">
        <v>65</v>
      </c>
      <c r="F19" s="9">
        <f>D19*E19</f>
        <v/>
      </c>
      <c r="G19" s="6" t="inlineStr">
        <is>
          <t>Referencial</t>
        </is>
      </c>
    </row>
    <row r="20" ht="20" customHeight="1">
      <c r="A20" s="5" t="inlineStr">
        <is>
          <t>4.03</t>
        </is>
      </c>
      <c r="B20" s="6" t="inlineStr">
        <is>
          <t>Placa Interruptor Simple Unipolar</t>
        </is>
      </c>
      <c r="C20" s="5" t="inlineStr">
        <is>
          <t>und</t>
        </is>
      </c>
      <c r="D20" s="7" t="n">
        <v>6</v>
      </c>
      <c r="E20" s="8" t="n">
        <v>8</v>
      </c>
      <c r="F20" s="9">
        <f>D20*E20</f>
        <v/>
      </c>
      <c r="G20" s="6" t="inlineStr">
        <is>
          <t>Referencial</t>
        </is>
      </c>
    </row>
    <row r="21" ht="20" customHeight="1">
      <c r="A21" s="5" t="inlineStr">
        <is>
          <t>4.04</t>
        </is>
      </c>
      <c r="B21" s="6" t="inlineStr">
        <is>
          <t>Placa Interruptor de Conmutación de paso</t>
        </is>
      </c>
      <c r="C21" s="5" t="inlineStr">
        <is>
          <t>und</t>
        </is>
      </c>
      <c r="D21" s="7" t="n">
        <v>6</v>
      </c>
      <c r="E21" s="8" t="n">
        <v>12</v>
      </c>
      <c r="F21" s="9">
        <f>D21*E21</f>
        <v/>
      </c>
      <c r="G21" s="6" t="inlineStr">
        <is>
          <t>Referencial</t>
        </is>
      </c>
    </row>
    <row r="22" ht="20" customHeight="1">
      <c r="A22" s="3" t="inlineStr">
        <is>
          <t>5.00</t>
        </is>
      </c>
      <c r="B22" s="4" t="inlineStr">
        <is>
          <t>TABLEROS DE DISTRIBUCIÓN Y PROTECCIONES</t>
        </is>
      </c>
      <c r="C22" s="4" t="n"/>
      <c r="D22" s="4" t="n"/>
      <c r="E22" s="4" t="n"/>
      <c r="F22" s="4" t="n"/>
      <c r="G22" s="4" t="n"/>
    </row>
    <row r="23" ht="20" customHeight="1">
      <c r="A23" s="5" t="inlineStr">
        <is>
          <t>5.01</t>
        </is>
      </c>
      <c r="B23" s="6" t="inlineStr">
        <is>
          <t>Tablero General Metálico Empotrado 12 mod</t>
        </is>
      </c>
      <c r="C23" s="5" t="inlineStr">
        <is>
          <t>und</t>
        </is>
      </c>
      <c r="D23" s="7" t="n">
        <v>1</v>
      </c>
      <c r="E23" s="8" t="n">
        <v>85</v>
      </c>
      <c r="F23" s="9">
        <f>D23*E23</f>
        <v/>
      </c>
      <c r="G23" s="6" t="inlineStr">
        <is>
          <t>Referencial</t>
        </is>
      </c>
    </row>
    <row r="24" ht="20" customHeight="1">
      <c r="A24" s="5" t="inlineStr">
        <is>
          <t>5.02</t>
        </is>
      </c>
      <c r="B24" s="6" t="inlineStr">
        <is>
          <t>Tablero de Distribución Plástico Empotrado 6 mod</t>
        </is>
      </c>
      <c r="C24" s="5" t="inlineStr">
        <is>
          <t>und</t>
        </is>
      </c>
      <c r="D24" s="7" t="n">
        <v>2</v>
      </c>
      <c r="E24" s="8" t="n">
        <v>45</v>
      </c>
      <c r="F24" s="9">
        <f>D24*E24</f>
        <v/>
      </c>
      <c r="G24" s="6" t="inlineStr">
        <is>
          <t>Referencial</t>
        </is>
      </c>
    </row>
    <row r="25" ht="20" customHeight="1">
      <c r="A25" s="5" t="inlineStr">
        <is>
          <t>5.03</t>
        </is>
      </c>
      <c r="B25" s="6" t="inlineStr">
        <is>
          <t>Interruptor Termomagnético 2P-40A (General)</t>
        </is>
      </c>
      <c r="C25" s="5" t="inlineStr">
        <is>
          <t>und</t>
        </is>
      </c>
      <c r="D25" s="7" t="n">
        <v>1</v>
      </c>
      <c r="E25" s="8" t="n">
        <v>32</v>
      </c>
      <c r="F25" s="9">
        <f>D25*E25</f>
        <v/>
      </c>
      <c r="G25" s="6" t="inlineStr">
        <is>
          <t>Referencial</t>
        </is>
      </c>
    </row>
    <row r="26" ht="20" customHeight="1">
      <c r="A26" s="5" t="inlineStr">
        <is>
          <t>5.04</t>
        </is>
      </c>
      <c r="B26" s="6" t="inlineStr">
        <is>
          <t>Interruptor Termomagnético 2P-10A/16A/20A (Derivados)</t>
        </is>
      </c>
      <c r="C26" s="5" t="inlineStr">
        <is>
          <t>und</t>
        </is>
      </c>
      <c r="D26" s="7" t="n">
        <v>5</v>
      </c>
      <c r="E26" s="8" t="n">
        <v>25</v>
      </c>
      <c r="F26" s="9">
        <f>D26*E26</f>
        <v/>
      </c>
      <c r="G26" s="6" t="inlineStr">
        <is>
          <t>Referencial</t>
        </is>
      </c>
    </row>
    <row r="27" ht="20" customHeight="1">
      <c r="A27" s="5" t="inlineStr">
        <is>
          <t>5.05</t>
        </is>
      </c>
      <c r="B27" s="6" t="inlineStr">
        <is>
          <t>Interruptor Diferencial 2P-40A / 30mA (General)</t>
        </is>
      </c>
      <c r="C27" s="5" t="inlineStr">
        <is>
          <t>und</t>
        </is>
      </c>
      <c r="D27" s="7" t="n">
        <v>1</v>
      </c>
      <c r="E27" s="8" t="n">
        <v>85</v>
      </c>
      <c r="F27" s="9">
        <f>D27*E27</f>
        <v/>
      </c>
      <c r="G27" s="6" t="inlineStr">
        <is>
          <t>Referencial</t>
        </is>
      </c>
    </row>
    <row r="28" ht="20" customHeight="1">
      <c r="A28" s="5" t="inlineStr">
        <is>
          <t>5.06</t>
        </is>
      </c>
      <c r="B28" s="6" t="inlineStr">
        <is>
          <t>Interruptor Diferencial 2P-25A / 30mA (Derivados)</t>
        </is>
      </c>
      <c r="C28" s="5" t="inlineStr">
        <is>
          <t>und</t>
        </is>
      </c>
      <c r="D28" s="7" t="n">
        <v>4</v>
      </c>
      <c r="E28" s="8" t="n">
        <v>85</v>
      </c>
      <c r="F28" s="9">
        <f>D28*E28</f>
        <v/>
      </c>
      <c r="G28" s="6" t="inlineStr">
        <is>
          <t>Referencial</t>
        </is>
      </c>
    </row>
    <row r="29" ht="20" customHeight="1">
      <c r="A29" s="3" t="inlineStr">
        <is>
          <t>6.00</t>
        </is>
      </c>
      <c r="B29" s="4" t="inlineStr">
        <is>
          <t>SISTEMA DE PUESTA A TIERRA</t>
        </is>
      </c>
      <c r="C29" s="4" t="n"/>
      <c r="D29" s="4" t="n"/>
      <c r="E29" s="4" t="n"/>
      <c r="F29" s="4" t="n"/>
      <c r="G29" s="4" t="n"/>
    </row>
    <row r="30" ht="20" customHeight="1">
      <c r="A30" s="5" t="inlineStr">
        <is>
          <t>6.01</t>
        </is>
      </c>
      <c r="B30" s="6" t="inlineStr">
        <is>
          <t>Electrodo de Cobre (Varilla Copperweld) 5/8" x 2.40m</t>
        </is>
      </c>
      <c r="C30" s="5" t="inlineStr">
        <is>
          <t>und</t>
        </is>
      </c>
      <c r="D30" s="7" t="n">
        <v>1</v>
      </c>
      <c r="E30" s="8" t="n">
        <v>110</v>
      </c>
      <c r="F30" s="9">
        <f>D30*E30</f>
        <v/>
      </c>
      <c r="G30" s="6" t="inlineStr">
        <is>
          <t>Referencial</t>
        </is>
      </c>
    </row>
    <row r="31" ht="20" customHeight="1">
      <c r="A31" s="5" t="inlineStr">
        <is>
          <t>6.02</t>
        </is>
      </c>
      <c r="B31" s="6" t="inlineStr">
        <is>
          <t>Caja de Registro de Concreto con Tapa para pozo</t>
        </is>
      </c>
      <c r="C31" s="5" t="inlineStr">
        <is>
          <t>und</t>
        </is>
      </c>
      <c r="D31" s="7" t="n">
        <v>1</v>
      </c>
      <c r="E31" s="8" t="n">
        <v>35</v>
      </c>
      <c r="F31" s="9">
        <f>D31*E31</f>
        <v/>
      </c>
      <c r="G31" s="6" t="inlineStr">
        <is>
          <t>Referencial</t>
        </is>
      </c>
    </row>
    <row r="32" ht="20" customHeight="1">
      <c r="A32" s="5" t="inlineStr">
        <is>
          <t>6.03</t>
        </is>
      </c>
      <c r="B32" s="6" t="inlineStr">
        <is>
          <t>Bentonita / Gel químico conductivo (Dosis)</t>
        </is>
      </c>
      <c r="C32" s="5" t="inlineStr">
        <is>
          <t>und</t>
        </is>
      </c>
      <c r="D32" s="7" t="n">
        <v>2</v>
      </c>
      <c r="E32" s="8" t="n">
        <v>45</v>
      </c>
      <c r="F32" s="9">
        <f>D32*E32</f>
        <v/>
      </c>
      <c r="G32" s="6" t="inlineStr">
        <is>
          <t>Referencial</t>
        </is>
      </c>
    </row>
    <row r="33" ht="20" customHeight="1">
      <c r="A33" s="5" t="inlineStr">
        <is>
          <t>6.04</t>
        </is>
      </c>
      <c r="B33" s="6" t="inlineStr">
        <is>
          <t>Conector AB de Bronce para varilla 5/8"</t>
        </is>
      </c>
      <c r="C33" s="5" t="inlineStr">
        <is>
          <t>und</t>
        </is>
      </c>
      <c r="D33" s="7" t="n">
        <v>1</v>
      </c>
      <c r="E33" s="8" t="n">
        <v>12</v>
      </c>
      <c r="F33" s="9">
        <f>D33*E33</f>
        <v/>
      </c>
      <c r="G33" s="6" t="inlineStr">
        <is>
          <t>Referencial</t>
        </is>
      </c>
    </row>
    <row r="34" ht="20" customHeight="1">
      <c r="A34" s="3" t="inlineStr">
        <is>
          <t>7.00</t>
        </is>
      </c>
      <c r="B34" s="4" t="inlineStr">
        <is>
          <t>MANO DE OBRA Y SERVICIOS</t>
        </is>
      </c>
      <c r="C34" s="4" t="n"/>
      <c r="D34" s="4" t="n"/>
      <c r="E34" s="4" t="n"/>
      <c r="F34" s="4" t="n"/>
      <c r="G34" s="4" t="n"/>
    </row>
    <row r="35" ht="20" customHeight="1">
      <c r="A35" s="5" t="inlineStr">
        <is>
          <t>7.01</t>
        </is>
      </c>
      <c r="B35" s="6" t="inlineStr">
        <is>
          <t>Instalación y conexionado de salidas (Mano de obra)</t>
        </is>
      </c>
      <c r="C35" s="5" t="inlineStr">
        <is>
          <t>pto</t>
        </is>
      </c>
      <c r="D35" s="7" t="n">
        <v>35</v>
      </c>
      <c r="E35" s="8" t="n">
        <v>45</v>
      </c>
      <c r="F35" s="9">
        <f>D35*E35</f>
        <v/>
      </c>
      <c r="G35" s="6" t="inlineStr">
        <is>
          <t>Referencial</t>
        </is>
      </c>
    </row>
    <row r="36" ht="20" customHeight="1">
      <c r="A36" s="5" t="inlineStr">
        <is>
          <t>7.02</t>
        </is>
      </c>
      <c r="B36" s="6" t="inlineStr">
        <is>
          <t>Instalación de tableros y protecciones (Mano de obra)</t>
        </is>
      </c>
      <c r="C36" s="5" t="inlineStr">
        <is>
          <t>und</t>
        </is>
      </c>
      <c r="D36" s="7" t="n">
        <v>3</v>
      </c>
      <c r="E36" s="8" t="n">
        <v>80</v>
      </c>
      <c r="F36" s="9">
        <f>D36*E36</f>
        <v/>
      </c>
      <c r="G36" s="6" t="inlineStr">
        <is>
          <t>Referencial</t>
        </is>
      </c>
    </row>
    <row r="37" ht="20" customHeight="1">
      <c r="A37" s="5" t="inlineStr">
        <is>
          <t>7.03</t>
        </is>
      </c>
      <c r="B37" s="6" t="inlineStr">
        <is>
          <t>Construcción y montaje de pozo de tierra (Global)</t>
        </is>
      </c>
      <c r="C37" s="5" t="inlineStr">
        <is>
          <t>glb</t>
        </is>
      </c>
      <c r="D37" s="7" t="n">
        <v>1</v>
      </c>
      <c r="E37" s="8" t="n">
        <v>450</v>
      </c>
      <c r="F37" s="9">
        <f>D37*E37</f>
        <v/>
      </c>
      <c r="G37" s="6" t="inlineStr">
        <is>
          <t>Referencial</t>
        </is>
      </c>
    </row>
    <row r="38" ht="15" customHeight="1"/>
    <row r="39" ht="22" customHeight="1">
      <c r="B39" s="4" t="inlineStr">
        <is>
          <t>COSTO DIRECTO DE MATERIALES Y MANO DE OBRA</t>
        </is>
      </c>
      <c r="C39" s="4" t="n"/>
      <c r="D39" s="4" t="n"/>
      <c r="E39" s="4" t="n"/>
      <c r="F39" s="10">
        <f>SUM(F4:F37)</f>
        <v/>
      </c>
    </row>
    <row r="40" ht="22" customHeight="1">
      <c r="B40" s="6" t="inlineStr">
        <is>
          <t>Gastos Generales (10% CD)</t>
        </is>
      </c>
      <c r="C40" s="6" t="n"/>
      <c r="D40" s="6" t="n"/>
      <c r="E40" s="6" t="n"/>
      <c r="F40" s="8">
        <f>F39*0.1</f>
        <v/>
      </c>
    </row>
    <row r="41" ht="22" customHeight="1">
      <c r="B41" s="6" t="inlineStr">
        <is>
          <t>Utilidad de Contratista (8% CD)</t>
        </is>
      </c>
      <c r="C41" s="6" t="n"/>
      <c r="D41" s="6" t="n"/>
      <c r="E41" s="6" t="n"/>
      <c r="F41" s="8">
        <f>F39*0.08</f>
        <v/>
      </c>
    </row>
    <row r="42" ht="22" customHeight="1">
      <c r="B42" s="4" t="inlineStr">
        <is>
          <t>SUB-TOTAL DEL PROYECTO</t>
        </is>
      </c>
      <c r="C42" s="4" t="n"/>
      <c r="D42" s="4" t="n"/>
      <c r="E42" s="4" t="n"/>
      <c r="F42" s="10">
        <f>SUM(F39:F41)</f>
        <v/>
      </c>
    </row>
    <row r="43" ht="22" customHeight="1">
      <c r="B43" s="6" t="inlineStr">
        <is>
          <t>I.G.V. (18%)</t>
        </is>
      </c>
      <c r="C43" s="6" t="n"/>
      <c r="D43" s="6" t="n"/>
      <c r="E43" s="6" t="n"/>
      <c r="F43" s="8">
        <f>F42*0.18</f>
        <v/>
      </c>
    </row>
    <row r="44" ht="22" customHeight="1">
      <c r="B44" s="11" t="inlineStr">
        <is>
          <t>PRESUPUESTO TOTAL DEL PROYECTO (IGV Incl.)</t>
        </is>
      </c>
      <c r="C44" s="11" t="n"/>
      <c r="D44" s="11" t="n"/>
      <c r="E44" s="11" t="n"/>
      <c r="F44" s="12">
        <f>F42+F43</f>
        <v/>
      </c>
    </row>
  </sheetData>
  <mergeCells count="14">
    <mergeCell ref="B34:G34"/>
    <mergeCell ref="B40:E40"/>
    <mergeCell ref="B41:E41"/>
    <mergeCell ref="A1:G1"/>
    <mergeCell ref="B22:G22"/>
    <mergeCell ref="B14:G14"/>
    <mergeCell ref="B43:E43"/>
    <mergeCell ref="B17:G17"/>
    <mergeCell ref="B44:E44"/>
    <mergeCell ref="B8:G8"/>
    <mergeCell ref="B4:G4"/>
    <mergeCell ref="B39:E39"/>
    <mergeCell ref="B42:E42"/>
    <mergeCell ref="B29:G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2026-06-03T06:02:22Z</dcterms:created>
  <dcterms:modified xsi:type="dcterms:W3CDTF">2026-06-03T06:02:22Z</dcterms:modified>
</cp:coreProperties>
</file>