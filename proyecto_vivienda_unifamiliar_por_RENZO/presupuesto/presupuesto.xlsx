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4"/>
    </font>
    <font>
      <b val="1"/>
      <sz val="10"/>
    </font>
    <font>
      <b val="1"/>
      <color rgb="00FFFFFF"/>
      <sz val="10"/>
    </font>
    <font>
      <sz val="9"/>
    </font>
    <font>
      <b val="1"/>
      <sz val="12"/>
    </font>
    <font>
      <b val="1"/>
    </font>
    <font>
      <sz val="10"/>
    </font>
    <font>
      <b val="1"/>
      <sz val="11"/>
    </font>
    <font>
      <b val="1"/>
      <color rgb="00C00000"/>
      <sz val="12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4" fontId="4" fillId="0" borderId="1" applyAlignment="1" pivotButton="0" quotePrefix="0" xfId="0">
      <alignment vertical="center" wrapText="1"/>
    </xf>
    <xf numFmtId="0" fontId="5" fillId="0" borderId="0" pivotButton="0" quotePrefix="0" xfId="0"/>
    <xf numFmtId="0" fontId="6" fillId="4" borderId="0" pivotButton="0" quotePrefix="0" xfId="0"/>
    <xf numFmtId="0" fontId="7" fillId="0" borderId="0" pivotButton="0" quotePrefix="0" xfId="0"/>
    <xf numFmtId="4" fontId="0" fillId="0" borderId="0" pivotButton="0" quotePrefix="0" xfId="0"/>
    <xf numFmtId="0" fontId="8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4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50" customWidth="1" min="3" max="3"/>
    <col width="8" customWidth="1" min="4" max="4"/>
    <col width="10" customWidth="1" min="5" max="5"/>
    <col width="15" customWidth="1" min="6" max="6"/>
    <col width="15" customWidth="1" min="7" max="7"/>
  </cols>
  <sheetData>
    <row r="1">
      <c r="A1" s="1" t="inlineStr">
        <is>
          <t>PRESUPUESTO GENERAL ESTIMADO</t>
        </is>
      </c>
    </row>
    <row r="2">
      <c r="A2" s="2" t="inlineStr">
        <is>
          <t>Renzo Gabriel Mamani Galindo | Instalaciones Electricas I | UNAP</t>
        </is>
      </c>
    </row>
    <row r="3">
      <c r="A3" s="2" t="inlineStr">
        <is>
          <t>Vivienda Unifamiliar 3 Niveles - Capachica, Puno</t>
        </is>
      </c>
    </row>
    <row r="5">
      <c r="A5" s="3" t="inlineStr">
        <is>
          <t>Item</t>
        </is>
      </c>
      <c r="B5" s="3" t="inlineStr">
        <is>
          <t>Codigo</t>
        </is>
      </c>
      <c r="C5" s="3" t="inlineStr">
        <is>
          <t>Descripcion</t>
        </is>
      </c>
      <c r="D5" s="3" t="inlineStr">
        <is>
          <t>Und.</t>
        </is>
      </c>
      <c r="E5" s="3" t="inlineStr">
        <is>
          <t>Cant.</t>
        </is>
      </c>
      <c r="F5" s="3" t="inlineStr">
        <is>
          <t>P.U.(S/.)</t>
        </is>
      </c>
      <c r="G5" s="3" t="inlineStr">
        <is>
          <t>Parcial(S/.)</t>
        </is>
      </c>
    </row>
    <row r="6">
      <c r="A6" s="4" t="inlineStr">
        <is>
          <t>01.00</t>
        </is>
      </c>
      <c r="B6" s="4" t="inlineStr">
        <is>
          <t>TUB</t>
        </is>
      </c>
      <c r="C6" s="4" t="inlineStr">
        <is>
          <t>TUBERIAS</t>
        </is>
      </c>
      <c r="D6" s="4" t="inlineStr">
        <is>
          <t>TUB</t>
        </is>
      </c>
      <c r="E6" s="4" t="inlineStr">
        <is>
          <t>TUB</t>
        </is>
      </c>
      <c r="F6" s="4" t="inlineStr">
        <is>
          <t>TUB</t>
        </is>
      </c>
    </row>
    <row r="7">
      <c r="A7" s="5" t="inlineStr">
        <is>
          <t>01.01</t>
        </is>
      </c>
      <c r="B7" s="5" t="inlineStr">
        <is>
          <t>TUB-01</t>
        </is>
      </c>
      <c r="C7" s="5" t="inlineStr">
        <is>
          <t>PVC Liviana 3/4" alumbrado</t>
        </is>
      </c>
      <c r="D7" s="5" t="inlineStr">
        <is>
          <t>m</t>
        </is>
      </c>
      <c r="E7" s="5" t="n">
        <v>120</v>
      </c>
      <c r="F7" s="6" t="n">
        <v>3.5</v>
      </c>
    </row>
    <row r="8">
      <c r="A8" s="5" t="inlineStr">
        <is>
          <t>01.02</t>
        </is>
      </c>
      <c r="B8" s="5" t="inlineStr">
        <is>
          <t>TUB-02</t>
        </is>
      </c>
      <c r="C8" s="5" t="inlineStr">
        <is>
          <t>PVC Pesada 3/4" tomacorrientes</t>
        </is>
      </c>
      <c r="D8" s="5" t="inlineStr">
        <is>
          <t>m</t>
        </is>
      </c>
      <c r="E8" s="5" t="n">
        <v>150</v>
      </c>
      <c r="F8" s="6" t="n">
        <v>4.5</v>
      </c>
    </row>
    <row r="9">
      <c r="A9" s="5" t="inlineStr">
        <is>
          <t>01.03</t>
        </is>
      </c>
      <c r="B9" s="5" t="inlineStr">
        <is>
          <t>TUB-03</t>
        </is>
      </c>
      <c r="C9" s="5" t="inlineStr">
        <is>
          <t>PVC Pesada 1" alimentador</t>
        </is>
      </c>
      <c r="D9" s="5" t="inlineStr">
        <is>
          <t>m</t>
        </is>
      </c>
      <c r="E9" s="5" t="n">
        <v>25</v>
      </c>
      <c r="F9" s="6" t="n">
        <v>8.5</v>
      </c>
    </row>
    <row r="10">
      <c r="A10" s="4" t="inlineStr">
        <is>
          <t>02.00</t>
        </is>
      </c>
      <c r="B10" s="4" t="inlineStr">
        <is>
          <t>CON</t>
        </is>
      </c>
      <c r="C10" s="4" t="inlineStr">
        <is>
          <t>CONDUCTORES</t>
        </is>
      </c>
      <c r="D10" s="4" t="inlineStr">
        <is>
          <t>CON</t>
        </is>
      </c>
      <c r="E10" s="4" t="inlineStr">
        <is>
          <t>CON</t>
        </is>
      </c>
      <c r="F10" s="4" t="inlineStr">
        <is>
          <t>CON</t>
        </is>
      </c>
    </row>
    <row r="11">
      <c r="A11" s="5" t="inlineStr">
        <is>
          <t>02.01</t>
        </is>
      </c>
      <c r="B11" s="5" t="inlineStr">
        <is>
          <t>CON-01</t>
        </is>
      </c>
      <c r="C11" s="5" t="inlineStr">
        <is>
          <t>LSOH 1.5mm2 fase+neutro</t>
        </is>
      </c>
      <c r="D11" s="5" t="inlineStr">
        <is>
          <t>m</t>
        </is>
      </c>
      <c r="E11" s="5" t="n">
        <v>240</v>
      </c>
      <c r="F11" s="6" t="n">
        <v>2.8</v>
      </c>
    </row>
    <row r="12">
      <c r="A12" s="5" t="inlineStr">
        <is>
          <t>02.02</t>
        </is>
      </c>
      <c r="B12" s="5" t="inlineStr">
        <is>
          <t>CON-01</t>
        </is>
      </c>
      <c r="C12" s="5" t="inlineStr">
        <is>
          <t>LSOH 1.5mm2 PE</t>
        </is>
      </c>
      <c r="D12" s="5" t="inlineStr">
        <is>
          <t>m</t>
        </is>
      </c>
      <c r="E12" s="5" t="n">
        <v>110</v>
      </c>
      <c r="F12" s="6" t="n">
        <v>2.8</v>
      </c>
    </row>
    <row r="13">
      <c r="A13" s="5" t="inlineStr">
        <is>
          <t>02.03</t>
        </is>
      </c>
      <c r="B13" s="5" t="inlineStr">
        <is>
          <t>CON-02</t>
        </is>
      </c>
      <c r="C13" s="5" t="inlineStr">
        <is>
          <t>LSOH 2.5mm2 fase+neutro</t>
        </is>
      </c>
      <c r="D13" s="5" t="inlineStr">
        <is>
          <t>m</t>
        </is>
      </c>
      <c r="E13" s="5" t="n">
        <v>300</v>
      </c>
      <c r="F13" s="6" t="n">
        <v>4.5</v>
      </c>
    </row>
    <row r="14">
      <c r="A14" s="5" t="inlineStr">
        <is>
          <t>02.04</t>
        </is>
      </c>
      <c r="B14" s="5" t="inlineStr">
        <is>
          <t>CON-02</t>
        </is>
      </c>
      <c r="C14" s="5" t="inlineStr">
        <is>
          <t>LSOH 2.5mm2 PE</t>
        </is>
      </c>
      <c r="D14" s="5" t="inlineStr">
        <is>
          <t>m</t>
        </is>
      </c>
      <c r="E14" s="5" t="n">
        <v>150</v>
      </c>
      <c r="F14" s="6" t="n">
        <v>4.5</v>
      </c>
    </row>
    <row r="15">
      <c r="A15" s="5" t="inlineStr">
        <is>
          <t>02.05</t>
        </is>
      </c>
      <c r="B15" s="5" t="inlineStr">
        <is>
          <t>CON-02</t>
        </is>
      </c>
      <c r="C15" s="5" t="inlineStr">
        <is>
          <t>LSOH 2.5mm2 bomba</t>
        </is>
      </c>
      <c r="D15" s="5" t="inlineStr">
        <is>
          <t>m</t>
        </is>
      </c>
      <c r="E15" s="5" t="n">
        <v>35</v>
      </c>
      <c r="F15" s="6" t="n">
        <v>4.5</v>
      </c>
    </row>
    <row r="16">
      <c r="A16" s="5" t="inlineStr">
        <is>
          <t>02.06</t>
        </is>
      </c>
      <c r="B16" s="5" t="inlineStr">
        <is>
          <t>CON-03</t>
        </is>
      </c>
      <c r="C16" s="5" t="inlineStr">
        <is>
          <t>LSOH 10mm2 alimentador</t>
        </is>
      </c>
      <c r="D16" s="5" t="inlineStr">
        <is>
          <t>m</t>
        </is>
      </c>
      <c r="E16" s="5" t="n">
        <v>60</v>
      </c>
      <c r="F16" s="6" t="n">
        <v>16</v>
      </c>
    </row>
    <row r="17">
      <c r="A17" s="5" t="inlineStr">
        <is>
          <t>02.07</t>
        </is>
      </c>
      <c r="B17" s="5" t="inlineStr">
        <is>
          <t>CON-04</t>
        </is>
      </c>
      <c r="C17" s="5" t="inlineStr">
        <is>
          <t>Cu desnudo 6mm2 PT</t>
        </is>
      </c>
      <c r="D17" s="5" t="inlineStr">
        <is>
          <t>m</t>
        </is>
      </c>
      <c r="E17" s="5" t="n">
        <v>25</v>
      </c>
      <c r="F17" s="6" t="n">
        <v>8</v>
      </c>
    </row>
    <row r="18">
      <c r="A18" s="4" t="inlineStr">
        <is>
          <t>03.00</t>
        </is>
      </c>
      <c r="B18" s="4" t="inlineStr">
        <is>
          <t>CAJ</t>
        </is>
      </c>
      <c r="C18" s="4" t="inlineStr">
        <is>
          <t>CAJAS</t>
        </is>
      </c>
      <c r="D18" s="4" t="inlineStr">
        <is>
          <t>CAJ</t>
        </is>
      </c>
      <c r="E18" s="4" t="inlineStr">
        <is>
          <t>CAJ</t>
        </is>
      </c>
      <c r="F18" s="4" t="inlineStr">
        <is>
          <t>CAJ</t>
        </is>
      </c>
    </row>
    <row r="19">
      <c r="A19" s="5" t="inlineStr">
        <is>
          <t>03.01</t>
        </is>
      </c>
      <c r="B19" s="5" t="inlineStr">
        <is>
          <t>CAJ-01</t>
        </is>
      </c>
      <c r="C19" s="5" t="inlineStr">
        <is>
          <t>Octogonal FG 4"x2"</t>
        </is>
      </c>
      <c r="D19" s="5" t="inlineStr">
        <is>
          <t>pza</t>
        </is>
      </c>
      <c r="E19" s="5" t="n">
        <v>19</v>
      </c>
      <c r="F19" s="6" t="n">
        <v>3.5</v>
      </c>
    </row>
    <row r="20">
      <c r="A20" s="5" t="inlineStr">
        <is>
          <t>03.02</t>
        </is>
      </c>
      <c r="B20" s="5" t="inlineStr">
        <is>
          <t>CAJ-02</t>
        </is>
      </c>
      <c r="C20" s="5" t="inlineStr">
        <is>
          <t>Rectangular FG 4"x2"</t>
        </is>
      </c>
      <c r="D20" s="5" t="inlineStr">
        <is>
          <t>pza</t>
        </is>
      </c>
      <c r="E20" s="5" t="n">
        <v>45</v>
      </c>
      <c r="F20" s="6" t="n">
        <v>3.2</v>
      </c>
    </row>
    <row r="21">
      <c r="A21" s="5" t="inlineStr">
        <is>
          <t>03.03</t>
        </is>
      </c>
      <c r="B21" s="5" t="inlineStr">
        <is>
          <t>CAJ-03</t>
        </is>
      </c>
      <c r="C21" s="5" t="inlineStr">
        <is>
          <t>Pase rectangular</t>
        </is>
      </c>
      <c r="D21" s="5" t="inlineStr">
        <is>
          <t>pza</t>
        </is>
      </c>
      <c r="E21" s="5" t="n">
        <v>6</v>
      </c>
      <c r="F21" s="6" t="n">
        <v>4.5</v>
      </c>
    </row>
    <row r="22">
      <c r="A22" s="4" t="inlineStr">
        <is>
          <t>04.00</t>
        </is>
      </c>
      <c r="B22" s="4" t="inlineStr">
        <is>
          <t>TAB</t>
        </is>
      </c>
      <c r="C22" s="4" t="inlineStr">
        <is>
          <t>TABLEROS</t>
        </is>
      </c>
      <c r="D22" s="4" t="inlineStr">
        <is>
          <t>TAB</t>
        </is>
      </c>
      <c r="E22" s="4" t="inlineStr">
        <is>
          <t>TAB</t>
        </is>
      </c>
      <c r="F22" s="4" t="inlineStr">
        <is>
          <t>TAB</t>
        </is>
      </c>
    </row>
    <row r="23">
      <c r="A23" s="5" t="inlineStr">
        <is>
          <t>04.01</t>
        </is>
      </c>
      <c r="B23" s="5" t="inlineStr">
        <is>
          <t>TAB-01</t>
        </is>
      </c>
      <c r="C23" s="5" t="inlineStr">
        <is>
          <t>TG-01 12 polos equipado</t>
        </is>
      </c>
      <c r="D23" s="5" t="inlineStr">
        <is>
          <t>u</t>
        </is>
      </c>
      <c r="E23" s="5" t="n">
        <v>1</v>
      </c>
      <c r="F23" s="6" t="n">
        <v>450</v>
      </c>
    </row>
    <row r="24">
      <c r="A24" s="5" t="inlineStr">
        <is>
          <t>04.02</t>
        </is>
      </c>
      <c r="B24" s="5" t="inlineStr">
        <is>
          <t>TAB-02</t>
        </is>
      </c>
      <c r="C24" s="5" t="inlineStr">
        <is>
          <t>TD-01 8 polos equipado</t>
        </is>
      </c>
      <c r="D24" s="5" t="inlineStr">
        <is>
          <t>u</t>
        </is>
      </c>
      <c r="E24" s="5" t="n">
        <v>1</v>
      </c>
      <c r="F24" s="6" t="n">
        <v>320</v>
      </c>
    </row>
    <row r="25">
      <c r="A25" s="5" t="inlineStr">
        <is>
          <t>04.03</t>
        </is>
      </c>
      <c r="B25" s="5" t="inlineStr">
        <is>
          <t>TAB-03</t>
        </is>
      </c>
      <c r="C25" s="5" t="inlineStr">
        <is>
          <t>TD-02 8 polos equipado</t>
        </is>
      </c>
      <c r="D25" s="5" t="inlineStr">
        <is>
          <t>u</t>
        </is>
      </c>
      <c r="E25" s="5" t="n">
        <v>1</v>
      </c>
      <c r="F25" s="6" t="n">
        <v>320</v>
      </c>
    </row>
    <row r="26">
      <c r="A26" s="4" t="inlineStr">
        <is>
          <t>05.00</t>
        </is>
      </c>
      <c r="B26" s="4" t="inlineStr">
        <is>
          <t>ACC</t>
        </is>
      </c>
      <c r="C26" s="4" t="inlineStr">
        <is>
          <t>ACCESORIOS</t>
        </is>
      </c>
      <c r="D26" s="4" t="inlineStr">
        <is>
          <t>ACC</t>
        </is>
      </c>
      <c r="E26" s="4" t="inlineStr">
        <is>
          <t>ACC</t>
        </is>
      </c>
      <c r="F26" s="4" t="inlineStr">
        <is>
          <t>ACC</t>
        </is>
      </c>
    </row>
    <row r="27">
      <c r="A27" s="5" t="inlineStr">
        <is>
          <t>05.01</t>
        </is>
      </c>
      <c r="B27" s="5" t="inlineStr">
        <is>
          <t>ACC-01</t>
        </is>
      </c>
      <c r="C27" s="5" t="inlineStr">
        <is>
          <t>Interruptor simple</t>
        </is>
      </c>
      <c r="D27" s="5" t="inlineStr">
        <is>
          <t>pza</t>
        </is>
      </c>
      <c r="E27" s="5" t="n">
        <v>6</v>
      </c>
      <c r="F27" s="6" t="n">
        <v>12</v>
      </c>
    </row>
    <row r="28">
      <c r="A28" s="5" t="inlineStr">
        <is>
          <t>05.02</t>
        </is>
      </c>
      <c r="B28" s="5" t="inlineStr">
        <is>
          <t>ACC-02</t>
        </is>
      </c>
      <c r="C28" s="5" t="inlineStr">
        <is>
          <t>Interruptor conmutador S3</t>
        </is>
      </c>
      <c r="D28" s="5" t="inlineStr">
        <is>
          <t>pza</t>
        </is>
      </c>
      <c r="E28" s="5" t="n">
        <v>4</v>
      </c>
      <c r="F28" s="6" t="n">
        <v>15</v>
      </c>
    </row>
    <row r="29">
      <c r="A29" s="5" t="inlineStr">
        <is>
          <t>05.03</t>
        </is>
      </c>
      <c r="B29" s="5" t="inlineStr">
        <is>
          <t>ACC-03</t>
        </is>
      </c>
      <c r="C29" s="5" t="inlineStr">
        <is>
          <t>Tomacorriente doble c/tierra</t>
        </is>
      </c>
      <c r="D29" s="5" t="inlineStr">
        <is>
          <t>pza</t>
        </is>
      </c>
      <c r="E29" s="5" t="n">
        <v>24</v>
      </c>
      <c r="F29" s="6" t="n">
        <v>14.5</v>
      </c>
    </row>
    <row r="30">
      <c r="A30" s="5" t="inlineStr">
        <is>
          <t>05.04</t>
        </is>
      </c>
      <c r="B30" s="5" t="inlineStr">
        <is>
          <t>ACC-04</t>
        </is>
      </c>
      <c r="C30" s="5" t="inlineStr">
        <is>
          <t>Tomacorriente GFCI</t>
        </is>
      </c>
      <c r="D30" s="5" t="inlineStr">
        <is>
          <t>pza</t>
        </is>
      </c>
      <c r="E30" s="5" t="n">
        <v>2</v>
      </c>
      <c r="F30" s="6" t="n">
        <v>45</v>
      </c>
    </row>
    <row r="31">
      <c r="A31" s="5" t="inlineStr">
        <is>
          <t>05.05</t>
        </is>
      </c>
      <c r="B31" s="5" t="inlineStr">
        <is>
          <t>ACC-05</t>
        </is>
      </c>
      <c r="C31" s="5" t="inlineStr">
        <is>
          <t>Tomacorriente servicio pesado</t>
        </is>
      </c>
      <c r="D31" s="5" t="inlineStr">
        <is>
          <t>pza</t>
        </is>
      </c>
      <c r="E31" s="5" t="n">
        <v>3</v>
      </c>
      <c r="F31" s="6" t="n">
        <v>22</v>
      </c>
    </row>
    <row r="32">
      <c r="A32" s="4" t="inlineStr">
        <is>
          <t>06.00</t>
        </is>
      </c>
      <c r="B32" s="4" t="inlineStr">
        <is>
          <t>PRO</t>
        </is>
      </c>
      <c r="C32" s="4" t="inlineStr">
        <is>
          <t>PROTECCIONES</t>
        </is>
      </c>
      <c r="D32" s="4" t="inlineStr">
        <is>
          <t>PRO</t>
        </is>
      </c>
      <c r="E32" s="4" t="inlineStr">
        <is>
          <t>PRO</t>
        </is>
      </c>
      <c r="F32" s="4" t="inlineStr">
        <is>
          <t>PRO</t>
        </is>
      </c>
    </row>
    <row r="33">
      <c r="A33" s="5" t="inlineStr">
        <is>
          <t>06.01</t>
        </is>
      </c>
      <c r="B33" s="5" t="inlineStr">
        <is>
          <t>PRO-01</t>
        </is>
      </c>
      <c r="C33" s="5" t="inlineStr">
        <is>
          <t>Termomagnetico 2P-10A</t>
        </is>
      </c>
      <c r="D33" s="5" t="inlineStr">
        <is>
          <t>pza</t>
        </is>
      </c>
      <c r="E33" s="5" t="n">
        <v>3</v>
      </c>
      <c r="F33" s="6" t="n">
        <v>35</v>
      </c>
    </row>
    <row r="34">
      <c r="A34" s="5" t="inlineStr">
        <is>
          <t>06.02</t>
        </is>
      </c>
      <c r="B34" s="5" t="inlineStr">
        <is>
          <t>PRO-02</t>
        </is>
      </c>
      <c r="C34" s="5" t="inlineStr">
        <is>
          <t>Termomagnetico 2P-16A</t>
        </is>
      </c>
      <c r="D34" s="5" t="inlineStr">
        <is>
          <t>pza</t>
        </is>
      </c>
      <c r="E34" s="5" t="n">
        <v>5</v>
      </c>
      <c r="F34" s="6" t="n">
        <v>38</v>
      </c>
    </row>
    <row r="35">
      <c r="A35" s="5" t="inlineStr">
        <is>
          <t>06.03</t>
        </is>
      </c>
      <c r="B35" s="5" t="inlineStr">
        <is>
          <t>PRO-03</t>
        </is>
      </c>
      <c r="C35" s="5" t="inlineStr">
        <is>
          <t>Termomagnetico 2P-20A</t>
        </is>
      </c>
      <c r="D35" s="5" t="inlineStr">
        <is>
          <t>pza</t>
        </is>
      </c>
      <c r="E35" s="5" t="n">
        <v>1</v>
      </c>
      <c r="F35" s="6" t="n">
        <v>42</v>
      </c>
    </row>
    <row r="36">
      <c r="A36" s="5" t="inlineStr">
        <is>
          <t>06.04</t>
        </is>
      </c>
      <c r="B36" s="5" t="inlineStr">
        <is>
          <t>PRO-04</t>
        </is>
      </c>
      <c r="C36" s="5" t="inlineStr">
        <is>
          <t>Termomagnetico general 2P-40A</t>
        </is>
      </c>
      <c r="D36" s="5" t="inlineStr">
        <is>
          <t>pza</t>
        </is>
      </c>
      <c r="E36" s="5" t="n">
        <v>1</v>
      </c>
      <c r="F36" s="6" t="n">
        <v>85</v>
      </c>
    </row>
    <row r="37">
      <c r="A37" s="5" t="inlineStr">
        <is>
          <t>06.05</t>
        </is>
      </c>
      <c r="B37" s="5" t="inlineStr">
        <is>
          <t>PRO-05</t>
        </is>
      </c>
      <c r="C37" s="5" t="inlineStr">
        <is>
          <t>Diferencial 2P-25A-30mA</t>
        </is>
      </c>
      <c r="D37" s="5" t="inlineStr">
        <is>
          <t>pza</t>
        </is>
      </c>
      <c r="E37" s="5" t="n">
        <v>1</v>
      </c>
      <c r="F37" s="6" t="n">
        <v>120</v>
      </c>
    </row>
    <row r="38">
      <c r="A38" s="4" t="inlineStr">
        <is>
          <t>07.00</t>
        </is>
      </c>
      <c r="B38" s="4" t="inlineStr">
        <is>
          <t>LUM</t>
        </is>
      </c>
      <c r="C38" s="4" t="inlineStr">
        <is>
          <t>LUMINARIAS</t>
        </is>
      </c>
      <c r="D38" s="4" t="inlineStr">
        <is>
          <t>LUM</t>
        </is>
      </c>
      <c r="E38" s="4" t="inlineStr">
        <is>
          <t>LUM</t>
        </is>
      </c>
      <c r="F38" s="4" t="inlineStr">
        <is>
          <t>LUM</t>
        </is>
      </c>
    </row>
    <row r="39">
      <c r="A39" s="5" t="inlineStr">
        <is>
          <t>07.01</t>
        </is>
      </c>
      <c r="B39" s="5" t="inlineStr">
        <is>
          <t>LUM-01</t>
        </is>
      </c>
      <c r="C39" s="5" t="inlineStr">
        <is>
          <t>Luminaria LED 12W</t>
        </is>
      </c>
      <c r="D39" s="5" t="inlineStr">
        <is>
          <t>pza</t>
        </is>
      </c>
      <c r="E39" s="5" t="n">
        <v>19</v>
      </c>
      <c r="F39" s="6" t="n">
        <v>25</v>
      </c>
    </row>
    <row r="40">
      <c r="A40" s="4" t="inlineStr">
        <is>
          <t>08.00</t>
        </is>
      </c>
      <c r="B40" s="4" t="inlineStr">
        <is>
          <t>PAT</t>
        </is>
      </c>
      <c r="C40" s="4" t="inlineStr">
        <is>
          <t>PUESTA A TIERRA</t>
        </is>
      </c>
      <c r="D40" s="4" t="inlineStr">
        <is>
          <t>PAT</t>
        </is>
      </c>
      <c r="E40" s="4" t="inlineStr">
        <is>
          <t>PAT</t>
        </is>
      </c>
      <c r="F40" s="4" t="inlineStr">
        <is>
          <t>PAT</t>
        </is>
      </c>
    </row>
    <row r="41">
      <c r="A41" s="5" t="inlineStr">
        <is>
          <t>08.01</t>
        </is>
      </c>
      <c r="B41" s="5" t="inlineStr">
        <is>
          <t>PAT-01</t>
        </is>
      </c>
      <c r="C41" s="5" t="inlineStr">
        <is>
          <t>Kit PT completo</t>
        </is>
      </c>
      <c r="D41" s="5" t="inlineStr">
        <is>
          <t>jgo</t>
        </is>
      </c>
      <c r="E41" s="5" t="n">
        <v>1</v>
      </c>
      <c r="F41" s="6" t="n">
        <v>650</v>
      </c>
    </row>
    <row r="42">
      <c r="A42" s="4" t="inlineStr">
        <is>
          <t>09.00</t>
        </is>
      </c>
      <c r="B42" s="4" t="inlineStr">
        <is>
          <t>VAR</t>
        </is>
      </c>
      <c r="C42" s="4" t="inlineStr">
        <is>
          <t>VARIOS</t>
        </is>
      </c>
      <c r="D42" s="4" t="inlineStr">
        <is>
          <t>VAR</t>
        </is>
      </c>
      <c r="E42" s="4" t="inlineStr">
        <is>
          <t>VAR</t>
        </is>
      </c>
      <c r="F42" s="4" t="inlineStr">
        <is>
          <t>VAR</t>
        </is>
      </c>
    </row>
    <row r="43">
      <c r="A43" s="5" t="inlineStr">
        <is>
          <t>09.01</t>
        </is>
      </c>
      <c r="B43" s="5" t="inlineStr">
        <is>
          <t>VAR-01</t>
        </is>
      </c>
      <c r="C43" s="5" t="inlineStr">
        <is>
          <t>Accesorios instalacion</t>
        </is>
      </c>
      <c r="D43" s="5" t="inlineStr">
        <is>
          <t>glb</t>
        </is>
      </c>
      <c r="E43" s="5" t="n">
        <v>1</v>
      </c>
      <c r="F43" s="6" t="n">
        <v>200</v>
      </c>
    </row>
    <row r="44">
      <c r="A44" s="4" t="inlineStr">
        <is>
          <t>10.00</t>
        </is>
      </c>
      <c r="B44" s="4" t="inlineStr">
        <is>
          <t>MOB</t>
        </is>
      </c>
      <c r="C44" s="4" t="inlineStr">
        <is>
          <t>MANO DE OBRA</t>
        </is>
      </c>
      <c r="D44" s="4" t="inlineStr">
        <is>
          <t>MOB</t>
        </is>
      </c>
      <c r="E44" s="4" t="inlineStr">
        <is>
          <t>MOB</t>
        </is>
      </c>
      <c r="F44" s="4" t="inlineStr">
        <is>
          <t>MOB</t>
        </is>
      </c>
    </row>
    <row r="45">
      <c r="A45" s="5" t="inlineStr">
        <is>
          <t>10.01</t>
        </is>
      </c>
      <c r="B45" s="5" t="inlineStr">
        <is>
          <t>MOB-01</t>
        </is>
      </c>
      <c r="C45" s="5" t="inlineStr">
        <is>
          <t>Mano obra calificada</t>
        </is>
      </c>
      <c r="D45" s="5" t="inlineStr">
        <is>
          <t>glb</t>
        </is>
      </c>
      <c r="E45" s="5" t="n">
        <v>1</v>
      </c>
      <c r="F45" s="6" t="n">
        <v>3200</v>
      </c>
    </row>
    <row r="46">
      <c r="A46" s="5" t="inlineStr">
        <is>
          <t>10.02</t>
        </is>
      </c>
      <c r="B46" s="5" t="inlineStr">
        <is>
          <t>MOB-02</t>
        </is>
      </c>
      <c r="C46" s="5" t="inlineStr">
        <is>
          <t>Pruebas y verificacion</t>
        </is>
      </c>
      <c r="D46" s="5" t="inlineStr">
        <is>
          <t>glb</t>
        </is>
      </c>
      <c r="E46" s="5" t="n">
        <v>1</v>
      </c>
      <c r="F46" s="6" t="n">
        <v>250</v>
      </c>
    </row>
    <row r="48">
      <c r="A48" s="7" t="inlineStr">
        <is>
          <t>RESUMEN</t>
        </is>
      </c>
    </row>
    <row r="49">
      <c r="A49" s="8" t="inlineStr">
        <is>
          <t>Partida</t>
        </is>
      </c>
      <c r="C49" s="8" t="inlineStr">
        <is>
          <t>Total(S/.)</t>
        </is>
      </c>
    </row>
    <row r="50">
      <c r="A50" s="9" t="inlineStr">
        <is>
          <t>01.Tuberias</t>
        </is>
      </c>
      <c r="C50" s="10">
        <f>G7+G8+G9</f>
        <v/>
      </c>
    </row>
    <row r="51">
      <c r="A51" s="9" t="inlineStr">
        <is>
          <t>02.Conductores</t>
        </is>
      </c>
      <c r="C51" s="10">
        <f>G11+G12+G13+G14+G15+G16</f>
        <v/>
      </c>
    </row>
    <row r="52">
      <c r="A52" s="9" t="inlineStr">
        <is>
          <t>03.Cajas</t>
        </is>
      </c>
      <c r="C52" s="10">
        <f>G18+G19</f>
        <v/>
      </c>
    </row>
    <row r="53">
      <c r="A53" s="9" t="inlineStr">
        <is>
          <t>04.Tableros</t>
        </is>
      </c>
      <c r="C53" s="10">
        <f>G21+G22</f>
        <v/>
      </c>
    </row>
    <row r="54">
      <c r="A54" s="9" t="inlineStr">
        <is>
          <t>05.Accesorios</t>
        </is>
      </c>
      <c r="C54" s="10">
        <f>G24+G25+G26+G27</f>
        <v/>
      </c>
    </row>
    <row r="55">
      <c r="A55" s="9" t="inlineStr">
        <is>
          <t>06.Protecciones</t>
        </is>
      </c>
      <c r="C55" s="10">
        <f>G29+G30+G31+G32</f>
        <v/>
      </c>
    </row>
    <row r="56">
      <c r="A56" s="9" t="inlineStr">
        <is>
          <t>07.Luminarias</t>
        </is>
      </c>
      <c r="C56" s="10">
        <f>G34</f>
        <v/>
      </c>
    </row>
    <row r="57">
      <c r="A57" s="9" t="inlineStr">
        <is>
          <t>08.PTierra</t>
        </is>
      </c>
      <c r="C57" s="10">
        <f>G36</f>
        <v/>
      </c>
    </row>
    <row r="58">
      <c r="A58" s="9" t="inlineStr">
        <is>
          <t>09.Varios</t>
        </is>
      </c>
      <c r="C58" s="10">
        <f>G38</f>
        <v/>
      </c>
    </row>
    <row r="59">
      <c r="A59" s="9" t="inlineStr">
        <is>
          <t>10.MObra</t>
        </is>
      </c>
      <c r="C59" s="10">
        <f>G40+G41</f>
        <v/>
      </c>
    </row>
    <row r="61">
      <c r="A61" s="11" t="inlineStr">
        <is>
          <t>TOTAL COSTO DIRECTO</t>
        </is>
      </c>
      <c r="C61" s="12">
        <f>SUM(C50,C51,C52,C53,C54,C55,C56,C57,C58,C59)</f>
        <v/>
      </c>
    </row>
    <row r="62">
      <c r="A62" s="9" t="inlineStr">
        <is>
          <t>Gastos Generales 5%</t>
        </is>
      </c>
      <c r="C62" s="10">
        <f>C61*0.05</f>
        <v/>
      </c>
    </row>
    <row r="63">
      <c r="A63" s="9" t="inlineStr">
        <is>
          <t>Utilidad 8%</t>
        </is>
      </c>
      <c r="C63" s="10">
        <f>C61*0.08</f>
        <v/>
      </c>
    </row>
    <row r="64">
      <c r="A64" s="11" t="inlineStr">
        <is>
          <t>SUBTOTAL ANTES IGV</t>
        </is>
      </c>
      <c r="C64" s="12">
        <f>C61+C62+C63</f>
        <v/>
      </c>
    </row>
    <row r="65">
      <c r="A65" s="9" t="inlineStr">
        <is>
          <t>IGV 18%</t>
        </is>
      </c>
      <c r="C65" s="10">
        <f>C64*0.18</f>
        <v/>
      </c>
    </row>
    <row r="66">
      <c r="A66" s="13" t="inlineStr">
        <is>
          <t>TOTAL GENERAL (S/.)</t>
        </is>
      </c>
      <c r="C66" s="14">
        <f>C64+C65</f>
        <v/>
      </c>
    </row>
  </sheetData>
  <mergeCells count="4">
    <mergeCell ref="A48:G48"/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2026-06-08T15:22:22Z</dcterms:created>
  <dcterms:modified xsi:type="dcterms:W3CDTF">2026-06-08T15:22:22Z</dcterms:modified>
</cp:coreProperties>
</file>