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Car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4A556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  <fill>
      <patternFill patternType="solid">
        <fgColor rgb="00EBF8FF"/>
        <bgColor rgb="00EBF8FF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top style="thin">
        <color rgb="00CBD5E0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0" fontId="5" fillId="4" borderId="2" pivotButton="0" quotePrefix="0" xfId="0"/>
    <xf numFmtId="2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4" customWidth="1" min="4" max="4"/>
    <col width="16" customWidth="1" min="5" max="5"/>
    <col width="12" customWidth="1" min="6" max="6"/>
    <col width="28" customWidth="1" min="7" max="7"/>
    <col width="14" customWidth="1" min="8" max="8"/>
    <col width="14" customWidth="1" min="9" max="9"/>
  </cols>
  <sheetData>
    <row r="1" ht="25" customHeight="1">
      <c r="A1" s="1" t="inlineStr">
        <is>
          <t>CUADRO DE CARGAS - RESIDENCIAL</t>
        </is>
      </c>
    </row>
    <row r="2" ht="18" customHeight="1">
      <c r="A2" s="2" t="inlineStr">
        <is>
          <t>Estudiante: Renzo Gabriel Mamani Galindo  |  Curso: Instalaciones Eléctricas I  |  Universidad: UNAP</t>
        </is>
      </c>
    </row>
    <row r="4" ht="26" customHeight="1">
      <c r="A4" s="3" t="inlineStr">
        <is>
          <t>Circuito</t>
        </is>
      </c>
      <c r="B4" s="3" t="inlineStr">
        <is>
          <t>Descripción de Carga</t>
        </is>
      </c>
      <c r="C4" s="3" t="inlineStr">
        <is>
          <t>Pot. Instalada (W)</t>
        </is>
      </c>
      <c r="D4" s="3" t="inlineStr">
        <is>
          <t>F. Demanda</t>
        </is>
      </c>
      <c r="E4" s="3" t="inlineStr">
        <is>
          <t>Máx. Demanda (W)</t>
        </is>
      </c>
      <c r="F4" s="3" t="inlineStr">
        <is>
          <t>I. Diseño (A)</t>
        </is>
      </c>
      <c r="G4" s="3" t="inlineStr">
        <is>
          <t>Conductor / Alimentador</t>
        </is>
      </c>
      <c r="H4" s="3" t="inlineStr">
        <is>
          <t>ITM (A)</t>
        </is>
      </c>
      <c r="I4" s="3" t="inlineStr">
        <is>
          <t>ID (mA)</t>
        </is>
      </c>
    </row>
    <row r="5" ht="20" customHeight="1">
      <c r="A5" s="4" t="inlineStr">
        <is>
          <t>C1</t>
        </is>
      </c>
      <c r="B5" s="5" t="inlineStr">
        <is>
          <t>Alumbrado General (Lámparas LED)</t>
        </is>
      </c>
      <c r="C5" s="6" t="n">
        <v>132</v>
      </c>
      <c r="D5" s="7" t="n">
        <v>1</v>
      </c>
      <c r="E5" s="6">
        <f>C5*D5</f>
        <v/>
      </c>
      <c r="F5" s="7">
        <f>E5/(220*0.9)</f>
        <v/>
      </c>
      <c r="G5" s="5" t="inlineStr">
        <is>
          <t>3 x 1.5 mm2 Cu - PVC 3/4"</t>
        </is>
      </c>
      <c r="H5" s="4" t="inlineStr">
        <is>
          <t>2P - 10A</t>
        </is>
      </c>
      <c r="I5" s="4" t="inlineStr">
        <is>
          <t>2P - 25A / 30mA</t>
        </is>
      </c>
    </row>
    <row r="6" ht="20" customHeight="1">
      <c r="A6" s="8" t="inlineStr">
        <is>
          <t>C2</t>
        </is>
      </c>
      <c r="B6" s="9" t="inlineStr">
        <is>
          <t>Tomacorrientes Generales (TC)</t>
        </is>
      </c>
      <c r="C6" s="10" t="n">
        <v>2520</v>
      </c>
      <c r="D6" s="11" t="n">
        <v>0.7</v>
      </c>
      <c r="E6" s="10">
        <f>C6*D6</f>
        <v/>
      </c>
      <c r="F6" s="11">
        <f>E6/(220*0.9)</f>
        <v/>
      </c>
      <c r="G6" s="9" t="inlineStr">
        <is>
          <t>3 x 2.5 mm2 Cu - PVC 3/4"</t>
        </is>
      </c>
      <c r="H6" s="8" t="inlineStr">
        <is>
          <t>2P - 16A</t>
        </is>
      </c>
      <c r="I6" s="8" t="inlineStr">
        <is>
          <t>2P - 25A / 30mA</t>
        </is>
      </c>
    </row>
    <row r="7" ht="20" customHeight="1">
      <c r="A7" s="4" t="inlineStr">
        <is>
          <t>C3</t>
        </is>
      </c>
      <c r="B7" s="5" t="inlineStr">
        <is>
          <t>Tomacorrientes de Cocina</t>
        </is>
      </c>
      <c r="C7" s="6" t="n">
        <v>1200</v>
      </c>
      <c r="D7" s="7" t="n">
        <v>0.8</v>
      </c>
      <c r="E7" s="6">
        <f>C7*D7</f>
        <v/>
      </c>
      <c r="F7" s="7">
        <f>E7/(220*0.9)</f>
        <v/>
      </c>
      <c r="G7" s="5" t="inlineStr">
        <is>
          <t>3 x 2.5 mm2 Cu - PVC 3/4"</t>
        </is>
      </c>
      <c r="H7" s="4" t="inlineStr">
        <is>
          <t>2P - 20A</t>
        </is>
      </c>
      <c r="I7" s="4" t="inlineStr">
        <is>
          <t>2P - 25A / 30mA</t>
        </is>
      </c>
    </row>
    <row r="8" ht="20" customHeight="1">
      <c r="A8" s="8" t="inlineStr">
        <is>
          <t>C4</t>
        </is>
      </c>
      <c r="B8" s="9" t="inlineStr">
        <is>
          <t>Servicios Lavandería</t>
        </is>
      </c>
      <c r="C8" s="10" t="n">
        <v>360</v>
      </c>
      <c r="D8" s="11" t="n">
        <v>0.8</v>
      </c>
      <c r="E8" s="10">
        <f>C8*D8</f>
        <v/>
      </c>
      <c r="F8" s="11">
        <f>E8/(220*0.9)</f>
        <v/>
      </c>
      <c r="G8" s="9" t="inlineStr">
        <is>
          <t>3 x 2.5 mm2 Cu - PVC 3/4"</t>
        </is>
      </c>
      <c r="H8" s="8" t="inlineStr">
        <is>
          <t>2P - 16A</t>
        </is>
      </c>
      <c r="I8" s="8" t="inlineStr">
        <is>
          <t>2P - 25A / 30mA</t>
        </is>
      </c>
    </row>
    <row r="9" ht="20" customHeight="1">
      <c r="A9" s="4" t="inlineStr">
        <is>
          <t>C5</t>
        </is>
      </c>
      <c r="B9" s="5" t="inlineStr">
        <is>
          <t>Carga Especial (Bomba de Agua)</t>
        </is>
      </c>
      <c r="C9" s="6" t="n">
        <v>750</v>
      </c>
      <c r="D9" s="7" t="n">
        <v>1</v>
      </c>
      <c r="E9" s="6">
        <f>C9*D9</f>
        <v/>
      </c>
      <c r="F9" s="7">
        <f>E9/(220*0.9)</f>
        <v/>
      </c>
      <c r="G9" s="5" t="inlineStr">
        <is>
          <t>3 x 2.5 mm2 Cu - PVC 3/4"</t>
        </is>
      </c>
      <c r="H9" s="4" t="inlineStr">
        <is>
          <t>2P - 16A</t>
        </is>
      </c>
      <c r="I9" s="4" t="inlineStr">
        <is>
          <t>2P - 25A / 30mA</t>
        </is>
      </c>
    </row>
    <row r="10" ht="22" customHeight="1">
      <c r="A10" s="12" t="inlineStr">
        <is>
          <t>TOTAL</t>
        </is>
      </c>
      <c r="B10" s="13" t="inlineStr">
        <is>
          <t>DEMANDA CONSOLIDADA</t>
        </is>
      </c>
      <c r="C10" s="14">
        <f>SUM(C5:C9)</f>
        <v/>
      </c>
      <c r="D10" s="15" t="inlineStr"/>
      <c r="E10" s="14">
        <f>SUM(E5:E9)</f>
        <v/>
      </c>
      <c r="F10" s="16">
        <f>E10/(220*0.9)</f>
        <v/>
      </c>
      <c r="G10" s="13" t="inlineStr">
        <is>
          <t>Acometida: 2 x 10 mm2 Cu + PE</t>
        </is>
      </c>
      <c r="H10" s="12" t="inlineStr">
        <is>
          <t>Gral: 2P-40A</t>
        </is>
      </c>
      <c r="I10" s="12" t="inlineStr">
        <is>
          <t>ID: 2P-40A/30mA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2026-06-03T11:35:41Z</dcterms:created>
  <dcterms:modified xsi:type="dcterms:W3CDTF">2026-06-03T11:35:41Z</dcterms:modified>
</cp:coreProperties>
</file>