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uadro de Carg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Segoe UI"/>
      <b val="1"/>
      <color rgb="001E3A8A"/>
      <sz val="14"/>
    </font>
    <font>
      <name val="Segoe UI"/>
      <b val="1"/>
      <color rgb="00FFFFFF"/>
      <sz val="11"/>
    </font>
    <font>
      <name val="Segoe UI"/>
      <sz val="10"/>
    </font>
    <font>
      <name val="Segoe UI"/>
      <b val="1"/>
      <sz val="10"/>
    </font>
  </fonts>
  <fills count="4">
    <fill>
      <patternFill/>
    </fill>
    <fill>
      <patternFill patternType="gray125"/>
    </fill>
    <fill>
      <patternFill patternType="solid">
        <fgColor rgb="001E3A8A"/>
        <bgColor rgb="001E3A8A"/>
      </patternFill>
    </fill>
    <fill>
      <patternFill patternType="solid">
        <fgColor rgb="00F3F4F6"/>
        <bgColor rgb="00F3F4F6"/>
      </patternFill>
    </fill>
  </fills>
  <borders count="3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top style="thin">
        <color rgb="00D1D5DB"/>
      </top>
      <bottom style="double">
        <color rgb="001E3A8A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3" fontId="3" fillId="3" borderId="1" applyAlignment="1" pivotButton="0" quotePrefix="0" xfId="0">
      <alignment horizontal="right" vertical="center"/>
    </xf>
    <xf numFmtId="2" fontId="3" fillId="3" borderId="1" applyAlignment="1" pivotButton="0" quotePrefix="0" xfId="0">
      <alignment horizontal="right" vertical="center"/>
    </xf>
    <xf numFmtId="0" fontId="3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center" vertical="center"/>
    </xf>
    <xf numFmtId="3" fontId="3" fillId="0" borderId="1" applyAlignment="1" pivotButton="0" quotePrefix="0" xfId="0">
      <alignment horizontal="right" vertical="center"/>
    </xf>
    <xf numFmtId="2" fontId="3" fillId="0" borderId="1" applyAlignment="1" pivotButton="0" quotePrefix="0" xfId="0">
      <alignment horizontal="right" vertical="center"/>
    </xf>
    <xf numFmtId="0" fontId="4" fillId="0" borderId="2" applyAlignment="1" pivotButton="0" quotePrefix="0" xfId="0">
      <alignment horizontal="left" vertical="center"/>
    </xf>
    <xf numFmtId="0" fontId="4" fillId="0" borderId="2" pivotButton="0" quotePrefix="0" xfId="0"/>
    <xf numFmtId="3" fontId="4" fillId="0" borderId="2" applyAlignment="1" pivotButton="0" quotePrefix="0" xfId="0">
      <alignment horizontal="right" vertical="center"/>
    </xf>
    <xf numFmtId="2" fontId="4" fillId="0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9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11" customWidth="1" min="2" max="2"/>
    <col width="35" customWidth="1" min="3" max="3"/>
    <col width="14" customWidth="1" min="4" max="4"/>
    <col width="10" customWidth="1" min="5" max="5"/>
    <col width="17" customWidth="1" min="6" max="6"/>
    <col width="10" customWidth="1" min="7" max="7"/>
    <col width="16" customWidth="1" min="8" max="8"/>
    <col width="16" customWidth="1" min="9" max="9"/>
    <col width="19" customWidth="1" min="10" max="10"/>
    <col width="23" customWidth="1" min="11" max="11"/>
    <col width="32" customWidth="1" min="12" max="12"/>
    <col width="14" customWidth="1" min="13" max="13"/>
  </cols>
  <sheetData>
    <row r="1" ht="30" customHeight="1">
      <c r="A1" s="1" t="inlineStr">
        <is>
          <t>CUADRO DE CARGAS - VIVIENDA UNIFAMILIAR</t>
        </is>
      </c>
    </row>
    <row r="2"/>
    <row r="3" ht="28" customHeight="1">
      <c r="A3" s="2" t="inlineStr">
        <is>
          <t>Tablero</t>
        </is>
      </c>
      <c r="B3" s="2" t="inlineStr">
        <is>
          <t>Circuito</t>
        </is>
      </c>
      <c r="C3" s="2" t="inlineStr">
        <is>
          <t>Descripción (Uso)</t>
        </is>
      </c>
      <c r="D3" s="2" t="inlineStr">
        <is>
          <t>Tensión (V)</t>
        </is>
      </c>
      <c r="E3" s="2" t="inlineStr">
        <is>
          <t>Fases</t>
        </is>
      </c>
      <c r="F3" s="2" t="inlineStr">
        <is>
          <t>Pot. Inst. (W)</t>
        </is>
      </c>
      <c r="G3" s="2" t="inlineStr">
        <is>
          <t>F.D.</t>
        </is>
      </c>
      <c r="H3" s="2" t="inlineStr">
        <is>
          <t>Máx. Dem. (W)</t>
        </is>
      </c>
      <c r="I3" s="2" t="inlineStr">
        <is>
          <t>I Dis. (A)</t>
        </is>
      </c>
      <c r="J3" s="2" t="inlineStr">
        <is>
          <t>Prot. ITM</t>
        </is>
      </c>
      <c r="K3" s="2" t="inlineStr">
        <is>
          <t>Prot. ID</t>
        </is>
      </c>
      <c r="L3" s="2" t="inlineStr">
        <is>
          <t>Conductor</t>
        </is>
      </c>
      <c r="M3" s="2" t="inlineStr">
        <is>
          <t>Ducto (ø)</t>
        </is>
      </c>
    </row>
    <row r="4" ht="20" customHeight="1">
      <c r="A4" s="3" t="inlineStr">
        <is>
          <t>TD-01 (2º Piso)</t>
        </is>
      </c>
      <c r="B4" s="3" t="inlineStr">
        <is>
          <t>C1</t>
        </is>
      </c>
      <c r="C4" s="3" t="inlineStr">
        <is>
          <t>Alumbrado General</t>
        </is>
      </c>
      <c r="D4" s="4" t="n">
        <v>220</v>
      </c>
      <c r="E4" s="4" t="inlineStr">
        <is>
          <t>1F</t>
        </is>
      </c>
      <c r="F4" s="5" t="n">
        <v>132</v>
      </c>
      <c r="G4" s="6" t="n">
        <v>1</v>
      </c>
      <c r="H4" s="5" t="n">
        <v>132</v>
      </c>
      <c r="I4" s="6">
        <f>H4/(D4*0.9)</f>
        <v/>
      </c>
      <c r="J4" s="3" t="inlineStr">
        <is>
          <t>2P-10A</t>
        </is>
      </c>
      <c r="K4" s="3" t="inlineStr">
        <is>
          <t>No requiere</t>
        </is>
      </c>
      <c r="L4" s="3" t="inlineStr">
        <is>
          <t>3x1.5 mm² LSOH</t>
        </is>
      </c>
      <c r="M4" s="3" t="inlineStr">
        <is>
          <t>15 mm PVC-P</t>
        </is>
      </c>
    </row>
    <row r="5" ht="20" customHeight="1">
      <c r="A5" s="7" t="inlineStr">
        <is>
          <t>TD-01 (2º Piso)</t>
        </is>
      </c>
      <c r="B5" s="7" t="inlineStr">
        <is>
          <t>C2</t>
        </is>
      </c>
      <c r="C5" s="7" t="inlineStr">
        <is>
          <t>Tomacorrientes Generales</t>
        </is>
      </c>
      <c r="D5" s="8" t="n">
        <v>220</v>
      </c>
      <c r="E5" s="8" t="inlineStr">
        <is>
          <t>1F</t>
        </is>
      </c>
      <c r="F5" s="9" t="n">
        <v>2520</v>
      </c>
      <c r="G5" s="10" t="n">
        <v>0.7</v>
      </c>
      <c r="H5" s="9" t="n">
        <v>1764</v>
      </c>
      <c r="I5" s="10">
        <f>H5/(D5*0.9)</f>
        <v/>
      </c>
      <c r="J5" s="7" t="inlineStr">
        <is>
          <t>2P-16A</t>
        </is>
      </c>
      <c r="K5" s="7" t="inlineStr">
        <is>
          <t>2P-25A-30mA</t>
        </is>
      </c>
      <c r="L5" s="7" t="inlineStr">
        <is>
          <t>3x2.5 mm² LSOH</t>
        </is>
      </c>
      <c r="M5" s="7" t="inlineStr">
        <is>
          <t>20 mm PVC-P</t>
        </is>
      </c>
    </row>
    <row r="6" ht="20" customHeight="1">
      <c r="A6" s="3" t="inlineStr">
        <is>
          <t>TD-01 (2º Piso)</t>
        </is>
      </c>
      <c r="B6" s="3" t="inlineStr">
        <is>
          <t>C3</t>
        </is>
      </c>
      <c r="C6" s="3" t="inlineStr">
        <is>
          <t>Cocina (Pequeños Artefactos)</t>
        </is>
      </c>
      <c r="D6" s="4" t="n">
        <v>220</v>
      </c>
      <c r="E6" s="4" t="inlineStr">
        <is>
          <t>1F</t>
        </is>
      </c>
      <c r="F6" s="5" t="n">
        <v>1200</v>
      </c>
      <c r="G6" s="6" t="n">
        <v>0.8</v>
      </c>
      <c r="H6" s="5" t="n">
        <v>960</v>
      </c>
      <c r="I6" s="6">
        <f>H6/(D6*0.9)</f>
        <v/>
      </c>
      <c r="J6" s="3" t="inlineStr">
        <is>
          <t>2P-20A</t>
        </is>
      </c>
      <c r="K6" s="3" t="inlineStr">
        <is>
          <t>2P-25A-30mA</t>
        </is>
      </c>
      <c r="L6" s="3" t="inlineStr">
        <is>
          <t>3x2.5 mm² LSOH</t>
        </is>
      </c>
      <c r="M6" s="3" t="inlineStr">
        <is>
          <t>20 mm PVC-P</t>
        </is>
      </c>
    </row>
    <row r="7" ht="20" customHeight="1">
      <c r="A7" s="7" t="inlineStr">
        <is>
          <t>TD-02 (3º Piso)</t>
        </is>
      </c>
      <c r="B7" s="7" t="inlineStr">
        <is>
          <t>C4</t>
        </is>
      </c>
      <c r="C7" s="7" t="inlineStr">
        <is>
          <t>Lavandería (Lavadora y Servicio)</t>
        </is>
      </c>
      <c r="D7" s="8" t="n">
        <v>220</v>
      </c>
      <c r="E7" s="8" t="inlineStr">
        <is>
          <t>1F</t>
        </is>
      </c>
      <c r="F7" s="9" t="n">
        <v>360</v>
      </c>
      <c r="G7" s="10" t="n">
        <v>0.8</v>
      </c>
      <c r="H7" s="9" t="n">
        <v>288</v>
      </c>
      <c r="I7" s="10">
        <f>H7/(D7*0.9)</f>
        <v/>
      </c>
      <c r="J7" s="7" t="inlineStr">
        <is>
          <t>2P-16A</t>
        </is>
      </c>
      <c r="K7" s="7" t="inlineStr">
        <is>
          <t>2P-25A-30mA</t>
        </is>
      </c>
      <c r="L7" s="7" t="inlineStr">
        <is>
          <t>3x2.5 mm² LSOH</t>
        </is>
      </c>
      <c r="M7" s="7" t="inlineStr">
        <is>
          <t>20 mm PVC-P</t>
        </is>
      </c>
    </row>
    <row r="8" ht="20" customHeight="1">
      <c r="A8" s="3" t="inlineStr">
        <is>
          <t>TD-02 (3º Piso)</t>
        </is>
      </c>
      <c r="B8" s="3" t="inlineStr">
        <is>
          <t>C5</t>
        </is>
      </c>
      <c r="C8" s="3" t="inlineStr">
        <is>
          <t>Carga Especial (Bomba de Agua)</t>
        </is>
      </c>
      <c r="D8" s="4" t="n">
        <v>220</v>
      </c>
      <c r="E8" s="4" t="inlineStr">
        <is>
          <t>1F</t>
        </is>
      </c>
      <c r="F8" s="5" t="n">
        <v>750</v>
      </c>
      <c r="G8" s="6" t="n">
        <v>1</v>
      </c>
      <c r="H8" s="5" t="n">
        <v>750</v>
      </c>
      <c r="I8" s="6">
        <f>H8/(D8*0.9)</f>
        <v/>
      </c>
      <c r="J8" s="3" t="inlineStr">
        <is>
          <t>2P-16A</t>
        </is>
      </c>
      <c r="K8" s="3" t="inlineStr">
        <is>
          <t>2P-25A-30mA</t>
        </is>
      </c>
      <c r="L8" s="3" t="inlineStr">
        <is>
          <t>3x2.5 mm² LSOH</t>
        </is>
      </c>
      <c r="M8" s="3" t="inlineStr">
        <is>
          <t>20 mm PVC-P</t>
        </is>
      </c>
    </row>
    <row r="9" ht="22" customHeight="1">
      <c r="A9" s="11" t="inlineStr">
        <is>
          <t>TOTAL INSTALADO / MÁXIMA DEMANDA</t>
        </is>
      </c>
      <c r="B9" s="12" t="n"/>
      <c r="C9" s="12" t="n"/>
      <c r="D9" s="12" t="n"/>
      <c r="E9" s="12" t="n"/>
      <c r="F9" s="13">
        <f>SUM(F4:F8)</f>
        <v/>
      </c>
      <c r="G9" s="12" t="n"/>
      <c r="H9" s="13">
        <f>SUM(H4:H8)</f>
        <v/>
      </c>
      <c r="I9" s="14">
        <f>H9/(220*0.9)</f>
        <v/>
      </c>
      <c r="J9" s="11" t="inlineStr">
        <is>
          <t>ITM Gral: 2P-40A</t>
        </is>
      </c>
      <c r="K9" s="11" t="inlineStr">
        <is>
          <t>ID Gral: 2P-40A-30mA</t>
        </is>
      </c>
      <c r="L9" s="11" t="inlineStr">
        <is>
          <t>Acometida: 2x10mm² + 10mm²(T)</t>
        </is>
      </c>
      <c r="M9" s="11" t="inlineStr">
        <is>
          <t>25 mm PVC-P</t>
        </is>
      </c>
    </row>
  </sheetData>
  <mergeCells count="2">
    <mergeCell ref="A9:E9"/>
    <mergeCell ref="A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2026-06-03T06:02:22Z</dcterms:created>
  <dcterms:modified xsi:type="dcterms:W3CDTF">2026-06-03T06:02:22Z</dcterms:modified>
</cp:coreProperties>
</file>