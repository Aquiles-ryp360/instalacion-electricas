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&quot; #,##0.00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A5568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4" fontId="5" fillId="0" borderId="2" pivotButton="0" quotePrefix="0" xfId="0"/>
    <xf numFmtId="0" fontId="4" fillId="0" borderId="0" applyAlignment="1" pivotButton="0" quotePrefix="0" xfId="0">
      <alignment horizontal="right"/>
    </xf>
    <xf numFmtId="164" fontId="4" fillId="0" borderId="0" pivotButton="0" quotePrefix="0" xfId="0"/>
    <xf numFmtId="0" fontId="5" fillId="4" borderId="0" applyAlignment="1" pivotButton="0" quotePrefix="0" xfId="0">
      <alignment horizontal="right"/>
    </xf>
    <xf numFmtId="164" fontId="5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24" customWidth="1" min="4" max="4"/>
    <col width="6" customWidth="1" min="5" max="5"/>
    <col width="6" customWidth="1" min="6" max="6"/>
    <col width="15" customWidth="1" min="7" max="7"/>
    <col width="15" customWidth="1" min="8" max="8"/>
    <col width="20" customWidth="1" min="9" max="9"/>
    <col width="15" customWidth="1" min="10" max="10"/>
    <col width="14" customWidth="1" min="11" max="11"/>
    <col width="20" customWidth="1" min="12" max="12"/>
    <col width="106" customWidth="1" min="13" max="13"/>
    <col width="16" customWidth="1" min="14" max="14"/>
  </cols>
  <sheetData>
    <row r="1">
      <c r="A1" s="1" t="inlineStr">
        <is>
          <t>PRESUPUESTO COMPARATIVO DE PROVEEDORES - PROYECTO RENZO</t>
        </is>
      </c>
    </row>
    <row r="2">
      <c r="A2" s="2" t="inlineStr">
        <is>
          <t>Propietario: Renzo Gabriel Mamani Galindo  |  Curso: Instalaciones Eléctricas I  |  Fecha: 2026-06-08</t>
        </is>
      </c>
    </row>
    <row r="3"/>
    <row r="4" ht="30" customHeight="1">
      <c r="A4" s="3" t="inlineStr">
        <is>
          <t>Item</t>
        </is>
      </c>
      <c r="B4" s="3" t="inlineStr">
        <is>
          <t>Descripcion del Material</t>
        </is>
      </c>
      <c r="C4" s="3" t="inlineStr">
        <is>
          <t>Marca</t>
        </is>
      </c>
      <c r="D4" s="3" t="inlineStr">
        <is>
          <t>Norma Tecnica</t>
        </is>
      </c>
      <c r="E4" s="3" t="inlineStr">
        <is>
          <t>Unidad</t>
        </is>
      </c>
      <c r="F4" s="3" t="inlineStr">
        <is>
          <t>Cant</t>
        </is>
      </c>
      <c r="G4" s="3" t="inlineStr">
        <is>
          <t>Sodimac (S/)</t>
        </is>
      </c>
      <c r="H4" s="3" t="inlineStr">
        <is>
          <t>Promart (S/)</t>
        </is>
      </c>
      <c r="I4" s="3" t="inlineStr">
        <is>
          <t>MercadoLibre (S/)</t>
        </is>
      </c>
      <c r="J4" s="3" t="inlineStr">
        <is>
          <t>Maestro (S/)</t>
        </is>
      </c>
      <c r="K4" s="3" t="inlineStr">
        <is>
          <t>Google (S/)</t>
        </is>
      </c>
      <c r="L4" s="3" t="inlineStr">
        <is>
          <t>Mejor Precio (S/)</t>
        </is>
      </c>
      <c r="M4" s="3" t="inlineStr">
        <is>
          <t>Mejor Proveedor</t>
        </is>
      </c>
      <c r="N4" s="3" t="inlineStr">
        <is>
          <t>Subtotal (S/)</t>
        </is>
      </c>
    </row>
    <row r="5" ht="20" customHeight="1">
      <c r="A5" s="4" t="n">
        <v>1</v>
      </c>
      <c r="B5" s="5" t="inlineStr">
        <is>
          <t>Cable TW THW 10 mm2 (Alimentador / Tierra)</t>
        </is>
      </c>
      <c r="C5" s="4" t="inlineStr">
        <is>
          <t>Indeco</t>
        </is>
      </c>
      <c r="D5" s="5" t="inlineStr">
        <is>
          <t>NTP-IEC 60228</t>
        </is>
      </c>
      <c r="E5" s="4" t="inlineStr">
        <is>
          <t>m</t>
        </is>
      </c>
      <c r="F5" s="6" t="n">
        <v>125</v>
      </c>
      <c r="G5" s="7" t="n">
        <v>14.8</v>
      </c>
      <c r="H5" s="7" t="n">
        <v>14.5</v>
      </c>
      <c r="I5" s="7" t="n">
        <v>16</v>
      </c>
      <c r="J5" s="7" t="n">
        <v>15</v>
      </c>
      <c r="K5" s="7" t="n">
        <v>13.9</v>
      </c>
      <c r="L5" s="7">
        <f>MIN(G5:K5)</f>
        <v/>
      </c>
      <c r="M5" s="4">
        <f>IF(L5=G5,"Sodimac",IF(L5=H5,"Promart",IF(L5=I5,"Mercado Libre",IF(L5=J5,"Maestro","Google"))))</f>
        <v/>
      </c>
      <c r="N5" s="7">
        <f>F5*L5</f>
        <v/>
      </c>
    </row>
    <row r="6" ht="20" customHeight="1">
      <c r="A6" s="8" t="n">
        <v>2</v>
      </c>
      <c r="B6" s="9" t="inlineStr">
        <is>
          <t>Cable TW THW 1.5 mm2 (Alumbrado)</t>
        </is>
      </c>
      <c r="C6" s="8" t="inlineStr">
        <is>
          <t>Indeco</t>
        </is>
      </c>
      <c r="D6" s="9" t="inlineStr">
        <is>
          <t>NTP-IEC 60228</t>
        </is>
      </c>
      <c r="E6" s="8" t="inlineStr">
        <is>
          <t>m</t>
        </is>
      </c>
      <c r="F6" s="10" t="n">
        <v>150</v>
      </c>
      <c r="G6" s="11" t="n">
        <v>1.7</v>
      </c>
      <c r="H6" s="11" t="n">
        <v>1.65</v>
      </c>
      <c r="I6" s="11" t="n">
        <v>1.9</v>
      </c>
      <c r="J6" s="11" t="n">
        <v>1.75</v>
      </c>
      <c r="K6" s="11" t="n">
        <v>1.6</v>
      </c>
      <c r="L6" s="11">
        <f>MIN(G6:K6)</f>
        <v/>
      </c>
      <c r="M6" s="8">
        <f>IF(L6=G6,"Sodimac",IF(L6=H6,"Promart",IF(L6=I6,"Mercado Libre",IF(L6=J6,"Maestro","Google"))))</f>
        <v/>
      </c>
      <c r="N6" s="11">
        <f>F6*L6</f>
        <v/>
      </c>
    </row>
    <row r="7" ht="20" customHeight="1">
      <c r="A7" s="4" t="n">
        <v>3</v>
      </c>
      <c r="B7" s="5" t="inlineStr">
        <is>
          <t>Cable TW THW 2.5 mm2 (Tomacorrientes)</t>
        </is>
      </c>
      <c r="C7" s="4" t="inlineStr">
        <is>
          <t>Indeco</t>
        </is>
      </c>
      <c r="D7" s="5" t="inlineStr">
        <is>
          <t>NTP-IEC 60228</t>
        </is>
      </c>
      <c r="E7" s="4" t="inlineStr">
        <is>
          <t>m</t>
        </is>
      </c>
      <c r="F7" s="6" t="n">
        <v>220</v>
      </c>
      <c r="G7" s="7" t="n">
        <v>2.6</v>
      </c>
      <c r="H7" s="7" t="n">
        <v>2.55</v>
      </c>
      <c r="I7" s="7" t="n">
        <v>2.9</v>
      </c>
      <c r="J7" s="7" t="n">
        <v>2.65</v>
      </c>
      <c r="K7" s="7" t="n">
        <v>2.5</v>
      </c>
      <c r="L7" s="7">
        <f>MIN(G7:K7)</f>
        <v/>
      </c>
      <c r="M7" s="4">
        <f>IF(L7=G7,"Sodimac",IF(L7=H7,"Promart",IF(L7=I7,"Mercado Libre",IF(L7=J7,"Maestro","Google"))))</f>
        <v/>
      </c>
      <c r="N7" s="7">
        <f>F7*L7</f>
        <v/>
      </c>
    </row>
    <row r="8" ht="20" customHeight="1">
      <c r="A8" s="8" t="n">
        <v>4</v>
      </c>
      <c r="B8" s="9" t="inlineStr">
        <is>
          <t>Tubo PVC SAP 32 mm</t>
        </is>
      </c>
      <c r="C8" s="8" t="inlineStr">
        <is>
          <t>Pavco Wavin</t>
        </is>
      </c>
      <c r="D8" s="9" t="inlineStr">
        <is>
          <t>NTP 399.006</t>
        </is>
      </c>
      <c r="E8" s="8" t="inlineStr">
        <is>
          <t>m</t>
        </is>
      </c>
      <c r="F8" s="10" t="n">
        <v>25</v>
      </c>
      <c r="G8" s="11" t="n">
        <v>6.8</v>
      </c>
      <c r="H8" s="11" t="n">
        <v>6.5</v>
      </c>
      <c r="I8" s="11" t="n">
        <v>7.5</v>
      </c>
      <c r="J8" s="11" t="n">
        <v>6.7</v>
      </c>
      <c r="K8" s="11" t="n">
        <v>6.2</v>
      </c>
      <c r="L8" s="11">
        <f>MIN(G8:K8)</f>
        <v/>
      </c>
      <c r="M8" s="8">
        <f>IF(L8=G8,"Sodimac",IF(L8=H8,"Promart",IF(L8=I8,"Mercado Libre",IF(L8=J8,"Maestro","Google"))))</f>
        <v/>
      </c>
      <c r="N8" s="11">
        <f>F8*L8</f>
        <v/>
      </c>
    </row>
    <row r="9" ht="20" customHeight="1">
      <c r="A9" s="4" t="n">
        <v>5</v>
      </c>
      <c r="B9" s="5" t="inlineStr">
        <is>
          <t>Tubo PVC SAP 20 mm</t>
        </is>
      </c>
      <c r="C9" s="4" t="inlineStr">
        <is>
          <t>Pavco Wavin</t>
        </is>
      </c>
      <c r="D9" s="5" t="inlineStr">
        <is>
          <t>NTP 399.006</t>
        </is>
      </c>
      <c r="E9" s="4" t="inlineStr">
        <is>
          <t>m</t>
        </is>
      </c>
      <c r="F9" s="6" t="n">
        <v>185</v>
      </c>
      <c r="G9" s="7" t="n">
        <v>2.3</v>
      </c>
      <c r="H9" s="7" t="n">
        <v>2.25</v>
      </c>
      <c r="I9" s="7" t="n">
        <v>2.8</v>
      </c>
      <c r="J9" s="7" t="n">
        <v>2.35</v>
      </c>
      <c r="K9" s="7" t="n">
        <v>2.2</v>
      </c>
      <c r="L9" s="7">
        <f>MIN(G9:K9)</f>
        <v/>
      </c>
      <c r="M9" s="4">
        <f>IF(L9=G9,"Sodimac",IF(L9=H9,"Promart",IF(L9=I9,"Mercado Libre",IF(L9=J9,"Maestro","Google"))))</f>
        <v/>
      </c>
      <c r="N9" s="7">
        <f>F9*L9</f>
        <v/>
      </c>
    </row>
    <row r="10" ht="20" customHeight="1">
      <c r="A10" s="8" t="n">
        <v>6</v>
      </c>
      <c r="B10" s="9" t="inlineStr">
        <is>
          <t>ITM 2P-40A (Interruptor General)</t>
        </is>
      </c>
      <c r="C10" s="8" t="inlineStr">
        <is>
          <t>Bticino</t>
        </is>
      </c>
      <c r="D10" s="9" t="inlineStr">
        <is>
          <t>NTP-IEC 60898-1</t>
        </is>
      </c>
      <c r="E10" s="8" t="inlineStr">
        <is>
          <t>und</t>
        </is>
      </c>
      <c r="F10" s="10" t="n">
        <v>1</v>
      </c>
      <c r="G10" s="11" t="n">
        <v>45.9</v>
      </c>
      <c r="H10" s="11" t="n">
        <v>42.9</v>
      </c>
      <c r="I10" s="11" t="n">
        <v>49</v>
      </c>
      <c r="J10" s="11" t="n">
        <v>46.5</v>
      </c>
      <c r="K10" s="11" t="n">
        <v>39.9</v>
      </c>
      <c r="L10" s="11">
        <f>MIN(G10:K10)</f>
        <v/>
      </c>
      <c r="M10" s="8">
        <f>IF(L10=G10,"Sodimac",IF(L10=H10,"Promart",IF(L10=I10,"Mercado Libre",IF(L10=J10,"Maestro","Google"))))</f>
        <v/>
      </c>
      <c r="N10" s="11">
        <f>F10*L10</f>
        <v/>
      </c>
    </row>
    <row r="11" ht="20" customHeight="1">
      <c r="A11" s="4" t="n">
        <v>7</v>
      </c>
      <c r="B11" s="5" t="inlineStr">
        <is>
          <t>ITM 2P-10A (Alumbrado)</t>
        </is>
      </c>
      <c r="C11" s="4" t="inlineStr">
        <is>
          <t>Bticino</t>
        </is>
      </c>
      <c r="D11" s="5" t="inlineStr">
        <is>
          <t>NTP-IEC 60898-1</t>
        </is>
      </c>
      <c r="E11" s="4" t="inlineStr">
        <is>
          <t>und</t>
        </is>
      </c>
      <c r="F11" s="6" t="n">
        <v>3</v>
      </c>
      <c r="G11" s="7" t="n">
        <v>38.5</v>
      </c>
      <c r="H11" s="7" t="n">
        <v>39.9</v>
      </c>
      <c r="I11" s="7" t="n">
        <v>42</v>
      </c>
      <c r="J11" s="7" t="n">
        <v>39</v>
      </c>
      <c r="K11" s="7" t="n">
        <v>36.9</v>
      </c>
      <c r="L11" s="7">
        <f>MIN(G11:K11)</f>
        <v/>
      </c>
      <c r="M11" s="4">
        <f>IF(L11=G11,"Sodimac",IF(L11=H11,"Promart",IF(L11=I11,"Mercado Libre",IF(L11=J11,"Maestro","Google"))))</f>
        <v/>
      </c>
      <c r="N11" s="7">
        <f>F11*L11</f>
        <v/>
      </c>
    </row>
    <row r="12" ht="20" customHeight="1">
      <c r="A12" s="8" t="n">
        <v>8</v>
      </c>
      <c r="B12" s="9" t="inlineStr">
        <is>
          <t>ITM 2P-16A (Tomacorrientes)</t>
        </is>
      </c>
      <c r="C12" s="8" t="inlineStr">
        <is>
          <t>Bticino</t>
        </is>
      </c>
      <c r="D12" s="9" t="inlineStr">
        <is>
          <t>NTP-IEC 60898-1</t>
        </is>
      </c>
      <c r="E12" s="8" t="inlineStr">
        <is>
          <t>und</t>
        </is>
      </c>
      <c r="F12" s="10" t="n">
        <v>3</v>
      </c>
      <c r="G12" s="11" t="n">
        <v>39.9</v>
      </c>
      <c r="H12" s="11" t="n">
        <v>39</v>
      </c>
      <c r="I12" s="11" t="n">
        <v>45</v>
      </c>
      <c r="J12" s="11" t="n">
        <v>40.5</v>
      </c>
      <c r="K12" s="11" t="n">
        <v>37.9</v>
      </c>
      <c r="L12" s="11">
        <f>MIN(G12:K12)</f>
        <v/>
      </c>
      <c r="M12" s="8">
        <f>IF(L12=G12,"Sodimac",IF(L12=H12,"Promart",IF(L12=I12,"Mercado Libre",IF(L12=J12,"Maestro","Google"))))</f>
        <v/>
      </c>
      <c r="N12" s="11">
        <f>F12*L12</f>
        <v/>
      </c>
    </row>
    <row r="13" ht="20" customHeight="1">
      <c r="A13" s="4" t="n">
        <v>9</v>
      </c>
      <c r="B13" s="5" t="inlineStr">
        <is>
          <t>ITM 2P-20A (Cocina)</t>
        </is>
      </c>
      <c r="C13" s="4" t="inlineStr">
        <is>
          <t>Bticino</t>
        </is>
      </c>
      <c r="D13" s="5" t="inlineStr">
        <is>
          <t>NTP-IEC 60898-1</t>
        </is>
      </c>
      <c r="E13" s="4" t="inlineStr">
        <is>
          <t>und</t>
        </is>
      </c>
      <c r="F13" s="6" t="n">
        <v>1</v>
      </c>
      <c r="G13" s="7" t="n">
        <v>42.5</v>
      </c>
      <c r="H13" s="7" t="n">
        <v>39.9</v>
      </c>
      <c r="I13" s="7" t="n">
        <v>48</v>
      </c>
      <c r="J13" s="7" t="n">
        <v>43</v>
      </c>
      <c r="K13" s="7" t="n">
        <v>38.9</v>
      </c>
      <c r="L13" s="7">
        <f>MIN(G13:K13)</f>
        <v/>
      </c>
      <c r="M13" s="4">
        <f>IF(L13=G13,"Sodimac",IF(L13=H13,"Promart",IF(L13=I13,"Mercado Libre",IF(L13=J13,"Maestro","Google"))))</f>
        <v/>
      </c>
      <c r="N13" s="7">
        <f>F13*L13</f>
        <v/>
      </c>
    </row>
    <row r="14" ht="20" customHeight="1">
      <c r="A14" s="8" t="n">
        <v>10</v>
      </c>
      <c r="B14" s="9" t="inlineStr">
        <is>
          <t>Interruptor diferencial 2P-40A-30mA</t>
        </is>
      </c>
      <c r="C14" s="8" t="inlineStr">
        <is>
          <t>Schneider Electric</t>
        </is>
      </c>
      <c r="D14" s="9" t="inlineStr">
        <is>
          <t>NTP-IEC 61008-1</t>
        </is>
      </c>
      <c r="E14" s="8" t="inlineStr">
        <is>
          <t>und</t>
        </is>
      </c>
      <c r="F14" s="10" t="n">
        <v>1</v>
      </c>
      <c r="G14" s="11" t="n">
        <v>160.6</v>
      </c>
      <c r="H14" s="11" t="n">
        <v>179</v>
      </c>
      <c r="I14" s="11" t="n">
        <v>165</v>
      </c>
      <c r="J14" s="11" t="n">
        <v>162</v>
      </c>
      <c r="K14" s="11" t="n">
        <v>159</v>
      </c>
      <c r="L14" s="11">
        <f>MIN(G14:K14)</f>
        <v/>
      </c>
      <c r="M14" s="8">
        <f>IF(L14=G14,"Sodimac",IF(L14=H14,"Promart",IF(L14=I14,"Mercado Libre",IF(L14=J14,"Maestro","Google"))))</f>
        <v/>
      </c>
      <c r="N14" s="11">
        <f>F14*L14</f>
        <v/>
      </c>
    </row>
    <row r="15" ht="20" customHeight="1">
      <c r="A15" s="4" t="n">
        <v>11</v>
      </c>
      <c r="B15" s="5" t="inlineStr">
        <is>
          <t>Interruptor diferencial 2P-25A-30mA</t>
        </is>
      </c>
      <c r="C15" s="4" t="inlineStr">
        <is>
          <t>Schneider Electric</t>
        </is>
      </c>
      <c r="D15" s="5" t="inlineStr">
        <is>
          <t>NTP-IEC 61008-1</t>
        </is>
      </c>
      <c r="E15" s="4" t="inlineStr">
        <is>
          <t>und</t>
        </is>
      </c>
      <c r="F15" s="6" t="n">
        <v>4</v>
      </c>
      <c r="G15" s="7" t="n">
        <v>148</v>
      </c>
      <c r="H15" s="7" t="n">
        <v>145</v>
      </c>
      <c r="I15" s="7" t="n">
        <v>155</v>
      </c>
      <c r="J15" s="7" t="n">
        <v>149</v>
      </c>
      <c r="K15" s="7" t="n">
        <v>139.9</v>
      </c>
      <c r="L15" s="7">
        <f>MIN(G15:K15)</f>
        <v/>
      </c>
      <c r="M15" s="4">
        <f>IF(L15=G15,"Sodimac",IF(L15=H15,"Promart",IF(L15=I15,"Mercado Libre",IF(L15=J15,"Maestro","Google"))))</f>
        <v/>
      </c>
      <c r="N15" s="7">
        <f>F15*L15</f>
        <v/>
      </c>
    </row>
    <row r="16" ht="20" customHeight="1">
      <c r="A16" s="8" t="n">
        <v>12</v>
      </c>
      <c r="B16" s="9" t="inlineStr">
        <is>
          <t>Tablero general para 8 circuitos</t>
        </is>
      </c>
      <c r="C16" s="8" t="inlineStr">
        <is>
          <t>Bticino</t>
        </is>
      </c>
      <c r="D16" s="9" t="inlineStr">
        <is>
          <t>IEC 61439</t>
        </is>
      </c>
      <c r="E16" s="8" t="inlineStr">
        <is>
          <t>und</t>
        </is>
      </c>
      <c r="F16" s="10" t="n">
        <v>1</v>
      </c>
      <c r="G16" s="11" t="n">
        <v>79.90000000000001</v>
      </c>
      <c r="H16" s="11" t="n">
        <v>75</v>
      </c>
      <c r="I16" s="11" t="n">
        <v>85</v>
      </c>
      <c r="J16" s="11" t="n">
        <v>81</v>
      </c>
      <c r="K16" s="11" t="n">
        <v>72</v>
      </c>
      <c r="L16" s="11">
        <f>MIN(G16:K16)</f>
        <v/>
      </c>
      <c r="M16" s="8">
        <f>IF(L16=G16,"Sodimac",IF(L16=H16,"Promart",IF(L16=I16,"Mercado Libre",IF(L16=J16,"Maestro","Google"))))</f>
        <v/>
      </c>
      <c r="N16" s="11">
        <f>F16*L16</f>
        <v/>
      </c>
    </row>
    <row r="17" ht="20" customHeight="1">
      <c r="A17" s="4" t="n">
        <v>13</v>
      </c>
      <c r="B17" s="5" t="inlineStr">
        <is>
          <t>Caja rectangular/octogonal FG</t>
        </is>
      </c>
      <c r="C17" s="4" t="inlineStr">
        <is>
          <t>Krosch</t>
        </is>
      </c>
      <c r="D17" s="5" t="inlineStr">
        <is>
          <t>NTP 370.054</t>
        </is>
      </c>
      <c r="E17" s="4" t="inlineStr">
        <is>
          <t>und</t>
        </is>
      </c>
      <c r="F17" s="6" t="n">
        <v>47</v>
      </c>
      <c r="G17" s="7" t="n">
        <v>3.8</v>
      </c>
      <c r="H17" s="7" t="n">
        <v>3.5</v>
      </c>
      <c r="I17" s="7" t="n">
        <v>4.5</v>
      </c>
      <c r="J17" s="7" t="n">
        <v>3.9</v>
      </c>
      <c r="K17" s="7" t="n">
        <v>3.2</v>
      </c>
      <c r="L17" s="7">
        <f>MIN(G17:K17)</f>
        <v/>
      </c>
      <c r="M17" s="4">
        <f>IF(L17=G17,"Sodimac",IF(L17=H17,"Promart",IF(L17=I17,"Mercado Libre",IF(L17=J17,"Maestro","Google"))))</f>
        <v/>
      </c>
      <c r="N17" s="7">
        <f>F17*L17</f>
        <v/>
      </c>
    </row>
    <row r="18" ht="20" customHeight="1">
      <c r="A18" s="8" t="n">
        <v>14</v>
      </c>
      <c r="B18" s="9" t="inlineStr">
        <is>
          <t>Varilla de puesta a tierra 5/8 x 2.4 m</t>
        </is>
      </c>
      <c r="C18" s="8" t="inlineStr">
        <is>
          <t>Jesa</t>
        </is>
      </c>
      <c r="D18" s="9" t="inlineStr">
        <is>
          <t>NTP 370.056</t>
        </is>
      </c>
      <c r="E18" s="8" t="inlineStr">
        <is>
          <t>und</t>
        </is>
      </c>
      <c r="F18" s="10" t="n">
        <v>1</v>
      </c>
      <c r="G18" s="11" t="n">
        <v>139</v>
      </c>
      <c r="H18" s="11" t="n">
        <v>135</v>
      </c>
      <c r="I18" s="11" t="n">
        <v>145</v>
      </c>
      <c r="J18" s="11" t="n">
        <v>140</v>
      </c>
      <c r="K18" s="11" t="n">
        <v>129</v>
      </c>
      <c r="L18" s="11">
        <f>MIN(G18:K18)</f>
        <v/>
      </c>
      <c r="M18" s="8">
        <f>IF(L18=G18,"Sodimac",IF(L18=H18,"Promart",IF(L18=I18,"Mercado Libre",IF(L18=J18,"Maestro","Google"))))</f>
        <v/>
      </c>
      <c r="N18" s="11">
        <f>F18*L18</f>
        <v/>
      </c>
    </row>
    <row r="19" ht="20" customHeight="1">
      <c r="A19" s="4" t="n">
        <v>15</v>
      </c>
      <c r="B19" s="5" t="inlineStr">
        <is>
          <t>Cinta de aislar electrica</t>
        </is>
      </c>
      <c r="C19" s="4" t="inlineStr">
        <is>
          <t>3M</t>
        </is>
      </c>
      <c r="D19" s="5" t="inlineStr">
        <is>
          <t>ASTM D3000</t>
        </is>
      </c>
      <c r="E19" s="4" t="inlineStr">
        <is>
          <t>und</t>
        </is>
      </c>
      <c r="F19" s="6" t="n">
        <v>5</v>
      </c>
      <c r="G19" s="7" t="n">
        <v>7.8</v>
      </c>
      <c r="H19" s="7" t="n">
        <v>7.5</v>
      </c>
      <c r="I19" s="7" t="n">
        <v>9</v>
      </c>
      <c r="J19" s="7" t="n">
        <v>8</v>
      </c>
      <c r="K19" s="7" t="n">
        <v>6.9</v>
      </c>
      <c r="L19" s="7">
        <f>MIN(G19:K19)</f>
        <v/>
      </c>
      <c r="M19" s="4">
        <f>IF(L19=G19,"Sodimac",IF(L19=H19,"Promart",IF(L19=I19,"Mercado Libre",IF(L19=J19,"Maestro","Google"))))</f>
        <v/>
      </c>
      <c r="N19" s="7">
        <f>F19*L19</f>
        <v/>
      </c>
    </row>
    <row r="20"/>
    <row r="21">
      <c r="M21" s="12" t="inlineStr">
        <is>
          <t>Total Materiales:</t>
        </is>
      </c>
      <c r="N21" s="13">
        <f>SUM(N5:N19)</f>
        <v/>
      </c>
    </row>
    <row r="22">
      <c r="M22" s="14" t="inlineStr">
        <is>
          <t>Mano de Obra (40%):</t>
        </is>
      </c>
      <c r="N22" s="15">
        <f>N21*0.40</f>
        <v/>
      </c>
    </row>
    <row r="23">
      <c r="M23" s="14" t="inlineStr">
        <is>
          <t>Subtotal General:</t>
        </is>
      </c>
      <c r="N23" s="15">
        <f>N21+N22</f>
        <v/>
      </c>
    </row>
    <row r="24">
      <c r="M24" s="14" t="inlineStr">
        <is>
          <t>IGV (18%):</t>
        </is>
      </c>
      <c r="N24" s="15">
        <f>N23*0.18</f>
        <v/>
      </c>
    </row>
    <row r="25">
      <c r="M25" s="16" t="inlineStr">
        <is>
          <t>TOTAL GENERAL:</t>
        </is>
      </c>
      <c r="N25" s="17">
        <f>N23+N24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2026-06-08T16:35:48Z</dcterms:created>
  <dcterms:modified xmlns:dcterms="http://purl.org/dc/terms/" xmlns:xsi="http://www.w3.org/2001/XMLSchema-instance" xsi:type="dcterms:W3CDTF">2026-06-08T16:35:48Z</dcterms:modified>
</cp:coreProperties>
</file>