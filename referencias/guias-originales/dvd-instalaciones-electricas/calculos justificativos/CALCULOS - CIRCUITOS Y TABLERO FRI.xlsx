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embeddings/oleObject270.bin" ContentType="application/vnd.openxmlformats-officedocument.oleObject"/>
  <Override PartName="/xl/embeddings/oleObject271.bin" ContentType="application/vnd.openxmlformats-officedocument.oleObject"/>
  <Override PartName="/xl/embeddings/oleObject272.bin" ContentType="application/vnd.openxmlformats-officedocument.oleObject"/>
  <Override PartName="/xl/embeddings/oleObject273.bin" ContentType="application/vnd.openxmlformats-officedocument.oleObject"/>
  <Override PartName="/xl/embeddings/oleObject274.bin" ContentType="application/vnd.openxmlformats-officedocument.oleObject"/>
  <Override PartName="/xl/embeddings/oleObject275.bin" ContentType="application/vnd.openxmlformats-officedocument.oleObject"/>
  <Override PartName="/xl/embeddings/oleObject276.bin" ContentType="application/vnd.openxmlformats-officedocument.oleObject"/>
  <Override PartName="/xl/embeddings/oleObject277.bin" ContentType="application/vnd.openxmlformats-officedocument.oleObject"/>
  <Override PartName="/xl/embeddings/oleObject278.bin" ContentType="application/vnd.openxmlformats-officedocument.oleObject"/>
  <Override PartName="/xl/embeddings/oleObject279.bin" ContentType="application/vnd.openxmlformats-officedocument.oleObject"/>
  <Override PartName="/xl/embeddings/oleObject280.bin" ContentType="application/vnd.openxmlformats-officedocument.oleObject"/>
  <Override PartName="/xl/embeddings/oleObject281.bin" ContentType="application/vnd.openxmlformats-officedocument.oleObject"/>
  <Override PartName="/xl/embeddings/oleObject282.bin" ContentType="application/vnd.openxmlformats-officedocument.oleObject"/>
  <Override PartName="/xl/drawings/drawing2.xml" ContentType="application/vnd.openxmlformats-officedocument.drawing+xml"/>
  <Override PartName="/xl/embeddings/oleObject283.bin" ContentType="application/vnd.openxmlformats-officedocument.oleObject"/>
  <Override PartName="/xl/embeddings/oleObject284.bin" ContentType="application/vnd.openxmlformats-officedocument.oleObject"/>
  <Override PartName="/xl/embeddings/oleObject285.bin" ContentType="application/vnd.openxmlformats-officedocument.oleObject"/>
  <Override PartName="/xl/embeddings/oleObject286.bin" ContentType="application/vnd.openxmlformats-officedocument.oleObject"/>
  <Override PartName="/xl/embeddings/oleObject287.bin" ContentType="application/vnd.openxmlformats-officedocument.oleObject"/>
  <Override PartName="/xl/embeddings/oleObject288.bin" ContentType="application/vnd.openxmlformats-officedocument.oleObject"/>
  <Override PartName="/xl/embeddings/oleObject289.bin" ContentType="application/vnd.openxmlformats-officedocument.oleObject"/>
  <Override PartName="/xl/embeddings/oleObject290.bin" ContentType="application/vnd.openxmlformats-officedocument.oleObject"/>
  <Override PartName="/xl/embeddings/oleObject291.bin" ContentType="application/vnd.openxmlformats-officedocument.oleObject"/>
  <Override PartName="/xl/embeddings/oleObject292.bin" ContentType="application/vnd.openxmlformats-officedocument.oleObject"/>
  <Override PartName="/xl/embeddings/oleObject293.bin" ContentType="application/vnd.openxmlformats-officedocument.oleObject"/>
  <Override PartName="/xl/embeddings/oleObject294.bin" ContentType="application/vnd.openxmlformats-officedocument.oleObject"/>
  <Override PartName="/xl/embeddings/oleObject295.bin" ContentType="application/vnd.openxmlformats-officedocument.oleObject"/>
  <Override PartName="/xl/embeddings/oleObject296.bin" ContentType="application/vnd.openxmlformats-officedocument.oleObject"/>
  <Override PartName="/xl/embeddings/oleObject297.bin" ContentType="application/vnd.openxmlformats-officedocument.oleObject"/>
  <Override PartName="/xl/embeddings/oleObject298.bin" ContentType="application/vnd.openxmlformats-officedocument.oleObject"/>
  <Override PartName="/xl/embeddings/oleObject299.bin" ContentType="application/vnd.openxmlformats-officedocument.oleObject"/>
  <Override PartName="/xl/embeddings/oleObject300.bin" ContentType="application/vnd.openxmlformats-officedocument.oleObject"/>
  <Override PartName="/xl/embeddings/oleObject301.bin" ContentType="application/vnd.openxmlformats-officedocument.oleObject"/>
  <Override PartName="/xl/embeddings/oleObject302.bin" ContentType="application/vnd.openxmlformats-officedocument.oleObject"/>
  <Override PartName="/xl/embeddings/oleObject303.bin" ContentType="application/vnd.openxmlformats-officedocument.oleObject"/>
  <Override PartName="/xl/embeddings/oleObject304.bin" ContentType="application/vnd.openxmlformats-officedocument.oleObject"/>
  <Override PartName="/xl/embeddings/oleObject305.bin" ContentType="application/vnd.openxmlformats-officedocument.oleObject"/>
  <Override PartName="/xl/embeddings/oleObject306.bin" ContentType="application/vnd.openxmlformats-officedocument.oleObject"/>
  <Override PartName="/xl/embeddings/oleObject307.bin" ContentType="application/vnd.openxmlformats-officedocument.oleObject"/>
  <Override PartName="/xl/embeddings/oleObject308.bin" ContentType="application/vnd.openxmlformats-officedocument.oleObject"/>
  <Override PartName="/xl/embeddings/oleObject309.bin" ContentType="application/vnd.openxmlformats-officedocument.oleObject"/>
  <Override PartName="/xl/embeddings/oleObject310.bin" ContentType="application/vnd.openxmlformats-officedocument.oleObject"/>
  <Override PartName="/xl/embeddings/oleObject311.bin" ContentType="application/vnd.openxmlformats-officedocument.oleObject"/>
  <Override PartName="/xl/embeddings/oleObject312.bin" ContentType="application/vnd.openxmlformats-officedocument.oleObject"/>
  <Override PartName="/xl/embeddings/oleObject313.bin" ContentType="application/vnd.openxmlformats-officedocument.oleObject"/>
  <Override PartName="/xl/embeddings/oleObject314.bin" ContentType="application/vnd.openxmlformats-officedocument.oleObject"/>
  <Override PartName="/xl/embeddings/oleObject315.bin" ContentType="application/vnd.openxmlformats-officedocument.oleObject"/>
  <Override PartName="/xl/embeddings/oleObject316.bin" ContentType="application/vnd.openxmlformats-officedocument.oleObject"/>
  <Override PartName="/xl/embeddings/oleObject317.bin" ContentType="application/vnd.openxmlformats-officedocument.oleObject"/>
  <Override PartName="/xl/embeddings/oleObject318.bin" ContentType="application/vnd.openxmlformats-officedocument.oleObject"/>
  <Override PartName="/xl/embeddings/oleObject319.bin" ContentType="application/vnd.openxmlformats-officedocument.oleObject"/>
  <Override PartName="/xl/embeddings/oleObject320.bin" ContentType="application/vnd.openxmlformats-officedocument.oleObject"/>
  <Override PartName="/xl/embeddings/oleObject321.bin" ContentType="application/vnd.openxmlformats-officedocument.oleObject"/>
  <Override PartName="/xl/drawings/drawing3.xml" ContentType="application/vnd.openxmlformats-officedocument.drawing+xml"/>
  <Override PartName="/xl/embeddings/oleObject322.bin" ContentType="application/vnd.openxmlformats-officedocument.oleObject"/>
  <Override PartName="/xl/embeddings/oleObject323.bin" ContentType="application/vnd.openxmlformats-officedocument.oleObject"/>
  <Override PartName="/xl/embeddings/oleObject324.bin" ContentType="application/vnd.openxmlformats-officedocument.oleObject"/>
  <Override PartName="/xl/embeddings/oleObject325.bin" ContentType="application/vnd.openxmlformats-officedocument.oleObject"/>
  <Override PartName="/xl/embeddings/oleObject326.bin" ContentType="application/vnd.openxmlformats-officedocument.oleObject"/>
  <Override PartName="/xl/embeddings/oleObject327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as\frigotifico\local administrativo\calculos justificativos\"/>
    </mc:Choice>
  </mc:AlternateContent>
  <bookViews>
    <workbookView xWindow="-120" yWindow="-120" windowWidth="24240" windowHeight="13140" tabRatio="786" firstSheet="1" activeTab="2"/>
  </bookViews>
  <sheets>
    <sheet name="Computadoras" sheetId="4" state="hidden" r:id="rId1"/>
    <sheet name="CUADRO DE CARGAS" sheetId="20" r:id="rId2"/>
    <sheet name="CALCULO POR CIRCUITOS" sheetId="26" r:id="rId3"/>
    <sheet name="CALCULOS  TAB. DIS." sheetId="18" r:id="rId4"/>
    <sheet name="CALCULO TAB. GEN. Y SUB. TAB" sheetId="22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" i="20" l="1"/>
  <c r="C11" i="26"/>
  <c r="D21" i="26"/>
  <c r="C12" i="26"/>
  <c r="B25" i="26" l="1"/>
  <c r="D347" i="26"/>
  <c r="F21" i="20"/>
  <c r="G21" i="20" s="1"/>
  <c r="I21" i="20" s="1"/>
  <c r="H21" i="20" l="1"/>
  <c r="J21" i="20" l="1"/>
  <c r="L21" i="20"/>
  <c r="D2346" i="26"/>
  <c r="D2295" i="26"/>
  <c r="D2371" i="26"/>
  <c r="D2320" i="26"/>
  <c r="F113" i="20"/>
  <c r="H113" i="20" s="1"/>
  <c r="F110" i="20"/>
  <c r="H110" i="20" s="1"/>
  <c r="C337" i="26" l="1"/>
  <c r="C338" i="26" s="1"/>
  <c r="B351" i="26" s="1"/>
  <c r="K21" i="20"/>
  <c r="G113" i="20"/>
  <c r="I113" i="20" s="1"/>
  <c r="G110" i="20"/>
  <c r="I110" i="20" s="1"/>
  <c r="L113" i="20"/>
  <c r="J113" i="20"/>
  <c r="L110" i="20"/>
  <c r="J110" i="20"/>
  <c r="D221" i="26"/>
  <c r="D196" i="26"/>
  <c r="D171" i="26"/>
  <c r="F14" i="20"/>
  <c r="G14" i="20" s="1"/>
  <c r="I14" i="20" s="1"/>
  <c r="F15" i="20"/>
  <c r="G15" i="20" s="1"/>
  <c r="I15" i="20" s="1"/>
  <c r="F13" i="20"/>
  <c r="H13" i="20" s="1"/>
  <c r="D146" i="26"/>
  <c r="F12" i="20"/>
  <c r="C7" i="20"/>
  <c r="C11" i="20"/>
  <c r="C10" i="20"/>
  <c r="C9" i="20"/>
  <c r="C8" i="20"/>
  <c r="K113" i="20" l="1"/>
  <c r="C2361" i="26"/>
  <c r="C2362" i="26" s="1"/>
  <c r="B2375" i="26" s="1"/>
  <c r="K110" i="20"/>
  <c r="C2310" i="26"/>
  <c r="C2311" i="26" s="1"/>
  <c r="B2324" i="26" s="1"/>
  <c r="H15" i="20"/>
  <c r="H14" i="20"/>
  <c r="G13" i="20"/>
  <c r="I13" i="20" s="1"/>
  <c r="L13" i="20"/>
  <c r="J13" i="20"/>
  <c r="G12" i="20"/>
  <c r="I12" i="20" s="1"/>
  <c r="H12" i="20"/>
  <c r="L15" i="20" l="1"/>
  <c r="J15" i="20"/>
  <c r="L14" i="20"/>
  <c r="J14" i="20"/>
  <c r="K13" i="20"/>
  <c r="C161" i="26"/>
  <c r="C162" i="26" s="1"/>
  <c r="B175" i="26" s="1"/>
  <c r="J12" i="20"/>
  <c r="L12" i="20"/>
  <c r="K12" i="20" l="1"/>
  <c r="C136" i="26"/>
  <c r="C137" i="26" s="1"/>
  <c r="B150" i="26" s="1"/>
  <c r="K15" i="20"/>
  <c r="C211" i="26"/>
  <c r="C212" i="26" s="1"/>
  <c r="B225" i="26" s="1"/>
  <c r="K14" i="20"/>
  <c r="C186" i="26"/>
  <c r="C187" i="26" s="1"/>
  <c r="B200" i="26" s="1"/>
  <c r="D902" i="26"/>
  <c r="F98" i="20" l="1"/>
  <c r="G98" i="20" s="1"/>
  <c r="F24" i="20"/>
  <c r="D573" i="26"/>
  <c r="D548" i="26"/>
  <c r="D523" i="26"/>
  <c r="F28" i="20"/>
  <c r="G28" i="20" s="1"/>
  <c r="I28" i="20" s="1"/>
  <c r="F29" i="20"/>
  <c r="G29" i="20" s="1"/>
  <c r="I29" i="20" s="1"/>
  <c r="F30" i="20"/>
  <c r="G30" i="20" s="1"/>
  <c r="I30" i="20" s="1"/>
  <c r="F107" i="20"/>
  <c r="F99" i="20"/>
  <c r="G99" i="20" s="1"/>
  <c r="F100" i="20"/>
  <c r="G100" i="20" s="1"/>
  <c r="C1670" i="20"/>
  <c r="F68" i="20"/>
  <c r="H68" i="20" s="1"/>
  <c r="H30" i="20" l="1"/>
  <c r="J30" i="20" s="1"/>
  <c r="H28" i="20"/>
  <c r="H29" i="20"/>
  <c r="G68" i="20"/>
  <c r="C408" i="20"/>
  <c r="D2269" i="26"/>
  <c r="D2243" i="26"/>
  <c r="D2218" i="26"/>
  <c r="D2193" i="26"/>
  <c r="D2167" i="26"/>
  <c r="D2142" i="26"/>
  <c r="D2117" i="26"/>
  <c r="D2092" i="26"/>
  <c r="F112" i="20"/>
  <c r="H112" i="20" s="1"/>
  <c r="H111" i="20" s="1"/>
  <c r="F109" i="20"/>
  <c r="H109" i="20" s="1"/>
  <c r="H108" i="20" s="1"/>
  <c r="H107" i="20"/>
  <c r="H106" i="20" s="1"/>
  <c r="F105" i="20"/>
  <c r="H105" i="20" s="1"/>
  <c r="F104" i="20"/>
  <c r="G104" i="20" s="1"/>
  <c r="I104" i="20" s="1"/>
  <c r="F103" i="20"/>
  <c r="H103" i="20" s="1"/>
  <c r="F102" i="20"/>
  <c r="G102" i="20" s="1"/>
  <c r="I102" i="20" s="1"/>
  <c r="F101" i="20"/>
  <c r="H101" i="20" s="1"/>
  <c r="I100" i="20"/>
  <c r="I99" i="20"/>
  <c r="H99" i="20"/>
  <c r="I98" i="20"/>
  <c r="F59" i="20"/>
  <c r="G59" i="20" s="1"/>
  <c r="I59" i="20" s="1"/>
  <c r="F60" i="20"/>
  <c r="G60" i="20" s="1"/>
  <c r="I60" i="20" s="1"/>
  <c r="F61" i="20"/>
  <c r="G61" i="20" s="1"/>
  <c r="I61" i="20" s="1"/>
  <c r="F62" i="20"/>
  <c r="G62" i="20" s="1"/>
  <c r="I62" i="20" s="1"/>
  <c r="F63" i="20"/>
  <c r="G63" i="20" s="1"/>
  <c r="I63" i="20" s="1"/>
  <c r="F64" i="20"/>
  <c r="G64" i="20" s="1"/>
  <c r="I64" i="20" s="1"/>
  <c r="D309" i="18"/>
  <c r="D285" i="18"/>
  <c r="L112" i="20" l="1"/>
  <c r="L109" i="20"/>
  <c r="L30" i="20"/>
  <c r="K30" i="20" s="1"/>
  <c r="C563" i="26"/>
  <c r="C564" i="26" s="1"/>
  <c r="B577" i="26" s="1"/>
  <c r="H59" i="20"/>
  <c r="J108" i="20"/>
  <c r="L108" i="20"/>
  <c r="K108" i="20" s="1"/>
  <c r="I108" i="20"/>
  <c r="H61" i="20"/>
  <c r="J61" i="20" s="1"/>
  <c r="G109" i="20"/>
  <c r="I109" i="20" s="1"/>
  <c r="L28" i="20"/>
  <c r="J28" i="20"/>
  <c r="L29" i="20"/>
  <c r="J29" i="20"/>
  <c r="G103" i="20"/>
  <c r="I103" i="20" s="1"/>
  <c r="L111" i="20"/>
  <c r="K111" i="20" s="1"/>
  <c r="I111" i="20"/>
  <c r="J111" i="20"/>
  <c r="L106" i="20"/>
  <c r="I106" i="20"/>
  <c r="J106" i="20"/>
  <c r="H63" i="20"/>
  <c r="H62" i="20"/>
  <c r="J62" i="20" s="1"/>
  <c r="G101" i="20"/>
  <c r="I101" i="20" s="1"/>
  <c r="G105" i="20"/>
  <c r="I105" i="20" s="1"/>
  <c r="G107" i="20"/>
  <c r="I107" i="20" s="1"/>
  <c r="G112" i="20"/>
  <c r="I112" i="20" s="1"/>
  <c r="C275" i="18"/>
  <c r="C276" i="18" s="1"/>
  <c r="B289" i="18" s="1"/>
  <c r="J112" i="20"/>
  <c r="J109" i="20"/>
  <c r="L107" i="20"/>
  <c r="J107" i="20"/>
  <c r="L99" i="20"/>
  <c r="J99" i="20"/>
  <c r="L103" i="20"/>
  <c r="J103" i="20"/>
  <c r="L101" i="20"/>
  <c r="J101" i="20"/>
  <c r="L105" i="20"/>
  <c r="J105" i="20"/>
  <c r="H98" i="20"/>
  <c r="H100" i="20"/>
  <c r="H102" i="20"/>
  <c r="H104" i="20"/>
  <c r="H64" i="20"/>
  <c r="H60" i="20"/>
  <c r="K112" i="20" l="1"/>
  <c r="C2336" i="26"/>
  <c r="C2337" i="26" s="1"/>
  <c r="B2350" i="26" s="1"/>
  <c r="K109" i="20"/>
  <c r="C2285" i="26"/>
  <c r="C2286" i="26" s="1"/>
  <c r="B2299" i="26" s="1"/>
  <c r="K106" i="20"/>
  <c r="C251" i="18"/>
  <c r="C252" i="18" s="1"/>
  <c r="L98" i="20"/>
  <c r="H97" i="20"/>
  <c r="I97" i="20" s="1"/>
  <c r="K105" i="20"/>
  <c r="C2233" i="26"/>
  <c r="C2234" i="26" s="1"/>
  <c r="B2247" i="26" s="1"/>
  <c r="K103" i="20"/>
  <c r="C2183" i="26"/>
  <c r="C2184" i="26" s="1"/>
  <c r="B2197" i="26" s="1"/>
  <c r="K101" i="20"/>
  <c r="C2132" i="26"/>
  <c r="C2133" i="26" s="1"/>
  <c r="B2146" i="26" s="1"/>
  <c r="L62" i="20"/>
  <c r="J59" i="20"/>
  <c r="L59" i="20"/>
  <c r="L61" i="20"/>
  <c r="K29" i="20"/>
  <c r="C538" i="26"/>
  <c r="C539" i="26" s="1"/>
  <c r="B552" i="26" s="1"/>
  <c r="K28" i="20"/>
  <c r="C513" i="26"/>
  <c r="C514" i="26" s="1"/>
  <c r="B527" i="26" s="1"/>
  <c r="K107" i="20"/>
  <c r="C2259" i="26"/>
  <c r="C2260" i="26" s="1"/>
  <c r="B2273" i="26" s="1"/>
  <c r="K99" i="20"/>
  <c r="C2082" i="26"/>
  <c r="C2083" i="26" s="1"/>
  <c r="B2096" i="26" s="1"/>
  <c r="L63" i="20"/>
  <c r="J63" i="20"/>
  <c r="C299" i="18"/>
  <c r="C300" i="18" s="1"/>
  <c r="B313" i="18" s="1"/>
  <c r="L104" i="20"/>
  <c r="J104" i="20"/>
  <c r="L100" i="20"/>
  <c r="J100" i="20"/>
  <c r="L102" i="20"/>
  <c r="J102" i="20"/>
  <c r="J98" i="20"/>
  <c r="L60" i="20"/>
  <c r="J60" i="20"/>
  <c r="L64" i="20"/>
  <c r="J64" i="20"/>
  <c r="D121" i="26"/>
  <c r="D96" i="26"/>
  <c r="D71" i="26"/>
  <c r="D46" i="26"/>
  <c r="D2067" i="26"/>
  <c r="D2040" i="26"/>
  <c r="D2015" i="26"/>
  <c r="D1990" i="26"/>
  <c r="D1965" i="26"/>
  <c r="D1939" i="26"/>
  <c r="D1914" i="26"/>
  <c r="D1889" i="26"/>
  <c r="D1864" i="26"/>
  <c r="D1839" i="26"/>
  <c r="D1813" i="26"/>
  <c r="D1788" i="26"/>
  <c r="D1763" i="26"/>
  <c r="D1738" i="26"/>
  <c r="D1712" i="26"/>
  <c r="D1687" i="26"/>
  <c r="D1662" i="26"/>
  <c r="D1637" i="26"/>
  <c r="D1612" i="26"/>
  <c r="D1586" i="26"/>
  <c r="D1561" i="26"/>
  <c r="D1536" i="26"/>
  <c r="D1511" i="26"/>
  <c r="D1485" i="26"/>
  <c r="D1460" i="26"/>
  <c r="D1435" i="26"/>
  <c r="D1410" i="26"/>
  <c r="D1385" i="26"/>
  <c r="D1359" i="26"/>
  <c r="D1333" i="26"/>
  <c r="D1308" i="26"/>
  <c r="D1283" i="26"/>
  <c r="D1257" i="26"/>
  <c r="D1232" i="26"/>
  <c r="D1207" i="26"/>
  <c r="D1182" i="26"/>
  <c r="D1157" i="26"/>
  <c r="D1131" i="26"/>
  <c r="D1106" i="26"/>
  <c r="D1080" i="26"/>
  <c r="D1055" i="26"/>
  <c r="D1030" i="26"/>
  <c r="D1005" i="26"/>
  <c r="D980" i="26"/>
  <c r="D953" i="26"/>
  <c r="D928" i="26"/>
  <c r="D877" i="26"/>
  <c r="D852" i="26"/>
  <c r="D827" i="26"/>
  <c r="D802" i="26"/>
  <c r="D776" i="26"/>
  <c r="D751" i="26"/>
  <c r="D726" i="26"/>
  <c r="D700" i="26"/>
  <c r="D675" i="26"/>
  <c r="D650" i="26"/>
  <c r="D625" i="26"/>
  <c r="D600" i="26"/>
  <c r="D498" i="26"/>
  <c r="D473" i="26"/>
  <c r="D448" i="26"/>
  <c r="D423" i="26"/>
  <c r="D398" i="26"/>
  <c r="D372" i="26"/>
  <c r="D322" i="26"/>
  <c r="D297" i="26"/>
  <c r="D272" i="26"/>
  <c r="D247" i="26"/>
  <c r="D261" i="18"/>
  <c r="D237" i="18"/>
  <c r="D213" i="18"/>
  <c r="D189" i="18"/>
  <c r="D19" i="22"/>
  <c r="F89" i="20"/>
  <c r="G89" i="20" s="1"/>
  <c r="I89" i="20" s="1"/>
  <c r="F90" i="20"/>
  <c r="F91" i="20"/>
  <c r="G91" i="20" s="1"/>
  <c r="I91" i="20" s="1"/>
  <c r="F92" i="20"/>
  <c r="G92" i="20" s="1"/>
  <c r="I92" i="20" s="1"/>
  <c r="F93" i="20"/>
  <c r="G93" i="20" s="1"/>
  <c r="I93" i="20" s="1"/>
  <c r="F94" i="20"/>
  <c r="F95" i="20"/>
  <c r="G95" i="20" s="1"/>
  <c r="I95" i="20" s="1"/>
  <c r="F96" i="20"/>
  <c r="G96" i="20" s="1"/>
  <c r="I96" i="20" s="1"/>
  <c r="F79" i="20"/>
  <c r="G79" i="20" s="1"/>
  <c r="I79" i="20" s="1"/>
  <c r="F80" i="20"/>
  <c r="G80" i="20" s="1"/>
  <c r="I80" i="20" s="1"/>
  <c r="F81" i="20"/>
  <c r="G81" i="20" s="1"/>
  <c r="I81" i="20" s="1"/>
  <c r="F82" i="20"/>
  <c r="F83" i="20"/>
  <c r="G83" i="20" s="1"/>
  <c r="I83" i="20" s="1"/>
  <c r="F84" i="20"/>
  <c r="G84" i="20" s="1"/>
  <c r="I84" i="20" s="1"/>
  <c r="F85" i="20"/>
  <c r="G85" i="20" s="1"/>
  <c r="I85" i="20" s="1"/>
  <c r="F86" i="20"/>
  <c r="F69" i="20"/>
  <c r="G69" i="20" s="1"/>
  <c r="I69" i="20" s="1"/>
  <c r="F70" i="20"/>
  <c r="F71" i="20"/>
  <c r="G71" i="20" s="1"/>
  <c r="I71" i="20" s="1"/>
  <c r="F72" i="20"/>
  <c r="G72" i="20" s="1"/>
  <c r="I72" i="20" s="1"/>
  <c r="F73" i="20"/>
  <c r="G73" i="20" s="1"/>
  <c r="I73" i="20" s="1"/>
  <c r="F74" i="20"/>
  <c r="F75" i="20"/>
  <c r="G75" i="20" s="1"/>
  <c r="I75" i="20" s="1"/>
  <c r="F76" i="20"/>
  <c r="G76" i="20" s="1"/>
  <c r="I76" i="20" s="1"/>
  <c r="F58" i="20"/>
  <c r="G58" i="20" s="1"/>
  <c r="I58" i="20" s="1"/>
  <c r="F57" i="20"/>
  <c r="G57" i="20" s="1"/>
  <c r="I57" i="20" s="1"/>
  <c r="F50" i="20"/>
  <c r="G50" i="20" s="1"/>
  <c r="I50" i="20" s="1"/>
  <c r="F51" i="20"/>
  <c r="F52" i="20"/>
  <c r="G52" i="20" s="1"/>
  <c r="I52" i="20" s="1"/>
  <c r="F53" i="20"/>
  <c r="G53" i="20" s="1"/>
  <c r="I53" i="20" s="1"/>
  <c r="F54" i="20"/>
  <c r="G54" i="20" s="1"/>
  <c r="I54" i="20" s="1"/>
  <c r="F55" i="20"/>
  <c r="F42" i="20"/>
  <c r="G42" i="20" s="1"/>
  <c r="I42" i="20" s="1"/>
  <c r="F43" i="20"/>
  <c r="G43" i="20" s="1"/>
  <c r="I43" i="20" s="1"/>
  <c r="F44" i="20"/>
  <c r="G44" i="20" s="1"/>
  <c r="I44" i="20" s="1"/>
  <c r="F45" i="20"/>
  <c r="G45" i="20" s="1"/>
  <c r="I45" i="20" s="1"/>
  <c r="F46" i="20"/>
  <c r="G46" i="20" s="1"/>
  <c r="I46" i="20" s="1"/>
  <c r="F47" i="20"/>
  <c r="F41" i="20"/>
  <c r="G41" i="20" s="1"/>
  <c r="I41" i="20" s="1"/>
  <c r="F33" i="20"/>
  <c r="G33" i="20" s="1"/>
  <c r="I33" i="20" s="1"/>
  <c r="F34" i="20"/>
  <c r="G34" i="20" s="1"/>
  <c r="I34" i="20" s="1"/>
  <c r="F35" i="20"/>
  <c r="G35" i="20" s="1"/>
  <c r="I35" i="20" s="1"/>
  <c r="F36" i="20"/>
  <c r="G36" i="20" s="1"/>
  <c r="I36" i="20" s="1"/>
  <c r="F37" i="20"/>
  <c r="G37" i="20" s="1"/>
  <c r="I37" i="20" s="1"/>
  <c r="F38" i="20"/>
  <c r="G38" i="20" s="1"/>
  <c r="I38" i="20" s="1"/>
  <c r="F39" i="20"/>
  <c r="G39" i="20" s="1"/>
  <c r="I39" i="20" s="1"/>
  <c r="F18" i="20"/>
  <c r="G18" i="20" s="1"/>
  <c r="I18" i="20" s="1"/>
  <c r="F19" i="20"/>
  <c r="G19" i="20" s="1"/>
  <c r="I19" i="20" s="1"/>
  <c r="F20" i="20"/>
  <c r="G20" i="20" s="1"/>
  <c r="I20" i="20" s="1"/>
  <c r="F22" i="20"/>
  <c r="G22" i="20" s="1"/>
  <c r="I22" i="20" s="1"/>
  <c r="F23" i="20"/>
  <c r="G23" i="20" s="1"/>
  <c r="I23" i="20" s="1"/>
  <c r="G24" i="20"/>
  <c r="I24" i="20" s="1"/>
  <c r="F25" i="20"/>
  <c r="G25" i="20" s="1"/>
  <c r="I25" i="20" s="1"/>
  <c r="F26" i="20"/>
  <c r="F27" i="20"/>
  <c r="G27" i="20" s="1"/>
  <c r="I27" i="20" s="1"/>
  <c r="F88" i="20"/>
  <c r="G88" i="20" s="1"/>
  <c r="I88" i="20" s="1"/>
  <c r="F78" i="20"/>
  <c r="H78" i="20" s="1"/>
  <c r="F9" i="20"/>
  <c r="G9" i="20" s="1"/>
  <c r="I9" i="20" s="1"/>
  <c r="F8" i="20"/>
  <c r="G8" i="20" s="1"/>
  <c r="I8" i="20" s="1"/>
  <c r="F7" i="20"/>
  <c r="G7" i="20" s="1"/>
  <c r="I7" i="20" s="1"/>
  <c r="F11" i="20"/>
  <c r="H11" i="20" s="1"/>
  <c r="L11" i="20" s="1"/>
  <c r="C111" i="26" s="1"/>
  <c r="C112" i="26" s="1"/>
  <c r="B125" i="26" s="1"/>
  <c r="F10" i="20"/>
  <c r="G10" i="20" s="1"/>
  <c r="I10" i="20" s="1"/>
  <c r="K102" i="20" l="1"/>
  <c r="C2157" i="26"/>
  <c r="C2158" i="26" s="1"/>
  <c r="B2171" i="26" s="1"/>
  <c r="K104" i="20"/>
  <c r="C2208" i="26"/>
  <c r="C2209" i="26" s="1"/>
  <c r="B2222" i="26" s="1"/>
  <c r="K64" i="20"/>
  <c r="C1323" i="26"/>
  <c r="C1324" i="26" s="1"/>
  <c r="B1337" i="26" s="1"/>
  <c r="K60" i="20"/>
  <c r="C1222" i="26"/>
  <c r="C1223" i="26" s="1"/>
  <c r="B1236" i="26" s="1"/>
  <c r="K63" i="20"/>
  <c r="C1298" i="26"/>
  <c r="C1299" i="26" s="1"/>
  <c r="B1312" i="26" s="1"/>
  <c r="K62" i="20"/>
  <c r="C1273" i="26"/>
  <c r="C1274" i="26" s="1"/>
  <c r="K61" i="20"/>
  <c r="C1247" i="26"/>
  <c r="C1248" i="26" s="1"/>
  <c r="B1261" i="26" s="1"/>
  <c r="B265" i="18"/>
  <c r="C1197" i="26"/>
  <c r="C1198" i="26" s="1"/>
  <c r="B1211" i="26" s="1"/>
  <c r="K59" i="20"/>
  <c r="H27" i="20"/>
  <c r="J27" i="20" s="1"/>
  <c r="H46" i="20"/>
  <c r="L97" i="20"/>
  <c r="C227" i="18" s="1"/>
  <c r="C228" i="18" s="1"/>
  <c r="B241" i="18" s="1"/>
  <c r="K100" i="20"/>
  <c r="C2107" i="26"/>
  <c r="C2108" i="26" s="1"/>
  <c r="B2121" i="26" s="1"/>
  <c r="K98" i="20"/>
  <c r="C2057" i="26"/>
  <c r="C2058" i="26" s="1"/>
  <c r="B2071" i="26" s="1"/>
  <c r="H89" i="20"/>
  <c r="H19" i="20"/>
  <c r="H45" i="20"/>
  <c r="H69" i="20"/>
  <c r="H85" i="20"/>
  <c r="J85" i="20" s="1"/>
  <c r="H84" i="20"/>
  <c r="J84" i="20" s="1"/>
  <c r="H93" i="20"/>
  <c r="H50" i="20"/>
  <c r="B1287" i="26"/>
  <c r="H20" i="20"/>
  <c r="L20" i="20" s="1"/>
  <c r="K20" i="20" s="1"/>
  <c r="H33" i="20"/>
  <c r="L33" i="20" s="1"/>
  <c r="H54" i="20"/>
  <c r="H58" i="20"/>
  <c r="J58" i="20" s="1"/>
  <c r="H71" i="20"/>
  <c r="J71" i="20" s="1"/>
  <c r="H81" i="20"/>
  <c r="H80" i="20"/>
  <c r="J80" i="20" s="1"/>
  <c r="H23" i="20"/>
  <c r="H37" i="20"/>
  <c r="L37" i="20" s="1"/>
  <c r="C716" i="26" s="1"/>
  <c r="C717" i="26" s="1"/>
  <c r="B730" i="26" s="1"/>
  <c r="H52" i="20"/>
  <c r="H73" i="20"/>
  <c r="H25" i="20"/>
  <c r="H39" i="20"/>
  <c r="L39" i="20" s="1"/>
  <c r="C766" i="26" s="1"/>
  <c r="C767" i="26" s="1"/>
  <c r="B780" i="26" s="1"/>
  <c r="H36" i="20"/>
  <c r="H35" i="20"/>
  <c r="H44" i="20"/>
  <c r="H53" i="20"/>
  <c r="J53" i="20" s="1"/>
  <c r="H76" i="20"/>
  <c r="J76" i="20" s="1"/>
  <c r="H75" i="20"/>
  <c r="J75" i="20" s="1"/>
  <c r="H72" i="20"/>
  <c r="J72" i="20" s="1"/>
  <c r="H96" i="20"/>
  <c r="H92" i="20"/>
  <c r="G78" i="20"/>
  <c r="I78" i="20" s="1"/>
  <c r="G26" i="20"/>
  <c r="I26" i="20" s="1"/>
  <c r="H26" i="20"/>
  <c r="H24" i="20"/>
  <c r="H38" i="20"/>
  <c r="L38" i="20" s="1"/>
  <c r="C741" i="26" s="1"/>
  <c r="C742" i="26" s="1"/>
  <c r="B755" i="26" s="1"/>
  <c r="H41" i="20"/>
  <c r="G47" i="20"/>
  <c r="I47" i="20" s="1"/>
  <c r="H47" i="20"/>
  <c r="G55" i="20"/>
  <c r="I55" i="20" s="1"/>
  <c r="H55" i="20"/>
  <c r="L53" i="20"/>
  <c r="G51" i="20"/>
  <c r="I51" i="20" s="1"/>
  <c r="H51" i="20"/>
  <c r="H57" i="20"/>
  <c r="H56" i="20" s="1"/>
  <c r="G74" i="20"/>
  <c r="I74" i="20" s="1"/>
  <c r="H74" i="20"/>
  <c r="G70" i="20"/>
  <c r="I70" i="20" s="1"/>
  <c r="H70" i="20"/>
  <c r="H83" i="20"/>
  <c r="H79" i="20"/>
  <c r="H95" i="20"/>
  <c r="H91" i="20"/>
  <c r="G86" i="20"/>
  <c r="I86" i="20" s="1"/>
  <c r="H86" i="20"/>
  <c r="G82" i="20"/>
  <c r="I82" i="20" s="1"/>
  <c r="H82" i="20"/>
  <c r="G94" i="20"/>
  <c r="I94" i="20" s="1"/>
  <c r="H94" i="20"/>
  <c r="G90" i="20"/>
  <c r="I90" i="20" s="1"/>
  <c r="H90" i="20"/>
  <c r="H43" i="20"/>
  <c r="H42" i="20"/>
  <c r="H34" i="20"/>
  <c r="L34" i="20" s="1"/>
  <c r="H22" i="20"/>
  <c r="J22" i="20" s="1"/>
  <c r="H18" i="20"/>
  <c r="J18" i="20" s="1"/>
  <c r="L22" i="20"/>
  <c r="J97" i="20"/>
  <c r="H88" i="20"/>
  <c r="L78" i="20"/>
  <c r="J78" i="20"/>
  <c r="H7" i="20"/>
  <c r="H10" i="20"/>
  <c r="J10" i="20" s="1"/>
  <c r="H9" i="20"/>
  <c r="G11" i="20"/>
  <c r="I11" i="20" s="1"/>
  <c r="H8" i="20"/>
  <c r="K11" i="20"/>
  <c r="J11" i="20"/>
  <c r="C464" i="20"/>
  <c r="H77" i="20" l="1"/>
  <c r="L27" i="20"/>
  <c r="K27" i="20" s="1"/>
  <c r="H87" i="20"/>
  <c r="H67" i="20"/>
  <c r="H40" i="20"/>
  <c r="J35" i="20"/>
  <c r="L35" i="20"/>
  <c r="J36" i="20"/>
  <c r="L36" i="20"/>
  <c r="H6" i="20"/>
  <c r="L6" i="20" s="1"/>
  <c r="J52" i="20"/>
  <c r="J45" i="20"/>
  <c r="L45" i="20"/>
  <c r="C892" i="26" s="1"/>
  <c r="C312" i="26"/>
  <c r="C313" i="26" s="1"/>
  <c r="B326" i="26" s="1"/>
  <c r="L10" i="20"/>
  <c r="L18" i="20"/>
  <c r="C262" i="26" s="1"/>
  <c r="C263" i="26" s="1"/>
  <c r="B276" i="26" s="1"/>
  <c r="L76" i="20"/>
  <c r="L71" i="20"/>
  <c r="C1450" i="26" s="1"/>
  <c r="C1451" i="26" s="1"/>
  <c r="B1464" i="26" s="1"/>
  <c r="L85" i="20"/>
  <c r="K78" i="20"/>
  <c r="C1602" i="26"/>
  <c r="C1603" i="26" s="1"/>
  <c r="B1616" i="26" s="1"/>
  <c r="L46" i="20"/>
  <c r="J46" i="20"/>
  <c r="C665" i="26"/>
  <c r="C666" i="26" s="1"/>
  <c r="B679" i="26" s="1"/>
  <c r="K97" i="20"/>
  <c r="L84" i="20"/>
  <c r="J89" i="20"/>
  <c r="L89" i="20"/>
  <c r="K53" i="20"/>
  <c r="C1070" i="26"/>
  <c r="C1071" i="26" s="1"/>
  <c r="B1084" i="26" s="1"/>
  <c r="C893" i="26"/>
  <c r="B906" i="26" s="1"/>
  <c r="L69" i="20"/>
  <c r="J69" i="20"/>
  <c r="L19" i="20"/>
  <c r="J19" i="20"/>
  <c r="K22" i="20"/>
  <c r="C362" i="26"/>
  <c r="C363" i="26" s="1"/>
  <c r="B376" i="26" s="1"/>
  <c r="L72" i="20"/>
  <c r="J20" i="20"/>
  <c r="C488" i="26"/>
  <c r="C489" i="26" s="1"/>
  <c r="B502" i="26" s="1"/>
  <c r="L93" i="20"/>
  <c r="J93" i="20"/>
  <c r="L52" i="20"/>
  <c r="K52" i="20" s="1"/>
  <c r="J50" i="20"/>
  <c r="L50" i="20"/>
  <c r="L80" i="20"/>
  <c r="J33" i="20"/>
  <c r="L58" i="20"/>
  <c r="J81" i="20"/>
  <c r="L81" i="20"/>
  <c r="J54" i="20"/>
  <c r="L54" i="20"/>
  <c r="L73" i="20"/>
  <c r="J73" i="20"/>
  <c r="L23" i="20"/>
  <c r="C388" i="26" s="1"/>
  <c r="J23" i="20"/>
  <c r="L75" i="20"/>
  <c r="K37" i="20"/>
  <c r="J37" i="20"/>
  <c r="J96" i="20"/>
  <c r="L96" i="20"/>
  <c r="J92" i="20"/>
  <c r="L92" i="20"/>
  <c r="J44" i="20"/>
  <c r="L44" i="20"/>
  <c r="K39" i="20"/>
  <c r="J39" i="20"/>
  <c r="L25" i="20"/>
  <c r="J25" i="20"/>
  <c r="L90" i="20"/>
  <c r="J90" i="20"/>
  <c r="L94" i="20"/>
  <c r="J94" i="20"/>
  <c r="L82" i="20"/>
  <c r="J82" i="20"/>
  <c r="L86" i="20"/>
  <c r="J86" i="20"/>
  <c r="L77" i="20"/>
  <c r="J95" i="20"/>
  <c r="L95" i="20"/>
  <c r="J83" i="20"/>
  <c r="L83" i="20"/>
  <c r="L70" i="20"/>
  <c r="J70" i="20"/>
  <c r="J57" i="20"/>
  <c r="L57" i="20"/>
  <c r="L55" i="20"/>
  <c r="J55" i="20"/>
  <c r="L47" i="20"/>
  <c r="J47" i="20"/>
  <c r="J41" i="20"/>
  <c r="L41" i="20"/>
  <c r="J26" i="20"/>
  <c r="L26" i="20"/>
  <c r="J91" i="20"/>
  <c r="L91" i="20"/>
  <c r="J79" i="20"/>
  <c r="L79" i="20"/>
  <c r="L74" i="20"/>
  <c r="J74" i="20"/>
  <c r="L51" i="20"/>
  <c r="J51" i="20"/>
  <c r="J38" i="20"/>
  <c r="K38" i="20"/>
  <c r="J24" i="20"/>
  <c r="L24" i="20"/>
  <c r="J43" i="20"/>
  <c r="L43" i="20"/>
  <c r="J42" i="20"/>
  <c r="L42" i="20"/>
  <c r="J34" i="20"/>
  <c r="L88" i="20"/>
  <c r="J88" i="20"/>
  <c r="J7" i="20"/>
  <c r="J9" i="20"/>
  <c r="L9" i="20"/>
  <c r="L8" i="20"/>
  <c r="J8" i="20"/>
  <c r="K94" i="20" l="1"/>
  <c r="C1980" i="26"/>
  <c r="C1981" i="26" s="1"/>
  <c r="B1994" i="26" s="1"/>
  <c r="K95" i="20"/>
  <c r="C2005" i="26"/>
  <c r="C2006" i="26" s="1"/>
  <c r="B2019" i="26" s="1"/>
  <c r="K92" i="20"/>
  <c r="C1929" i="26"/>
  <c r="C1930" i="26" s="1"/>
  <c r="B1943" i="26" s="1"/>
  <c r="K96" i="20"/>
  <c r="C2030" i="26"/>
  <c r="C2031" i="26" s="1"/>
  <c r="B2044" i="26" s="1"/>
  <c r="K93" i="20"/>
  <c r="C1955" i="26"/>
  <c r="C1956" i="26" s="1"/>
  <c r="B1969" i="26" s="1"/>
  <c r="K84" i="20"/>
  <c r="C1753" i="26"/>
  <c r="C1754" i="26" s="1"/>
  <c r="B1767" i="26" s="1"/>
  <c r="K83" i="20"/>
  <c r="C1728" i="26"/>
  <c r="C1729" i="26" s="1"/>
  <c r="B1742" i="26" s="1"/>
  <c r="K86" i="20"/>
  <c r="C1803" i="26"/>
  <c r="C1804" i="26" s="1"/>
  <c r="B1817" i="26" s="1"/>
  <c r="K82" i="20"/>
  <c r="C1702" i="26"/>
  <c r="C1703" i="26" s="1"/>
  <c r="B1716" i="26" s="1"/>
  <c r="K85" i="20"/>
  <c r="C1778" i="26"/>
  <c r="C1779" i="26" s="1"/>
  <c r="B1792" i="26" s="1"/>
  <c r="K74" i="20"/>
  <c r="C1526" i="26"/>
  <c r="C1527" i="26" s="1"/>
  <c r="B1540" i="26" s="1"/>
  <c r="K75" i="20"/>
  <c r="C1551" i="26"/>
  <c r="C1552" i="26" s="1"/>
  <c r="B1565" i="26" s="1"/>
  <c r="K73" i="20"/>
  <c r="C1501" i="26"/>
  <c r="C1502" i="26" s="1"/>
  <c r="B1515" i="26" s="1"/>
  <c r="K71" i="20"/>
  <c r="K76" i="20"/>
  <c r="C1576" i="26"/>
  <c r="C1577" i="26" s="1"/>
  <c r="B1590" i="26" s="1"/>
  <c r="K45" i="20"/>
  <c r="K7" i="20"/>
  <c r="K10" i="20"/>
  <c r="C86" i="26"/>
  <c r="C87" i="26" s="1"/>
  <c r="B100" i="26" s="1"/>
  <c r="K9" i="20"/>
  <c r="C61" i="26"/>
  <c r="C62" i="26" s="1"/>
  <c r="B75" i="26" s="1"/>
  <c r="K8" i="20"/>
  <c r="C36" i="26"/>
  <c r="C37" i="26" s="1"/>
  <c r="B50" i="26" s="1"/>
  <c r="K18" i="20"/>
  <c r="K35" i="20"/>
  <c r="C1045" i="26"/>
  <c r="C1046" i="26" s="1"/>
  <c r="B1059" i="26" s="1"/>
  <c r="K79" i="20"/>
  <c r="C1627" i="26"/>
  <c r="C1628" i="26" s="1"/>
  <c r="B1641" i="26" s="1"/>
  <c r="K80" i="20"/>
  <c r="C1652" i="26"/>
  <c r="C1653" i="26" s="1"/>
  <c r="B1666" i="26" s="1"/>
  <c r="C918" i="26"/>
  <c r="C919" i="26" s="1"/>
  <c r="B932" i="26" s="1"/>
  <c r="K46" i="20"/>
  <c r="K91" i="20"/>
  <c r="C1904" i="26"/>
  <c r="C1905" i="26" s="1"/>
  <c r="B1918" i="26" s="1"/>
  <c r="K90" i="20"/>
  <c r="C1879" i="26"/>
  <c r="C1880" i="26" s="1"/>
  <c r="B1893" i="26" s="1"/>
  <c r="K89" i="20"/>
  <c r="C1854" i="26"/>
  <c r="C1855" i="26" s="1"/>
  <c r="B1868" i="26" s="1"/>
  <c r="K88" i="20"/>
  <c r="C1829" i="26"/>
  <c r="C1830" i="26" s="1"/>
  <c r="B1843" i="26" s="1"/>
  <c r="K81" i="20"/>
  <c r="C1677" i="26"/>
  <c r="C1678" i="26" s="1"/>
  <c r="B1691" i="26" s="1"/>
  <c r="K72" i="20"/>
  <c r="C1475" i="26"/>
  <c r="C1476" i="26" s="1"/>
  <c r="B1489" i="26" s="1"/>
  <c r="K70" i="20"/>
  <c r="C1425" i="26"/>
  <c r="C1426" i="26" s="1"/>
  <c r="B1439" i="26" s="1"/>
  <c r="K69" i="20"/>
  <c r="C1400" i="26"/>
  <c r="C1401" i="26" s="1"/>
  <c r="B1414" i="26" s="1"/>
  <c r="K26" i="20"/>
  <c r="C463" i="26"/>
  <c r="C464" i="26" s="1"/>
  <c r="B477" i="26" s="1"/>
  <c r="K41" i="20"/>
  <c r="C792" i="26"/>
  <c r="C793" i="26" s="1"/>
  <c r="B806" i="26" s="1"/>
  <c r="K57" i="20"/>
  <c r="C1147" i="26"/>
  <c r="C1148" i="26" s="1"/>
  <c r="B1161" i="26" s="1"/>
  <c r="K44" i="20"/>
  <c r="C867" i="26"/>
  <c r="C868" i="26" s="1"/>
  <c r="B881" i="26" s="1"/>
  <c r="K23" i="20"/>
  <c r="C389" i="26"/>
  <c r="B402" i="26" s="1"/>
  <c r="K36" i="20"/>
  <c r="C690" i="26"/>
  <c r="C691" i="26" s="1"/>
  <c r="B704" i="26" s="1"/>
  <c r="K19" i="20"/>
  <c r="C287" i="26"/>
  <c r="C288" i="26" s="1"/>
  <c r="B301" i="26" s="1"/>
  <c r="K34" i="20"/>
  <c r="C640" i="26"/>
  <c r="C641" i="26" s="1"/>
  <c r="B654" i="26" s="1"/>
  <c r="K42" i="20"/>
  <c r="C817" i="26"/>
  <c r="C818" i="26" s="1"/>
  <c r="B831" i="26" s="1"/>
  <c r="K43" i="20"/>
  <c r="C842" i="26"/>
  <c r="C843" i="26" s="1"/>
  <c r="B856" i="26" s="1"/>
  <c r="K24" i="20"/>
  <c r="C413" i="26"/>
  <c r="C414" i="26" s="1"/>
  <c r="B427" i="26" s="1"/>
  <c r="K47" i="20"/>
  <c r="C943" i="26"/>
  <c r="C944" i="26" s="1"/>
  <c r="B957" i="26" s="1"/>
  <c r="K55" i="20"/>
  <c r="C1121" i="26"/>
  <c r="C1122" i="26" s="1"/>
  <c r="B1135" i="26" s="1"/>
  <c r="K25" i="20"/>
  <c r="C438" i="26"/>
  <c r="C439" i="26" s="1"/>
  <c r="B452" i="26" s="1"/>
  <c r="K54" i="20"/>
  <c r="C1096" i="26"/>
  <c r="C1097" i="26" s="1"/>
  <c r="B1110" i="26" s="1"/>
  <c r="K58" i="20"/>
  <c r="C1172" i="26"/>
  <c r="C1173" i="26" s="1"/>
  <c r="B1186" i="26" s="1"/>
  <c r="K33" i="20"/>
  <c r="C615" i="26"/>
  <c r="C616" i="26" s="1"/>
  <c r="B629" i="26" s="1"/>
  <c r="K51" i="20"/>
  <c r="C1020" i="26"/>
  <c r="C1021" i="26" s="1"/>
  <c r="B1034" i="26" s="1"/>
  <c r="K50" i="20"/>
  <c r="C995" i="26"/>
  <c r="C996" i="26" s="1"/>
  <c r="B1009" i="26" s="1"/>
  <c r="J77" i="20"/>
  <c r="I77" i="20"/>
  <c r="K77" i="20"/>
  <c r="C179" i="18"/>
  <c r="C180" i="18" s="1"/>
  <c r="B193" i="18" s="1"/>
  <c r="L87" i="20"/>
  <c r="J87" i="20"/>
  <c r="I87" i="20"/>
  <c r="K87" i="20" l="1"/>
  <c r="C203" i="18"/>
  <c r="C204" i="18" s="1"/>
  <c r="B217" i="18" s="1"/>
  <c r="D21" i="18"/>
  <c r="D141" i="18" l="1"/>
  <c r="D44" i="22"/>
  <c r="F66" i="20" l="1"/>
  <c r="H66" i="20" s="1"/>
  <c r="H65" i="20" s="1"/>
  <c r="F49" i="20"/>
  <c r="H49" i="20" s="1"/>
  <c r="H48" i="20" s="1"/>
  <c r="F32" i="20"/>
  <c r="F17" i="20"/>
  <c r="L68" i="20" l="1"/>
  <c r="C1375" i="26" s="1"/>
  <c r="C1376" i="26" s="1"/>
  <c r="B1389" i="26" s="1"/>
  <c r="J68" i="20"/>
  <c r="L49" i="20"/>
  <c r="H32" i="20"/>
  <c r="G32" i="20"/>
  <c r="I32" i="20" s="1"/>
  <c r="J49" i="20"/>
  <c r="L66" i="20"/>
  <c r="C1349" i="26" s="1"/>
  <c r="C1350" i="26" s="1"/>
  <c r="B1363" i="26" s="1"/>
  <c r="J66" i="20"/>
  <c r="G49" i="20"/>
  <c r="I49" i="20" s="1"/>
  <c r="H17" i="20"/>
  <c r="G17" i="20"/>
  <c r="I17" i="20" s="1"/>
  <c r="G66" i="20"/>
  <c r="I66" i="20" s="1"/>
  <c r="I68" i="20"/>
  <c r="D165" i="18"/>
  <c r="D117" i="18"/>
  <c r="D93" i="18"/>
  <c r="D69" i="18"/>
  <c r="L32" i="20" l="1"/>
  <c r="H31" i="20"/>
  <c r="L31" i="20" s="1"/>
  <c r="C35" i="18" s="1"/>
  <c r="H16" i="20"/>
  <c r="K49" i="20"/>
  <c r="C970" i="26"/>
  <c r="C971" i="26" s="1"/>
  <c r="B984" i="26" s="1"/>
  <c r="I40" i="20"/>
  <c r="K68" i="20"/>
  <c r="K66" i="20"/>
  <c r="C590" i="26"/>
  <c r="C591" i="26" s="1"/>
  <c r="B604" i="26" s="1"/>
  <c r="L17" i="20"/>
  <c r="J17" i="20"/>
  <c r="J32" i="20"/>
  <c r="H5" i="20" l="1"/>
  <c r="L5" i="20" s="1"/>
  <c r="L16" i="20"/>
  <c r="C11" i="18" s="1"/>
  <c r="L65" i="20"/>
  <c r="C131" i="18" s="1"/>
  <c r="K17" i="20"/>
  <c r="C237" i="26"/>
  <c r="C9" i="22"/>
  <c r="C10" i="22" s="1"/>
  <c r="B23" i="22" s="1"/>
  <c r="J40" i="20"/>
  <c r="L67" i="20"/>
  <c r="C155" i="18" s="1"/>
  <c r="C156" i="18" s="1"/>
  <c r="B169" i="18" s="1"/>
  <c r="L40" i="20"/>
  <c r="L56" i="20"/>
  <c r="I48" i="20"/>
  <c r="L48" i="20"/>
  <c r="C83" i="18" s="1"/>
  <c r="C84" i="18" s="1"/>
  <c r="B97" i="18" s="1"/>
  <c r="K32" i="20"/>
  <c r="I56" i="20"/>
  <c r="J56" i="20"/>
  <c r="J48" i="20"/>
  <c r="C132" i="18"/>
  <c r="B145" i="18" s="1"/>
  <c r="I31" i="20"/>
  <c r="I16" i="20"/>
  <c r="I65" i="20"/>
  <c r="I67" i="20"/>
  <c r="J16" i="20"/>
  <c r="J67" i="20"/>
  <c r="J65" i="20"/>
  <c r="J31" i="20"/>
  <c r="D45" i="18"/>
  <c r="K16" i="20" l="1"/>
  <c r="C107" i="18"/>
  <c r="C108" i="18" s="1"/>
  <c r="B121" i="18" s="1"/>
  <c r="K6" i="20"/>
  <c r="C34" i="22"/>
  <c r="C238" i="26"/>
  <c r="B251" i="26" s="1"/>
  <c r="K40" i="20"/>
  <c r="C59" i="18"/>
  <c r="C60" i="18" s="1"/>
  <c r="B73" i="18" s="1"/>
  <c r="K56" i="20"/>
  <c r="K65" i="20"/>
  <c r="K48" i="20"/>
  <c r="K67" i="20"/>
  <c r="K31" i="20"/>
  <c r="C36" i="18"/>
  <c r="B49" i="18" s="1"/>
  <c r="C12" i="18" l="1"/>
  <c r="B25" i="18" s="1"/>
  <c r="U6" i="4" l="1"/>
  <c r="U7" i="4"/>
  <c r="U8" i="4"/>
  <c r="U9" i="4"/>
  <c r="U5" i="4"/>
  <c r="D6" i="4" l="1"/>
  <c r="D7" i="4"/>
  <c r="D8" i="4"/>
  <c r="D9" i="4"/>
  <c r="D10" i="4"/>
  <c r="D11" i="4"/>
  <c r="D12" i="4"/>
  <c r="D13" i="4"/>
  <c r="D14" i="4"/>
  <c r="D15" i="4"/>
  <c r="D16" i="4"/>
  <c r="D17" i="4"/>
  <c r="D18" i="4"/>
  <c r="D5" i="4"/>
  <c r="I18" i="4"/>
  <c r="I6" i="4"/>
  <c r="I7" i="4"/>
  <c r="I8" i="4"/>
  <c r="I9" i="4"/>
  <c r="I10" i="4"/>
  <c r="I11" i="4"/>
  <c r="I12" i="4"/>
  <c r="I13" i="4"/>
  <c r="I14" i="4"/>
  <c r="I15" i="4"/>
  <c r="I16" i="4"/>
  <c r="I17" i="4"/>
  <c r="I5" i="4"/>
  <c r="G19" i="4" l="1"/>
  <c r="I19" i="4" s="1"/>
  <c r="B19" i="4" l="1"/>
  <c r="D19" i="4" s="1"/>
  <c r="G21" i="4" s="1"/>
  <c r="K5" i="20"/>
  <c r="J5" i="20"/>
  <c r="I5" i="20"/>
  <c r="C35" i="22" l="1"/>
  <c r="B48" i="22" s="1"/>
  <c r="I6" i="20"/>
  <c r="J6" i="20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Ó INTENSIDAD DE CORRIENTE NOMINAL ES IGUAL A LA CORRIENTE CALCULADA</t>
        </r>
      </text>
    </comment>
  </commentList>
</comments>
</file>

<file path=xl/sharedStrings.xml><?xml version="1.0" encoding="utf-8"?>
<sst xmlns="http://schemas.openxmlformats.org/spreadsheetml/2006/main" count="3152" uniqueCount="225">
  <si>
    <t>Cantidad</t>
  </si>
  <si>
    <t>Pentium</t>
  </si>
  <si>
    <t>Pentium II</t>
  </si>
  <si>
    <t>Pentium III</t>
  </si>
  <si>
    <t>Pentium IV</t>
  </si>
  <si>
    <t>Celeron</t>
  </si>
  <si>
    <t>Pentium D</t>
  </si>
  <si>
    <t>Dual Core</t>
  </si>
  <si>
    <t>Core 2 Duo</t>
  </si>
  <si>
    <t>Core 2 Quad</t>
  </si>
  <si>
    <t>Core i3</t>
  </si>
  <si>
    <t>Core i5</t>
  </si>
  <si>
    <t>Core i7</t>
  </si>
  <si>
    <t>AMD</t>
  </si>
  <si>
    <t>Procesador</t>
  </si>
  <si>
    <t>TOTAL</t>
  </si>
  <si>
    <t>ATOM</t>
  </si>
  <si>
    <t>PCS. PORTÁTILES</t>
  </si>
  <si>
    <t>PCS DE ESCRITORIO</t>
  </si>
  <si>
    <t xml:space="preserve">Carga (W/h) </t>
  </si>
  <si>
    <t>Carga Instalada W</t>
  </si>
  <si>
    <t>CARGA INSTALADA</t>
  </si>
  <si>
    <t>1.- Cálculo por capacidad térmica</t>
  </si>
  <si>
    <t>donde:</t>
  </si>
  <si>
    <t>In: corriente nominal</t>
  </si>
  <si>
    <t>V: tension</t>
  </si>
  <si>
    <t>cos&amp;: foctor de potencia</t>
  </si>
  <si>
    <t>In=</t>
  </si>
  <si>
    <t>W:potencia instalada</t>
  </si>
  <si>
    <t>Amp</t>
  </si>
  <si>
    <t xml:space="preserve">Buscar en la tabla </t>
  </si>
  <si>
    <t>S=</t>
  </si>
  <si>
    <t>mm2</t>
  </si>
  <si>
    <t>Por lo tanto:</t>
  </si>
  <si>
    <t>R=</t>
  </si>
  <si>
    <t xml:space="preserve">Rho= resistividad del cobre </t>
  </si>
  <si>
    <t>L=</t>
  </si>
  <si>
    <t>m</t>
  </si>
  <si>
    <t>menor a 5.5v</t>
  </si>
  <si>
    <t>si cumple</t>
  </si>
  <si>
    <t>1° nivel</t>
  </si>
  <si>
    <t>2° nivel</t>
  </si>
  <si>
    <t>3° nivel</t>
  </si>
  <si>
    <t>4° nivel</t>
  </si>
  <si>
    <t>Id=</t>
  </si>
  <si>
    <t>cantidad PC</t>
  </si>
  <si>
    <t>cantidad Impresoras</t>
  </si>
  <si>
    <t>carga W/h</t>
  </si>
  <si>
    <t>zotano</t>
  </si>
  <si>
    <t>cantidad TV</t>
  </si>
  <si>
    <t>TABLERO GENERAL</t>
  </si>
  <si>
    <t>según tabla</t>
  </si>
  <si>
    <t>considerando: La longitud mas alejada</t>
  </si>
  <si>
    <t>2.- calculo por caida de tension</t>
  </si>
  <si>
    <t>TABLERO DE DISTRIBUCION 2</t>
  </si>
  <si>
    <t>TABLERO DE DISTRIBUCION 1</t>
  </si>
  <si>
    <t>TABLERO DE DISTRIBUCION 3</t>
  </si>
  <si>
    <t>TABLERO DE DISTRIBUCION 4</t>
  </si>
  <si>
    <t>TABLERO DE DISTRIBUCION 5</t>
  </si>
  <si>
    <t>TABLERO DE DISTRIBUCION 6</t>
  </si>
  <si>
    <t>TABLERO DE DISTRIBUCION 7</t>
  </si>
  <si>
    <t>SUBTABLERO DE DISTRIBUCION A</t>
  </si>
  <si>
    <t>CÁLCULO DE MÁXIMA DEMANDA</t>
  </si>
  <si>
    <t>ITEM</t>
  </si>
  <si>
    <t>DESCRIPCIÓN</t>
  </si>
  <si>
    <t>PORTENCIA</t>
  </si>
  <si>
    <t>CANTIDAD</t>
  </si>
  <si>
    <t>F.P.</t>
  </si>
  <si>
    <t>POTENCIA</t>
  </si>
  <si>
    <t>CORRIENTE</t>
  </si>
  <si>
    <t>FACTOR</t>
  </si>
  <si>
    <t>INSTALADA</t>
  </si>
  <si>
    <t>PARCIAL</t>
  </si>
  <si>
    <t>POR CIRCUITO</t>
  </si>
  <si>
    <t>CALCULADA</t>
  </si>
  <si>
    <t>DISEÑO(FD)</t>
  </si>
  <si>
    <t>DISEÑO (Id)</t>
  </si>
  <si>
    <t>NOMINAL (In)</t>
  </si>
  <si>
    <t>(W)</t>
  </si>
  <si>
    <t>(UND)</t>
  </si>
  <si>
    <t>(A)</t>
  </si>
  <si>
    <t>0.8*P.T.</t>
  </si>
  <si>
    <t>1.25xIn (A)</t>
  </si>
  <si>
    <t>TG</t>
  </si>
  <si>
    <t xml:space="preserve">TABLERO GENERAL </t>
  </si>
  <si>
    <t>C-1</t>
  </si>
  <si>
    <t>C-2</t>
  </si>
  <si>
    <t>CIRCUITO DE LUMINARIAS SUSPENDIDO</t>
  </si>
  <si>
    <t>C-3</t>
  </si>
  <si>
    <t>CIRCUITO DE LUMINARIAS TIPO PANEL</t>
  </si>
  <si>
    <t>C-4</t>
  </si>
  <si>
    <t>C-5</t>
  </si>
  <si>
    <t>C-6</t>
  </si>
  <si>
    <t>C-7</t>
  </si>
  <si>
    <t>C-8</t>
  </si>
  <si>
    <t>C-9</t>
  </si>
  <si>
    <t>C-10</t>
  </si>
  <si>
    <t>C-11</t>
  </si>
  <si>
    <t>CIRCUITO DE LUMINARIAS TIPO DOWNLIGHT</t>
  </si>
  <si>
    <t>CIRCUITO 1</t>
  </si>
  <si>
    <t>CIRCUITO 2</t>
  </si>
  <si>
    <t>CIRCUITO 3</t>
  </si>
  <si>
    <t>CIRCUITO 4</t>
  </si>
  <si>
    <t>CIRCUITO 5</t>
  </si>
  <si>
    <t>CIRCUITO-3</t>
  </si>
  <si>
    <t>CIRCUITO-4</t>
  </si>
  <si>
    <t>CIRCUITO-5</t>
  </si>
  <si>
    <t>TOMACORRIENTES</t>
  </si>
  <si>
    <t>CIRCUITO 6</t>
  </si>
  <si>
    <t>CIRCUITO 7</t>
  </si>
  <si>
    <t>CIRCUITO 8</t>
  </si>
  <si>
    <t>CIRCUITO 9</t>
  </si>
  <si>
    <t>CIRCUITO 10</t>
  </si>
  <si>
    <t>C-A</t>
  </si>
  <si>
    <t xml:space="preserve"> </t>
  </si>
  <si>
    <t>SUBTABLERO DE GENERAL A</t>
  </si>
  <si>
    <t xml:space="preserve">SUB TABLERO GENERAL  </t>
  </si>
  <si>
    <t>CIRCUITO DE BOMBA 1</t>
  </si>
  <si>
    <t>CIRCUITO DE BOMBA 2</t>
  </si>
  <si>
    <t>CIRCUITO DE BOMBA 3</t>
  </si>
  <si>
    <t>CIRCUITO DE BOMBA 4</t>
  </si>
  <si>
    <t>CIRCUITO DE BOMBA 5</t>
  </si>
  <si>
    <t>TABLERO DE DISTRIBUCION 8</t>
  </si>
  <si>
    <t>TABLERO DE DISTRIBUCION 9</t>
  </si>
  <si>
    <t>TABLERO DE DISTRIBUCION 10</t>
  </si>
  <si>
    <t>TABLERO DE DISTRIBUCION 11</t>
  </si>
  <si>
    <t>BOMBA PRMER NIVEL</t>
  </si>
  <si>
    <t>BOMBA SEGUNDO NIVEL</t>
  </si>
  <si>
    <t>BOMBA TERCER NIVEL</t>
  </si>
  <si>
    <t>BOMBA CUARTO NIVEL</t>
  </si>
  <si>
    <t>BOMBA QUINTO NIVEL</t>
  </si>
  <si>
    <t>CIRCUITO TOMACORRIENTES</t>
  </si>
  <si>
    <t>TABLERO DE DISTRIBUCION 12</t>
  </si>
  <si>
    <t>TABLERO DE DISTRIBUCION 13</t>
  </si>
  <si>
    <t>C-12</t>
  </si>
  <si>
    <t>C-13</t>
  </si>
  <si>
    <t>TOMACORRIENTES BAÑOS Y HALL</t>
  </si>
  <si>
    <t>TOMACORRIENTES GUARDIANIA, CAMARAS DE CONTROL, SISTEMAS DE CONTROL INTERNO</t>
  </si>
  <si>
    <t>TOMACORRINTES HALL</t>
  </si>
  <si>
    <t>TOMACORRINTES MESA DE PARTES Y TRIBUNAL DE HONOR</t>
  </si>
  <si>
    <t>TOMACORRIENTES  RECURSOS HUMANOS, PENSIONES Y LIQUIDACIONES</t>
  </si>
  <si>
    <t>TOMACORRIENTES  TESORERIA Y JEFATURA DE TESORERIA</t>
  </si>
  <si>
    <t>TOMACORRIENTES UNIDAD DE TESORERIA</t>
  </si>
  <si>
    <t xml:space="preserve">TOMACORRIENTES OFICINA DE GESTION </t>
  </si>
  <si>
    <t xml:space="preserve">TOMACORRIENTES UNIDAD DE CONTABILIDAD Y JEFATURA </t>
  </si>
  <si>
    <t>TOMACORRIENTES BAÑOS</t>
  </si>
  <si>
    <t xml:space="preserve"> TOMACORRIENTES REMUNERACIONES</t>
  </si>
  <si>
    <t>TOMACORRIENTES REMUNERACIONES</t>
  </si>
  <si>
    <t xml:space="preserve">TOMACORRIENTES EQUIPAMIENTO Y OFICINA DE COPERACION  </t>
  </si>
  <si>
    <t xml:space="preserve">TOMACORRIENTES SALA DE PROCESOS,  SECRETARIA Y ESPERA </t>
  </si>
  <si>
    <t>TOMACORRIENTES SECRETARIA,DIRECCION GENERAL, JEFATURA</t>
  </si>
  <si>
    <t>TOMACORRIENTE GOBIERNO DIGITAL, BAÑOS</t>
  </si>
  <si>
    <t>TOMACORRIENTES UNIDAD DE ABASTECIMIENTOS</t>
  </si>
  <si>
    <t>TOMACORRINTE Y UPS, SALA ELECTRICA Y SERVIDORES</t>
  </si>
  <si>
    <t>TOMACORRINTE OFICINA DE ASESORIA JURIDICA</t>
  </si>
  <si>
    <t>TOMACORRIENTES OFICINA DE PLANEAMIENTO Y PRESUPUESTOS</t>
  </si>
  <si>
    <t>TOMACORRIENTES OFICINA DE PLANEAMIENTO Y JEFATURA</t>
  </si>
  <si>
    <t>TOMACORRIENTE BAÑOS</t>
  </si>
  <si>
    <t>TOMACORRIENTES GRADOS Y TITULOS</t>
  </si>
  <si>
    <t>TOMACORRIENTE Y UPS</t>
  </si>
  <si>
    <t>TOMACORRIENTE PRODUCCION Y PUBLICACIONES</t>
  </si>
  <si>
    <t xml:space="preserve">TOMACORRINTE OFICINA DE ASESORAMIENTO, COMUNICACIONES </t>
  </si>
  <si>
    <t xml:space="preserve">TOMACORRIENTES Y UPS </t>
  </si>
  <si>
    <t>TOMACORRIENTE RECTORADO Y SALA DE REUNIONES</t>
  </si>
  <si>
    <t>TOMACORRIENTES SALSA DE CONSEJO Y SERVICIO</t>
  </si>
  <si>
    <t>TOMACORRINTES SALA DE CONSEJO</t>
  </si>
  <si>
    <t xml:space="preserve">CIRCUITO DE LUMINARIAS </t>
  </si>
  <si>
    <t>CIRCUITO 11</t>
  </si>
  <si>
    <t>CIRCUITO 12</t>
  </si>
  <si>
    <t>CIRCUITO 13</t>
  </si>
  <si>
    <t>CIRCUITO DE LUMINARIAS TIPO DOWNLIGHT, PANEL</t>
  </si>
  <si>
    <t>LUMINARIAS HALL</t>
  </si>
  <si>
    <t>LUMINARIAS CONTROL DE CAMARAS PORTAL DE TRANSFERENCIA</t>
  </si>
  <si>
    <t>LUMINARIAS BAÑOS</t>
  </si>
  <si>
    <t xml:space="preserve">LUMINARIAS PASILLOS </t>
  </si>
  <si>
    <t>LUMINARIAS PASILLO Y GUARDIANIA</t>
  </si>
  <si>
    <t>LUMINARIAS GRUPO ELECTROGEO Y SUB ESTACION</t>
  </si>
  <si>
    <t xml:space="preserve">LUMINARIAS MESA DE PARTES Y TRIBUNAL DE HONOR </t>
  </si>
  <si>
    <t>LUMINARIAS  BAÑOS, CUARTO DE TABLEROS,CUARTO DE COMUNICACIONES</t>
  </si>
  <si>
    <t>CIRCUITO TOMACORRIENTES Y UPS</t>
  </si>
  <si>
    <t>LUMINARIAS TESORERIA, JEFATURA</t>
  </si>
  <si>
    <t>LUMINARIAS RECURSOS HUMANOS, PENSIONES</t>
  </si>
  <si>
    <t>LUMINARIAS UNIDAD DE CONTABILIDAD</t>
  </si>
  <si>
    <t xml:space="preserve">LUMINARIAS JEFATURA Y REMUNERACIONES </t>
  </si>
  <si>
    <t>LUMINARIAS PASADIZO</t>
  </si>
  <si>
    <t>LUMINARIAS OFICINA DE GESTION DE CALIDAD</t>
  </si>
  <si>
    <t>LUMINARIAS SALA DE PROCESOS</t>
  </si>
  <si>
    <t>LUMINARIAS EQUIPAMIENTO Y OFICINA DE COOPERACION</t>
  </si>
  <si>
    <t>LUMINARIAS SECRETARIA Y DEPOSITO</t>
  </si>
  <si>
    <t>LUMINARIAS DIRECCION GENERAL Y JEFATURA</t>
  </si>
  <si>
    <t xml:space="preserve">LUMINARIAS GOBIERNO DIGITAL </t>
  </si>
  <si>
    <t xml:space="preserve">LUMINARIAS UNIDAD DE ABASTECIMIENTOS </t>
  </si>
  <si>
    <t xml:space="preserve">LUMINARIAS PASADIZO </t>
  </si>
  <si>
    <t>LUMINARIAS OFICINA DE ASESORIA JURIDICA</t>
  </si>
  <si>
    <t xml:space="preserve">LUMINARIAS OFICINA DE PLANEAMIENTO Y PRESUPUESTO </t>
  </si>
  <si>
    <t>LUMINARIAS JEFATURA</t>
  </si>
  <si>
    <t>LUMINARIAS RESOLUCIONES Y JEFATURA</t>
  </si>
  <si>
    <t>LUMINARIAS BAÑO</t>
  </si>
  <si>
    <t>LUMINARIAS BAÑO Y LIMPIEZA</t>
  </si>
  <si>
    <t>LUMINARIAS SECRETARIA GENERAL</t>
  </si>
  <si>
    <t>LUMINARIAS GRADOS Y TITULOS</t>
  </si>
  <si>
    <t>LUMINARIAS SALA DE REUNIONES</t>
  </si>
  <si>
    <t>LUMINARIAS OFICINA DE COMUNICACIONES Y ASESORAMIENTO</t>
  </si>
  <si>
    <t xml:space="preserve">LUMINARIAS PRODUCCION Y PUBLICACION </t>
  </si>
  <si>
    <t>LUMINARIAS  RECTORADO</t>
  </si>
  <si>
    <t>LUMINARIAS SECRETARIA</t>
  </si>
  <si>
    <t xml:space="preserve">LUMINARIAS BAÑOS </t>
  </si>
  <si>
    <t>LUMINARIAS SALA DE CONSEJO</t>
  </si>
  <si>
    <t xml:space="preserve">CIRCUITO PARA ASENSOR </t>
  </si>
  <si>
    <t>CIRCUITO DE TOMACORRINTES</t>
  </si>
  <si>
    <t>CIRCUITO DE BOMBA 6</t>
  </si>
  <si>
    <t>}</t>
  </si>
  <si>
    <t>BOMBA PARA SISTEMA CONTRA INCENDIOS</t>
  </si>
  <si>
    <t>CIRCUITO-9</t>
  </si>
  <si>
    <t>CIRCUITO DE LUMINARIA EXTERIOR</t>
  </si>
  <si>
    <t xml:space="preserve">CIRCUITO DE LUMINARIA EXTERIOR </t>
  </si>
  <si>
    <t>CIRCUITO DE LUMINARIA EXTERIOR TIPO ISLA</t>
  </si>
  <si>
    <t xml:space="preserve">CIRCUITO PARA ELEVADOR </t>
  </si>
  <si>
    <t xml:space="preserve"> LUMINARIAS DEPOSITO ASOTEA</t>
  </si>
  <si>
    <t xml:space="preserve"> LUMINARIAS ASOTEA</t>
  </si>
  <si>
    <t>CIRCUITO TOMACORRIENTES Y FLUXOMETRO</t>
  </si>
  <si>
    <t>TOMACORRINTES Y FLUXOMETRO PARA BAÑOS</t>
  </si>
  <si>
    <t>CIRCUITO-6</t>
  </si>
  <si>
    <t>CIRCUITO 14</t>
  </si>
  <si>
    <t>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</si>
</sst>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12"/>
      <color rgb="FF002060"/>
      <name val="Calibri"/>
      <family val="2"/>
      <scheme val="minor"/>
    </font>
    <font>
      <b/>
      <sz val="1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8" xfId="0" applyBorder="1"/>
    <xf numFmtId="0" fontId="0" fillId="0" borderId="0" xfId="0" applyBorder="1"/>
    <xf numFmtId="0" fontId="0" fillId="0" borderId="8" xfId="0" applyBorder="1" applyAlignment="1">
      <alignment horizontal="center"/>
    </xf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0" xfId="0" applyFont="1"/>
    <xf numFmtId="2" fontId="2" fillId="0" borderId="0" xfId="0" applyNumberFormat="1" applyFont="1"/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2" fontId="0" fillId="5" borderId="0" xfId="0" applyNumberFormat="1" applyFill="1"/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4" fontId="7" fillId="8" borderId="1" xfId="0" applyNumberFormat="1" applyFont="1" applyFill="1" applyBorder="1" applyAlignment="1">
      <alignment horizontal="center" vertical="top"/>
    </xf>
    <xf numFmtId="4" fontId="2" fillId="8" borderId="1" xfId="0" applyNumberFormat="1" applyFont="1" applyFill="1" applyBorder="1" applyAlignment="1">
      <alignment horizontal="center" vertical="top"/>
    </xf>
    <xf numFmtId="2" fontId="2" fillId="8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center"/>
    </xf>
    <xf numFmtId="4" fontId="2" fillId="8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horizontal="center" vertical="top"/>
    </xf>
    <xf numFmtId="2" fontId="16" fillId="0" borderId="1" xfId="0" applyNumberFormat="1" applyFont="1" applyBorder="1" applyAlignment="1">
      <alignment horizontal="center" vertical="top"/>
    </xf>
    <xf numFmtId="4" fontId="16" fillId="0" borderId="1" xfId="0" applyNumberFormat="1" applyFont="1" applyBorder="1" applyAlignment="1">
      <alignment horizontal="center" vertical="top"/>
    </xf>
    <xf numFmtId="4" fontId="17" fillId="7" borderId="1" xfId="0" applyNumberFormat="1" applyFont="1" applyFill="1" applyBorder="1" applyAlignment="1">
      <alignment horizontal="center" vertical="top"/>
    </xf>
    <xf numFmtId="0" fontId="16" fillId="0" borderId="0" xfId="0" applyFont="1"/>
    <xf numFmtId="0" fontId="18" fillId="0" borderId="1" xfId="0" applyFont="1" applyBorder="1" applyAlignment="1">
      <alignment horizontal="center" vertical="top"/>
    </xf>
    <xf numFmtId="2" fontId="18" fillId="0" borderId="1" xfId="0" applyNumberFormat="1" applyFont="1" applyBorder="1" applyAlignment="1">
      <alignment horizontal="center" vertical="top"/>
    </xf>
    <xf numFmtId="4" fontId="18" fillId="0" borderId="1" xfId="0" applyNumberFormat="1" applyFont="1" applyBorder="1" applyAlignment="1">
      <alignment horizontal="center" vertical="top"/>
    </xf>
    <xf numFmtId="4" fontId="13" fillId="7" borderId="1" xfId="0" applyNumberFormat="1" applyFont="1" applyFill="1" applyBorder="1" applyAlignment="1">
      <alignment horizontal="center" vertical="top"/>
    </xf>
    <xf numFmtId="4" fontId="13" fillId="8" borderId="1" xfId="0" applyNumberFormat="1" applyFont="1" applyFill="1" applyBorder="1" applyAlignment="1">
      <alignment horizontal="center" vertical="top"/>
    </xf>
    <xf numFmtId="2" fontId="13" fillId="8" borderId="1" xfId="0" applyNumberFormat="1" applyFont="1" applyFill="1" applyBorder="1" applyAlignment="1">
      <alignment horizontal="center" vertical="top"/>
    </xf>
    <xf numFmtId="0" fontId="18" fillId="0" borderId="0" xfId="0" applyFont="1"/>
    <xf numFmtId="0" fontId="19" fillId="0" borderId="1" xfId="0" applyFont="1" applyBorder="1" applyAlignment="1">
      <alignment horizontal="center" vertical="top"/>
    </xf>
    <xf numFmtId="2" fontId="19" fillId="0" borderId="1" xfId="0" applyNumberFormat="1" applyFont="1" applyBorder="1" applyAlignment="1">
      <alignment horizontal="center" vertical="top"/>
    </xf>
    <xf numFmtId="4" fontId="19" fillId="0" borderId="1" xfId="0" applyNumberFormat="1" applyFont="1" applyBorder="1" applyAlignment="1">
      <alignment horizontal="center" vertical="top"/>
    </xf>
    <xf numFmtId="4" fontId="14" fillId="7" borderId="1" xfId="0" applyNumberFormat="1" applyFont="1" applyFill="1" applyBorder="1" applyAlignment="1">
      <alignment horizontal="center" vertical="top"/>
    </xf>
    <xf numFmtId="4" fontId="14" fillId="8" borderId="1" xfId="0" applyNumberFormat="1" applyFont="1" applyFill="1" applyBorder="1" applyAlignment="1">
      <alignment horizontal="center" vertical="top"/>
    </xf>
    <xf numFmtId="2" fontId="14" fillId="8" borderId="1" xfId="0" applyNumberFormat="1" applyFont="1" applyFill="1" applyBorder="1" applyAlignment="1">
      <alignment horizontal="center" vertical="top"/>
    </xf>
    <xf numFmtId="0" fontId="19" fillId="0" borderId="0" xfId="0" applyFont="1"/>
    <xf numFmtId="2" fontId="12" fillId="0" borderId="1" xfId="0" applyNumberFormat="1" applyFont="1" applyBorder="1" applyAlignment="1">
      <alignment horizontal="center" vertical="top"/>
    </xf>
    <xf numFmtId="4" fontId="12" fillId="0" borderId="1" xfId="0" applyNumberFormat="1" applyFont="1" applyBorder="1" applyAlignment="1">
      <alignment horizontal="center" vertical="top"/>
    </xf>
    <xf numFmtId="4" fontId="11" fillId="7" borderId="1" xfId="0" applyNumberFormat="1" applyFont="1" applyFill="1" applyBorder="1" applyAlignment="1">
      <alignment horizontal="center" vertical="top"/>
    </xf>
    <xf numFmtId="4" fontId="11" fillId="8" borderId="1" xfId="0" applyNumberFormat="1" applyFont="1" applyFill="1" applyBorder="1" applyAlignment="1">
      <alignment horizontal="center" vertical="top"/>
    </xf>
    <xf numFmtId="0" fontId="12" fillId="0" borderId="0" xfId="0" applyFont="1"/>
    <xf numFmtId="4" fontId="20" fillId="8" borderId="1" xfId="0" applyNumberFormat="1" applyFont="1" applyFill="1" applyBorder="1" applyAlignment="1">
      <alignment horizontal="center" vertical="top"/>
    </xf>
    <xf numFmtId="2" fontId="20" fillId="8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vertical="center"/>
    </xf>
    <xf numFmtId="2" fontId="2" fillId="8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E32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242</xdr:row>
          <xdr:rowOff>19050</xdr:rowOff>
        </xdr:from>
        <xdr:to>
          <xdr:col>2</xdr:col>
          <xdr:colOff>133350</xdr:colOff>
          <xdr:row>243</xdr:row>
          <xdr:rowOff>161925</xdr:rowOff>
        </xdr:to>
        <xdr:sp macro="" textlink="">
          <xdr:nvSpPr>
            <xdr:cNvPr id="28673" name="Object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245</xdr:row>
          <xdr:rowOff>0</xdr:rowOff>
        </xdr:from>
        <xdr:to>
          <xdr:col>1</xdr:col>
          <xdr:colOff>647700</xdr:colOff>
          <xdr:row>247</xdr:row>
          <xdr:rowOff>104775</xdr:rowOff>
        </xdr:to>
        <xdr:sp macro="" textlink="">
          <xdr:nvSpPr>
            <xdr:cNvPr id="28674" name="Object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249</xdr:row>
          <xdr:rowOff>76200</xdr:rowOff>
        </xdr:from>
        <xdr:to>
          <xdr:col>1</xdr:col>
          <xdr:colOff>200025</xdr:colOff>
          <xdr:row>250</xdr:row>
          <xdr:rowOff>180975</xdr:rowOff>
        </xdr:to>
        <xdr:sp macro="" textlink="">
          <xdr:nvSpPr>
            <xdr:cNvPr id="28675" name="Object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230</xdr:row>
      <xdr:rowOff>85725</xdr:rowOff>
    </xdr:from>
    <xdr:to>
      <xdr:col>2</xdr:col>
      <xdr:colOff>0</xdr:colOff>
      <xdr:row>234</xdr:row>
      <xdr:rowOff>0</xdr:rowOff>
    </xdr:to>
    <xdr:grpSp>
      <xdr:nvGrpSpPr>
        <xdr:cNvPr id="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43578753"/>
          <a:ext cx="1846508" cy="665543"/>
          <a:chOff x="0" y="83"/>
          <a:chExt cx="159" cy="71"/>
        </a:xfrm>
      </xdr:grpSpPr>
      <xdr:sp macro="" textlink="">
        <xdr:nvSpPr>
          <xdr:cNvPr id="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267</xdr:row>
          <xdr:rowOff>19050</xdr:rowOff>
        </xdr:from>
        <xdr:to>
          <xdr:col>2</xdr:col>
          <xdr:colOff>133350</xdr:colOff>
          <xdr:row>268</xdr:row>
          <xdr:rowOff>161925</xdr:rowOff>
        </xdr:to>
        <xdr:sp macro="" textlink="">
          <xdr:nvSpPr>
            <xdr:cNvPr id="28676" name="Object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270</xdr:row>
          <xdr:rowOff>0</xdr:rowOff>
        </xdr:from>
        <xdr:to>
          <xdr:col>1</xdr:col>
          <xdr:colOff>647700</xdr:colOff>
          <xdr:row>272</xdr:row>
          <xdr:rowOff>104775</xdr:rowOff>
        </xdr:to>
        <xdr:sp macro="" textlink="">
          <xdr:nvSpPr>
            <xdr:cNvPr id="28677" name="Object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274</xdr:row>
          <xdr:rowOff>76200</xdr:rowOff>
        </xdr:from>
        <xdr:to>
          <xdr:col>1</xdr:col>
          <xdr:colOff>200025</xdr:colOff>
          <xdr:row>275</xdr:row>
          <xdr:rowOff>180975</xdr:rowOff>
        </xdr:to>
        <xdr:sp macro="" textlink="">
          <xdr:nvSpPr>
            <xdr:cNvPr id="28678" name="Object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255</xdr:row>
      <xdr:rowOff>85725</xdr:rowOff>
    </xdr:from>
    <xdr:to>
      <xdr:col>2</xdr:col>
      <xdr:colOff>0</xdr:colOff>
      <xdr:row>259</xdr:row>
      <xdr:rowOff>0</xdr:rowOff>
    </xdr:to>
    <xdr:grpSp>
      <xdr:nvGrpSpPr>
        <xdr:cNvPr id="21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48301007"/>
          <a:ext cx="1846508" cy="665542"/>
          <a:chOff x="0" y="83"/>
          <a:chExt cx="159" cy="71"/>
        </a:xfrm>
      </xdr:grpSpPr>
      <xdr:sp macro="" textlink="">
        <xdr:nvSpPr>
          <xdr:cNvPr id="22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23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25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26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27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8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9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30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1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2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33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295</xdr:row>
          <xdr:rowOff>0</xdr:rowOff>
        </xdr:from>
        <xdr:to>
          <xdr:col>1</xdr:col>
          <xdr:colOff>647700</xdr:colOff>
          <xdr:row>297</xdr:row>
          <xdr:rowOff>104775</xdr:rowOff>
        </xdr:to>
        <xdr:sp macro="" textlink="">
          <xdr:nvSpPr>
            <xdr:cNvPr id="28679" name="Object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299</xdr:row>
          <xdr:rowOff>76200</xdr:rowOff>
        </xdr:from>
        <xdr:to>
          <xdr:col>1</xdr:col>
          <xdr:colOff>200025</xdr:colOff>
          <xdr:row>300</xdr:row>
          <xdr:rowOff>180975</xdr:rowOff>
        </xdr:to>
        <xdr:sp macro="" textlink="">
          <xdr:nvSpPr>
            <xdr:cNvPr id="28680" name="Object 8" hidden="1">
              <a:extLst>
                <a:ext uri="{63B3BB69-23CF-44E3-9099-C40C66FF867C}">
                  <a14:compatExt spid="_x0000_s28680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320</xdr:row>
          <xdr:rowOff>0</xdr:rowOff>
        </xdr:from>
        <xdr:to>
          <xdr:col>1</xdr:col>
          <xdr:colOff>647700</xdr:colOff>
          <xdr:row>322</xdr:row>
          <xdr:rowOff>104775</xdr:rowOff>
        </xdr:to>
        <xdr:sp macro="" textlink="">
          <xdr:nvSpPr>
            <xdr:cNvPr id="28681" name="Object 9" hidden="1">
              <a:extLst>
                <a:ext uri="{63B3BB69-23CF-44E3-9099-C40C66FF867C}">
                  <a14:compatExt spid="_x0000_s28681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324</xdr:row>
          <xdr:rowOff>76200</xdr:rowOff>
        </xdr:from>
        <xdr:to>
          <xdr:col>1</xdr:col>
          <xdr:colOff>200025</xdr:colOff>
          <xdr:row>325</xdr:row>
          <xdr:rowOff>180975</xdr:rowOff>
        </xdr:to>
        <xdr:sp macro="" textlink="">
          <xdr:nvSpPr>
            <xdr:cNvPr id="28682" name="Object 10" hidden="1">
              <a:extLst>
                <a:ext uri="{63B3BB69-23CF-44E3-9099-C40C66FF867C}">
                  <a14:compatExt spid="_x0000_s28682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370</xdr:row>
          <xdr:rowOff>0</xdr:rowOff>
        </xdr:from>
        <xdr:to>
          <xdr:col>1</xdr:col>
          <xdr:colOff>647700</xdr:colOff>
          <xdr:row>372</xdr:row>
          <xdr:rowOff>104775</xdr:rowOff>
        </xdr:to>
        <xdr:sp macro="" textlink="">
          <xdr:nvSpPr>
            <xdr:cNvPr id="28683" name="Object 11" hidden="1">
              <a:extLst>
                <a:ext uri="{63B3BB69-23CF-44E3-9099-C40C66FF867C}">
                  <a14:compatExt spid="_x0000_s28683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374</xdr:row>
          <xdr:rowOff>76200</xdr:rowOff>
        </xdr:from>
        <xdr:to>
          <xdr:col>1</xdr:col>
          <xdr:colOff>200025</xdr:colOff>
          <xdr:row>375</xdr:row>
          <xdr:rowOff>180975</xdr:rowOff>
        </xdr:to>
        <xdr:sp macro="" textlink="">
          <xdr:nvSpPr>
            <xdr:cNvPr id="28684" name="Object 12" hidden="1">
              <a:extLst>
                <a:ext uri="{63B3BB69-23CF-44E3-9099-C40C66FF867C}">
                  <a14:compatExt spid="_x0000_s28684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393</xdr:row>
          <xdr:rowOff>19050</xdr:rowOff>
        </xdr:from>
        <xdr:to>
          <xdr:col>2</xdr:col>
          <xdr:colOff>133350</xdr:colOff>
          <xdr:row>394</xdr:row>
          <xdr:rowOff>161925</xdr:rowOff>
        </xdr:to>
        <xdr:sp macro="" textlink="">
          <xdr:nvSpPr>
            <xdr:cNvPr id="28685" name="Object 13" hidden="1">
              <a:extLst>
                <a:ext uri="{63B3BB69-23CF-44E3-9099-C40C66FF867C}">
                  <a14:compatExt spid="_x0000_s2868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396</xdr:row>
          <xdr:rowOff>0</xdr:rowOff>
        </xdr:from>
        <xdr:to>
          <xdr:col>1</xdr:col>
          <xdr:colOff>647700</xdr:colOff>
          <xdr:row>398</xdr:row>
          <xdr:rowOff>104775</xdr:rowOff>
        </xdr:to>
        <xdr:sp macro="" textlink="">
          <xdr:nvSpPr>
            <xdr:cNvPr id="28686" name="Object 14" hidden="1">
              <a:extLst>
                <a:ext uri="{63B3BB69-23CF-44E3-9099-C40C66FF867C}">
                  <a14:compatExt spid="_x0000_s2868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400</xdr:row>
          <xdr:rowOff>76200</xdr:rowOff>
        </xdr:from>
        <xdr:to>
          <xdr:col>1</xdr:col>
          <xdr:colOff>200025</xdr:colOff>
          <xdr:row>401</xdr:row>
          <xdr:rowOff>180975</xdr:rowOff>
        </xdr:to>
        <xdr:sp macro="" textlink="">
          <xdr:nvSpPr>
            <xdr:cNvPr id="28687" name="Object 15" hidden="1">
              <a:extLst>
                <a:ext uri="{63B3BB69-23CF-44E3-9099-C40C66FF867C}">
                  <a14:compatExt spid="_x0000_s2868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381</xdr:row>
      <xdr:rowOff>85725</xdr:rowOff>
    </xdr:from>
    <xdr:to>
      <xdr:col>2</xdr:col>
      <xdr:colOff>0</xdr:colOff>
      <xdr:row>385</xdr:row>
      <xdr:rowOff>0</xdr:rowOff>
    </xdr:to>
    <xdr:grpSp>
      <xdr:nvGrpSpPr>
        <xdr:cNvPr id="4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72113507"/>
          <a:ext cx="1846508" cy="665542"/>
          <a:chOff x="0" y="83"/>
          <a:chExt cx="159" cy="71"/>
        </a:xfrm>
      </xdr:grpSpPr>
      <xdr:sp macro="" textlink="">
        <xdr:nvSpPr>
          <xdr:cNvPr id="4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4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4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5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292</xdr:row>
          <xdr:rowOff>19050</xdr:rowOff>
        </xdr:from>
        <xdr:to>
          <xdr:col>2</xdr:col>
          <xdr:colOff>133350</xdr:colOff>
          <xdr:row>293</xdr:row>
          <xdr:rowOff>161925</xdr:rowOff>
        </xdr:to>
        <xdr:sp macro="" textlink="">
          <xdr:nvSpPr>
            <xdr:cNvPr id="28688" name="Object 16" hidden="1">
              <a:extLst>
                <a:ext uri="{63B3BB69-23CF-44E3-9099-C40C66FF867C}">
                  <a14:compatExt spid="_x0000_s28688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367</xdr:row>
          <xdr:rowOff>19050</xdr:rowOff>
        </xdr:from>
        <xdr:to>
          <xdr:col>2</xdr:col>
          <xdr:colOff>133350</xdr:colOff>
          <xdr:row>368</xdr:row>
          <xdr:rowOff>161925</xdr:rowOff>
        </xdr:to>
        <xdr:sp macro="" textlink="">
          <xdr:nvSpPr>
            <xdr:cNvPr id="28689" name="Object 17" hidden="1">
              <a:extLst>
                <a:ext uri="{63B3BB69-23CF-44E3-9099-C40C66FF867C}">
                  <a14:compatExt spid="_x0000_s28689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281</xdr:row>
      <xdr:rowOff>0</xdr:rowOff>
    </xdr:from>
    <xdr:to>
      <xdr:col>2</xdr:col>
      <xdr:colOff>2458</xdr:colOff>
      <xdr:row>284</xdr:row>
      <xdr:rowOff>104775</xdr:rowOff>
    </xdr:to>
    <xdr:grpSp>
      <xdr:nvGrpSpPr>
        <xdr:cNvPr id="5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53125352"/>
          <a:ext cx="2001366" cy="668226"/>
          <a:chOff x="0" y="83"/>
          <a:chExt cx="159" cy="71"/>
        </a:xfrm>
      </xdr:grpSpPr>
      <xdr:sp macro="" textlink="">
        <xdr:nvSpPr>
          <xdr:cNvPr id="5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6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6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6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6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6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6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6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7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306</xdr:row>
      <xdr:rowOff>0</xdr:rowOff>
    </xdr:from>
    <xdr:to>
      <xdr:col>2</xdr:col>
      <xdr:colOff>2458</xdr:colOff>
      <xdr:row>309</xdr:row>
      <xdr:rowOff>104775</xdr:rowOff>
    </xdr:to>
    <xdr:grpSp>
      <xdr:nvGrpSpPr>
        <xdr:cNvPr id="7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57847606"/>
          <a:ext cx="2001366" cy="668225"/>
          <a:chOff x="0" y="83"/>
          <a:chExt cx="159" cy="71"/>
        </a:xfrm>
      </xdr:grpSpPr>
      <xdr:sp macro="" textlink="">
        <xdr:nvSpPr>
          <xdr:cNvPr id="7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7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7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7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7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8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8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8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8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356</xdr:row>
      <xdr:rowOff>0</xdr:rowOff>
    </xdr:from>
    <xdr:to>
      <xdr:col>2</xdr:col>
      <xdr:colOff>2458</xdr:colOff>
      <xdr:row>359</xdr:row>
      <xdr:rowOff>104774</xdr:rowOff>
    </xdr:to>
    <xdr:grpSp>
      <xdr:nvGrpSpPr>
        <xdr:cNvPr id="8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67292113"/>
          <a:ext cx="2001366" cy="668224"/>
          <a:chOff x="0" y="83"/>
          <a:chExt cx="159" cy="71"/>
        </a:xfrm>
      </xdr:grpSpPr>
      <xdr:sp macro="" textlink="">
        <xdr:nvSpPr>
          <xdr:cNvPr id="8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8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8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8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9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9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9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9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9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418</xdr:row>
          <xdr:rowOff>19050</xdr:rowOff>
        </xdr:from>
        <xdr:to>
          <xdr:col>2</xdr:col>
          <xdr:colOff>133350</xdr:colOff>
          <xdr:row>419</xdr:row>
          <xdr:rowOff>161925</xdr:rowOff>
        </xdr:to>
        <xdr:sp macro="" textlink="">
          <xdr:nvSpPr>
            <xdr:cNvPr id="28690" name="Object 18" hidden="1">
              <a:extLst>
                <a:ext uri="{63B3BB69-23CF-44E3-9099-C40C66FF867C}">
                  <a14:compatExt spid="_x0000_s2869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421</xdr:row>
          <xdr:rowOff>0</xdr:rowOff>
        </xdr:from>
        <xdr:to>
          <xdr:col>1</xdr:col>
          <xdr:colOff>647700</xdr:colOff>
          <xdr:row>423</xdr:row>
          <xdr:rowOff>104775</xdr:rowOff>
        </xdr:to>
        <xdr:sp macro="" textlink="">
          <xdr:nvSpPr>
            <xdr:cNvPr id="28691" name="Object 19" hidden="1">
              <a:extLst>
                <a:ext uri="{63B3BB69-23CF-44E3-9099-C40C66FF867C}">
                  <a14:compatExt spid="_x0000_s2869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425</xdr:row>
          <xdr:rowOff>76200</xdr:rowOff>
        </xdr:from>
        <xdr:to>
          <xdr:col>1</xdr:col>
          <xdr:colOff>200025</xdr:colOff>
          <xdr:row>426</xdr:row>
          <xdr:rowOff>180975</xdr:rowOff>
        </xdr:to>
        <xdr:sp macro="" textlink="">
          <xdr:nvSpPr>
            <xdr:cNvPr id="28692" name="Object 20" hidden="1">
              <a:extLst>
                <a:ext uri="{63B3BB69-23CF-44E3-9099-C40C66FF867C}">
                  <a14:compatExt spid="_x0000_s2869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406</xdr:row>
      <xdr:rowOff>85725</xdr:rowOff>
    </xdr:from>
    <xdr:to>
      <xdr:col>2</xdr:col>
      <xdr:colOff>0</xdr:colOff>
      <xdr:row>410</xdr:row>
      <xdr:rowOff>0</xdr:rowOff>
    </xdr:to>
    <xdr:grpSp>
      <xdr:nvGrpSpPr>
        <xdr:cNvPr id="10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76835760"/>
          <a:ext cx="1846508" cy="665543"/>
          <a:chOff x="0" y="83"/>
          <a:chExt cx="159" cy="71"/>
        </a:xfrm>
      </xdr:grpSpPr>
      <xdr:sp macro="" textlink="">
        <xdr:nvSpPr>
          <xdr:cNvPr id="10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0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0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0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1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1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1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317</xdr:row>
          <xdr:rowOff>19050</xdr:rowOff>
        </xdr:from>
        <xdr:to>
          <xdr:col>2</xdr:col>
          <xdr:colOff>133350</xdr:colOff>
          <xdr:row>318</xdr:row>
          <xdr:rowOff>161925</xdr:rowOff>
        </xdr:to>
        <xdr:sp macro="" textlink="">
          <xdr:nvSpPr>
            <xdr:cNvPr id="28693" name="Object 21" hidden="1">
              <a:extLst>
                <a:ext uri="{63B3BB69-23CF-44E3-9099-C40C66FF867C}">
                  <a14:compatExt spid="_x0000_s286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443</xdr:row>
          <xdr:rowOff>19050</xdr:rowOff>
        </xdr:from>
        <xdr:to>
          <xdr:col>2</xdr:col>
          <xdr:colOff>133350</xdr:colOff>
          <xdr:row>444</xdr:row>
          <xdr:rowOff>161925</xdr:rowOff>
        </xdr:to>
        <xdr:sp macro="" textlink="">
          <xdr:nvSpPr>
            <xdr:cNvPr id="28694" name="Object 22" hidden="1">
              <a:extLst>
                <a:ext uri="{63B3BB69-23CF-44E3-9099-C40C66FF867C}">
                  <a14:compatExt spid="_x0000_s28694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446</xdr:row>
          <xdr:rowOff>0</xdr:rowOff>
        </xdr:from>
        <xdr:to>
          <xdr:col>1</xdr:col>
          <xdr:colOff>647700</xdr:colOff>
          <xdr:row>448</xdr:row>
          <xdr:rowOff>104775</xdr:rowOff>
        </xdr:to>
        <xdr:sp macro="" textlink="">
          <xdr:nvSpPr>
            <xdr:cNvPr id="28695" name="Object 23" hidden="1">
              <a:extLst>
                <a:ext uri="{63B3BB69-23CF-44E3-9099-C40C66FF867C}">
                  <a14:compatExt spid="_x0000_s28695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450</xdr:row>
          <xdr:rowOff>76200</xdr:rowOff>
        </xdr:from>
        <xdr:to>
          <xdr:col>1</xdr:col>
          <xdr:colOff>200025</xdr:colOff>
          <xdr:row>451</xdr:row>
          <xdr:rowOff>180975</xdr:rowOff>
        </xdr:to>
        <xdr:sp macro="" textlink="">
          <xdr:nvSpPr>
            <xdr:cNvPr id="28696" name="Object 24" hidden="1">
              <a:extLst>
                <a:ext uri="{63B3BB69-23CF-44E3-9099-C40C66FF867C}">
                  <a14:compatExt spid="_x0000_s28696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431</xdr:row>
      <xdr:rowOff>85725</xdr:rowOff>
    </xdr:from>
    <xdr:to>
      <xdr:col>2</xdr:col>
      <xdr:colOff>0</xdr:colOff>
      <xdr:row>435</xdr:row>
      <xdr:rowOff>0</xdr:rowOff>
    </xdr:to>
    <xdr:grpSp>
      <xdr:nvGrpSpPr>
        <xdr:cNvPr id="117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81558014"/>
          <a:ext cx="1846508" cy="665542"/>
          <a:chOff x="0" y="83"/>
          <a:chExt cx="159" cy="71"/>
        </a:xfrm>
      </xdr:grpSpPr>
      <xdr:sp macro="" textlink="">
        <xdr:nvSpPr>
          <xdr:cNvPr id="118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19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21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22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23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4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5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26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27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28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29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468</xdr:row>
          <xdr:rowOff>19050</xdr:rowOff>
        </xdr:from>
        <xdr:to>
          <xdr:col>2</xdr:col>
          <xdr:colOff>133350</xdr:colOff>
          <xdr:row>469</xdr:row>
          <xdr:rowOff>161925</xdr:rowOff>
        </xdr:to>
        <xdr:sp macro="" textlink="">
          <xdr:nvSpPr>
            <xdr:cNvPr id="28697" name="Object 25" hidden="1">
              <a:extLst>
                <a:ext uri="{63B3BB69-23CF-44E3-9099-C40C66FF867C}">
                  <a14:compatExt spid="_x0000_s28697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471</xdr:row>
          <xdr:rowOff>0</xdr:rowOff>
        </xdr:from>
        <xdr:to>
          <xdr:col>1</xdr:col>
          <xdr:colOff>647700</xdr:colOff>
          <xdr:row>473</xdr:row>
          <xdr:rowOff>104775</xdr:rowOff>
        </xdr:to>
        <xdr:sp macro="" textlink="">
          <xdr:nvSpPr>
            <xdr:cNvPr id="28698" name="Object 26" hidden="1">
              <a:extLst>
                <a:ext uri="{63B3BB69-23CF-44E3-9099-C40C66FF867C}">
                  <a14:compatExt spid="_x0000_s28698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475</xdr:row>
          <xdr:rowOff>76200</xdr:rowOff>
        </xdr:from>
        <xdr:to>
          <xdr:col>1</xdr:col>
          <xdr:colOff>200025</xdr:colOff>
          <xdr:row>476</xdr:row>
          <xdr:rowOff>180975</xdr:rowOff>
        </xdr:to>
        <xdr:sp macro="" textlink="">
          <xdr:nvSpPr>
            <xdr:cNvPr id="28699" name="Object 27" hidden="1">
              <a:extLst>
                <a:ext uri="{63B3BB69-23CF-44E3-9099-C40C66FF867C}">
                  <a14:compatExt spid="_x0000_s28699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456</xdr:row>
      <xdr:rowOff>85725</xdr:rowOff>
    </xdr:from>
    <xdr:to>
      <xdr:col>2</xdr:col>
      <xdr:colOff>0</xdr:colOff>
      <xdr:row>460</xdr:row>
      <xdr:rowOff>0</xdr:rowOff>
    </xdr:to>
    <xdr:grpSp>
      <xdr:nvGrpSpPr>
        <xdr:cNvPr id="13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86280267"/>
          <a:ext cx="1846508" cy="665543"/>
          <a:chOff x="0" y="83"/>
          <a:chExt cx="159" cy="71"/>
        </a:xfrm>
      </xdr:grpSpPr>
      <xdr:sp macro="" textlink="">
        <xdr:nvSpPr>
          <xdr:cNvPr id="13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3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3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3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3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4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493</xdr:row>
          <xdr:rowOff>19050</xdr:rowOff>
        </xdr:from>
        <xdr:to>
          <xdr:col>2</xdr:col>
          <xdr:colOff>133350</xdr:colOff>
          <xdr:row>494</xdr:row>
          <xdr:rowOff>161925</xdr:rowOff>
        </xdr:to>
        <xdr:sp macro="" textlink="">
          <xdr:nvSpPr>
            <xdr:cNvPr id="28700" name="Object 28" hidden="1">
              <a:extLst>
                <a:ext uri="{63B3BB69-23CF-44E3-9099-C40C66FF867C}">
                  <a14:compatExt spid="_x0000_s2870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496</xdr:row>
          <xdr:rowOff>0</xdr:rowOff>
        </xdr:from>
        <xdr:to>
          <xdr:col>1</xdr:col>
          <xdr:colOff>647700</xdr:colOff>
          <xdr:row>498</xdr:row>
          <xdr:rowOff>104775</xdr:rowOff>
        </xdr:to>
        <xdr:sp macro="" textlink="">
          <xdr:nvSpPr>
            <xdr:cNvPr id="28701" name="Object 29" hidden="1">
              <a:extLst>
                <a:ext uri="{63B3BB69-23CF-44E3-9099-C40C66FF867C}">
                  <a14:compatExt spid="_x0000_s2870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500</xdr:row>
          <xdr:rowOff>76200</xdr:rowOff>
        </xdr:from>
        <xdr:to>
          <xdr:col>1</xdr:col>
          <xdr:colOff>200025</xdr:colOff>
          <xdr:row>501</xdr:row>
          <xdr:rowOff>180975</xdr:rowOff>
        </xdr:to>
        <xdr:sp macro="" textlink="">
          <xdr:nvSpPr>
            <xdr:cNvPr id="28702" name="Object 30" hidden="1">
              <a:extLst>
                <a:ext uri="{63B3BB69-23CF-44E3-9099-C40C66FF867C}">
                  <a14:compatExt spid="_x0000_s2870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481</xdr:row>
      <xdr:rowOff>85725</xdr:rowOff>
    </xdr:from>
    <xdr:to>
      <xdr:col>2</xdr:col>
      <xdr:colOff>0</xdr:colOff>
      <xdr:row>485</xdr:row>
      <xdr:rowOff>0</xdr:rowOff>
    </xdr:to>
    <xdr:grpSp>
      <xdr:nvGrpSpPr>
        <xdr:cNvPr id="149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91002521"/>
          <a:ext cx="1846508" cy="665542"/>
          <a:chOff x="0" y="83"/>
          <a:chExt cx="159" cy="71"/>
        </a:xfrm>
      </xdr:grpSpPr>
      <xdr:sp macro="" textlink="">
        <xdr:nvSpPr>
          <xdr:cNvPr id="150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51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53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54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55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56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57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58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59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0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1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595</xdr:row>
          <xdr:rowOff>19050</xdr:rowOff>
        </xdr:from>
        <xdr:to>
          <xdr:col>2</xdr:col>
          <xdr:colOff>133350</xdr:colOff>
          <xdr:row>596</xdr:row>
          <xdr:rowOff>161925</xdr:rowOff>
        </xdr:to>
        <xdr:sp macro="" textlink="">
          <xdr:nvSpPr>
            <xdr:cNvPr id="28703" name="Object 31" hidden="1">
              <a:extLst>
                <a:ext uri="{63B3BB69-23CF-44E3-9099-C40C66FF867C}">
                  <a14:compatExt spid="_x0000_s2870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598</xdr:row>
          <xdr:rowOff>0</xdr:rowOff>
        </xdr:from>
        <xdr:to>
          <xdr:col>1</xdr:col>
          <xdr:colOff>647700</xdr:colOff>
          <xdr:row>600</xdr:row>
          <xdr:rowOff>104775</xdr:rowOff>
        </xdr:to>
        <xdr:sp macro="" textlink="">
          <xdr:nvSpPr>
            <xdr:cNvPr id="28704" name="Object 32" hidden="1">
              <a:extLst>
                <a:ext uri="{63B3BB69-23CF-44E3-9099-C40C66FF867C}">
                  <a14:compatExt spid="_x0000_s2870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602</xdr:row>
          <xdr:rowOff>76200</xdr:rowOff>
        </xdr:from>
        <xdr:to>
          <xdr:col>1</xdr:col>
          <xdr:colOff>200025</xdr:colOff>
          <xdr:row>603</xdr:row>
          <xdr:rowOff>180975</xdr:rowOff>
        </xdr:to>
        <xdr:sp macro="" textlink="">
          <xdr:nvSpPr>
            <xdr:cNvPr id="28705" name="Object 33" hidden="1">
              <a:extLst>
                <a:ext uri="{63B3BB69-23CF-44E3-9099-C40C66FF867C}">
                  <a14:compatExt spid="_x0000_s2870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583</xdr:row>
      <xdr:rowOff>85725</xdr:rowOff>
    </xdr:from>
    <xdr:to>
      <xdr:col>2</xdr:col>
      <xdr:colOff>0</xdr:colOff>
      <xdr:row>587</xdr:row>
      <xdr:rowOff>0</xdr:rowOff>
    </xdr:to>
    <xdr:grpSp>
      <xdr:nvGrpSpPr>
        <xdr:cNvPr id="16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110280584"/>
          <a:ext cx="1846508" cy="665543"/>
          <a:chOff x="0" y="83"/>
          <a:chExt cx="159" cy="71"/>
        </a:xfrm>
      </xdr:grpSpPr>
      <xdr:sp macro="" textlink="">
        <xdr:nvSpPr>
          <xdr:cNvPr id="16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6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6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7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7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7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7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7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7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620</xdr:row>
          <xdr:rowOff>19050</xdr:rowOff>
        </xdr:from>
        <xdr:to>
          <xdr:col>2</xdr:col>
          <xdr:colOff>133350</xdr:colOff>
          <xdr:row>621</xdr:row>
          <xdr:rowOff>161925</xdr:rowOff>
        </xdr:to>
        <xdr:sp macro="" textlink="">
          <xdr:nvSpPr>
            <xdr:cNvPr id="28706" name="Object 34" hidden="1">
              <a:extLst>
                <a:ext uri="{63B3BB69-23CF-44E3-9099-C40C66FF867C}">
                  <a14:compatExt spid="_x0000_s28706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623</xdr:row>
          <xdr:rowOff>0</xdr:rowOff>
        </xdr:from>
        <xdr:to>
          <xdr:col>1</xdr:col>
          <xdr:colOff>647700</xdr:colOff>
          <xdr:row>625</xdr:row>
          <xdr:rowOff>104775</xdr:rowOff>
        </xdr:to>
        <xdr:sp macro="" textlink="">
          <xdr:nvSpPr>
            <xdr:cNvPr id="28707" name="Object 35" hidden="1">
              <a:extLst>
                <a:ext uri="{63B3BB69-23CF-44E3-9099-C40C66FF867C}">
                  <a14:compatExt spid="_x0000_s28707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627</xdr:row>
          <xdr:rowOff>76200</xdr:rowOff>
        </xdr:from>
        <xdr:to>
          <xdr:col>1</xdr:col>
          <xdr:colOff>200025</xdr:colOff>
          <xdr:row>628</xdr:row>
          <xdr:rowOff>180975</xdr:rowOff>
        </xdr:to>
        <xdr:sp macro="" textlink="">
          <xdr:nvSpPr>
            <xdr:cNvPr id="28708" name="Object 36" hidden="1">
              <a:extLst>
                <a:ext uri="{63B3BB69-23CF-44E3-9099-C40C66FF867C}">
                  <a14:compatExt spid="_x0000_s28708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608</xdr:row>
      <xdr:rowOff>85725</xdr:rowOff>
    </xdr:from>
    <xdr:to>
      <xdr:col>2</xdr:col>
      <xdr:colOff>0</xdr:colOff>
      <xdr:row>612</xdr:row>
      <xdr:rowOff>0</xdr:rowOff>
    </xdr:to>
    <xdr:grpSp>
      <xdr:nvGrpSpPr>
        <xdr:cNvPr id="181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115002838"/>
          <a:ext cx="1846508" cy="665542"/>
          <a:chOff x="0" y="83"/>
          <a:chExt cx="159" cy="71"/>
        </a:xfrm>
      </xdr:grpSpPr>
      <xdr:sp macro="" textlink="">
        <xdr:nvSpPr>
          <xdr:cNvPr id="182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83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85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86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87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88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89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90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91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92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93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648</xdr:row>
          <xdr:rowOff>0</xdr:rowOff>
        </xdr:from>
        <xdr:to>
          <xdr:col>1</xdr:col>
          <xdr:colOff>647700</xdr:colOff>
          <xdr:row>650</xdr:row>
          <xdr:rowOff>104775</xdr:rowOff>
        </xdr:to>
        <xdr:sp macro="" textlink="">
          <xdr:nvSpPr>
            <xdr:cNvPr id="28709" name="Object 37" hidden="1">
              <a:extLst>
                <a:ext uri="{63B3BB69-23CF-44E3-9099-C40C66FF867C}">
                  <a14:compatExt spid="_x0000_s28709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652</xdr:row>
          <xdr:rowOff>76200</xdr:rowOff>
        </xdr:from>
        <xdr:to>
          <xdr:col>1</xdr:col>
          <xdr:colOff>200025</xdr:colOff>
          <xdr:row>653</xdr:row>
          <xdr:rowOff>180975</xdr:rowOff>
        </xdr:to>
        <xdr:sp macro="" textlink="">
          <xdr:nvSpPr>
            <xdr:cNvPr id="28710" name="Object 38" hidden="1">
              <a:extLst>
                <a:ext uri="{63B3BB69-23CF-44E3-9099-C40C66FF867C}">
                  <a14:compatExt spid="_x0000_s28710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673</xdr:row>
          <xdr:rowOff>0</xdr:rowOff>
        </xdr:from>
        <xdr:to>
          <xdr:col>1</xdr:col>
          <xdr:colOff>647700</xdr:colOff>
          <xdr:row>675</xdr:row>
          <xdr:rowOff>104775</xdr:rowOff>
        </xdr:to>
        <xdr:sp macro="" textlink="">
          <xdr:nvSpPr>
            <xdr:cNvPr id="28711" name="Object 39" hidden="1">
              <a:extLst>
                <a:ext uri="{63B3BB69-23CF-44E3-9099-C40C66FF867C}">
                  <a14:compatExt spid="_x0000_s28711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677</xdr:row>
          <xdr:rowOff>76200</xdr:rowOff>
        </xdr:from>
        <xdr:to>
          <xdr:col>1</xdr:col>
          <xdr:colOff>200025</xdr:colOff>
          <xdr:row>678</xdr:row>
          <xdr:rowOff>180975</xdr:rowOff>
        </xdr:to>
        <xdr:sp macro="" textlink="">
          <xdr:nvSpPr>
            <xdr:cNvPr id="28712" name="Object 40" hidden="1">
              <a:extLst>
                <a:ext uri="{63B3BB69-23CF-44E3-9099-C40C66FF867C}">
                  <a14:compatExt spid="_x0000_s28712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698</xdr:row>
          <xdr:rowOff>0</xdr:rowOff>
        </xdr:from>
        <xdr:to>
          <xdr:col>1</xdr:col>
          <xdr:colOff>647700</xdr:colOff>
          <xdr:row>700</xdr:row>
          <xdr:rowOff>104775</xdr:rowOff>
        </xdr:to>
        <xdr:sp macro="" textlink="">
          <xdr:nvSpPr>
            <xdr:cNvPr id="28713" name="Object 41" hidden="1">
              <a:extLst>
                <a:ext uri="{63B3BB69-23CF-44E3-9099-C40C66FF867C}">
                  <a14:compatExt spid="_x0000_s28713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702</xdr:row>
          <xdr:rowOff>76200</xdr:rowOff>
        </xdr:from>
        <xdr:to>
          <xdr:col>1</xdr:col>
          <xdr:colOff>200025</xdr:colOff>
          <xdr:row>703</xdr:row>
          <xdr:rowOff>180975</xdr:rowOff>
        </xdr:to>
        <xdr:sp macro="" textlink="">
          <xdr:nvSpPr>
            <xdr:cNvPr id="28714" name="Object 42" hidden="1">
              <a:extLst>
                <a:ext uri="{63B3BB69-23CF-44E3-9099-C40C66FF867C}">
                  <a14:compatExt spid="_x0000_s28714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721</xdr:row>
          <xdr:rowOff>19050</xdr:rowOff>
        </xdr:from>
        <xdr:to>
          <xdr:col>2</xdr:col>
          <xdr:colOff>133350</xdr:colOff>
          <xdr:row>722</xdr:row>
          <xdr:rowOff>161925</xdr:rowOff>
        </xdr:to>
        <xdr:sp macro="" textlink="">
          <xdr:nvSpPr>
            <xdr:cNvPr id="28715" name="Object 43" hidden="1">
              <a:extLst>
                <a:ext uri="{63B3BB69-23CF-44E3-9099-C40C66FF867C}">
                  <a14:compatExt spid="_x0000_s2871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724</xdr:row>
          <xdr:rowOff>0</xdr:rowOff>
        </xdr:from>
        <xdr:to>
          <xdr:col>1</xdr:col>
          <xdr:colOff>647700</xdr:colOff>
          <xdr:row>726</xdr:row>
          <xdr:rowOff>104775</xdr:rowOff>
        </xdr:to>
        <xdr:sp macro="" textlink="">
          <xdr:nvSpPr>
            <xdr:cNvPr id="28716" name="Object 44" hidden="1">
              <a:extLst>
                <a:ext uri="{63B3BB69-23CF-44E3-9099-C40C66FF867C}">
                  <a14:compatExt spid="_x0000_s2871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728</xdr:row>
          <xdr:rowOff>76200</xdr:rowOff>
        </xdr:from>
        <xdr:to>
          <xdr:col>1</xdr:col>
          <xdr:colOff>200025</xdr:colOff>
          <xdr:row>729</xdr:row>
          <xdr:rowOff>180975</xdr:rowOff>
        </xdr:to>
        <xdr:sp macro="" textlink="">
          <xdr:nvSpPr>
            <xdr:cNvPr id="28717" name="Object 45" hidden="1">
              <a:extLst>
                <a:ext uri="{63B3BB69-23CF-44E3-9099-C40C66FF867C}">
                  <a14:compatExt spid="_x0000_s2871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709</xdr:row>
      <xdr:rowOff>85725</xdr:rowOff>
    </xdr:from>
    <xdr:to>
      <xdr:col>2</xdr:col>
      <xdr:colOff>0</xdr:colOff>
      <xdr:row>713</xdr:row>
      <xdr:rowOff>0</xdr:rowOff>
    </xdr:to>
    <xdr:grpSp>
      <xdr:nvGrpSpPr>
        <xdr:cNvPr id="20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134093084"/>
          <a:ext cx="1846508" cy="665543"/>
          <a:chOff x="0" y="83"/>
          <a:chExt cx="159" cy="71"/>
        </a:xfrm>
      </xdr:grpSpPr>
      <xdr:sp macro="" textlink="">
        <xdr:nvSpPr>
          <xdr:cNvPr id="20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20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20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20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20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1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21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21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21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21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645</xdr:row>
          <xdr:rowOff>19050</xdr:rowOff>
        </xdr:from>
        <xdr:to>
          <xdr:col>2</xdr:col>
          <xdr:colOff>133350</xdr:colOff>
          <xdr:row>646</xdr:row>
          <xdr:rowOff>161925</xdr:rowOff>
        </xdr:to>
        <xdr:sp macro="" textlink="">
          <xdr:nvSpPr>
            <xdr:cNvPr id="28718" name="Object 46" hidden="1">
              <a:extLst>
                <a:ext uri="{63B3BB69-23CF-44E3-9099-C40C66FF867C}">
                  <a14:compatExt spid="_x0000_s28718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695</xdr:row>
          <xdr:rowOff>19050</xdr:rowOff>
        </xdr:from>
        <xdr:to>
          <xdr:col>2</xdr:col>
          <xdr:colOff>133350</xdr:colOff>
          <xdr:row>696</xdr:row>
          <xdr:rowOff>161925</xdr:rowOff>
        </xdr:to>
        <xdr:sp macro="" textlink="">
          <xdr:nvSpPr>
            <xdr:cNvPr id="28719" name="Object 47" hidden="1">
              <a:extLst>
                <a:ext uri="{63B3BB69-23CF-44E3-9099-C40C66FF867C}">
                  <a14:compatExt spid="_x0000_s28719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634</xdr:row>
      <xdr:rowOff>0</xdr:rowOff>
    </xdr:from>
    <xdr:to>
      <xdr:col>2</xdr:col>
      <xdr:colOff>2458</xdr:colOff>
      <xdr:row>637</xdr:row>
      <xdr:rowOff>104775</xdr:rowOff>
    </xdr:to>
    <xdr:grpSp>
      <xdr:nvGrpSpPr>
        <xdr:cNvPr id="21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119827183"/>
          <a:ext cx="2001366" cy="668226"/>
          <a:chOff x="0" y="83"/>
          <a:chExt cx="159" cy="71"/>
        </a:xfrm>
      </xdr:grpSpPr>
      <xdr:sp macro="" textlink="">
        <xdr:nvSpPr>
          <xdr:cNvPr id="21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22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22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22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22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2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2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22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22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22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23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659</xdr:row>
      <xdr:rowOff>0</xdr:rowOff>
    </xdr:from>
    <xdr:to>
      <xdr:col>2</xdr:col>
      <xdr:colOff>2458</xdr:colOff>
      <xdr:row>662</xdr:row>
      <xdr:rowOff>104775</xdr:rowOff>
    </xdr:to>
    <xdr:grpSp>
      <xdr:nvGrpSpPr>
        <xdr:cNvPr id="23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124549437"/>
          <a:ext cx="2001366" cy="668225"/>
          <a:chOff x="0" y="83"/>
          <a:chExt cx="159" cy="71"/>
        </a:xfrm>
      </xdr:grpSpPr>
      <xdr:sp macro="" textlink="">
        <xdr:nvSpPr>
          <xdr:cNvPr id="23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23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23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23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23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24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24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24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24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684</xdr:row>
      <xdr:rowOff>0</xdr:rowOff>
    </xdr:from>
    <xdr:to>
      <xdr:col>2</xdr:col>
      <xdr:colOff>2458</xdr:colOff>
      <xdr:row>687</xdr:row>
      <xdr:rowOff>104774</xdr:rowOff>
    </xdr:to>
    <xdr:grpSp>
      <xdr:nvGrpSpPr>
        <xdr:cNvPr id="24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129271690"/>
          <a:ext cx="2001366" cy="668225"/>
          <a:chOff x="0" y="83"/>
          <a:chExt cx="159" cy="71"/>
        </a:xfrm>
      </xdr:grpSpPr>
      <xdr:sp macro="" textlink="">
        <xdr:nvSpPr>
          <xdr:cNvPr id="24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24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24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24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25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5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5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25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25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25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25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746</xdr:row>
          <xdr:rowOff>19050</xdr:rowOff>
        </xdr:from>
        <xdr:to>
          <xdr:col>2</xdr:col>
          <xdr:colOff>133350</xdr:colOff>
          <xdr:row>747</xdr:row>
          <xdr:rowOff>161925</xdr:rowOff>
        </xdr:to>
        <xdr:sp macro="" textlink="">
          <xdr:nvSpPr>
            <xdr:cNvPr id="28720" name="Object 48" hidden="1">
              <a:extLst>
                <a:ext uri="{63B3BB69-23CF-44E3-9099-C40C66FF867C}">
                  <a14:compatExt spid="_x0000_s2872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749</xdr:row>
          <xdr:rowOff>0</xdr:rowOff>
        </xdr:from>
        <xdr:to>
          <xdr:col>1</xdr:col>
          <xdr:colOff>647700</xdr:colOff>
          <xdr:row>751</xdr:row>
          <xdr:rowOff>104775</xdr:rowOff>
        </xdr:to>
        <xdr:sp macro="" textlink="">
          <xdr:nvSpPr>
            <xdr:cNvPr id="28721" name="Object 49" hidden="1">
              <a:extLst>
                <a:ext uri="{63B3BB69-23CF-44E3-9099-C40C66FF867C}">
                  <a14:compatExt spid="_x0000_s2872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753</xdr:row>
          <xdr:rowOff>76200</xdr:rowOff>
        </xdr:from>
        <xdr:to>
          <xdr:col>1</xdr:col>
          <xdr:colOff>200025</xdr:colOff>
          <xdr:row>754</xdr:row>
          <xdr:rowOff>180975</xdr:rowOff>
        </xdr:to>
        <xdr:sp macro="" textlink="">
          <xdr:nvSpPr>
            <xdr:cNvPr id="28722" name="Object 50" hidden="1">
              <a:extLst>
                <a:ext uri="{63B3BB69-23CF-44E3-9099-C40C66FF867C}">
                  <a14:compatExt spid="_x0000_s2872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734</xdr:row>
      <xdr:rowOff>85725</xdr:rowOff>
    </xdr:from>
    <xdr:to>
      <xdr:col>2</xdr:col>
      <xdr:colOff>0</xdr:colOff>
      <xdr:row>738</xdr:row>
      <xdr:rowOff>0</xdr:rowOff>
    </xdr:to>
    <xdr:grpSp>
      <xdr:nvGrpSpPr>
        <xdr:cNvPr id="26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138815338"/>
          <a:ext cx="1846508" cy="665542"/>
          <a:chOff x="0" y="83"/>
          <a:chExt cx="159" cy="71"/>
        </a:xfrm>
      </xdr:grpSpPr>
      <xdr:sp macro="" textlink="">
        <xdr:nvSpPr>
          <xdr:cNvPr id="26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26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26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26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26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6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6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26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27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27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27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670</xdr:row>
          <xdr:rowOff>19050</xdr:rowOff>
        </xdr:from>
        <xdr:to>
          <xdr:col>2</xdr:col>
          <xdr:colOff>133350</xdr:colOff>
          <xdr:row>671</xdr:row>
          <xdr:rowOff>161925</xdr:rowOff>
        </xdr:to>
        <xdr:sp macro="" textlink="">
          <xdr:nvSpPr>
            <xdr:cNvPr id="28723" name="Object 51" hidden="1">
              <a:extLst>
                <a:ext uri="{63B3BB69-23CF-44E3-9099-C40C66FF867C}">
                  <a14:compatExt spid="_x0000_s287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771</xdr:row>
          <xdr:rowOff>19050</xdr:rowOff>
        </xdr:from>
        <xdr:to>
          <xdr:col>2</xdr:col>
          <xdr:colOff>133350</xdr:colOff>
          <xdr:row>772</xdr:row>
          <xdr:rowOff>161925</xdr:rowOff>
        </xdr:to>
        <xdr:sp macro="" textlink="">
          <xdr:nvSpPr>
            <xdr:cNvPr id="28724" name="Object 52" hidden="1">
              <a:extLst>
                <a:ext uri="{63B3BB69-23CF-44E3-9099-C40C66FF867C}">
                  <a14:compatExt spid="_x0000_s28724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774</xdr:row>
          <xdr:rowOff>0</xdr:rowOff>
        </xdr:from>
        <xdr:to>
          <xdr:col>1</xdr:col>
          <xdr:colOff>647700</xdr:colOff>
          <xdr:row>776</xdr:row>
          <xdr:rowOff>104775</xdr:rowOff>
        </xdr:to>
        <xdr:sp macro="" textlink="">
          <xdr:nvSpPr>
            <xdr:cNvPr id="28725" name="Object 53" hidden="1">
              <a:extLst>
                <a:ext uri="{63B3BB69-23CF-44E3-9099-C40C66FF867C}">
                  <a14:compatExt spid="_x0000_s28725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778</xdr:row>
          <xdr:rowOff>76200</xdr:rowOff>
        </xdr:from>
        <xdr:to>
          <xdr:col>1</xdr:col>
          <xdr:colOff>200025</xdr:colOff>
          <xdr:row>779</xdr:row>
          <xdr:rowOff>180975</xdr:rowOff>
        </xdr:to>
        <xdr:sp macro="" textlink="">
          <xdr:nvSpPr>
            <xdr:cNvPr id="28726" name="Object 54" hidden="1">
              <a:extLst>
                <a:ext uri="{63B3BB69-23CF-44E3-9099-C40C66FF867C}">
                  <a14:compatExt spid="_x0000_s28726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759</xdr:row>
      <xdr:rowOff>85725</xdr:rowOff>
    </xdr:from>
    <xdr:to>
      <xdr:col>2</xdr:col>
      <xdr:colOff>0</xdr:colOff>
      <xdr:row>763</xdr:row>
      <xdr:rowOff>0</xdr:rowOff>
    </xdr:to>
    <xdr:grpSp>
      <xdr:nvGrpSpPr>
        <xdr:cNvPr id="277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143537591"/>
          <a:ext cx="1846508" cy="665543"/>
          <a:chOff x="0" y="83"/>
          <a:chExt cx="159" cy="71"/>
        </a:xfrm>
      </xdr:grpSpPr>
      <xdr:sp macro="" textlink="">
        <xdr:nvSpPr>
          <xdr:cNvPr id="278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279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0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281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282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283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84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85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286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287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288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289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797</xdr:row>
          <xdr:rowOff>19050</xdr:rowOff>
        </xdr:from>
        <xdr:to>
          <xdr:col>2</xdr:col>
          <xdr:colOff>133350</xdr:colOff>
          <xdr:row>798</xdr:row>
          <xdr:rowOff>161925</xdr:rowOff>
        </xdr:to>
        <xdr:sp macro="" textlink="">
          <xdr:nvSpPr>
            <xdr:cNvPr id="28733" name="Object 61" hidden="1">
              <a:extLst>
                <a:ext uri="{63B3BB69-23CF-44E3-9099-C40C66FF867C}">
                  <a14:compatExt spid="_x0000_s2873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800</xdr:row>
          <xdr:rowOff>0</xdr:rowOff>
        </xdr:from>
        <xdr:to>
          <xdr:col>1</xdr:col>
          <xdr:colOff>647700</xdr:colOff>
          <xdr:row>802</xdr:row>
          <xdr:rowOff>104775</xdr:rowOff>
        </xdr:to>
        <xdr:sp macro="" textlink="">
          <xdr:nvSpPr>
            <xdr:cNvPr id="28734" name="Object 62" hidden="1">
              <a:extLst>
                <a:ext uri="{63B3BB69-23CF-44E3-9099-C40C66FF867C}">
                  <a14:compatExt spid="_x0000_s2873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804</xdr:row>
          <xdr:rowOff>76200</xdr:rowOff>
        </xdr:from>
        <xdr:to>
          <xdr:col>1</xdr:col>
          <xdr:colOff>200025</xdr:colOff>
          <xdr:row>805</xdr:row>
          <xdr:rowOff>180975</xdr:rowOff>
        </xdr:to>
        <xdr:sp macro="" textlink="">
          <xdr:nvSpPr>
            <xdr:cNvPr id="28735" name="Object 63" hidden="1">
              <a:extLst>
                <a:ext uri="{63B3BB69-23CF-44E3-9099-C40C66FF867C}">
                  <a14:compatExt spid="_x0000_s2873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785</xdr:row>
      <xdr:rowOff>85725</xdr:rowOff>
    </xdr:from>
    <xdr:to>
      <xdr:col>2</xdr:col>
      <xdr:colOff>0</xdr:colOff>
      <xdr:row>789</xdr:row>
      <xdr:rowOff>0</xdr:rowOff>
    </xdr:to>
    <xdr:grpSp>
      <xdr:nvGrpSpPr>
        <xdr:cNvPr id="32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148461077"/>
          <a:ext cx="1846508" cy="665543"/>
          <a:chOff x="0" y="83"/>
          <a:chExt cx="159" cy="71"/>
        </a:xfrm>
      </xdr:grpSpPr>
      <xdr:sp macro="" textlink="">
        <xdr:nvSpPr>
          <xdr:cNvPr id="32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32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32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3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3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3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3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33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3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3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33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822</xdr:row>
          <xdr:rowOff>19050</xdr:rowOff>
        </xdr:from>
        <xdr:to>
          <xdr:col>2</xdr:col>
          <xdr:colOff>133350</xdr:colOff>
          <xdr:row>823</xdr:row>
          <xdr:rowOff>161925</xdr:rowOff>
        </xdr:to>
        <xdr:sp macro="" textlink="">
          <xdr:nvSpPr>
            <xdr:cNvPr id="28736" name="Object 64" hidden="1">
              <a:extLst>
                <a:ext uri="{63B3BB69-23CF-44E3-9099-C40C66FF867C}">
                  <a14:compatExt spid="_x0000_s28736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825</xdr:row>
          <xdr:rowOff>0</xdr:rowOff>
        </xdr:from>
        <xdr:to>
          <xdr:col>1</xdr:col>
          <xdr:colOff>647700</xdr:colOff>
          <xdr:row>827</xdr:row>
          <xdr:rowOff>104775</xdr:rowOff>
        </xdr:to>
        <xdr:sp macro="" textlink="">
          <xdr:nvSpPr>
            <xdr:cNvPr id="28737" name="Object 65" hidden="1">
              <a:extLst>
                <a:ext uri="{63B3BB69-23CF-44E3-9099-C40C66FF867C}">
                  <a14:compatExt spid="_x0000_s28737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829</xdr:row>
          <xdr:rowOff>76200</xdr:rowOff>
        </xdr:from>
        <xdr:to>
          <xdr:col>1</xdr:col>
          <xdr:colOff>200025</xdr:colOff>
          <xdr:row>830</xdr:row>
          <xdr:rowOff>180975</xdr:rowOff>
        </xdr:to>
        <xdr:sp macro="" textlink="">
          <xdr:nvSpPr>
            <xdr:cNvPr id="28738" name="Object 66" hidden="1">
              <a:extLst>
                <a:ext uri="{63B3BB69-23CF-44E3-9099-C40C66FF867C}">
                  <a14:compatExt spid="_x0000_s28738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810</xdr:row>
      <xdr:rowOff>85725</xdr:rowOff>
    </xdr:from>
    <xdr:to>
      <xdr:col>2</xdr:col>
      <xdr:colOff>0</xdr:colOff>
      <xdr:row>814</xdr:row>
      <xdr:rowOff>0</xdr:rowOff>
    </xdr:to>
    <xdr:grpSp>
      <xdr:nvGrpSpPr>
        <xdr:cNvPr id="341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153183331"/>
          <a:ext cx="1846508" cy="665542"/>
          <a:chOff x="0" y="83"/>
          <a:chExt cx="159" cy="71"/>
        </a:xfrm>
      </xdr:grpSpPr>
      <xdr:sp macro="" textlink="">
        <xdr:nvSpPr>
          <xdr:cNvPr id="342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343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345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46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47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48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49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350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51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52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353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850</xdr:row>
          <xdr:rowOff>0</xdr:rowOff>
        </xdr:from>
        <xdr:to>
          <xdr:col>1</xdr:col>
          <xdr:colOff>647700</xdr:colOff>
          <xdr:row>852</xdr:row>
          <xdr:rowOff>104775</xdr:rowOff>
        </xdr:to>
        <xdr:sp macro="" textlink="">
          <xdr:nvSpPr>
            <xdr:cNvPr id="28739" name="Object 67" hidden="1">
              <a:extLst>
                <a:ext uri="{63B3BB69-23CF-44E3-9099-C40C66FF867C}">
                  <a14:compatExt spid="_x0000_s28739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854</xdr:row>
          <xdr:rowOff>76200</xdr:rowOff>
        </xdr:from>
        <xdr:to>
          <xdr:col>1</xdr:col>
          <xdr:colOff>200025</xdr:colOff>
          <xdr:row>855</xdr:row>
          <xdr:rowOff>180975</xdr:rowOff>
        </xdr:to>
        <xdr:sp macro="" textlink="">
          <xdr:nvSpPr>
            <xdr:cNvPr id="28740" name="Object 68" hidden="1">
              <a:extLst>
                <a:ext uri="{63B3BB69-23CF-44E3-9099-C40C66FF867C}">
                  <a14:compatExt spid="_x0000_s28740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875</xdr:row>
          <xdr:rowOff>0</xdr:rowOff>
        </xdr:from>
        <xdr:to>
          <xdr:col>1</xdr:col>
          <xdr:colOff>647700</xdr:colOff>
          <xdr:row>877</xdr:row>
          <xdr:rowOff>104775</xdr:rowOff>
        </xdr:to>
        <xdr:sp macro="" textlink="">
          <xdr:nvSpPr>
            <xdr:cNvPr id="28741" name="Object 69" hidden="1">
              <a:extLst>
                <a:ext uri="{63B3BB69-23CF-44E3-9099-C40C66FF867C}">
                  <a14:compatExt spid="_x0000_s28741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879</xdr:row>
          <xdr:rowOff>76200</xdr:rowOff>
        </xdr:from>
        <xdr:to>
          <xdr:col>1</xdr:col>
          <xdr:colOff>200025</xdr:colOff>
          <xdr:row>880</xdr:row>
          <xdr:rowOff>180975</xdr:rowOff>
        </xdr:to>
        <xdr:sp macro="" textlink="">
          <xdr:nvSpPr>
            <xdr:cNvPr id="28742" name="Object 70" hidden="1">
              <a:extLst>
                <a:ext uri="{63B3BB69-23CF-44E3-9099-C40C66FF867C}">
                  <a14:compatExt spid="_x0000_s28742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900</xdr:row>
          <xdr:rowOff>0</xdr:rowOff>
        </xdr:from>
        <xdr:to>
          <xdr:col>1</xdr:col>
          <xdr:colOff>647700</xdr:colOff>
          <xdr:row>902</xdr:row>
          <xdr:rowOff>104775</xdr:rowOff>
        </xdr:to>
        <xdr:sp macro="" textlink="">
          <xdr:nvSpPr>
            <xdr:cNvPr id="28743" name="Object 71" hidden="1">
              <a:extLst>
                <a:ext uri="{63B3BB69-23CF-44E3-9099-C40C66FF867C}">
                  <a14:compatExt spid="_x0000_s28743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904</xdr:row>
          <xdr:rowOff>76200</xdr:rowOff>
        </xdr:from>
        <xdr:to>
          <xdr:col>1</xdr:col>
          <xdr:colOff>200025</xdr:colOff>
          <xdr:row>905</xdr:row>
          <xdr:rowOff>180975</xdr:rowOff>
        </xdr:to>
        <xdr:sp macro="" textlink="">
          <xdr:nvSpPr>
            <xdr:cNvPr id="28744" name="Object 72" hidden="1">
              <a:extLst>
                <a:ext uri="{63B3BB69-23CF-44E3-9099-C40C66FF867C}">
                  <a14:compatExt spid="_x0000_s28744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923</xdr:row>
          <xdr:rowOff>19050</xdr:rowOff>
        </xdr:from>
        <xdr:to>
          <xdr:col>2</xdr:col>
          <xdr:colOff>133350</xdr:colOff>
          <xdr:row>924</xdr:row>
          <xdr:rowOff>161925</xdr:rowOff>
        </xdr:to>
        <xdr:sp macro="" textlink="">
          <xdr:nvSpPr>
            <xdr:cNvPr id="28745" name="Object 73" hidden="1">
              <a:extLst>
                <a:ext uri="{63B3BB69-23CF-44E3-9099-C40C66FF867C}">
                  <a14:compatExt spid="_x0000_s2874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926</xdr:row>
          <xdr:rowOff>0</xdr:rowOff>
        </xdr:from>
        <xdr:to>
          <xdr:col>1</xdr:col>
          <xdr:colOff>647700</xdr:colOff>
          <xdr:row>928</xdr:row>
          <xdr:rowOff>104775</xdr:rowOff>
        </xdr:to>
        <xdr:sp macro="" textlink="">
          <xdr:nvSpPr>
            <xdr:cNvPr id="28746" name="Object 74" hidden="1">
              <a:extLst>
                <a:ext uri="{63B3BB69-23CF-44E3-9099-C40C66FF867C}">
                  <a14:compatExt spid="_x0000_s2874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930</xdr:row>
          <xdr:rowOff>76200</xdr:rowOff>
        </xdr:from>
        <xdr:to>
          <xdr:col>1</xdr:col>
          <xdr:colOff>200025</xdr:colOff>
          <xdr:row>931</xdr:row>
          <xdr:rowOff>180975</xdr:rowOff>
        </xdr:to>
        <xdr:sp macro="" textlink="">
          <xdr:nvSpPr>
            <xdr:cNvPr id="28747" name="Object 75" hidden="1">
              <a:extLst>
                <a:ext uri="{63B3BB69-23CF-44E3-9099-C40C66FF867C}">
                  <a14:compatExt spid="_x0000_s2874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911</xdr:row>
      <xdr:rowOff>85725</xdr:rowOff>
    </xdr:from>
    <xdr:to>
      <xdr:col>2</xdr:col>
      <xdr:colOff>0</xdr:colOff>
      <xdr:row>915</xdr:row>
      <xdr:rowOff>0</xdr:rowOff>
    </xdr:to>
    <xdr:grpSp>
      <xdr:nvGrpSpPr>
        <xdr:cNvPr id="36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172273577"/>
          <a:ext cx="1846508" cy="665543"/>
          <a:chOff x="0" y="83"/>
          <a:chExt cx="159" cy="71"/>
        </a:xfrm>
      </xdr:grpSpPr>
      <xdr:sp macro="" textlink="">
        <xdr:nvSpPr>
          <xdr:cNvPr id="36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36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36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6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6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7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7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37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7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7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37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847</xdr:row>
          <xdr:rowOff>19050</xdr:rowOff>
        </xdr:from>
        <xdr:to>
          <xdr:col>2</xdr:col>
          <xdr:colOff>133350</xdr:colOff>
          <xdr:row>848</xdr:row>
          <xdr:rowOff>161925</xdr:rowOff>
        </xdr:to>
        <xdr:sp macro="" textlink="">
          <xdr:nvSpPr>
            <xdr:cNvPr id="28748" name="Object 76" hidden="1">
              <a:extLst>
                <a:ext uri="{63B3BB69-23CF-44E3-9099-C40C66FF867C}">
                  <a14:compatExt spid="_x0000_s28748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897</xdr:row>
          <xdr:rowOff>19050</xdr:rowOff>
        </xdr:from>
        <xdr:to>
          <xdr:col>2</xdr:col>
          <xdr:colOff>133350</xdr:colOff>
          <xdr:row>898</xdr:row>
          <xdr:rowOff>161925</xdr:rowOff>
        </xdr:to>
        <xdr:sp macro="" textlink="">
          <xdr:nvSpPr>
            <xdr:cNvPr id="28749" name="Object 77" hidden="1">
              <a:extLst>
                <a:ext uri="{63B3BB69-23CF-44E3-9099-C40C66FF867C}">
                  <a14:compatExt spid="_x0000_s28749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836</xdr:row>
      <xdr:rowOff>0</xdr:rowOff>
    </xdr:from>
    <xdr:to>
      <xdr:col>2</xdr:col>
      <xdr:colOff>2458</xdr:colOff>
      <xdr:row>839</xdr:row>
      <xdr:rowOff>104775</xdr:rowOff>
    </xdr:to>
    <xdr:grpSp>
      <xdr:nvGrpSpPr>
        <xdr:cNvPr id="37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158007676"/>
          <a:ext cx="2001366" cy="668226"/>
          <a:chOff x="0" y="83"/>
          <a:chExt cx="159" cy="71"/>
        </a:xfrm>
      </xdr:grpSpPr>
      <xdr:sp macro="" textlink="">
        <xdr:nvSpPr>
          <xdr:cNvPr id="37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38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38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8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8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8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8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38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8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8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39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861</xdr:row>
      <xdr:rowOff>0</xdr:rowOff>
    </xdr:from>
    <xdr:to>
      <xdr:col>2</xdr:col>
      <xdr:colOff>2458</xdr:colOff>
      <xdr:row>864</xdr:row>
      <xdr:rowOff>104775</xdr:rowOff>
    </xdr:to>
    <xdr:grpSp>
      <xdr:nvGrpSpPr>
        <xdr:cNvPr id="39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162729930"/>
          <a:ext cx="2001366" cy="668225"/>
          <a:chOff x="0" y="83"/>
          <a:chExt cx="159" cy="71"/>
        </a:xfrm>
      </xdr:grpSpPr>
      <xdr:sp macro="" textlink="">
        <xdr:nvSpPr>
          <xdr:cNvPr id="39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39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39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9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9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9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9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40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0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0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0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886</xdr:row>
      <xdr:rowOff>0</xdr:rowOff>
    </xdr:from>
    <xdr:to>
      <xdr:col>2</xdr:col>
      <xdr:colOff>2458</xdr:colOff>
      <xdr:row>889</xdr:row>
      <xdr:rowOff>104774</xdr:rowOff>
    </xdr:to>
    <xdr:grpSp>
      <xdr:nvGrpSpPr>
        <xdr:cNvPr id="40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167452183"/>
          <a:ext cx="2001366" cy="668225"/>
          <a:chOff x="0" y="83"/>
          <a:chExt cx="159" cy="71"/>
        </a:xfrm>
      </xdr:grpSpPr>
      <xdr:sp macro="" textlink="">
        <xdr:nvSpPr>
          <xdr:cNvPr id="40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40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40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0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1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41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41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41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1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1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1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948</xdr:row>
          <xdr:rowOff>19050</xdr:rowOff>
        </xdr:from>
        <xdr:to>
          <xdr:col>2</xdr:col>
          <xdr:colOff>133350</xdr:colOff>
          <xdr:row>949</xdr:row>
          <xdr:rowOff>161925</xdr:rowOff>
        </xdr:to>
        <xdr:sp macro="" textlink="">
          <xdr:nvSpPr>
            <xdr:cNvPr id="28750" name="Object 78" hidden="1">
              <a:extLst>
                <a:ext uri="{63B3BB69-23CF-44E3-9099-C40C66FF867C}">
                  <a14:compatExt spid="_x0000_s2875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951</xdr:row>
          <xdr:rowOff>0</xdr:rowOff>
        </xdr:from>
        <xdr:to>
          <xdr:col>1</xdr:col>
          <xdr:colOff>647700</xdr:colOff>
          <xdr:row>953</xdr:row>
          <xdr:rowOff>104775</xdr:rowOff>
        </xdr:to>
        <xdr:sp macro="" textlink="">
          <xdr:nvSpPr>
            <xdr:cNvPr id="28751" name="Object 79" hidden="1">
              <a:extLst>
                <a:ext uri="{63B3BB69-23CF-44E3-9099-C40C66FF867C}">
                  <a14:compatExt spid="_x0000_s2875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955</xdr:row>
          <xdr:rowOff>76200</xdr:rowOff>
        </xdr:from>
        <xdr:to>
          <xdr:col>1</xdr:col>
          <xdr:colOff>200025</xdr:colOff>
          <xdr:row>956</xdr:row>
          <xdr:rowOff>180975</xdr:rowOff>
        </xdr:to>
        <xdr:sp macro="" textlink="">
          <xdr:nvSpPr>
            <xdr:cNvPr id="28752" name="Object 80" hidden="1">
              <a:extLst>
                <a:ext uri="{63B3BB69-23CF-44E3-9099-C40C66FF867C}">
                  <a14:compatExt spid="_x0000_s2875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936</xdr:row>
      <xdr:rowOff>85725</xdr:rowOff>
    </xdr:from>
    <xdr:to>
      <xdr:col>2</xdr:col>
      <xdr:colOff>0</xdr:colOff>
      <xdr:row>940</xdr:row>
      <xdr:rowOff>0</xdr:rowOff>
    </xdr:to>
    <xdr:grpSp>
      <xdr:nvGrpSpPr>
        <xdr:cNvPr id="42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176995831"/>
          <a:ext cx="1846508" cy="665542"/>
          <a:chOff x="0" y="83"/>
          <a:chExt cx="159" cy="71"/>
        </a:xfrm>
      </xdr:grpSpPr>
      <xdr:sp macro="" textlink="">
        <xdr:nvSpPr>
          <xdr:cNvPr id="42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42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42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2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2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42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42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42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3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3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3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872</xdr:row>
          <xdr:rowOff>19050</xdr:rowOff>
        </xdr:from>
        <xdr:to>
          <xdr:col>2</xdr:col>
          <xdr:colOff>133350</xdr:colOff>
          <xdr:row>873</xdr:row>
          <xdr:rowOff>161925</xdr:rowOff>
        </xdr:to>
        <xdr:sp macro="" textlink="">
          <xdr:nvSpPr>
            <xdr:cNvPr id="28753" name="Object 81" hidden="1">
              <a:extLst>
                <a:ext uri="{63B3BB69-23CF-44E3-9099-C40C66FF867C}">
                  <a14:compatExt spid="_x0000_s28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975</xdr:row>
          <xdr:rowOff>19050</xdr:rowOff>
        </xdr:from>
        <xdr:to>
          <xdr:col>2</xdr:col>
          <xdr:colOff>133350</xdr:colOff>
          <xdr:row>976</xdr:row>
          <xdr:rowOff>161925</xdr:rowOff>
        </xdr:to>
        <xdr:sp macro="" textlink="">
          <xdr:nvSpPr>
            <xdr:cNvPr id="28763" name="Object 91" hidden="1">
              <a:extLst>
                <a:ext uri="{63B3BB69-23CF-44E3-9099-C40C66FF867C}">
                  <a14:compatExt spid="_x0000_s2876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978</xdr:row>
          <xdr:rowOff>0</xdr:rowOff>
        </xdr:from>
        <xdr:to>
          <xdr:col>1</xdr:col>
          <xdr:colOff>647700</xdr:colOff>
          <xdr:row>980</xdr:row>
          <xdr:rowOff>104775</xdr:rowOff>
        </xdr:to>
        <xdr:sp macro="" textlink="">
          <xdr:nvSpPr>
            <xdr:cNvPr id="28764" name="Object 92" hidden="1">
              <a:extLst>
                <a:ext uri="{63B3BB69-23CF-44E3-9099-C40C66FF867C}">
                  <a14:compatExt spid="_x0000_s2876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982</xdr:row>
          <xdr:rowOff>76200</xdr:rowOff>
        </xdr:from>
        <xdr:to>
          <xdr:col>1</xdr:col>
          <xdr:colOff>200025</xdr:colOff>
          <xdr:row>983</xdr:row>
          <xdr:rowOff>180975</xdr:rowOff>
        </xdr:to>
        <xdr:sp macro="" textlink="">
          <xdr:nvSpPr>
            <xdr:cNvPr id="28765" name="Object 93" hidden="1">
              <a:extLst>
                <a:ext uri="{63B3BB69-23CF-44E3-9099-C40C66FF867C}">
                  <a14:compatExt spid="_x0000_s2876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963</xdr:row>
      <xdr:rowOff>85725</xdr:rowOff>
    </xdr:from>
    <xdr:to>
      <xdr:col>2</xdr:col>
      <xdr:colOff>0</xdr:colOff>
      <xdr:row>967</xdr:row>
      <xdr:rowOff>0</xdr:rowOff>
    </xdr:to>
    <xdr:grpSp>
      <xdr:nvGrpSpPr>
        <xdr:cNvPr id="48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182107133"/>
          <a:ext cx="1846508" cy="665543"/>
          <a:chOff x="0" y="83"/>
          <a:chExt cx="159" cy="71"/>
        </a:xfrm>
      </xdr:grpSpPr>
      <xdr:sp macro="" textlink="">
        <xdr:nvSpPr>
          <xdr:cNvPr id="48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48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48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9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9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49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49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49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9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9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9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1000</xdr:row>
          <xdr:rowOff>19050</xdr:rowOff>
        </xdr:from>
        <xdr:to>
          <xdr:col>2</xdr:col>
          <xdr:colOff>133350</xdr:colOff>
          <xdr:row>1001</xdr:row>
          <xdr:rowOff>161925</xdr:rowOff>
        </xdr:to>
        <xdr:sp macro="" textlink="">
          <xdr:nvSpPr>
            <xdr:cNvPr id="28766" name="Object 94" hidden="1">
              <a:extLst>
                <a:ext uri="{63B3BB69-23CF-44E3-9099-C40C66FF867C}">
                  <a14:compatExt spid="_x0000_s28766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1003</xdr:row>
          <xdr:rowOff>0</xdr:rowOff>
        </xdr:from>
        <xdr:to>
          <xdr:col>1</xdr:col>
          <xdr:colOff>647700</xdr:colOff>
          <xdr:row>1005</xdr:row>
          <xdr:rowOff>104775</xdr:rowOff>
        </xdr:to>
        <xdr:sp macro="" textlink="">
          <xdr:nvSpPr>
            <xdr:cNvPr id="28767" name="Object 95" hidden="1">
              <a:extLst>
                <a:ext uri="{63B3BB69-23CF-44E3-9099-C40C66FF867C}">
                  <a14:compatExt spid="_x0000_s28767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1007</xdr:row>
          <xdr:rowOff>76200</xdr:rowOff>
        </xdr:from>
        <xdr:to>
          <xdr:col>1</xdr:col>
          <xdr:colOff>200025</xdr:colOff>
          <xdr:row>1008</xdr:row>
          <xdr:rowOff>180975</xdr:rowOff>
        </xdr:to>
        <xdr:sp macro="" textlink="">
          <xdr:nvSpPr>
            <xdr:cNvPr id="28768" name="Object 96" hidden="1">
              <a:extLst>
                <a:ext uri="{63B3BB69-23CF-44E3-9099-C40C66FF867C}">
                  <a14:compatExt spid="_x0000_s28768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988</xdr:row>
      <xdr:rowOff>85725</xdr:rowOff>
    </xdr:from>
    <xdr:to>
      <xdr:col>2</xdr:col>
      <xdr:colOff>0</xdr:colOff>
      <xdr:row>992</xdr:row>
      <xdr:rowOff>0</xdr:rowOff>
    </xdr:to>
    <xdr:grpSp>
      <xdr:nvGrpSpPr>
        <xdr:cNvPr id="501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186829387"/>
          <a:ext cx="1846508" cy="665543"/>
          <a:chOff x="0" y="83"/>
          <a:chExt cx="159" cy="71"/>
        </a:xfrm>
      </xdr:grpSpPr>
      <xdr:sp macro="" textlink="">
        <xdr:nvSpPr>
          <xdr:cNvPr id="502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503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4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505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506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507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08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09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510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11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12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13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1028</xdr:row>
          <xdr:rowOff>0</xdr:rowOff>
        </xdr:from>
        <xdr:to>
          <xdr:col>1</xdr:col>
          <xdr:colOff>647700</xdr:colOff>
          <xdr:row>1030</xdr:row>
          <xdr:rowOff>104775</xdr:rowOff>
        </xdr:to>
        <xdr:sp macro="" textlink="">
          <xdr:nvSpPr>
            <xdr:cNvPr id="28769" name="Object 97" hidden="1">
              <a:extLst>
                <a:ext uri="{63B3BB69-23CF-44E3-9099-C40C66FF867C}">
                  <a14:compatExt spid="_x0000_s28769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1032</xdr:row>
          <xdr:rowOff>76200</xdr:rowOff>
        </xdr:from>
        <xdr:to>
          <xdr:col>1</xdr:col>
          <xdr:colOff>200025</xdr:colOff>
          <xdr:row>1033</xdr:row>
          <xdr:rowOff>180975</xdr:rowOff>
        </xdr:to>
        <xdr:sp macro="" textlink="">
          <xdr:nvSpPr>
            <xdr:cNvPr id="28770" name="Object 98" hidden="1">
              <a:extLst>
                <a:ext uri="{63B3BB69-23CF-44E3-9099-C40C66FF867C}">
                  <a14:compatExt spid="_x0000_s28770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1053</xdr:row>
          <xdr:rowOff>0</xdr:rowOff>
        </xdr:from>
        <xdr:to>
          <xdr:col>1</xdr:col>
          <xdr:colOff>647700</xdr:colOff>
          <xdr:row>1055</xdr:row>
          <xdr:rowOff>104775</xdr:rowOff>
        </xdr:to>
        <xdr:sp macro="" textlink="">
          <xdr:nvSpPr>
            <xdr:cNvPr id="28771" name="Object 99" hidden="1">
              <a:extLst>
                <a:ext uri="{63B3BB69-23CF-44E3-9099-C40C66FF867C}">
                  <a14:compatExt spid="_x0000_s28771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1057</xdr:row>
          <xdr:rowOff>76200</xdr:rowOff>
        </xdr:from>
        <xdr:to>
          <xdr:col>1</xdr:col>
          <xdr:colOff>200025</xdr:colOff>
          <xdr:row>1058</xdr:row>
          <xdr:rowOff>180975</xdr:rowOff>
        </xdr:to>
        <xdr:sp macro="" textlink="">
          <xdr:nvSpPr>
            <xdr:cNvPr id="28772" name="Object 100" hidden="1">
              <a:extLst>
                <a:ext uri="{63B3BB69-23CF-44E3-9099-C40C66FF867C}">
                  <a14:compatExt spid="_x0000_s28772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1078</xdr:row>
          <xdr:rowOff>0</xdr:rowOff>
        </xdr:from>
        <xdr:to>
          <xdr:col>1</xdr:col>
          <xdr:colOff>647700</xdr:colOff>
          <xdr:row>1080</xdr:row>
          <xdr:rowOff>104775</xdr:rowOff>
        </xdr:to>
        <xdr:sp macro="" textlink="">
          <xdr:nvSpPr>
            <xdr:cNvPr id="28773" name="Object 101" hidden="1">
              <a:extLst>
                <a:ext uri="{63B3BB69-23CF-44E3-9099-C40C66FF867C}">
                  <a14:compatExt spid="_x0000_s28773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1082</xdr:row>
          <xdr:rowOff>76200</xdr:rowOff>
        </xdr:from>
        <xdr:to>
          <xdr:col>1</xdr:col>
          <xdr:colOff>200025</xdr:colOff>
          <xdr:row>1083</xdr:row>
          <xdr:rowOff>180975</xdr:rowOff>
        </xdr:to>
        <xdr:sp macro="" textlink="">
          <xdr:nvSpPr>
            <xdr:cNvPr id="28774" name="Object 102" hidden="1">
              <a:extLst>
                <a:ext uri="{63B3BB69-23CF-44E3-9099-C40C66FF867C}">
                  <a14:compatExt spid="_x0000_s28774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1101</xdr:row>
          <xdr:rowOff>19050</xdr:rowOff>
        </xdr:from>
        <xdr:to>
          <xdr:col>2</xdr:col>
          <xdr:colOff>133350</xdr:colOff>
          <xdr:row>1102</xdr:row>
          <xdr:rowOff>161925</xdr:rowOff>
        </xdr:to>
        <xdr:sp macro="" textlink="">
          <xdr:nvSpPr>
            <xdr:cNvPr id="28775" name="Object 103" hidden="1">
              <a:extLst>
                <a:ext uri="{63B3BB69-23CF-44E3-9099-C40C66FF867C}">
                  <a14:compatExt spid="_x0000_s2877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1104</xdr:row>
          <xdr:rowOff>0</xdr:rowOff>
        </xdr:from>
        <xdr:to>
          <xdr:col>1</xdr:col>
          <xdr:colOff>647700</xdr:colOff>
          <xdr:row>1106</xdr:row>
          <xdr:rowOff>104775</xdr:rowOff>
        </xdr:to>
        <xdr:sp macro="" textlink="">
          <xdr:nvSpPr>
            <xdr:cNvPr id="28776" name="Object 104" hidden="1">
              <a:extLst>
                <a:ext uri="{63B3BB69-23CF-44E3-9099-C40C66FF867C}">
                  <a14:compatExt spid="_x0000_s2877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1108</xdr:row>
          <xdr:rowOff>76200</xdr:rowOff>
        </xdr:from>
        <xdr:to>
          <xdr:col>1</xdr:col>
          <xdr:colOff>200025</xdr:colOff>
          <xdr:row>1109</xdr:row>
          <xdr:rowOff>180975</xdr:rowOff>
        </xdr:to>
        <xdr:sp macro="" textlink="">
          <xdr:nvSpPr>
            <xdr:cNvPr id="28777" name="Object 105" hidden="1">
              <a:extLst>
                <a:ext uri="{63B3BB69-23CF-44E3-9099-C40C66FF867C}">
                  <a14:compatExt spid="_x0000_s2877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1089</xdr:row>
      <xdr:rowOff>85725</xdr:rowOff>
    </xdr:from>
    <xdr:to>
      <xdr:col>2</xdr:col>
      <xdr:colOff>0</xdr:colOff>
      <xdr:row>1093</xdr:row>
      <xdr:rowOff>0</xdr:rowOff>
    </xdr:to>
    <xdr:grpSp>
      <xdr:nvGrpSpPr>
        <xdr:cNvPr id="52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05919633"/>
          <a:ext cx="1846508" cy="665543"/>
          <a:chOff x="0" y="83"/>
          <a:chExt cx="159" cy="71"/>
        </a:xfrm>
      </xdr:grpSpPr>
      <xdr:sp macro="" textlink="">
        <xdr:nvSpPr>
          <xdr:cNvPr id="52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52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52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52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52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3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3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53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3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3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3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1025</xdr:row>
          <xdr:rowOff>19050</xdr:rowOff>
        </xdr:from>
        <xdr:to>
          <xdr:col>2</xdr:col>
          <xdr:colOff>133350</xdr:colOff>
          <xdr:row>1026</xdr:row>
          <xdr:rowOff>161925</xdr:rowOff>
        </xdr:to>
        <xdr:sp macro="" textlink="">
          <xdr:nvSpPr>
            <xdr:cNvPr id="28778" name="Object 106" hidden="1">
              <a:extLst>
                <a:ext uri="{63B3BB69-23CF-44E3-9099-C40C66FF867C}">
                  <a14:compatExt spid="_x0000_s28778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1075</xdr:row>
          <xdr:rowOff>19050</xdr:rowOff>
        </xdr:from>
        <xdr:to>
          <xdr:col>2</xdr:col>
          <xdr:colOff>133350</xdr:colOff>
          <xdr:row>1076</xdr:row>
          <xdr:rowOff>161925</xdr:rowOff>
        </xdr:to>
        <xdr:sp macro="" textlink="">
          <xdr:nvSpPr>
            <xdr:cNvPr id="28779" name="Object 107" hidden="1">
              <a:extLst>
                <a:ext uri="{63B3BB69-23CF-44E3-9099-C40C66FF867C}">
                  <a14:compatExt spid="_x0000_s28779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1014</xdr:row>
      <xdr:rowOff>0</xdr:rowOff>
    </xdr:from>
    <xdr:to>
      <xdr:col>2</xdr:col>
      <xdr:colOff>2458</xdr:colOff>
      <xdr:row>1017</xdr:row>
      <xdr:rowOff>104775</xdr:rowOff>
    </xdr:to>
    <xdr:grpSp>
      <xdr:nvGrpSpPr>
        <xdr:cNvPr id="53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191653732"/>
          <a:ext cx="2001366" cy="668226"/>
          <a:chOff x="0" y="83"/>
          <a:chExt cx="159" cy="71"/>
        </a:xfrm>
      </xdr:grpSpPr>
      <xdr:sp macro="" textlink="">
        <xdr:nvSpPr>
          <xdr:cNvPr id="53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54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54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54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54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4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4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54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4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4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5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1039</xdr:row>
      <xdr:rowOff>0</xdr:rowOff>
    </xdr:from>
    <xdr:to>
      <xdr:col>2</xdr:col>
      <xdr:colOff>2458</xdr:colOff>
      <xdr:row>1042</xdr:row>
      <xdr:rowOff>104775</xdr:rowOff>
    </xdr:to>
    <xdr:grpSp>
      <xdr:nvGrpSpPr>
        <xdr:cNvPr id="55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196375986"/>
          <a:ext cx="2001366" cy="668226"/>
          <a:chOff x="0" y="83"/>
          <a:chExt cx="159" cy="71"/>
        </a:xfrm>
      </xdr:grpSpPr>
      <xdr:sp macro="" textlink="">
        <xdr:nvSpPr>
          <xdr:cNvPr id="55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55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55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55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55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5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5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56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6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6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6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1064</xdr:row>
      <xdr:rowOff>0</xdr:rowOff>
    </xdr:from>
    <xdr:to>
      <xdr:col>2</xdr:col>
      <xdr:colOff>2458</xdr:colOff>
      <xdr:row>1067</xdr:row>
      <xdr:rowOff>104774</xdr:rowOff>
    </xdr:to>
    <xdr:grpSp>
      <xdr:nvGrpSpPr>
        <xdr:cNvPr id="56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201098239"/>
          <a:ext cx="2001366" cy="668225"/>
          <a:chOff x="0" y="83"/>
          <a:chExt cx="159" cy="71"/>
        </a:xfrm>
      </xdr:grpSpPr>
      <xdr:sp macro="" textlink="">
        <xdr:nvSpPr>
          <xdr:cNvPr id="56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56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56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56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57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7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7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57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7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7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7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1126</xdr:row>
          <xdr:rowOff>19050</xdr:rowOff>
        </xdr:from>
        <xdr:to>
          <xdr:col>2</xdr:col>
          <xdr:colOff>133350</xdr:colOff>
          <xdr:row>1127</xdr:row>
          <xdr:rowOff>161925</xdr:rowOff>
        </xdr:to>
        <xdr:sp macro="" textlink="">
          <xdr:nvSpPr>
            <xdr:cNvPr id="28780" name="Object 108" hidden="1">
              <a:extLst>
                <a:ext uri="{63B3BB69-23CF-44E3-9099-C40C66FF867C}">
                  <a14:compatExt spid="_x0000_s2878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1129</xdr:row>
          <xdr:rowOff>0</xdr:rowOff>
        </xdr:from>
        <xdr:to>
          <xdr:col>1</xdr:col>
          <xdr:colOff>647700</xdr:colOff>
          <xdr:row>1131</xdr:row>
          <xdr:rowOff>104775</xdr:rowOff>
        </xdr:to>
        <xdr:sp macro="" textlink="">
          <xdr:nvSpPr>
            <xdr:cNvPr id="28781" name="Object 109" hidden="1">
              <a:extLst>
                <a:ext uri="{63B3BB69-23CF-44E3-9099-C40C66FF867C}">
                  <a14:compatExt spid="_x0000_s2878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1133</xdr:row>
          <xdr:rowOff>76200</xdr:rowOff>
        </xdr:from>
        <xdr:to>
          <xdr:col>1</xdr:col>
          <xdr:colOff>200025</xdr:colOff>
          <xdr:row>1134</xdr:row>
          <xdr:rowOff>180975</xdr:rowOff>
        </xdr:to>
        <xdr:sp macro="" textlink="">
          <xdr:nvSpPr>
            <xdr:cNvPr id="28782" name="Object 110" hidden="1">
              <a:extLst>
                <a:ext uri="{63B3BB69-23CF-44E3-9099-C40C66FF867C}">
                  <a14:compatExt spid="_x0000_s2878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1114</xdr:row>
      <xdr:rowOff>85725</xdr:rowOff>
    </xdr:from>
    <xdr:to>
      <xdr:col>2</xdr:col>
      <xdr:colOff>0</xdr:colOff>
      <xdr:row>1118</xdr:row>
      <xdr:rowOff>0</xdr:rowOff>
    </xdr:to>
    <xdr:grpSp>
      <xdr:nvGrpSpPr>
        <xdr:cNvPr id="58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10641887"/>
          <a:ext cx="1846508" cy="665543"/>
          <a:chOff x="0" y="83"/>
          <a:chExt cx="159" cy="71"/>
        </a:xfrm>
      </xdr:grpSpPr>
      <xdr:sp macro="" textlink="">
        <xdr:nvSpPr>
          <xdr:cNvPr id="58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58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58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58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58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8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8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58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9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9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9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1050</xdr:row>
          <xdr:rowOff>19050</xdr:rowOff>
        </xdr:from>
        <xdr:to>
          <xdr:col>2</xdr:col>
          <xdr:colOff>133350</xdr:colOff>
          <xdr:row>1051</xdr:row>
          <xdr:rowOff>161925</xdr:rowOff>
        </xdr:to>
        <xdr:sp macro="" textlink="">
          <xdr:nvSpPr>
            <xdr:cNvPr id="28783" name="Object 111" hidden="1">
              <a:extLst>
                <a:ext uri="{63B3BB69-23CF-44E3-9099-C40C66FF867C}">
                  <a14:compatExt spid="_x0000_s287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1152</xdr:row>
          <xdr:rowOff>19050</xdr:rowOff>
        </xdr:from>
        <xdr:to>
          <xdr:col>2</xdr:col>
          <xdr:colOff>133350</xdr:colOff>
          <xdr:row>1153</xdr:row>
          <xdr:rowOff>161925</xdr:rowOff>
        </xdr:to>
        <xdr:sp macro="" textlink="">
          <xdr:nvSpPr>
            <xdr:cNvPr id="28793" name="Object 121" hidden="1">
              <a:extLst>
                <a:ext uri="{63B3BB69-23CF-44E3-9099-C40C66FF867C}">
                  <a14:compatExt spid="_x0000_s2879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1155</xdr:row>
          <xdr:rowOff>0</xdr:rowOff>
        </xdr:from>
        <xdr:to>
          <xdr:col>1</xdr:col>
          <xdr:colOff>647700</xdr:colOff>
          <xdr:row>1157</xdr:row>
          <xdr:rowOff>104775</xdr:rowOff>
        </xdr:to>
        <xdr:sp macro="" textlink="">
          <xdr:nvSpPr>
            <xdr:cNvPr id="28794" name="Object 122" hidden="1">
              <a:extLst>
                <a:ext uri="{63B3BB69-23CF-44E3-9099-C40C66FF867C}">
                  <a14:compatExt spid="_x0000_s2879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1159</xdr:row>
          <xdr:rowOff>76200</xdr:rowOff>
        </xdr:from>
        <xdr:to>
          <xdr:col>1</xdr:col>
          <xdr:colOff>200025</xdr:colOff>
          <xdr:row>1160</xdr:row>
          <xdr:rowOff>180975</xdr:rowOff>
        </xdr:to>
        <xdr:sp macro="" textlink="">
          <xdr:nvSpPr>
            <xdr:cNvPr id="28795" name="Object 123" hidden="1">
              <a:extLst>
                <a:ext uri="{63B3BB69-23CF-44E3-9099-C40C66FF867C}">
                  <a14:compatExt spid="_x0000_s2879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1140</xdr:row>
      <xdr:rowOff>85725</xdr:rowOff>
    </xdr:from>
    <xdr:to>
      <xdr:col>2</xdr:col>
      <xdr:colOff>0</xdr:colOff>
      <xdr:row>1144</xdr:row>
      <xdr:rowOff>0</xdr:rowOff>
    </xdr:to>
    <xdr:grpSp>
      <xdr:nvGrpSpPr>
        <xdr:cNvPr id="64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215565373"/>
          <a:ext cx="1846508" cy="665542"/>
          <a:chOff x="0" y="83"/>
          <a:chExt cx="159" cy="71"/>
        </a:xfrm>
      </xdr:grpSpPr>
      <xdr:sp macro="" textlink="">
        <xdr:nvSpPr>
          <xdr:cNvPr id="64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64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64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65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65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5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5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65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65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65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65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1177</xdr:row>
          <xdr:rowOff>19050</xdr:rowOff>
        </xdr:from>
        <xdr:to>
          <xdr:col>2</xdr:col>
          <xdr:colOff>133350</xdr:colOff>
          <xdr:row>1178</xdr:row>
          <xdr:rowOff>161925</xdr:rowOff>
        </xdr:to>
        <xdr:sp macro="" textlink="">
          <xdr:nvSpPr>
            <xdr:cNvPr id="28796" name="Object 124" hidden="1">
              <a:extLst>
                <a:ext uri="{63B3BB69-23CF-44E3-9099-C40C66FF867C}">
                  <a14:compatExt spid="_x0000_s28796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1180</xdr:row>
          <xdr:rowOff>0</xdr:rowOff>
        </xdr:from>
        <xdr:to>
          <xdr:col>1</xdr:col>
          <xdr:colOff>647700</xdr:colOff>
          <xdr:row>1182</xdr:row>
          <xdr:rowOff>104775</xdr:rowOff>
        </xdr:to>
        <xdr:sp macro="" textlink="">
          <xdr:nvSpPr>
            <xdr:cNvPr id="28797" name="Object 125" hidden="1">
              <a:extLst>
                <a:ext uri="{63B3BB69-23CF-44E3-9099-C40C66FF867C}">
                  <a14:compatExt spid="_x0000_s28797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1184</xdr:row>
          <xdr:rowOff>76200</xdr:rowOff>
        </xdr:from>
        <xdr:to>
          <xdr:col>1</xdr:col>
          <xdr:colOff>200025</xdr:colOff>
          <xdr:row>1185</xdr:row>
          <xdr:rowOff>180975</xdr:rowOff>
        </xdr:to>
        <xdr:sp macro="" textlink="">
          <xdr:nvSpPr>
            <xdr:cNvPr id="28798" name="Object 126" hidden="1">
              <a:extLst>
                <a:ext uri="{63B3BB69-23CF-44E3-9099-C40C66FF867C}">
                  <a14:compatExt spid="_x0000_s28798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1165</xdr:row>
      <xdr:rowOff>85725</xdr:rowOff>
    </xdr:from>
    <xdr:to>
      <xdr:col>2</xdr:col>
      <xdr:colOff>0</xdr:colOff>
      <xdr:row>1169</xdr:row>
      <xdr:rowOff>0</xdr:rowOff>
    </xdr:to>
    <xdr:grpSp>
      <xdr:nvGrpSpPr>
        <xdr:cNvPr id="661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220287626"/>
          <a:ext cx="1846508" cy="665543"/>
          <a:chOff x="0" y="83"/>
          <a:chExt cx="159" cy="71"/>
        </a:xfrm>
      </xdr:grpSpPr>
      <xdr:sp macro="" textlink="">
        <xdr:nvSpPr>
          <xdr:cNvPr id="662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663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4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665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666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667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68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69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670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671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672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673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1205</xdr:row>
          <xdr:rowOff>0</xdr:rowOff>
        </xdr:from>
        <xdr:to>
          <xdr:col>1</xdr:col>
          <xdr:colOff>647700</xdr:colOff>
          <xdr:row>1207</xdr:row>
          <xdr:rowOff>104775</xdr:rowOff>
        </xdr:to>
        <xdr:sp macro="" textlink="">
          <xdr:nvSpPr>
            <xdr:cNvPr id="28799" name="Object 127" hidden="1">
              <a:extLst>
                <a:ext uri="{63B3BB69-23CF-44E3-9099-C40C66FF867C}">
                  <a14:compatExt spid="_x0000_s28799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1209</xdr:row>
          <xdr:rowOff>76200</xdr:rowOff>
        </xdr:from>
        <xdr:to>
          <xdr:col>1</xdr:col>
          <xdr:colOff>200025</xdr:colOff>
          <xdr:row>1210</xdr:row>
          <xdr:rowOff>180975</xdr:rowOff>
        </xdr:to>
        <xdr:sp macro="" textlink="">
          <xdr:nvSpPr>
            <xdr:cNvPr id="28800" name="Object 128" hidden="1">
              <a:extLst>
                <a:ext uri="{63B3BB69-23CF-44E3-9099-C40C66FF867C}">
                  <a14:compatExt spid="_x0000_s28800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1230</xdr:row>
          <xdr:rowOff>0</xdr:rowOff>
        </xdr:from>
        <xdr:to>
          <xdr:col>1</xdr:col>
          <xdr:colOff>647700</xdr:colOff>
          <xdr:row>1232</xdr:row>
          <xdr:rowOff>104775</xdr:rowOff>
        </xdr:to>
        <xdr:sp macro="" textlink="">
          <xdr:nvSpPr>
            <xdr:cNvPr id="28801" name="Object 129" hidden="1">
              <a:extLst>
                <a:ext uri="{63B3BB69-23CF-44E3-9099-C40C66FF867C}">
                  <a14:compatExt spid="_x0000_s28801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1234</xdr:row>
          <xdr:rowOff>76200</xdr:rowOff>
        </xdr:from>
        <xdr:to>
          <xdr:col>1</xdr:col>
          <xdr:colOff>200025</xdr:colOff>
          <xdr:row>1235</xdr:row>
          <xdr:rowOff>180975</xdr:rowOff>
        </xdr:to>
        <xdr:sp macro="" textlink="">
          <xdr:nvSpPr>
            <xdr:cNvPr id="28802" name="Object 130" hidden="1">
              <a:extLst>
                <a:ext uri="{63B3BB69-23CF-44E3-9099-C40C66FF867C}">
                  <a14:compatExt spid="_x0000_s28802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1255</xdr:row>
          <xdr:rowOff>0</xdr:rowOff>
        </xdr:from>
        <xdr:to>
          <xdr:col>1</xdr:col>
          <xdr:colOff>647700</xdr:colOff>
          <xdr:row>1257</xdr:row>
          <xdr:rowOff>104775</xdr:rowOff>
        </xdr:to>
        <xdr:sp macro="" textlink="">
          <xdr:nvSpPr>
            <xdr:cNvPr id="28803" name="Object 131" hidden="1">
              <a:extLst>
                <a:ext uri="{63B3BB69-23CF-44E3-9099-C40C66FF867C}">
                  <a14:compatExt spid="_x0000_s28803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1259</xdr:row>
          <xdr:rowOff>76200</xdr:rowOff>
        </xdr:from>
        <xdr:to>
          <xdr:col>1</xdr:col>
          <xdr:colOff>200025</xdr:colOff>
          <xdr:row>1260</xdr:row>
          <xdr:rowOff>180975</xdr:rowOff>
        </xdr:to>
        <xdr:sp macro="" textlink="">
          <xdr:nvSpPr>
            <xdr:cNvPr id="28804" name="Object 132" hidden="1">
              <a:extLst>
                <a:ext uri="{63B3BB69-23CF-44E3-9099-C40C66FF867C}">
                  <a14:compatExt spid="_x0000_s28804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1278</xdr:row>
          <xdr:rowOff>19050</xdr:rowOff>
        </xdr:from>
        <xdr:to>
          <xdr:col>2</xdr:col>
          <xdr:colOff>133350</xdr:colOff>
          <xdr:row>1279</xdr:row>
          <xdr:rowOff>161925</xdr:rowOff>
        </xdr:to>
        <xdr:sp macro="" textlink="">
          <xdr:nvSpPr>
            <xdr:cNvPr id="28805" name="Object 133" hidden="1">
              <a:extLst>
                <a:ext uri="{63B3BB69-23CF-44E3-9099-C40C66FF867C}">
                  <a14:compatExt spid="_x0000_s2880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1281</xdr:row>
          <xdr:rowOff>0</xdr:rowOff>
        </xdr:from>
        <xdr:to>
          <xdr:col>1</xdr:col>
          <xdr:colOff>647700</xdr:colOff>
          <xdr:row>1283</xdr:row>
          <xdr:rowOff>104775</xdr:rowOff>
        </xdr:to>
        <xdr:sp macro="" textlink="">
          <xdr:nvSpPr>
            <xdr:cNvPr id="28806" name="Object 134" hidden="1">
              <a:extLst>
                <a:ext uri="{63B3BB69-23CF-44E3-9099-C40C66FF867C}">
                  <a14:compatExt spid="_x0000_s2880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1285</xdr:row>
          <xdr:rowOff>76200</xdr:rowOff>
        </xdr:from>
        <xdr:to>
          <xdr:col>1</xdr:col>
          <xdr:colOff>200025</xdr:colOff>
          <xdr:row>1286</xdr:row>
          <xdr:rowOff>180975</xdr:rowOff>
        </xdr:to>
        <xdr:sp macro="" textlink="">
          <xdr:nvSpPr>
            <xdr:cNvPr id="28807" name="Object 135" hidden="1">
              <a:extLst>
                <a:ext uri="{63B3BB69-23CF-44E3-9099-C40C66FF867C}">
                  <a14:compatExt spid="_x0000_s2880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1266</xdr:row>
      <xdr:rowOff>85725</xdr:rowOff>
    </xdr:from>
    <xdr:to>
      <xdr:col>2</xdr:col>
      <xdr:colOff>0</xdr:colOff>
      <xdr:row>1270</xdr:row>
      <xdr:rowOff>0</xdr:rowOff>
    </xdr:to>
    <xdr:grpSp>
      <xdr:nvGrpSpPr>
        <xdr:cNvPr id="68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39377873"/>
          <a:ext cx="1846508" cy="665542"/>
          <a:chOff x="0" y="83"/>
          <a:chExt cx="159" cy="71"/>
        </a:xfrm>
      </xdr:grpSpPr>
      <xdr:sp macro="" textlink="">
        <xdr:nvSpPr>
          <xdr:cNvPr id="68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68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68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68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68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9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69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69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69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69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69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1202</xdr:row>
          <xdr:rowOff>19050</xdr:rowOff>
        </xdr:from>
        <xdr:to>
          <xdr:col>2</xdr:col>
          <xdr:colOff>133350</xdr:colOff>
          <xdr:row>1203</xdr:row>
          <xdr:rowOff>161925</xdr:rowOff>
        </xdr:to>
        <xdr:sp macro="" textlink="">
          <xdr:nvSpPr>
            <xdr:cNvPr id="28808" name="Object 136" hidden="1">
              <a:extLst>
                <a:ext uri="{63B3BB69-23CF-44E3-9099-C40C66FF867C}">
                  <a14:compatExt spid="_x0000_s28808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1252</xdr:row>
          <xdr:rowOff>19050</xdr:rowOff>
        </xdr:from>
        <xdr:to>
          <xdr:col>2</xdr:col>
          <xdr:colOff>133350</xdr:colOff>
          <xdr:row>1253</xdr:row>
          <xdr:rowOff>161925</xdr:rowOff>
        </xdr:to>
        <xdr:sp macro="" textlink="">
          <xdr:nvSpPr>
            <xdr:cNvPr id="28809" name="Object 137" hidden="1">
              <a:extLst>
                <a:ext uri="{63B3BB69-23CF-44E3-9099-C40C66FF867C}">
                  <a14:compatExt spid="_x0000_s28809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1191</xdr:row>
      <xdr:rowOff>0</xdr:rowOff>
    </xdr:from>
    <xdr:to>
      <xdr:col>2</xdr:col>
      <xdr:colOff>2458</xdr:colOff>
      <xdr:row>1194</xdr:row>
      <xdr:rowOff>104775</xdr:rowOff>
    </xdr:to>
    <xdr:grpSp>
      <xdr:nvGrpSpPr>
        <xdr:cNvPr id="69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225111972"/>
          <a:ext cx="2001366" cy="668226"/>
          <a:chOff x="0" y="83"/>
          <a:chExt cx="159" cy="71"/>
        </a:xfrm>
      </xdr:grpSpPr>
      <xdr:sp macro="" textlink="">
        <xdr:nvSpPr>
          <xdr:cNvPr id="69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70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70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70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70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0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0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70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70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70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71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1216</xdr:row>
      <xdr:rowOff>0</xdr:rowOff>
    </xdr:from>
    <xdr:to>
      <xdr:col>2</xdr:col>
      <xdr:colOff>2458</xdr:colOff>
      <xdr:row>1219</xdr:row>
      <xdr:rowOff>104775</xdr:rowOff>
    </xdr:to>
    <xdr:grpSp>
      <xdr:nvGrpSpPr>
        <xdr:cNvPr id="71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229834225"/>
          <a:ext cx="2001366" cy="668226"/>
          <a:chOff x="0" y="83"/>
          <a:chExt cx="159" cy="71"/>
        </a:xfrm>
      </xdr:grpSpPr>
      <xdr:sp macro="" textlink="">
        <xdr:nvSpPr>
          <xdr:cNvPr id="71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71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71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71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71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72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72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72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72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1241</xdr:row>
      <xdr:rowOff>0</xdr:rowOff>
    </xdr:from>
    <xdr:to>
      <xdr:col>2</xdr:col>
      <xdr:colOff>2458</xdr:colOff>
      <xdr:row>1244</xdr:row>
      <xdr:rowOff>104774</xdr:rowOff>
    </xdr:to>
    <xdr:grpSp>
      <xdr:nvGrpSpPr>
        <xdr:cNvPr id="72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234556479"/>
          <a:ext cx="2001366" cy="668225"/>
          <a:chOff x="0" y="83"/>
          <a:chExt cx="159" cy="71"/>
        </a:xfrm>
      </xdr:grpSpPr>
      <xdr:sp macro="" textlink="">
        <xdr:nvSpPr>
          <xdr:cNvPr id="72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72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72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72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73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3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3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73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73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73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73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1303</xdr:row>
          <xdr:rowOff>19050</xdr:rowOff>
        </xdr:from>
        <xdr:to>
          <xdr:col>2</xdr:col>
          <xdr:colOff>133350</xdr:colOff>
          <xdr:row>1304</xdr:row>
          <xdr:rowOff>161925</xdr:rowOff>
        </xdr:to>
        <xdr:sp macro="" textlink="">
          <xdr:nvSpPr>
            <xdr:cNvPr id="28810" name="Object 138" hidden="1">
              <a:extLst>
                <a:ext uri="{63B3BB69-23CF-44E3-9099-C40C66FF867C}">
                  <a14:compatExt spid="_x0000_s2881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1306</xdr:row>
          <xdr:rowOff>0</xdr:rowOff>
        </xdr:from>
        <xdr:to>
          <xdr:col>1</xdr:col>
          <xdr:colOff>647700</xdr:colOff>
          <xdr:row>1308</xdr:row>
          <xdr:rowOff>104775</xdr:rowOff>
        </xdr:to>
        <xdr:sp macro="" textlink="">
          <xdr:nvSpPr>
            <xdr:cNvPr id="28811" name="Object 139" hidden="1">
              <a:extLst>
                <a:ext uri="{63B3BB69-23CF-44E3-9099-C40C66FF867C}">
                  <a14:compatExt spid="_x0000_s2881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1310</xdr:row>
          <xdr:rowOff>76200</xdr:rowOff>
        </xdr:from>
        <xdr:to>
          <xdr:col>1</xdr:col>
          <xdr:colOff>200025</xdr:colOff>
          <xdr:row>1311</xdr:row>
          <xdr:rowOff>180975</xdr:rowOff>
        </xdr:to>
        <xdr:sp macro="" textlink="">
          <xdr:nvSpPr>
            <xdr:cNvPr id="28812" name="Object 140" hidden="1">
              <a:extLst>
                <a:ext uri="{63B3BB69-23CF-44E3-9099-C40C66FF867C}">
                  <a14:compatExt spid="_x0000_s2881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1291</xdr:row>
      <xdr:rowOff>85725</xdr:rowOff>
    </xdr:from>
    <xdr:to>
      <xdr:col>2</xdr:col>
      <xdr:colOff>0</xdr:colOff>
      <xdr:row>1295</xdr:row>
      <xdr:rowOff>0</xdr:rowOff>
    </xdr:to>
    <xdr:grpSp>
      <xdr:nvGrpSpPr>
        <xdr:cNvPr id="74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44100126"/>
          <a:ext cx="1846508" cy="665543"/>
          <a:chOff x="0" y="83"/>
          <a:chExt cx="159" cy="71"/>
        </a:xfrm>
      </xdr:grpSpPr>
      <xdr:sp macro="" textlink="">
        <xdr:nvSpPr>
          <xdr:cNvPr id="74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74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74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74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74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4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4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74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75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75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75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1227</xdr:row>
          <xdr:rowOff>19050</xdr:rowOff>
        </xdr:from>
        <xdr:to>
          <xdr:col>2</xdr:col>
          <xdr:colOff>133350</xdr:colOff>
          <xdr:row>1228</xdr:row>
          <xdr:rowOff>161925</xdr:rowOff>
        </xdr:to>
        <xdr:sp macro="" textlink="">
          <xdr:nvSpPr>
            <xdr:cNvPr id="28813" name="Object 141" hidden="1">
              <a:extLst>
                <a:ext uri="{63B3BB69-23CF-44E3-9099-C40C66FF867C}">
                  <a14:compatExt spid="_x0000_s288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1328</xdr:row>
          <xdr:rowOff>19050</xdr:rowOff>
        </xdr:from>
        <xdr:to>
          <xdr:col>2</xdr:col>
          <xdr:colOff>133350</xdr:colOff>
          <xdr:row>1329</xdr:row>
          <xdr:rowOff>161925</xdr:rowOff>
        </xdr:to>
        <xdr:sp macro="" textlink="">
          <xdr:nvSpPr>
            <xdr:cNvPr id="28814" name="Object 142" hidden="1">
              <a:extLst>
                <a:ext uri="{63B3BB69-23CF-44E3-9099-C40C66FF867C}">
                  <a14:compatExt spid="_x0000_s28814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1331</xdr:row>
          <xdr:rowOff>0</xdr:rowOff>
        </xdr:from>
        <xdr:to>
          <xdr:col>1</xdr:col>
          <xdr:colOff>647700</xdr:colOff>
          <xdr:row>1333</xdr:row>
          <xdr:rowOff>104775</xdr:rowOff>
        </xdr:to>
        <xdr:sp macro="" textlink="">
          <xdr:nvSpPr>
            <xdr:cNvPr id="28815" name="Object 143" hidden="1">
              <a:extLst>
                <a:ext uri="{63B3BB69-23CF-44E3-9099-C40C66FF867C}">
                  <a14:compatExt spid="_x0000_s28815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1335</xdr:row>
          <xdr:rowOff>76200</xdr:rowOff>
        </xdr:from>
        <xdr:to>
          <xdr:col>1</xdr:col>
          <xdr:colOff>200025</xdr:colOff>
          <xdr:row>1336</xdr:row>
          <xdr:rowOff>180975</xdr:rowOff>
        </xdr:to>
        <xdr:sp macro="" textlink="">
          <xdr:nvSpPr>
            <xdr:cNvPr id="28816" name="Object 144" hidden="1">
              <a:extLst>
                <a:ext uri="{63B3BB69-23CF-44E3-9099-C40C66FF867C}">
                  <a14:compatExt spid="_x0000_s28816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1316</xdr:row>
      <xdr:rowOff>85725</xdr:rowOff>
    </xdr:from>
    <xdr:to>
      <xdr:col>2</xdr:col>
      <xdr:colOff>0</xdr:colOff>
      <xdr:row>1320</xdr:row>
      <xdr:rowOff>0</xdr:rowOff>
    </xdr:to>
    <xdr:grpSp>
      <xdr:nvGrpSpPr>
        <xdr:cNvPr id="757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48822380"/>
          <a:ext cx="1846508" cy="665543"/>
          <a:chOff x="0" y="83"/>
          <a:chExt cx="159" cy="71"/>
        </a:xfrm>
      </xdr:grpSpPr>
      <xdr:sp macro="" textlink="">
        <xdr:nvSpPr>
          <xdr:cNvPr id="758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759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0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761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762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763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64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65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766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767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768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769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1354</xdr:row>
          <xdr:rowOff>19050</xdr:rowOff>
        </xdr:from>
        <xdr:to>
          <xdr:col>2</xdr:col>
          <xdr:colOff>133350</xdr:colOff>
          <xdr:row>1355</xdr:row>
          <xdr:rowOff>161925</xdr:rowOff>
        </xdr:to>
        <xdr:sp macro="" textlink="">
          <xdr:nvSpPr>
            <xdr:cNvPr id="28823" name="Object 151" hidden="1">
              <a:extLst>
                <a:ext uri="{63B3BB69-23CF-44E3-9099-C40C66FF867C}">
                  <a14:compatExt spid="_x0000_s2882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1357</xdr:row>
          <xdr:rowOff>0</xdr:rowOff>
        </xdr:from>
        <xdr:to>
          <xdr:col>1</xdr:col>
          <xdr:colOff>647700</xdr:colOff>
          <xdr:row>1359</xdr:row>
          <xdr:rowOff>104775</xdr:rowOff>
        </xdr:to>
        <xdr:sp macro="" textlink="">
          <xdr:nvSpPr>
            <xdr:cNvPr id="28824" name="Object 152" hidden="1">
              <a:extLst>
                <a:ext uri="{63B3BB69-23CF-44E3-9099-C40C66FF867C}">
                  <a14:compatExt spid="_x0000_s2882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1361</xdr:row>
          <xdr:rowOff>76200</xdr:rowOff>
        </xdr:from>
        <xdr:to>
          <xdr:col>1</xdr:col>
          <xdr:colOff>200025</xdr:colOff>
          <xdr:row>1362</xdr:row>
          <xdr:rowOff>180975</xdr:rowOff>
        </xdr:to>
        <xdr:sp macro="" textlink="">
          <xdr:nvSpPr>
            <xdr:cNvPr id="28825" name="Object 153" hidden="1">
              <a:extLst>
                <a:ext uri="{63B3BB69-23CF-44E3-9099-C40C66FF867C}">
                  <a14:compatExt spid="_x0000_s2882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1342</xdr:row>
      <xdr:rowOff>85725</xdr:rowOff>
    </xdr:from>
    <xdr:to>
      <xdr:col>2</xdr:col>
      <xdr:colOff>0</xdr:colOff>
      <xdr:row>1346</xdr:row>
      <xdr:rowOff>0</xdr:rowOff>
    </xdr:to>
    <xdr:grpSp>
      <xdr:nvGrpSpPr>
        <xdr:cNvPr id="80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253745866"/>
          <a:ext cx="1846508" cy="665542"/>
          <a:chOff x="0" y="83"/>
          <a:chExt cx="159" cy="71"/>
        </a:xfrm>
      </xdr:grpSpPr>
      <xdr:sp macro="" textlink="">
        <xdr:nvSpPr>
          <xdr:cNvPr id="80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80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80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81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81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81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81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81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81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81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81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1380</xdr:row>
          <xdr:rowOff>19050</xdr:rowOff>
        </xdr:from>
        <xdr:to>
          <xdr:col>2</xdr:col>
          <xdr:colOff>133350</xdr:colOff>
          <xdr:row>1381</xdr:row>
          <xdr:rowOff>161925</xdr:rowOff>
        </xdr:to>
        <xdr:sp macro="" textlink="">
          <xdr:nvSpPr>
            <xdr:cNvPr id="28853" name="Object 181" hidden="1">
              <a:extLst>
                <a:ext uri="{63B3BB69-23CF-44E3-9099-C40C66FF867C}">
                  <a14:compatExt spid="_x0000_s2885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1383</xdr:row>
          <xdr:rowOff>0</xdr:rowOff>
        </xdr:from>
        <xdr:to>
          <xdr:col>1</xdr:col>
          <xdr:colOff>647700</xdr:colOff>
          <xdr:row>1385</xdr:row>
          <xdr:rowOff>104775</xdr:rowOff>
        </xdr:to>
        <xdr:sp macro="" textlink="">
          <xdr:nvSpPr>
            <xdr:cNvPr id="28854" name="Object 182" hidden="1">
              <a:extLst>
                <a:ext uri="{63B3BB69-23CF-44E3-9099-C40C66FF867C}">
                  <a14:compatExt spid="_x0000_s2885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1387</xdr:row>
          <xdr:rowOff>76200</xdr:rowOff>
        </xdr:from>
        <xdr:to>
          <xdr:col>1</xdr:col>
          <xdr:colOff>200025</xdr:colOff>
          <xdr:row>1388</xdr:row>
          <xdr:rowOff>180975</xdr:rowOff>
        </xdr:to>
        <xdr:sp macro="" textlink="">
          <xdr:nvSpPr>
            <xdr:cNvPr id="28855" name="Object 183" hidden="1">
              <a:extLst>
                <a:ext uri="{63B3BB69-23CF-44E3-9099-C40C66FF867C}">
                  <a14:compatExt spid="_x0000_s2885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1368</xdr:row>
      <xdr:rowOff>85725</xdr:rowOff>
    </xdr:from>
    <xdr:to>
      <xdr:col>2</xdr:col>
      <xdr:colOff>0</xdr:colOff>
      <xdr:row>1372</xdr:row>
      <xdr:rowOff>0</xdr:rowOff>
    </xdr:to>
    <xdr:grpSp>
      <xdr:nvGrpSpPr>
        <xdr:cNvPr id="96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258669352"/>
          <a:ext cx="1846508" cy="665542"/>
          <a:chOff x="0" y="83"/>
          <a:chExt cx="159" cy="71"/>
        </a:xfrm>
      </xdr:grpSpPr>
      <xdr:sp macro="" textlink="">
        <xdr:nvSpPr>
          <xdr:cNvPr id="96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96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96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97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97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7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7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97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97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97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97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1405</xdr:row>
          <xdr:rowOff>19050</xdr:rowOff>
        </xdr:from>
        <xdr:to>
          <xdr:col>2</xdr:col>
          <xdr:colOff>133350</xdr:colOff>
          <xdr:row>1406</xdr:row>
          <xdr:rowOff>161925</xdr:rowOff>
        </xdr:to>
        <xdr:sp macro="" textlink="">
          <xdr:nvSpPr>
            <xdr:cNvPr id="28856" name="Object 184" hidden="1">
              <a:extLst>
                <a:ext uri="{63B3BB69-23CF-44E3-9099-C40C66FF867C}">
                  <a14:compatExt spid="_x0000_s28856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1408</xdr:row>
          <xdr:rowOff>0</xdr:rowOff>
        </xdr:from>
        <xdr:to>
          <xdr:col>1</xdr:col>
          <xdr:colOff>647700</xdr:colOff>
          <xdr:row>1410</xdr:row>
          <xdr:rowOff>104775</xdr:rowOff>
        </xdr:to>
        <xdr:sp macro="" textlink="">
          <xdr:nvSpPr>
            <xdr:cNvPr id="28857" name="Object 185" hidden="1">
              <a:extLst>
                <a:ext uri="{63B3BB69-23CF-44E3-9099-C40C66FF867C}">
                  <a14:compatExt spid="_x0000_s28857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1412</xdr:row>
          <xdr:rowOff>76200</xdr:rowOff>
        </xdr:from>
        <xdr:to>
          <xdr:col>1</xdr:col>
          <xdr:colOff>200025</xdr:colOff>
          <xdr:row>1413</xdr:row>
          <xdr:rowOff>180975</xdr:rowOff>
        </xdr:to>
        <xdr:sp macro="" textlink="">
          <xdr:nvSpPr>
            <xdr:cNvPr id="28858" name="Object 186" hidden="1">
              <a:extLst>
                <a:ext uri="{63B3BB69-23CF-44E3-9099-C40C66FF867C}">
                  <a14:compatExt spid="_x0000_s28858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1393</xdr:row>
      <xdr:rowOff>85725</xdr:rowOff>
    </xdr:from>
    <xdr:to>
      <xdr:col>2</xdr:col>
      <xdr:colOff>0</xdr:colOff>
      <xdr:row>1397</xdr:row>
      <xdr:rowOff>0</xdr:rowOff>
    </xdr:to>
    <xdr:grpSp>
      <xdr:nvGrpSpPr>
        <xdr:cNvPr id="981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263391605"/>
          <a:ext cx="1846508" cy="665543"/>
          <a:chOff x="0" y="83"/>
          <a:chExt cx="159" cy="71"/>
        </a:xfrm>
      </xdr:grpSpPr>
      <xdr:sp macro="" textlink="">
        <xdr:nvSpPr>
          <xdr:cNvPr id="982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983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4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985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986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987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88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89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990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991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992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993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1433</xdr:row>
          <xdr:rowOff>0</xdr:rowOff>
        </xdr:from>
        <xdr:to>
          <xdr:col>1</xdr:col>
          <xdr:colOff>647700</xdr:colOff>
          <xdr:row>1435</xdr:row>
          <xdr:rowOff>104775</xdr:rowOff>
        </xdr:to>
        <xdr:sp macro="" textlink="">
          <xdr:nvSpPr>
            <xdr:cNvPr id="28859" name="Object 187" hidden="1">
              <a:extLst>
                <a:ext uri="{63B3BB69-23CF-44E3-9099-C40C66FF867C}">
                  <a14:compatExt spid="_x0000_s28859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1437</xdr:row>
          <xdr:rowOff>76200</xdr:rowOff>
        </xdr:from>
        <xdr:to>
          <xdr:col>1</xdr:col>
          <xdr:colOff>200025</xdr:colOff>
          <xdr:row>1438</xdr:row>
          <xdr:rowOff>180975</xdr:rowOff>
        </xdr:to>
        <xdr:sp macro="" textlink="">
          <xdr:nvSpPr>
            <xdr:cNvPr id="28860" name="Object 188" hidden="1">
              <a:extLst>
                <a:ext uri="{63B3BB69-23CF-44E3-9099-C40C66FF867C}">
                  <a14:compatExt spid="_x0000_s28860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1458</xdr:row>
          <xdr:rowOff>0</xdr:rowOff>
        </xdr:from>
        <xdr:to>
          <xdr:col>1</xdr:col>
          <xdr:colOff>647700</xdr:colOff>
          <xdr:row>1460</xdr:row>
          <xdr:rowOff>104775</xdr:rowOff>
        </xdr:to>
        <xdr:sp macro="" textlink="">
          <xdr:nvSpPr>
            <xdr:cNvPr id="28861" name="Object 189" hidden="1">
              <a:extLst>
                <a:ext uri="{63B3BB69-23CF-44E3-9099-C40C66FF867C}">
                  <a14:compatExt spid="_x0000_s28861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1462</xdr:row>
          <xdr:rowOff>76200</xdr:rowOff>
        </xdr:from>
        <xdr:to>
          <xdr:col>1</xdr:col>
          <xdr:colOff>200025</xdr:colOff>
          <xdr:row>1463</xdr:row>
          <xdr:rowOff>180975</xdr:rowOff>
        </xdr:to>
        <xdr:sp macro="" textlink="">
          <xdr:nvSpPr>
            <xdr:cNvPr id="28862" name="Object 190" hidden="1">
              <a:extLst>
                <a:ext uri="{63B3BB69-23CF-44E3-9099-C40C66FF867C}">
                  <a14:compatExt spid="_x0000_s28862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1483</xdr:row>
          <xdr:rowOff>0</xdr:rowOff>
        </xdr:from>
        <xdr:to>
          <xdr:col>1</xdr:col>
          <xdr:colOff>647700</xdr:colOff>
          <xdr:row>1485</xdr:row>
          <xdr:rowOff>104775</xdr:rowOff>
        </xdr:to>
        <xdr:sp macro="" textlink="">
          <xdr:nvSpPr>
            <xdr:cNvPr id="28863" name="Object 191" hidden="1">
              <a:extLst>
                <a:ext uri="{63B3BB69-23CF-44E3-9099-C40C66FF867C}">
                  <a14:compatExt spid="_x0000_s28863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1487</xdr:row>
          <xdr:rowOff>76200</xdr:rowOff>
        </xdr:from>
        <xdr:to>
          <xdr:col>1</xdr:col>
          <xdr:colOff>200025</xdr:colOff>
          <xdr:row>1488</xdr:row>
          <xdr:rowOff>180975</xdr:rowOff>
        </xdr:to>
        <xdr:sp macro="" textlink="">
          <xdr:nvSpPr>
            <xdr:cNvPr id="28864" name="Object 192" hidden="1">
              <a:extLst>
                <a:ext uri="{63B3BB69-23CF-44E3-9099-C40C66FF867C}">
                  <a14:compatExt spid="_x0000_s28864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1506</xdr:row>
          <xdr:rowOff>19050</xdr:rowOff>
        </xdr:from>
        <xdr:to>
          <xdr:col>2</xdr:col>
          <xdr:colOff>133350</xdr:colOff>
          <xdr:row>1507</xdr:row>
          <xdr:rowOff>161925</xdr:rowOff>
        </xdr:to>
        <xdr:sp macro="" textlink="">
          <xdr:nvSpPr>
            <xdr:cNvPr id="28865" name="Object 193" hidden="1">
              <a:extLst>
                <a:ext uri="{63B3BB69-23CF-44E3-9099-C40C66FF867C}">
                  <a14:compatExt spid="_x0000_s2886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1509</xdr:row>
          <xdr:rowOff>0</xdr:rowOff>
        </xdr:from>
        <xdr:to>
          <xdr:col>1</xdr:col>
          <xdr:colOff>647700</xdr:colOff>
          <xdr:row>1511</xdr:row>
          <xdr:rowOff>104775</xdr:rowOff>
        </xdr:to>
        <xdr:sp macro="" textlink="">
          <xdr:nvSpPr>
            <xdr:cNvPr id="28866" name="Object 194" hidden="1">
              <a:extLst>
                <a:ext uri="{63B3BB69-23CF-44E3-9099-C40C66FF867C}">
                  <a14:compatExt spid="_x0000_s2886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1513</xdr:row>
          <xdr:rowOff>76200</xdr:rowOff>
        </xdr:from>
        <xdr:to>
          <xdr:col>1</xdr:col>
          <xdr:colOff>200025</xdr:colOff>
          <xdr:row>1514</xdr:row>
          <xdr:rowOff>180975</xdr:rowOff>
        </xdr:to>
        <xdr:sp macro="" textlink="">
          <xdr:nvSpPr>
            <xdr:cNvPr id="28867" name="Object 195" hidden="1">
              <a:extLst>
                <a:ext uri="{63B3BB69-23CF-44E3-9099-C40C66FF867C}">
                  <a14:compatExt spid="_x0000_s2886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1494</xdr:row>
      <xdr:rowOff>85725</xdr:rowOff>
    </xdr:from>
    <xdr:to>
      <xdr:col>2</xdr:col>
      <xdr:colOff>0</xdr:colOff>
      <xdr:row>1498</xdr:row>
      <xdr:rowOff>0</xdr:rowOff>
    </xdr:to>
    <xdr:grpSp>
      <xdr:nvGrpSpPr>
        <xdr:cNvPr id="100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82481852"/>
          <a:ext cx="1846508" cy="665542"/>
          <a:chOff x="0" y="83"/>
          <a:chExt cx="159" cy="71"/>
        </a:xfrm>
      </xdr:grpSpPr>
      <xdr:sp macro="" textlink="">
        <xdr:nvSpPr>
          <xdr:cNvPr id="100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00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00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0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00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1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1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1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01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1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01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1430</xdr:row>
          <xdr:rowOff>19050</xdr:rowOff>
        </xdr:from>
        <xdr:to>
          <xdr:col>2</xdr:col>
          <xdr:colOff>133350</xdr:colOff>
          <xdr:row>1431</xdr:row>
          <xdr:rowOff>161925</xdr:rowOff>
        </xdr:to>
        <xdr:sp macro="" textlink="">
          <xdr:nvSpPr>
            <xdr:cNvPr id="28868" name="Object 196" hidden="1">
              <a:extLst>
                <a:ext uri="{63B3BB69-23CF-44E3-9099-C40C66FF867C}">
                  <a14:compatExt spid="_x0000_s28868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1480</xdr:row>
          <xdr:rowOff>19050</xdr:rowOff>
        </xdr:from>
        <xdr:to>
          <xdr:col>2</xdr:col>
          <xdr:colOff>133350</xdr:colOff>
          <xdr:row>1481</xdr:row>
          <xdr:rowOff>161925</xdr:rowOff>
        </xdr:to>
        <xdr:sp macro="" textlink="">
          <xdr:nvSpPr>
            <xdr:cNvPr id="28869" name="Object 197" hidden="1">
              <a:extLst>
                <a:ext uri="{63B3BB69-23CF-44E3-9099-C40C66FF867C}">
                  <a14:compatExt spid="_x0000_s28869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1419</xdr:row>
      <xdr:rowOff>0</xdr:rowOff>
    </xdr:from>
    <xdr:to>
      <xdr:col>2</xdr:col>
      <xdr:colOff>2458</xdr:colOff>
      <xdr:row>1422</xdr:row>
      <xdr:rowOff>104775</xdr:rowOff>
    </xdr:to>
    <xdr:grpSp>
      <xdr:nvGrpSpPr>
        <xdr:cNvPr id="101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268215951"/>
          <a:ext cx="2001366" cy="668225"/>
          <a:chOff x="0" y="83"/>
          <a:chExt cx="159" cy="71"/>
        </a:xfrm>
      </xdr:grpSpPr>
      <xdr:sp macro="" textlink="">
        <xdr:nvSpPr>
          <xdr:cNvPr id="101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02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02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2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02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2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2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2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02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2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03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1444</xdr:row>
      <xdr:rowOff>0</xdr:rowOff>
    </xdr:from>
    <xdr:to>
      <xdr:col>2</xdr:col>
      <xdr:colOff>2458</xdr:colOff>
      <xdr:row>1447</xdr:row>
      <xdr:rowOff>104775</xdr:rowOff>
    </xdr:to>
    <xdr:grpSp>
      <xdr:nvGrpSpPr>
        <xdr:cNvPr id="103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272938204"/>
          <a:ext cx="2001366" cy="668226"/>
          <a:chOff x="0" y="83"/>
          <a:chExt cx="159" cy="71"/>
        </a:xfrm>
      </xdr:grpSpPr>
      <xdr:sp macro="" textlink="">
        <xdr:nvSpPr>
          <xdr:cNvPr id="103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03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03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3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03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3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4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04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4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04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1469</xdr:row>
      <xdr:rowOff>0</xdr:rowOff>
    </xdr:from>
    <xdr:to>
      <xdr:col>2</xdr:col>
      <xdr:colOff>2458</xdr:colOff>
      <xdr:row>1472</xdr:row>
      <xdr:rowOff>104774</xdr:rowOff>
    </xdr:to>
    <xdr:grpSp>
      <xdr:nvGrpSpPr>
        <xdr:cNvPr id="104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277660458"/>
          <a:ext cx="2001366" cy="668224"/>
          <a:chOff x="0" y="83"/>
          <a:chExt cx="159" cy="71"/>
        </a:xfrm>
      </xdr:grpSpPr>
      <xdr:sp macro="" textlink="">
        <xdr:nvSpPr>
          <xdr:cNvPr id="104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04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04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4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05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5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5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5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05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5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05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1531</xdr:row>
          <xdr:rowOff>19050</xdr:rowOff>
        </xdr:from>
        <xdr:to>
          <xdr:col>2</xdr:col>
          <xdr:colOff>133350</xdr:colOff>
          <xdr:row>1532</xdr:row>
          <xdr:rowOff>161925</xdr:rowOff>
        </xdr:to>
        <xdr:sp macro="" textlink="">
          <xdr:nvSpPr>
            <xdr:cNvPr id="28870" name="Object 198" hidden="1">
              <a:extLst>
                <a:ext uri="{63B3BB69-23CF-44E3-9099-C40C66FF867C}">
                  <a14:compatExt spid="_x0000_s2887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1534</xdr:row>
          <xdr:rowOff>0</xdr:rowOff>
        </xdr:from>
        <xdr:to>
          <xdr:col>1</xdr:col>
          <xdr:colOff>647700</xdr:colOff>
          <xdr:row>1536</xdr:row>
          <xdr:rowOff>104775</xdr:rowOff>
        </xdr:to>
        <xdr:sp macro="" textlink="">
          <xdr:nvSpPr>
            <xdr:cNvPr id="28871" name="Object 199" hidden="1">
              <a:extLst>
                <a:ext uri="{63B3BB69-23CF-44E3-9099-C40C66FF867C}">
                  <a14:compatExt spid="_x0000_s2887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1538</xdr:row>
          <xdr:rowOff>76200</xdr:rowOff>
        </xdr:from>
        <xdr:to>
          <xdr:col>1</xdr:col>
          <xdr:colOff>200025</xdr:colOff>
          <xdr:row>1539</xdr:row>
          <xdr:rowOff>180975</xdr:rowOff>
        </xdr:to>
        <xdr:sp macro="" textlink="">
          <xdr:nvSpPr>
            <xdr:cNvPr id="28872" name="Object 200" hidden="1">
              <a:extLst>
                <a:ext uri="{63B3BB69-23CF-44E3-9099-C40C66FF867C}">
                  <a14:compatExt spid="_x0000_s2887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1519</xdr:row>
      <xdr:rowOff>85725</xdr:rowOff>
    </xdr:from>
    <xdr:to>
      <xdr:col>2</xdr:col>
      <xdr:colOff>0</xdr:colOff>
      <xdr:row>1523</xdr:row>
      <xdr:rowOff>0</xdr:rowOff>
    </xdr:to>
    <xdr:grpSp>
      <xdr:nvGrpSpPr>
        <xdr:cNvPr id="106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87204105"/>
          <a:ext cx="1846508" cy="665543"/>
          <a:chOff x="0" y="83"/>
          <a:chExt cx="159" cy="71"/>
        </a:xfrm>
      </xdr:grpSpPr>
      <xdr:sp macro="" textlink="">
        <xdr:nvSpPr>
          <xdr:cNvPr id="106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06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06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6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06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6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6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6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07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7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07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1455</xdr:row>
          <xdr:rowOff>19050</xdr:rowOff>
        </xdr:from>
        <xdr:to>
          <xdr:col>2</xdr:col>
          <xdr:colOff>133350</xdr:colOff>
          <xdr:row>1456</xdr:row>
          <xdr:rowOff>161925</xdr:rowOff>
        </xdr:to>
        <xdr:sp macro="" textlink="">
          <xdr:nvSpPr>
            <xdr:cNvPr id="28873" name="Object 201" hidden="1">
              <a:extLst>
                <a:ext uri="{63B3BB69-23CF-44E3-9099-C40C66FF867C}">
                  <a14:compatExt spid="_x0000_s288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1556</xdr:row>
          <xdr:rowOff>19050</xdr:rowOff>
        </xdr:from>
        <xdr:to>
          <xdr:col>2</xdr:col>
          <xdr:colOff>133350</xdr:colOff>
          <xdr:row>1557</xdr:row>
          <xdr:rowOff>161925</xdr:rowOff>
        </xdr:to>
        <xdr:sp macro="" textlink="">
          <xdr:nvSpPr>
            <xdr:cNvPr id="28874" name="Object 202" hidden="1">
              <a:extLst>
                <a:ext uri="{63B3BB69-23CF-44E3-9099-C40C66FF867C}">
                  <a14:compatExt spid="_x0000_s28874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1559</xdr:row>
          <xdr:rowOff>0</xdr:rowOff>
        </xdr:from>
        <xdr:to>
          <xdr:col>1</xdr:col>
          <xdr:colOff>647700</xdr:colOff>
          <xdr:row>1561</xdr:row>
          <xdr:rowOff>104775</xdr:rowOff>
        </xdr:to>
        <xdr:sp macro="" textlink="">
          <xdr:nvSpPr>
            <xdr:cNvPr id="28875" name="Object 203" hidden="1">
              <a:extLst>
                <a:ext uri="{63B3BB69-23CF-44E3-9099-C40C66FF867C}">
                  <a14:compatExt spid="_x0000_s28875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1563</xdr:row>
          <xdr:rowOff>76200</xdr:rowOff>
        </xdr:from>
        <xdr:to>
          <xdr:col>1</xdr:col>
          <xdr:colOff>200025</xdr:colOff>
          <xdr:row>1564</xdr:row>
          <xdr:rowOff>180975</xdr:rowOff>
        </xdr:to>
        <xdr:sp macro="" textlink="">
          <xdr:nvSpPr>
            <xdr:cNvPr id="28876" name="Object 204" hidden="1">
              <a:extLst>
                <a:ext uri="{63B3BB69-23CF-44E3-9099-C40C66FF867C}">
                  <a14:compatExt spid="_x0000_s28876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1544</xdr:row>
      <xdr:rowOff>85725</xdr:rowOff>
    </xdr:from>
    <xdr:to>
      <xdr:col>2</xdr:col>
      <xdr:colOff>0</xdr:colOff>
      <xdr:row>1548</xdr:row>
      <xdr:rowOff>0</xdr:rowOff>
    </xdr:to>
    <xdr:grpSp>
      <xdr:nvGrpSpPr>
        <xdr:cNvPr id="1077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91926359"/>
          <a:ext cx="1846508" cy="665542"/>
          <a:chOff x="0" y="83"/>
          <a:chExt cx="159" cy="71"/>
        </a:xfrm>
      </xdr:grpSpPr>
      <xdr:sp macro="" textlink="">
        <xdr:nvSpPr>
          <xdr:cNvPr id="1078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079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0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081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82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083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84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85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86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087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88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089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1581</xdr:row>
          <xdr:rowOff>19050</xdr:rowOff>
        </xdr:from>
        <xdr:to>
          <xdr:col>2</xdr:col>
          <xdr:colOff>133350</xdr:colOff>
          <xdr:row>1582</xdr:row>
          <xdr:rowOff>161925</xdr:rowOff>
        </xdr:to>
        <xdr:sp macro="" textlink="">
          <xdr:nvSpPr>
            <xdr:cNvPr id="28877" name="Object 205" hidden="1">
              <a:extLst>
                <a:ext uri="{63B3BB69-23CF-44E3-9099-C40C66FF867C}">
                  <a14:compatExt spid="_x0000_s28877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1584</xdr:row>
          <xdr:rowOff>0</xdr:rowOff>
        </xdr:from>
        <xdr:to>
          <xdr:col>1</xdr:col>
          <xdr:colOff>647700</xdr:colOff>
          <xdr:row>1586</xdr:row>
          <xdr:rowOff>104775</xdr:rowOff>
        </xdr:to>
        <xdr:sp macro="" textlink="">
          <xdr:nvSpPr>
            <xdr:cNvPr id="28878" name="Object 206" hidden="1">
              <a:extLst>
                <a:ext uri="{63B3BB69-23CF-44E3-9099-C40C66FF867C}">
                  <a14:compatExt spid="_x0000_s28878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1588</xdr:row>
          <xdr:rowOff>76200</xdr:rowOff>
        </xdr:from>
        <xdr:to>
          <xdr:col>1</xdr:col>
          <xdr:colOff>200025</xdr:colOff>
          <xdr:row>1589</xdr:row>
          <xdr:rowOff>180975</xdr:rowOff>
        </xdr:to>
        <xdr:sp macro="" textlink="">
          <xdr:nvSpPr>
            <xdr:cNvPr id="28879" name="Object 207" hidden="1">
              <a:extLst>
                <a:ext uri="{63B3BB69-23CF-44E3-9099-C40C66FF867C}">
                  <a14:compatExt spid="_x0000_s28879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1569</xdr:row>
      <xdr:rowOff>85725</xdr:rowOff>
    </xdr:from>
    <xdr:to>
      <xdr:col>2</xdr:col>
      <xdr:colOff>0</xdr:colOff>
      <xdr:row>1573</xdr:row>
      <xdr:rowOff>0</xdr:rowOff>
    </xdr:to>
    <xdr:grpSp>
      <xdr:nvGrpSpPr>
        <xdr:cNvPr id="109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296648612"/>
          <a:ext cx="1846508" cy="665543"/>
          <a:chOff x="0" y="83"/>
          <a:chExt cx="159" cy="71"/>
        </a:xfrm>
      </xdr:grpSpPr>
      <xdr:sp macro="" textlink="">
        <xdr:nvSpPr>
          <xdr:cNvPr id="109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09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09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09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09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0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0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10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10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10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10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1607</xdr:row>
          <xdr:rowOff>19050</xdr:rowOff>
        </xdr:from>
        <xdr:to>
          <xdr:col>2</xdr:col>
          <xdr:colOff>133350</xdr:colOff>
          <xdr:row>1608</xdr:row>
          <xdr:rowOff>161925</xdr:rowOff>
        </xdr:to>
        <xdr:sp macro="" textlink="">
          <xdr:nvSpPr>
            <xdr:cNvPr id="28883" name="Object 211" hidden="1">
              <a:extLst>
                <a:ext uri="{63B3BB69-23CF-44E3-9099-C40C66FF867C}">
                  <a14:compatExt spid="_x0000_s2888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1610</xdr:row>
          <xdr:rowOff>0</xdr:rowOff>
        </xdr:from>
        <xdr:to>
          <xdr:col>1</xdr:col>
          <xdr:colOff>647700</xdr:colOff>
          <xdr:row>1612</xdr:row>
          <xdr:rowOff>104775</xdr:rowOff>
        </xdr:to>
        <xdr:sp macro="" textlink="">
          <xdr:nvSpPr>
            <xdr:cNvPr id="28884" name="Object 212" hidden="1">
              <a:extLst>
                <a:ext uri="{63B3BB69-23CF-44E3-9099-C40C66FF867C}">
                  <a14:compatExt spid="_x0000_s2888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1614</xdr:row>
          <xdr:rowOff>76200</xdr:rowOff>
        </xdr:from>
        <xdr:to>
          <xdr:col>1</xdr:col>
          <xdr:colOff>200025</xdr:colOff>
          <xdr:row>1615</xdr:row>
          <xdr:rowOff>180975</xdr:rowOff>
        </xdr:to>
        <xdr:sp macro="" textlink="">
          <xdr:nvSpPr>
            <xdr:cNvPr id="28885" name="Object 213" hidden="1">
              <a:extLst>
                <a:ext uri="{63B3BB69-23CF-44E3-9099-C40C66FF867C}">
                  <a14:compatExt spid="_x0000_s2888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1595</xdr:row>
      <xdr:rowOff>85725</xdr:rowOff>
    </xdr:from>
    <xdr:to>
      <xdr:col>2</xdr:col>
      <xdr:colOff>0</xdr:colOff>
      <xdr:row>1599</xdr:row>
      <xdr:rowOff>0</xdr:rowOff>
    </xdr:to>
    <xdr:grpSp>
      <xdr:nvGrpSpPr>
        <xdr:cNvPr id="112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301572098"/>
          <a:ext cx="1846508" cy="665543"/>
          <a:chOff x="0" y="83"/>
          <a:chExt cx="159" cy="71"/>
        </a:xfrm>
      </xdr:grpSpPr>
      <xdr:sp macro="" textlink="">
        <xdr:nvSpPr>
          <xdr:cNvPr id="112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12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12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13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13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3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3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13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13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13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13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1632</xdr:row>
          <xdr:rowOff>19050</xdr:rowOff>
        </xdr:from>
        <xdr:to>
          <xdr:col>2</xdr:col>
          <xdr:colOff>133350</xdr:colOff>
          <xdr:row>1633</xdr:row>
          <xdr:rowOff>161925</xdr:rowOff>
        </xdr:to>
        <xdr:sp macro="" textlink="">
          <xdr:nvSpPr>
            <xdr:cNvPr id="28886" name="Object 214" hidden="1">
              <a:extLst>
                <a:ext uri="{63B3BB69-23CF-44E3-9099-C40C66FF867C}">
                  <a14:compatExt spid="_x0000_s28886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1635</xdr:row>
          <xdr:rowOff>0</xdr:rowOff>
        </xdr:from>
        <xdr:to>
          <xdr:col>1</xdr:col>
          <xdr:colOff>647700</xdr:colOff>
          <xdr:row>1637</xdr:row>
          <xdr:rowOff>104775</xdr:rowOff>
        </xdr:to>
        <xdr:sp macro="" textlink="">
          <xdr:nvSpPr>
            <xdr:cNvPr id="28887" name="Object 215" hidden="1">
              <a:extLst>
                <a:ext uri="{63B3BB69-23CF-44E3-9099-C40C66FF867C}">
                  <a14:compatExt spid="_x0000_s28887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1639</xdr:row>
          <xdr:rowOff>76200</xdr:rowOff>
        </xdr:from>
        <xdr:to>
          <xdr:col>1</xdr:col>
          <xdr:colOff>200025</xdr:colOff>
          <xdr:row>1640</xdr:row>
          <xdr:rowOff>180975</xdr:rowOff>
        </xdr:to>
        <xdr:sp macro="" textlink="">
          <xdr:nvSpPr>
            <xdr:cNvPr id="28888" name="Object 216" hidden="1">
              <a:extLst>
                <a:ext uri="{63B3BB69-23CF-44E3-9099-C40C66FF867C}">
                  <a14:compatExt spid="_x0000_s28888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1620</xdr:row>
      <xdr:rowOff>85725</xdr:rowOff>
    </xdr:from>
    <xdr:to>
      <xdr:col>2</xdr:col>
      <xdr:colOff>0</xdr:colOff>
      <xdr:row>1624</xdr:row>
      <xdr:rowOff>0</xdr:rowOff>
    </xdr:to>
    <xdr:grpSp>
      <xdr:nvGrpSpPr>
        <xdr:cNvPr id="1141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306294352"/>
          <a:ext cx="1846508" cy="665542"/>
          <a:chOff x="0" y="83"/>
          <a:chExt cx="159" cy="71"/>
        </a:xfrm>
      </xdr:grpSpPr>
      <xdr:sp macro="" textlink="">
        <xdr:nvSpPr>
          <xdr:cNvPr id="1142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143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4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145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146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147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48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49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150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151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152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153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1660</xdr:row>
          <xdr:rowOff>0</xdr:rowOff>
        </xdr:from>
        <xdr:to>
          <xdr:col>1</xdr:col>
          <xdr:colOff>647700</xdr:colOff>
          <xdr:row>1662</xdr:row>
          <xdr:rowOff>104775</xdr:rowOff>
        </xdr:to>
        <xdr:sp macro="" textlink="">
          <xdr:nvSpPr>
            <xdr:cNvPr id="28889" name="Object 217" hidden="1">
              <a:extLst>
                <a:ext uri="{63B3BB69-23CF-44E3-9099-C40C66FF867C}">
                  <a14:compatExt spid="_x0000_s28889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1664</xdr:row>
          <xdr:rowOff>76200</xdr:rowOff>
        </xdr:from>
        <xdr:to>
          <xdr:col>1</xdr:col>
          <xdr:colOff>200025</xdr:colOff>
          <xdr:row>1665</xdr:row>
          <xdr:rowOff>180975</xdr:rowOff>
        </xdr:to>
        <xdr:sp macro="" textlink="">
          <xdr:nvSpPr>
            <xdr:cNvPr id="28890" name="Object 218" hidden="1">
              <a:extLst>
                <a:ext uri="{63B3BB69-23CF-44E3-9099-C40C66FF867C}">
                  <a14:compatExt spid="_x0000_s28890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1685</xdr:row>
          <xdr:rowOff>0</xdr:rowOff>
        </xdr:from>
        <xdr:to>
          <xdr:col>1</xdr:col>
          <xdr:colOff>647700</xdr:colOff>
          <xdr:row>1687</xdr:row>
          <xdr:rowOff>104775</xdr:rowOff>
        </xdr:to>
        <xdr:sp macro="" textlink="">
          <xdr:nvSpPr>
            <xdr:cNvPr id="28891" name="Object 219" hidden="1">
              <a:extLst>
                <a:ext uri="{63B3BB69-23CF-44E3-9099-C40C66FF867C}">
                  <a14:compatExt spid="_x0000_s28891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1689</xdr:row>
          <xdr:rowOff>76200</xdr:rowOff>
        </xdr:from>
        <xdr:to>
          <xdr:col>1</xdr:col>
          <xdr:colOff>200025</xdr:colOff>
          <xdr:row>1690</xdr:row>
          <xdr:rowOff>180975</xdr:rowOff>
        </xdr:to>
        <xdr:sp macro="" textlink="">
          <xdr:nvSpPr>
            <xdr:cNvPr id="28892" name="Object 220" hidden="1">
              <a:extLst>
                <a:ext uri="{63B3BB69-23CF-44E3-9099-C40C66FF867C}">
                  <a14:compatExt spid="_x0000_s28892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1710</xdr:row>
          <xdr:rowOff>0</xdr:rowOff>
        </xdr:from>
        <xdr:to>
          <xdr:col>1</xdr:col>
          <xdr:colOff>647700</xdr:colOff>
          <xdr:row>1712</xdr:row>
          <xdr:rowOff>104775</xdr:rowOff>
        </xdr:to>
        <xdr:sp macro="" textlink="">
          <xdr:nvSpPr>
            <xdr:cNvPr id="28893" name="Object 221" hidden="1">
              <a:extLst>
                <a:ext uri="{63B3BB69-23CF-44E3-9099-C40C66FF867C}">
                  <a14:compatExt spid="_x0000_s28893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1714</xdr:row>
          <xdr:rowOff>76200</xdr:rowOff>
        </xdr:from>
        <xdr:to>
          <xdr:col>1</xdr:col>
          <xdr:colOff>200025</xdr:colOff>
          <xdr:row>1715</xdr:row>
          <xdr:rowOff>180975</xdr:rowOff>
        </xdr:to>
        <xdr:sp macro="" textlink="">
          <xdr:nvSpPr>
            <xdr:cNvPr id="28894" name="Object 222" hidden="1">
              <a:extLst>
                <a:ext uri="{63B3BB69-23CF-44E3-9099-C40C66FF867C}">
                  <a14:compatExt spid="_x0000_s28894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1733</xdr:row>
          <xdr:rowOff>19050</xdr:rowOff>
        </xdr:from>
        <xdr:to>
          <xdr:col>2</xdr:col>
          <xdr:colOff>133350</xdr:colOff>
          <xdr:row>1734</xdr:row>
          <xdr:rowOff>161925</xdr:rowOff>
        </xdr:to>
        <xdr:sp macro="" textlink="">
          <xdr:nvSpPr>
            <xdr:cNvPr id="28895" name="Object 223" hidden="1">
              <a:extLst>
                <a:ext uri="{63B3BB69-23CF-44E3-9099-C40C66FF867C}">
                  <a14:compatExt spid="_x0000_s2889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1736</xdr:row>
          <xdr:rowOff>0</xdr:rowOff>
        </xdr:from>
        <xdr:to>
          <xdr:col>1</xdr:col>
          <xdr:colOff>647700</xdr:colOff>
          <xdr:row>1738</xdr:row>
          <xdr:rowOff>104775</xdr:rowOff>
        </xdr:to>
        <xdr:sp macro="" textlink="">
          <xdr:nvSpPr>
            <xdr:cNvPr id="28896" name="Object 224" hidden="1">
              <a:extLst>
                <a:ext uri="{63B3BB69-23CF-44E3-9099-C40C66FF867C}">
                  <a14:compatExt spid="_x0000_s2889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1740</xdr:row>
          <xdr:rowOff>76200</xdr:rowOff>
        </xdr:from>
        <xdr:to>
          <xdr:col>1</xdr:col>
          <xdr:colOff>200025</xdr:colOff>
          <xdr:row>1741</xdr:row>
          <xdr:rowOff>180975</xdr:rowOff>
        </xdr:to>
        <xdr:sp macro="" textlink="">
          <xdr:nvSpPr>
            <xdr:cNvPr id="28897" name="Object 225" hidden="1">
              <a:extLst>
                <a:ext uri="{63B3BB69-23CF-44E3-9099-C40C66FF867C}">
                  <a14:compatExt spid="_x0000_s2889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1721</xdr:row>
      <xdr:rowOff>85725</xdr:rowOff>
    </xdr:from>
    <xdr:to>
      <xdr:col>2</xdr:col>
      <xdr:colOff>0</xdr:colOff>
      <xdr:row>1725</xdr:row>
      <xdr:rowOff>0</xdr:rowOff>
    </xdr:to>
    <xdr:grpSp>
      <xdr:nvGrpSpPr>
        <xdr:cNvPr id="116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325384598"/>
          <a:ext cx="1846508" cy="665543"/>
          <a:chOff x="0" y="83"/>
          <a:chExt cx="159" cy="71"/>
        </a:xfrm>
      </xdr:grpSpPr>
      <xdr:sp macro="" textlink="">
        <xdr:nvSpPr>
          <xdr:cNvPr id="116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16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16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16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16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7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7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17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17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17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17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1657</xdr:row>
          <xdr:rowOff>19050</xdr:rowOff>
        </xdr:from>
        <xdr:to>
          <xdr:col>2</xdr:col>
          <xdr:colOff>133350</xdr:colOff>
          <xdr:row>1658</xdr:row>
          <xdr:rowOff>161925</xdr:rowOff>
        </xdr:to>
        <xdr:sp macro="" textlink="">
          <xdr:nvSpPr>
            <xdr:cNvPr id="28898" name="Object 226" hidden="1">
              <a:extLst>
                <a:ext uri="{63B3BB69-23CF-44E3-9099-C40C66FF867C}">
                  <a14:compatExt spid="_x0000_s28898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1707</xdr:row>
          <xdr:rowOff>19050</xdr:rowOff>
        </xdr:from>
        <xdr:to>
          <xdr:col>2</xdr:col>
          <xdr:colOff>133350</xdr:colOff>
          <xdr:row>1708</xdr:row>
          <xdr:rowOff>161925</xdr:rowOff>
        </xdr:to>
        <xdr:sp macro="" textlink="">
          <xdr:nvSpPr>
            <xdr:cNvPr id="28899" name="Object 227" hidden="1">
              <a:extLst>
                <a:ext uri="{63B3BB69-23CF-44E3-9099-C40C66FF867C}">
                  <a14:compatExt spid="_x0000_s28899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1646</xdr:row>
      <xdr:rowOff>0</xdr:rowOff>
    </xdr:from>
    <xdr:to>
      <xdr:col>2</xdr:col>
      <xdr:colOff>2458</xdr:colOff>
      <xdr:row>1649</xdr:row>
      <xdr:rowOff>104775</xdr:rowOff>
    </xdr:to>
    <xdr:grpSp>
      <xdr:nvGrpSpPr>
        <xdr:cNvPr id="117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311118697"/>
          <a:ext cx="2001366" cy="668226"/>
          <a:chOff x="0" y="83"/>
          <a:chExt cx="159" cy="71"/>
        </a:xfrm>
      </xdr:grpSpPr>
      <xdr:sp macro="" textlink="">
        <xdr:nvSpPr>
          <xdr:cNvPr id="117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18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18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18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18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8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8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18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18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18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19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1671</xdr:row>
      <xdr:rowOff>0</xdr:rowOff>
    </xdr:from>
    <xdr:to>
      <xdr:col>2</xdr:col>
      <xdr:colOff>2458</xdr:colOff>
      <xdr:row>1674</xdr:row>
      <xdr:rowOff>104775</xdr:rowOff>
    </xdr:to>
    <xdr:grpSp>
      <xdr:nvGrpSpPr>
        <xdr:cNvPr id="119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315840951"/>
          <a:ext cx="2001366" cy="668225"/>
          <a:chOff x="0" y="83"/>
          <a:chExt cx="159" cy="71"/>
        </a:xfrm>
      </xdr:grpSpPr>
      <xdr:sp macro="" textlink="">
        <xdr:nvSpPr>
          <xdr:cNvPr id="119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19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19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19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19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9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9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20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20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20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20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1696</xdr:row>
      <xdr:rowOff>0</xdr:rowOff>
    </xdr:from>
    <xdr:to>
      <xdr:col>2</xdr:col>
      <xdr:colOff>2458</xdr:colOff>
      <xdr:row>1699</xdr:row>
      <xdr:rowOff>104774</xdr:rowOff>
    </xdr:to>
    <xdr:grpSp>
      <xdr:nvGrpSpPr>
        <xdr:cNvPr id="120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320563204"/>
          <a:ext cx="2001366" cy="668225"/>
          <a:chOff x="0" y="83"/>
          <a:chExt cx="159" cy="71"/>
        </a:xfrm>
      </xdr:grpSpPr>
      <xdr:sp macro="" textlink="">
        <xdr:nvSpPr>
          <xdr:cNvPr id="120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20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20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20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21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1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1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21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21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21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21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1758</xdr:row>
          <xdr:rowOff>19050</xdr:rowOff>
        </xdr:from>
        <xdr:to>
          <xdr:col>2</xdr:col>
          <xdr:colOff>133350</xdr:colOff>
          <xdr:row>1759</xdr:row>
          <xdr:rowOff>161925</xdr:rowOff>
        </xdr:to>
        <xdr:sp macro="" textlink="">
          <xdr:nvSpPr>
            <xdr:cNvPr id="28900" name="Object 228" hidden="1">
              <a:extLst>
                <a:ext uri="{63B3BB69-23CF-44E3-9099-C40C66FF867C}">
                  <a14:compatExt spid="_x0000_s2890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1761</xdr:row>
          <xdr:rowOff>0</xdr:rowOff>
        </xdr:from>
        <xdr:to>
          <xdr:col>1</xdr:col>
          <xdr:colOff>647700</xdr:colOff>
          <xdr:row>1763</xdr:row>
          <xdr:rowOff>104775</xdr:rowOff>
        </xdr:to>
        <xdr:sp macro="" textlink="">
          <xdr:nvSpPr>
            <xdr:cNvPr id="28901" name="Object 229" hidden="1">
              <a:extLst>
                <a:ext uri="{63B3BB69-23CF-44E3-9099-C40C66FF867C}">
                  <a14:compatExt spid="_x0000_s2890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1765</xdr:row>
          <xdr:rowOff>76200</xdr:rowOff>
        </xdr:from>
        <xdr:to>
          <xdr:col>1</xdr:col>
          <xdr:colOff>200025</xdr:colOff>
          <xdr:row>1766</xdr:row>
          <xdr:rowOff>180975</xdr:rowOff>
        </xdr:to>
        <xdr:sp macro="" textlink="">
          <xdr:nvSpPr>
            <xdr:cNvPr id="28902" name="Object 230" hidden="1">
              <a:extLst>
                <a:ext uri="{63B3BB69-23CF-44E3-9099-C40C66FF867C}">
                  <a14:compatExt spid="_x0000_s2890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1746</xdr:row>
      <xdr:rowOff>85725</xdr:rowOff>
    </xdr:from>
    <xdr:to>
      <xdr:col>2</xdr:col>
      <xdr:colOff>0</xdr:colOff>
      <xdr:row>1750</xdr:row>
      <xdr:rowOff>0</xdr:rowOff>
    </xdr:to>
    <xdr:grpSp>
      <xdr:nvGrpSpPr>
        <xdr:cNvPr id="122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330106852"/>
          <a:ext cx="1846508" cy="665542"/>
          <a:chOff x="0" y="83"/>
          <a:chExt cx="159" cy="71"/>
        </a:xfrm>
      </xdr:grpSpPr>
      <xdr:sp macro="" textlink="">
        <xdr:nvSpPr>
          <xdr:cNvPr id="122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22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22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22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22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2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2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22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23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23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23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1682</xdr:row>
          <xdr:rowOff>19050</xdr:rowOff>
        </xdr:from>
        <xdr:to>
          <xdr:col>2</xdr:col>
          <xdr:colOff>133350</xdr:colOff>
          <xdr:row>1683</xdr:row>
          <xdr:rowOff>161925</xdr:rowOff>
        </xdr:to>
        <xdr:sp macro="" textlink="">
          <xdr:nvSpPr>
            <xdr:cNvPr id="28903" name="Object 231" hidden="1">
              <a:extLst>
                <a:ext uri="{63B3BB69-23CF-44E3-9099-C40C66FF867C}">
                  <a14:compatExt spid="_x0000_s289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1783</xdr:row>
          <xdr:rowOff>19050</xdr:rowOff>
        </xdr:from>
        <xdr:to>
          <xdr:col>2</xdr:col>
          <xdr:colOff>133350</xdr:colOff>
          <xdr:row>1784</xdr:row>
          <xdr:rowOff>161925</xdr:rowOff>
        </xdr:to>
        <xdr:sp macro="" textlink="">
          <xdr:nvSpPr>
            <xdr:cNvPr id="28904" name="Object 232" hidden="1">
              <a:extLst>
                <a:ext uri="{63B3BB69-23CF-44E3-9099-C40C66FF867C}">
                  <a14:compatExt spid="_x0000_s28904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1786</xdr:row>
          <xdr:rowOff>0</xdr:rowOff>
        </xdr:from>
        <xdr:to>
          <xdr:col>1</xdr:col>
          <xdr:colOff>647700</xdr:colOff>
          <xdr:row>1788</xdr:row>
          <xdr:rowOff>104775</xdr:rowOff>
        </xdr:to>
        <xdr:sp macro="" textlink="">
          <xdr:nvSpPr>
            <xdr:cNvPr id="28905" name="Object 233" hidden="1">
              <a:extLst>
                <a:ext uri="{63B3BB69-23CF-44E3-9099-C40C66FF867C}">
                  <a14:compatExt spid="_x0000_s28905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1790</xdr:row>
          <xdr:rowOff>76200</xdr:rowOff>
        </xdr:from>
        <xdr:to>
          <xdr:col>1</xdr:col>
          <xdr:colOff>200025</xdr:colOff>
          <xdr:row>1791</xdr:row>
          <xdr:rowOff>180975</xdr:rowOff>
        </xdr:to>
        <xdr:sp macro="" textlink="">
          <xdr:nvSpPr>
            <xdr:cNvPr id="28906" name="Object 234" hidden="1">
              <a:extLst>
                <a:ext uri="{63B3BB69-23CF-44E3-9099-C40C66FF867C}">
                  <a14:compatExt spid="_x0000_s28906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1771</xdr:row>
      <xdr:rowOff>85725</xdr:rowOff>
    </xdr:from>
    <xdr:to>
      <xdr:col>2</xdr:col>
      <xdr:colOff>0</xdr:colOff>
      <xdr:row>1775</xdr:row>
      <xdr:rowOff>0</xdr:rowOff>
    </xdr:to>
    <xdr:grpSp>
      <xdr:nvGrpSpPr>
        <xdr:cNvPr id="1237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334829105"/>
          <a:ext cx="1846508" cy="665543"/>
          <a:chOff x="0" y="83"/>
          <a:chExt cx="159" cy="71"/>
        </a:xfrm>
      </xdr:grpSpPr>
      <xdr:sp macro="" textlink="">
        <xdr:nvSpPr>
          <xdr:cNvPr id="1238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239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0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241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242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243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44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45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246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247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248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249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1808</xdr:row>
          <xdr:rowOff>19050</xdr:rowOff>
        </xdr:from>
        <xdr:to>
          <xdr:col>2</xdr:col>
          <xdr:colOff>133350</xdr:colOff>
          <xdr:row>1809</xdr:row>
          <xdr:rowOff>161925</xdr:rowOff>
        </xdr:to>
        <xdr:sp macro="" textlink="">
          <xdr:nvSpPr>
            <xdr:cNvPr id="28907" name="Object 235" hidden="1">
              <a:extLst>
                <a:ext uri="{63B3BB69-23CF-44E3-9099-C40C66FF867C}">
                  <a14:compatExt spid="_x0000_s28907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1811</xdr:row>
          <xdr:rowOff>0</xdr:rowOff>
        </xdr:from>
        <xdr:to>
          <xdr:col>1</xdr:col>
          <xdr:colOff>647700</xdr:colOff>
          <xdr:row>1813</xdr:row>
          <xdr:rowOff>104775</xdr:rowOff>
        </xdr:to>
        <xdr:sp macro="" textlink="">
          <xdr:nvSpPr>
            <xdr:cNvPr id="28908" name="Object 236" hidden="1">
              <a:extLst>
                <a:ext uri="{63B3BB69-23CF-44E3-9099-C40C66FF867C}">
                  <a14:compatExt spid="_x0000_s28908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1815</xdr:row>
          <xdr:rowOff>76200</xdr:rowOff>
        </xdr:from>
        <xdr:to>
          <xdr:col>1</xdr:col>
          <xdr:colOff>200025</xdr:colOff>
          <xdr:row>1816</xdr:row>
          <xdr:rowOff>180975</xdr:rowOff>
        </xdr:to>
        <xdr:sp macro="" textlink="">
          <xdr:nvSpPr>
            <xdr:cNvPr id="28909" name="Object 237" hidden="1">
              <a:extLst>
                <a:ext uri="{63B3BB69-23CF-44E3-9099-C40C66FF867C}">
                  <a14:compatExt spid="_x0000_s28909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1796</xdr:row>
      <xdr:rowOff>85725</xdr:rowOff>
    </xdr:from>
    <xdr:to>
      <xdr:col>2</xdr:col>
      <xdr:colOff>0</xdr:colOff>
      <xdr:row>1800</xdr:row>
      <xdr:rowOff>0</xdr:rowOff>
    </xdr:to>
    <xdr:grpSp>
      <xdr:nvGrpSpPr>
        <xdr:cNvPr id="125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339551359"/>
          <a:ext cx="1846508" cy="665542"/>
          <a:chOff x="0" y="83"/>
          <a:chExt cx="159" cy="71"/>
        </a:xfrm>
      </xdr:grpSpPr>
      <xdr:sp macro="" textlink="">
        <xdr:nvSpPr>
          <xdr:cNvPr id="125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25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25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25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25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6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6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26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26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26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26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1834</xdr:row>
          <xdr:rowOff>19050</xdr:rowOff>
        </xdr:from>
        <xdr:to>
          <xdr:col>2</xdr:col>
          <xdr:colOff>133350</xdr:colOff>
          <xdr:row>1835</xdr:row>
          <xdr:rowOff>161925</xdr:rowOff>
        </xdr:to>
        <xdr:sp macro="" textlink="">
          <xdr:nvSpPr>
            <xdr:cNvPr id="28913" name="Object 241" hidden="1">
              <a:extLst>
                <a:ext uri="{63B3BB69-23CF-44E3-9099-C40C66FF867C}">
                  <a14:compatExt spid="_x0000_s2891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1837</xdr:row>
          <xdr:rowOff>0</xdr:rowOff>
        </xdr:from>
        <xdr:to>
          <xdr:col>1</xdr:col>
          <xdr:colOff>647700</xdr:colOff>
          <xdr:row>1839</xdr:row>
          <xdr:rowOff>104775</xdr:rowOff>
        </xdr:to>
        <xdr:sp macro="" textlink="">
          <xdr:nvSpPr>
            <xdr:cNvPr id="28914" name="Object 242" hidden="1">
              <a:extLst>
                <a:ext uri="{63B3BB69-23CF-44E3-9099-C40C66FF867C}">
                  <a14:compatExt spid="_x0000_s2891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1841</xdr:row>
          <xdr:rowOff>76200</xdr:rowOff>
        </xdr:from>
        <xdr:to>
          <xdr:col>1</xdr:col>
          <xdr:colOff>200025</xdr:colOff>
          <xdr:row>1842</xdr:row>
          <xdr:rowOff>180975</xdr:rowOff>
        </xdr:to>
        <xdr:sp macro="" textlink="">
          <xdr:nvSpPr>
            <xdr:cNvPr id="28915" name="Object 243" hidden="1">
              <a:extLst>
                <a:ext uri="{63B3BB69-23CF-44E3-9099-C40C66FF867C}">
                  <a14:compatExt spid="_x0000_s2891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1822</xdr:row>
      <xdr:rowOff>85725</xdr:rowOff>
    </xdr:from>
    <xdr:to>
      <xdr:col>2</xdr:col>
      <xdr:colOff>0</xdr:colOff>
      <xdr:row>1826</xdr:row>
      <xdr:rowOff>0</xdr:rowOff>
    </xdr:to>
    <xdr:grpSp>
      <xdr:nvGrpSpPr>
        <xdr:cNvPr id="128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344474845"/>
          <a:ext cx="1846508" cy="665542"/>
          <a:chOff x="0" y="83"/>
          <a:chExt cx="159" cy="71"/>
        </a:xfrm>
      </xdr:grpSpPr>
      <xdr:sp macro="" textlink="">
        <xdr:nvSpPr>
          <xdr:cNvPr id="128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28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28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29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29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9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9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29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29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29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29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1859</xdr:row>
          <xdr:rowOff>19050</xdr:rowOff>
        </xdr:from>
        <xdr:to>
          <xdr:col>2</xdr:col>
          <xdr:colOff>133350</xdr:colOff>
          <xdr:row>1860</xdr:row>
          <xdr:rowOff>161925</xdr:rowOff>
        </xdr:to>
        <xdr:sp macro="" textlink="">
          <xdr:nvSpPr>
            <xdr:cNvPr id="28916" name="Object 244" hidden="1">
              <a:extLst>
                <a:ext uri="{63B3BB69-23CF-44E3-9099-C40C66FF867C}">
                  <a14:compatExt spid="_x0000_s28916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1862</xdr:row>
          <xdr:rowOff>0</xdr:rowOff>
        </xdr:from>
        <xdr:to>
          <xdr:col>1</xdr:col>
          <xdr:colOff>647700</xdr:colOff>
          <xdr:row>1864</xdr:row>
          <xdr:rowOff>104775</xdr:rowOff>
        </xdr:to>
        <xdr:sp macro="" textlink="">
          <xdr:nvSpPr>
            <xdr:cNvPr id="28917" name="Object 245" hidden="1">
              <a:extLst>
                <a:ext uri="{63B3BB69-23CF-44E3-9099-C40C66FF867C}">
                  <a14:compatExt spid="_x0000_s28917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1866</xdr:row>
          <xdr:rowOff>76200</xdr:rowOff>
        </xdr:from>
        <xdr:to>
          <xdr:col>1</xdr:col>
          <xdr:colOff>200025</xdr:colOff>
          <xdr:row>1867</xdr:row>
          <xdr:rowOff>180975</xdr:rowOff>
        </xdr:to>
        <xdr:sp macro="" textlink="">
          <xdr:nvSpPr>
            <xdr:cNvPr id="28918" name="Object 246" hidden="1">
              <a:extLst>
                <a:ext uri="{63B3BB69-23CF-44E3-9099-C40C66FF867C}">
                  <a14:compatExt spid="_x0000_s28918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1847</xdr:row>
      <xdr:rowOff>85725</xdr:rowOff>
    </xdr:from>
    <xdr:to>
      <xdr:col>2</xdr:col>
      <xdr:colOff>0</xdr:colOff>
      <xdr:row>1851</xdr:row>
      <xdr:rowOff>0</xdr:rowOff>
    </xdr:to>
    <xdr:grpSp>
      <xdr:nvGrpSpPr>
        <xdr:cNvPr id="1301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349197098"/>
          <a:ext cx="1846508" cy="665543"/>
          <a:chOff x="0" y="83"/>
          <a:chExt cx="159" cy="71"/>
        </a:xfrm>
      </xdr:grpSpPr>
      <xdr:sp macro="" textlink="">
        <xdr:nvSpPr>
          <xdr:cNvPr id="1302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303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4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305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306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307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08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09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310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311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312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313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1887</xdr:row>
          <xdr:rowOff>0</xdr:rowOff>
        </xdr:from>
        <xdr:to>
          <xdr:col>1</xdr:col>
          <xdr:colOff>647700</xdr:colOff>
          <xdr:row>1889</xdr:row>
          <xdr:rowOff>104775</xdr:rowOff>
        </xdr:to>
        <xdr:sp macro="" textlink="">
          <xdr:nvSpPr>
            <xdr:cNvPr id="28919" name="Object 247" hidden="1">
              <a:extLst>
                <a:ext uri="{63B3BB69-23CF-44E3-9099-C40C66FF867C}">
                  <a14:compatExt spid="_x0000_s28919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1891</xdr:row>
          <xdr:rowOff>76200</xdr:rowOff>
        </xdr:from>
        <xdr:to>
          <xdr:col>1</xdr:col>
          <xdr:colOff>200025</xdr:colOff>
          <xdr:row>1892</xdr:row>
          <xdr:rowOff>180975</xdr:rowOff>
        </xdr:to>
        <xdr:sp macro="" textlink="">
          <xdr:nvSpPr>
            <xdr:cNvPr id="28920" name="Object 248" hidden="1">
              <a:extLst>
                <a:ext uri="{63B3BB69-23CF-44E3-9099-C40C66FF867C}">
                  <a14:compatExt spid="_x0000_s28920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1912</xdr:row>
          <xdr:rowOff>0</xdr:rowOff>
        </xdr:from>
        <xdr:to>
          <xdr:col>1</xdr:col>
          <xdr:colOff>647700</xdr:colOff>
          <xdr:row>1914</xdr:row>
          <xdr:rowOff>104775</xdr:rowOff>
        </xdr:to>
        <xdr:sp macro="" textlink="">
          <xdr:nvSpPr>
            <xdr:cNvPr id="28921" name="Object 249" hidden="1">
              <a:extLst>
                <a:ext uri="{63B3BB69-23CF-44E3-9099-C40C66FF867C}">
                  <a14:compatExt spid="_x0000_s28921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1916</xdr:row>
          <xdr:rowOff>76200</xdr:rowOff>
        </xdr:from>
        <xdr:to>
          <xdr:col>1</xdr:col>
          <xdr:colOff>200025</xdr:colOff>
          <xdr:row>1917</xdr:row>
          <xdr:rowOff>180975</xdr:rowOff>
        </xdr:to>
        <xdr:sp macro="" textlink="">
          <xdr:nvSpPr>
            <xdr:cNvPr id="28922" name="Object 250" hidden="1">
              <a:extLst>
                <a:ext uri="{63B3BB69-23CF-44E3-9099-C40C66FF867C}">
                  <a14:compatExt spid="_x0000_s28922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1937</xdr:row>
          <xdr:rowOff>0</xdr:rowOff>
        </xdr:from>
        <xdr:to>
          <xdr:col>1</xdr:col>
          <xdr:colOff>647700</xdr:colOff>
          <xdr:row>1939</xdr:row>
          <xdr:rowOff>104775</xdr:rowOff>
        </xdr:to>
        <xdr:sp macro="" textlink="">
          <xdr:nvSpPr>
            <xdr:cNvPr id="28923" name="Object 251" hidden="1">
              <a:extLst>
                <a:ext uri="{63B3BB69-23CF-44E3-9099-C40C66FF867C}">
                  <a14:compatExt spid="_x0000_s28923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1941</xdr:row>
          <xdr:rowOff>76200</xdr:rowOff>
        </xdr:from>
        <xdr:to>
          <xdr:col>1</xdr:col>
          <xdr:colOff>200025</xdr:colOff>
          <xdr:row>1942</xdr:row>
          <xdr:rowOff>180975</xdr:rowOff>
        </xdr:to>
        <xdr:sp macro="" textlink="">
          <xdr:nvSpPr>
            <xdr:cNvPr id="28924" name="Object 252" hidden="1">
              <a:extLst>
                <a:ext uri="{63B3BB69-23CF-44E3-9099-C40C66FF867C}">
                  <a14:compatExt spid="_x0000_s28924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1960</xdr:row>
          <xdr:rowOff>19050</xdr:rowOff>
        </xdr:from>
        <xdr:to>
          <xdr:col>2</xdr:col>
          <xdr:colOff>133350</xdr:colOff>
          <xdr:row>1961</xdr:row>
          <xdr:rowOff>161925</xdr:rowOff>
        </xdr:to>
        <xdr:sp macro="" textlink="">
          <xdr:nvSpPr>
            <xdr:cNvPr id="28925" name="Object 253" hidden="1">
              <a:extLst>
                <a:ext uri="{63B3BB69-23CF-44E3-9099-C40C66FF867C}">
                  <a14:compatExt spid="_x0000_s2892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1963</xdr:row>
          <xdr:rowOff>0</xdr:rowOff>
        </xdr:from>
        <xdr:to>
          <xdr:col>1</xdr:col>
          <xdr:colOff>647700</xdr:colOff>
          <xdr:row>1965</xdr:row>
          <xdr:rowOff>104775</xdr:rowOff>
        </xdr:to>
        <xdr:sp macro="" textlink="">
          <xdr:nvSpPr>
            <xdr:cNvPr id="28926" name="Object 254" hidden="1">
              <a:extLst>
                <a:ext uri="{63B3BB69-23CF-44E3-9099-C40C66FF867C}">
                  <a14:compatExt spid="_x0000_s2892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1967</xdr:row>
          <xdr:rowOff>76200</xdr:rowOff>
        </xdr:from>
        <xdr:to>
          <xdr:col>1</xdr:col>
          <xdr:colOff>200025</xdr:colOff>
          <xdr:row>1968</xdr:row>
          <xdr:rowOff>180975</xdr:rowOff>
        </xdr:to>
        <xdr:sp macro="" textlink="">
          <xdr:nvSpPr>
            <xdr:cNvPr id="28927" name="Object 255" hidden="1">
              <a:extLst>
                <a:ext uri="{63B3BB69-23CF-44E3-9099-C40C66FF867C}">
                  <a14:compatExt spid="_x0000_s2892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1948</xdr:row>
      <xdr:rowOff>85725</xdr:rowOff>
    </xdr:from>
    <xdr:to>
      <xdr:col>2</xdr:col>
      <xdr:colOff>0</xdr:colOff>
      <xdr:row>1952</xdr:row>
      <xdr:rowOff>0</xdr:rowOff>
    </xdr:to>
    <xdr:grpSp>
      <xdr:nvGrpSpPr>
        <xdr:cNvPr id="132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368287345"/>
          <a:ext cx="1846508" cy="665542"/>
          <a:chOff x="0" y="83"/>
          <a:chExt cx="159" cy="71"/>
        </a:xfrm>
      </xdr:grpSpPr>
      <xdr:sp macro="" textlink="">
        <xdr:nvSpPr>
          <xdr:cNvPr id="132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32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32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32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32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3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3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33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33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33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33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1884</xdr:row>
          <xdr:rowOff>19050</xdr:rowOff>
        </xdr:from>
        <xdr:to>
          <xdr:col>2</xdr:col>
          <xdr:colOff>133350</xdr:colOff>
          <xdr:row>1885</xdr:row>
          <xdr:rowOff>161925</xdr:rowOff>
        </xdr:to>
        <xdr:sp macro="" textlink="">
          <xdr:nvSpPr>
            <xdr:cNvPr id="28928" name="Object 256" hidden="1">
              <a:extLst>
                <a:ext uri="{63B3BB69-23CF-44E3-9099-C40C66FF867C}">
                  <a14:compatExt spid="_x0000_s28928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1934</xdr:row>
          <xdr:rowOff>19050</xdr:rowOff>
        </xdr:from>
        <xdr:to>
          <xdr:col>2</xdr:col>
          <xdr:colOff>133350</xdr:colOff>
          <xdr:row>1935</xdr:row>
          <xdr:rowOff>161925</xdr:rowOff>
        </xdr:to>
        <xdr:sp macro="" textlink="">
          <xdr:nvSpPr>
            <xdr:cNvPr id="28929" name="Object 257" hidden="1">
              <a:extLst>
                <a:ext uri="{63B3BB69-23CF-44E3-9099-C40C66FF867C}">
                  <a14:compatExt spid="_x0000_s28929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1873</xdr:row>
      <xdr:rowOff>0</xdr:rowOff>
    </xdr:from>
    <xdr:to>
      <xdr:col>2</xdr:col>
      <xdr:colOff>2458</xdr:colOff>
      <xdr:row>1876</xdr:row>
      <xdr:rowOff>104775</xdr:rowOff>
    </xdr:to>
    <xdr:grpSp>
      <xdr:nvGrpSpPr>
        <xdr:cNvPr id="133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354021444"/>
          <a:ext cx="2001366" cy="668225"/>
          <a:chOff x="0" y="83"/>
          <a:chExt cx="159" cy="71"/>
        </a:xfrm>
      </xdr:grpSpPr>
      <xdr:sp macro="" textlink="">
        <xdr:nvSpPr>
          <xdr:cNvPr id="133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34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34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34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34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4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4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34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34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34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35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1898</xdr:row>
      <xdr:rowOff>0</xdr:rowOff>
    </xdr:from>
    <xdr:to>
      <xdr:col>2</xdr:col>
      <xdr:colOff>2458</xdr:colOff>
      <xdr:row>1901</xdr:row>
      <xdr:rowOff>104775</xdr:rowOff>
    </xdr:to>
    <xdr:grpSp>
      <xdr:nvGrpSpPr>
        <xdr:cNvPr id="135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358743697"/>
          <a:ext cx="2001366" cy="668226"/>
          <a:chOff x="0" y="83"/>
          <a:chExt cx="159" cy="71"/>
        </a:xfrm>
      </xdr:grpSpPr>
      <xdr:sp macro="" textlink="">
        <xdr:nvSpPr>
          <xdr:cNvPr id="135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35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35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35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35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5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5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36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36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36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36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1923</xdr:row>
      <xdr:rowOff>0</xdr:rowOff>
    </xdr:from>
    <xdr:to>
      <xdr:col>2</xdr:col>
      <xdr:colOff>2458</xdr:colOff>
      <xdr:row>1926</xdr:row>
      <xdr:rowOff>104774</xdr:rowOff>
    </xdr:to>
    <xdr:grpSp>
      <xdr:nvGrpSpPr>
        <xdr:cNvPr id="136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363465951"/>
          <a:ext cx="2001366" cy="668224"/>
          <a:chOff x="0" y="83"/>
          <a:chExt cx="159" cy="71"/>
        </a:xfrm>
      </xdr:grpSpPr>
      <xdr:sp macro="" textlink="">
        <xdr:nvSpPr>
          <xdr:cNvPr id="136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36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36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36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37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7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7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37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37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37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37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1985</xdr:row>
          <xdr:rowOff>19050</xdr:rowOff>
        </xdr:from>
        <xdr:to>
          <xdr:col>2</xdr:col>
          <xdr:colOff>133350</xdr:colOff>
          <xdr:row>1986</xdr:row>
          <xdr:rowOff>161925</xdr:rowOff>
        </xdr:to>
        <xdr:sp macro="" textlink="">
          <xdr:nvSpPr>
            <xdr:cNvPr id="28930" name="Object 258" hidden="1">
              <a:extLst>
                <a:ext uri="{63B3BB69-23CF-44E3-9099-C40C66FF867C}">
                  <a14:compatExt spid="_x0000_s28930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1988</xdr:row>
          <xdr:rowOff>0</xdr:rowOff>
        </xdr:from>
        <xdr:to>
          <xdr:col>1</xdr:col>
          <xdr:colOff>647700</xdr:colOff>
          <xdr:row>1990</xdr:row>
          <xdr:rowOff>104775</xdr:rowOff>
        </xdr:to>
        <xdr:sp macro="" textlink="">
          <xdr:nvSpPr>
            <xdr:cNvPr id="28931" name="Object 259" hidden="1">
              <a:extLst>
                <a:ext uri="{63B3BB69-23CF-44E3-9099-C40C66FF867C}">
                  <a14:compatExt spid="_x0000_s28931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1992</xdr:row>
          <xdr:rowOff>76200</xdr:rowOff>
        </xdr:from>
        <xdr:to>
          <xdr:col>1</xdr:col>
          <xdr:colOff>200025</xdr:colOff>
          <xdr:row>1993</xdr:row>
          <xdr:rowOff>180975</xdr:rowOff>
        </xdr:to>
        <xdr:sp macro="" textlink="">
          <xdr:nvSpPr>
            <xdr:cNvPr id="28932" name="Object 260" hidden="1">
              <a:extLst>
                <a:ext uri="{63B3BB69-23CF-44E3-9099-C40C66FF867C}">
                  <a14:compatExt spid="_x0000_s28932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1973</xdr:row>
      <xdr:rowOff>85725</xdr:rowOff>
    </xdr:from>
    <xdr:to>
      <xdr:col>2</xdr:col>
      <xdr:colOff>0</xdr:colOff>
      <xdr:row>1977</xdr:row>
      <xdr:rowOff>0</xdr:rowOff>
    </xdr:to>
    <xdr:grpSp>
      <xdr:nvGrpSpPr>
        <xdr:cNvPr id="138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373009598"/>
          <a:ext cx="1846508" cy="665543"/>
          <a:chOff x="0" y="83"/>
          <a:chExt cx="159" cy="71"/>
        </a:xfrm>
      </xdr:grpSpPr>
      <xdr:sp macro="" textlink="">
        <xdr:nvSpPr>
          <xdr:cNvPr id="138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38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38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38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38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8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8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38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39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39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39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1909</xdr:row>
          <xdr:rowOff>19050</xdr:rowOff>
        </xdr:from>
        <xdr:to>
          <xdr:col>2</xdr:col>
          <xdr:colOff>133350</xdr:colOff>
          <xdr:row>1910</xdr:row>
          <xdr:rowOff>161925</xdr:rowOff>
        </xdr:to>
        <xdr:sp macro="" textlink="">
          <xdr:nvSpPr>
            <xdr:cNvPr id="28933" name="Object 261" hidden="1">
              <a:extLst>
                <a:ext uri="{63B3BB69-23CF-44E3-9099-C40C66FF867C}">
                  <a14:compatExt spid="_x0000_s289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2010</xdr:row>
          <xdr:rowOff>19050</xdr:rowOff>
        </xdr:from>
        <xdr:to>
          <xdr:col>2</xdr:col>
          <xdr:colOff>133350</xdr:colOff>
          <xdr:row>2011</xdr:row>
          <xdr:rowOff>161925</xdr:rowOff>
        </xdr:to>
        <xdr:sp macro="" textlink="">
          <xdr:nvSpPr>
            <xdr:cNvPr id="28934" name="Object 262" hidden="1">
              <a:extLst>
                <a:ext uri="{63B3BB69-23CF-44E3-9099-C40C66FF867C}">
                  <a14:compatExt spid="_x0000_s28934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2013</xdr:row>
          <xdr:rowOff>0</xdr:rowOff>
        </xdr:from>
        <xdr:to>
          <xdr:col>1</xdr:col>
          <xdr:colOff>647700</xdr:colOff>
          <xdr:row>2015</xdr:row>
          <xdr:rowOff>104775</xdr:rowOff>
        </xdr:to>
        <xdr:sp macro="" textlink="">
          <xdr:nvSpPr>
            <xdr:cNvPr id="28935" name="Object 263" hidden="1">
              <a:extLst>
                <a:ext uri="{63B3BB69-23CF-44E3-9099-C40C66FF867C}">
                  <a14:compatExt spid="_x0000_s28935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2017</xdr:row>
          <xdr:rowOff>76200</xdr:rowOff>
        </xdr:from>
        <xdr:to>
          <xdr:col>1</xdr:col>
          <xdr:colOff>200025</xdr:colOff>
          <xdr:row>2018</xdr:row>
          <xdr:rowOff>180975</xdr:rowOff>
        </xdr:to>
        <xdr:sp macro="" textlink="">
          <xdr:nvSpPr>
            <xdr:cNvPr id="28936" name="Object 264" hidden="1">
              <a:extLst>
                <a:ext uri="{63B3BB69-23CF-44E3-9099-C40C66FF867C}">
                  <a14:compatExt spid="_x0000_s28936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1998</xdr:row>
      <xdr:rowOff>85725</xdr:rowOff>
    </xdr:from>
    <xdr:to>
      <xdr:col>2</xdr:col>
      <xdr:colOff>0</xdr:colOff>
      <xdr:row>2002</xdr:row>
      <xdr:rowOff>0</xdr:rowOff>
    </xdr:to>
    <xdr:grpSp>
      <xdr:nvGrpSpPr>
        <xdr:cNvPr id="1397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377731852"/>
          <a:ext cx="1846508" cy="665542"/>
          <a:chOff x="0" y="83"/>
          <a:chExt cx="159" cy="71"/>
        </a:xfrm>
      </xdr:grpSpPr>
      <xdr:sp macro="" textlink="">
        <xdr:nvSpPr>
          <xdr:cNvPr id="1398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399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0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401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402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403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04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05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06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07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08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409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2035</xdr:row>
          <xdr:rowOff>19050</xdr:rowOff>
        </xdr:from>
        <xdr:to>
          <xdr:col>2</xdr:col>
          <xdr:colOff>133350</xdr:colOff>
          <xdr:row>2036</xdr:row>
          <xdr:rowOff>161925</xdr:rowOff>
        </xdr:to>
        <xdr:sp macro="" textlink="">
          <xdr:nvSpPr>
            <xdr:cNvPr id="28937" name="Object 265" hidden="1">
              <a:extLst>
                <a:ext uri="{63B3BB69-23CF-44E3-9099-C40C66FF867C}">
                  <a14:compatExt spid="_x0000_s28937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2038</xdr:row>
          <xdr:rowOff>0</xdr:rowOff>
        </xdr:from>
        <xdr:to>
          <xdr:col>1</xdr:col>
          <xdr:colOff>647700</xdr:colOff>
          <xdr:row>2040</xdr:row>
          <xdr:rowOff>104775</xdr:rowOff>
        </xdr:to>
        <xdr:sp macro="" textlink="">
          <xdr:nvSpPr>
            <xdr:cNvPr id="28938" name="Object 266" hidden="1">
              <a:extLst>
                <a:ext uri="{63B3BB69-23CF-44E3-9099-C40C66FF867C}">
                  <a14:compatExt spid="_x0000_s28938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2042</xdr:row>
          <xdr:rowOff>76200</xdr:rowOff>
        </xdr:from>
        <xdr:to>
          <xdr:col>1</xdr:col>
          <xdr:colOff>200025</xdr:colOff>
          <xdr:row>2043</xdr:row>
          <xdr:rowOff>180975</xdr:rowOff>
        </xdr:to>
        <xdr:sp macro="" textlink="">
          <xdr:nvSpPr>
            <xdr:cNvPr id="28939" name="Object 267" hidden="1">
              <a:extLst>
                <a:ext uri="{63B3BB69-23CF-44E3-9099-C40C66FF867C}">
                  <a14:compatExt spid="_x0000_s28939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2023</xdr:row>
      <xdr:rowOff>85725</xdr:rowOff>
    </xdr:from>
    <xdr:to>
      <xdr:col>2</xdr:col>
      <xdr:colOff>0</xdr:colOff>
      <xdr:row>2027</xdr:row>
      <xdr:rowOff>0</xdr:rowOff>
    </xdr:to>
    <xdr:grpSp>
      <xdr:nvGrpSpPr>
        <xdr:cNvPr id="1413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382454105"/>
          <a:ext cx="1846508" cy="665543"/>
          <a:chOff x="0" y="83"/>
          <a:chExt cx="159" cy="71"/>
        </a:xfrm>
      </xdr:grpSpPr>
      <xdr:sp macro="" textlink="">
        <xdr:nvSpPr>
          <xdr:cNvPr id="1414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415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16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417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418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419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20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21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22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23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24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425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2062</xdr:row>
          <xdr:rowOff>19050</xdr:rowOff>
        </xdr:from>
        <xdr:to>
          <xdr:col>2</xdr:col>
          <xdr:colOff>133350</xdr:colOff>
          <xdr:row>2063</xdr:row>
          <xdr:rowOff>161925</xdr:rowOff>
        </xdr:to>
        <xdr:sp macro="" textlink="">
          <xdr:nvSpPr>
            <xdr:cNvPr id="28943" name="Object 271" hidden="1">
              <a:extLst>
                <a:ext uri="{63B3BB69-23CF-44E3-9099-C40C66FF867C}">
                  <a14:compatExt spid="_x0000_s28943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2065</xdr:row>
          <xdr:rowOff>0</xdr:rowOff>
        </xdr:from>
        <xdr:to>
          <xdr:col>1</xdr:col>
          <xdr:colOff>647700</xdr:colOff>
          <xdr:row>2067</xdr:row>
          <xdr:rowOff>104775</xdr:rowOff>
        </xdr:to>
        <xdr:sp macro="" textlink="">
          <xdr:nvSpPr>
            <xdr:cNvPr id="28944" name="Object 272" hidden="1">
              <a:extLst>
                <a:ext uri="{63B3BB69-23CF-44E3-9099-C40C66FF867C}">
                  <a14:compatExt spid="_x0000_s28944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2069</xdr:row>
          <xdr:rowOff>76200</xdr:rowOff>
        </xdr:from>
        <xdr:to>
          <xdr:col>1</xdr:col>
          <xdr:colOff>200025</xdr:colOff>
          <xdr:row>2070</xdr:row>
          <xdr:rowOff>180975</xdr:rowOff>
        </xdr:to>
        <xdr:sp macro="" textlink="">
          <xdr:nvSpPr>
            <xdr:cNvPr id="28945" name="Object 273" hidden="1">
              <a:extLst>
                <a:ext uri="{63B3BB69-23CF-44E3-9099-C40C66FF867C}">
                  <a14:compatExt spid="_x0000_s28945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2050</xdr:row>
      <xdr:rowOff>85725</xdr:rowOff>
    </xdr:from>
    <xdr:to>
      <xdr:col>2</xdr:col>
      <xdr:colOff>0</xdr:colOff>
      <xdr:row>2054</xdr:row>
      <xdr:rowOff>0</xdr:rowOff>
    </xdr:to>
    <xdr:grpSp>
      <xdr:nvGrpSpPr>
        <xdr:cNvPr id="1445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387565408"/>
          <a:ext cx="1846508" cy="665543"/>
          <a:chOff x="0" y="83"/>
          <a:chExt cx="159" cy="71"/>
        </a:xfrm>
      </xdr:grpSpPr>
      <xdr:sp macro="" textlink="">
        <xdr:nvSpPr>
          <xdr:cNvPr id="1446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447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8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449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450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451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52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53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54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55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56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457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41</xdr:row>
          <xdr:rowOff>19050</xdr:rowOff>
        </xdr:from>
        <xdr:to>
          <xdr:col>2</xdr:col>
          <xdr:colOff>133350</xdr:colOff>
          <xdr:row>42</xdr:row>
          <xdr:rowOff>161925</xdr:rowOff>
        </xdr:to>
        <xdr:sp macro="" textlink="">
          <xdr:nvSpPr>
            <xdr:cNvPr id="28967" name="Object 295" hidden="1">
              <a:extLst>
                <a:ext uri="{63B3BB69-23CF-44E3-9099-C40C66FF867C}">
                  <a14:compatExt spid="_x0000_s28967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44</xdr:row>
          <xdr:rowOff>0</xdr:rowOff>
        </xdr:from>
        <xdr:to>
          <xdr:col>1</xdr:col>
          <xdr:colOff>647700</xdr:colOff>
          <xdr:row>46</xdr:row>
          <xdr:rowOff>104775</xdr:rowOff>
        </xdr:to>
        <xdr:sp macro="" textlink="">
          <xdr:nvSpPr>
            <xdr:cNvPr id="28968" name="Object 296" hidden="1">
              <a:extLst>
                <a:ext uri="{63B3BB69-23CF-44E3-9099-C40C66FF867C}">
                  <a14:compatExt spid="_x0000_s28968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48</xdr:row>
          <xdr:rowOff>76200</xdr:rowOff>
        </xdr:from>
        <xdr:to>
          <xdr:col>1</xdr:col>
          <xdr:colOff>200025</xdr:colOff>
          <xdr:row>49</xdr:row>
          <xdr:rowOff>180975</xdr:rowOff>
        </xdr:to>
        <xdr:sp macro="" textlink="">
          <xdr:nvSpPr>
            <xdr:cNvPr id="28969" name="Object 297" hidden="1">
              <a:extLst>
                <a:ext uri="{63B3BB69-23CF-44E3-9099-C40C66FF867C}">
                  <a14:compatExt spid="_x0000_s28969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30</xdr:row>
      <xdr:rowOff>0</xdr:rowOff>
    </xdr:from>
    <xdr:to>
      <xdr:col>1</xdr:col>
      <xdr:colOff>847725</xdr:colOff>
      <xdr:row>33</xdr:row>
      <xdr:rowOff>104775</xdr:rowOff>
    </xdr:to>
    <xdr:grpSp>
      <xdr:nvGrpSpPr>
        <xdr:cNvPr id="1573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5701585"/>
          <a:ext cx="1612408" cy="668225"/>
          <a:chOff x="0" y="83"/>
          <a:chExt cx="159" cy="71"/>
        </a:xfrm>
      </xdr:grpSpPr>
      <xdr:sp macro="" textlink="">
        <xdr:nvSpPr>
          <xdr:cNvPr id="1574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575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6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1577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578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579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1580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581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1581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1582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583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584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585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66</xdr:row>
          <xdr:rowOff>19050</xdr:rowOff>
        </xdr:from>
        <xdr:to>
          <xdr:col>2</xdr:col>
          <xdr:colOff>133350</xdr:colOff>
          <xdr:row>67</xdr:row>
          <xdr:rowOff>161925</xdr:rowOff>
        </xdr:to>
        <xdr:sp macro="" textlink="">
          <xdr:nvSpPr>
            <xdr:cNvPr id="28970" name="Object 298" hidden="1">
              <a:extLst>
                <a:ext uri="{63B3BB69-23CF-44E3-9099-C40C66FF867C}">
                  <a14:compatExt spid="_x0000_s28970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69</xdr:row>
          <xdr:rowOff>0</xdr:rowOff>
        </xdr:from>
        <xdr:to>
          <xdr:col>1</xdr:col>
          <xdr:colOff>647700</xdr:colOff>
          <xdr:row>71</xdr:row>
          <xdr:rowOff>104775</xdr:rowOff>
        </xdr:to>
        <xdr:sp macro="" textlink="">
          <xdr:nvSpPr>
            <xdr:cNvPr id="28971" name="Object 299" hidden="1">
              <a:extLst>
                <a:ext uri="{63B3BB69-23CF-44E3-9099-C40C66FF867C}">
                  <a14:compatExt spid="_x0000_s28971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73</xdr:row>
          <xdr:rowOff>76200</xdr:rowOff>
        </xdr:from>
        <xdr:to>
          <xdr:col>1</xdr:col>
          <xdr:colOff>200025</xdr:colOff>
          <xdr:row>74</xdr:row>
          <xdr:rowOff>180975</xdr:rowOff>
        </xdr:to>
        <xdr:sp macro="" textlink="">
          <xdr:nvSpPr>
            <xdr:cNvPr id="28972" name="Object 300" hidden="1">
              <a:extLst>
                <a:ext uri="{63B3BB69-23CF-44E3-9099-C40C66FF867C}">
                  <a14:compatExt spid="_x0000_s28972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55</xdr:row>
      <xdr:rowOff>0</xdr:rowOff>
    </xdr:from>
    <xdr:to>
      <xdr:col>1</xdr:col>
      <xdr:colOff>847725</xdr:colOff>
      <xdr:row>58</xdr:row>
      <xdr:rowOff>104775</xdr:rowOff>
    </xdr:to>
    <xdr:grpSp>
      <xdr:nvGrpSpPr>
        <xdr:cNvPr id="1589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10423838"/>
          <a:ext cx="1612408" cy="668226"/>
          <a:chOff x="0" y="83"/>
          <a:chExt cx="159" cy="71"/>
        </a:xfrm>
      </xdr:grpSpPr>
      <xdr:sp macro="" textlink="">
        <xdr:nvSpPr>
          <xdr:cNvPr id="1590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591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2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1593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594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595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1596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597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1597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1598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599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00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01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91</xdr:row>
          <xdr:rowOff>19050</xdr:rowOff>
        </xdr:from>
        <xdr:to>
          <xdr:col>2</xdr:col>
          <xdr:colOff>133350</xdr:colOff>
          <xdr:row>92</xdr:row>
          <xdr:rowOff>161925</xdr:rowOff>
        </xdr:to>
        <xdr:sp macro="" textlink="">
          <xdr:nvSpPr>
            <xdr:cNvPr id="28973" name="Object 301" hidden="1">
              <a:extLst>
                <a:ext uri="{63B3BB69-23CF-44E3-9099-C40C66FF867C}">
                  <a14:compatExt spid="_x0000_s28973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94</xdr:row>
          <xdr:rowOff>0</xdr:rowOff>
        </xdr:from>
        <xdr:to>
          <xdr:col>1</xdr:col>
          <xdr:colOff>647700</xdr:colOff>
          <xdr:row>96</xdr:row>
          <xdr:rowOff>104775</xdr:rowOff>
        </xdr:to>
        <xdr:sp macro="" textlink="">
          <xdr:nvSpPr>
            <xdr:cNvPr id="28974" name="Object 302" hidden="1">
              <a:extLst>
                <a:ext uri="{63B3BB69-23CF-44E3-9099-C40C66FF867C}">
                  <a14:compatExt spid="_x0000_s28974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98</xdr:row>
          <xdr:rowOff>76200</xdr:rowOff>
        </xdr:from>
        <xdr:to>
          <xdr:col>1</xdr:col>
          <xdr:colOff>200025</xdr:colOff>
          <xdr:row>99</xdr:row>
          <xdr:rowOff>180975</xdr:rowOff>
        </xdr:to>
        <xdr:sp macro="" textlink="">
          <xdr:nvSpPr>
            <xdr:cNvPr id="28975" name="Object 303" hidden="1">
              <a:extLst>
                <a:ext uri="{63B3BB69-23CF-44E3-9099-C40C66FF867C}">
                  <a14:compatExt spid="_x0000_s28975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80</xdr:row>
      <xdr:rowOff>0</xdr:rowOff>
    </xdr:from>
    <xdr:to>
      <xdr:col>1</xdr:col>
      <xdr:colOff>847725</xdr:colOff>
      <xdr:row>83</xdr:row>
      <xdr:rowOff>104775</xdr:rowOff>
    </xdr:to>
    <xdr:grpSp>
      <xdr:nvGrpSpPr>
        <xdr:cNvPr id="1605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15146092"/>
          <a:ext cx="1612408" cy="668225"/>
          <a:chOff x="0" y="83"/>
          <a:chExt cx="159" cy="71"/>
        </a:xfrm>
      </xdr:grpSpPr>
      <xdr:sp macro="" textlink="">
        <xdr:nvSpPr>
          <xdr:cNvPr id="1606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07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8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1609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610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611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1612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13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1613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1614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615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16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17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116</xdr:row>
          <xdr:rowOff>19050</xdr:rowOff>
        </xdr:from>
        <xdr:to>
          <xdr:col>2</xdr:col>
          <xdr:colOff>133350</xdr:colOff>
          <xdr:row>117</xdr:row>
          <xdr:rowOff>161925</xdr:rowOff>
        </xdr:to>
        <xdr:sp macro="" textlink="">
          <xdr:nvSpPr>
            <xdr:cNvPr id="28976" name="Object 304" hidden="1">
              <a:extLst>
                <a:ext uri="{63B3BB69-23CF-44E3-9099-C40C66FF867C}">
                  <a14:compatExt spid="_x0000_s28976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119</xdr:row>
          <xdr:rowOff>0</xdr:rowOff>
        </xdr:from>
        <xdr:to>
          <xdr:col>1</xdr:col>
          <xdr:colOff>647700</xdr:colOff>
          <xdr:row>121</xdr:row>
          <xdr:rowOff>104775</xdr:rowOff>
        </xdr:to>
        <xdr:sp macro="" textlink="">
          <xdr:nvSpPr>
            <xdr:cNvPr id="28977" name="Object 305" hidden="1">
              <a:extLst>
                <a:ext uri="{63B3BB69-23CF-44E3-9099-C40C66FF867C}">
                  <a14:compatExt spid="_x0000_s28977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123</xdr:row>
          <xdr:rowOff>76200</xdr:rowOff>
        </xdr:from>
        <xdr:to>
          <xdr:col>1</xdr:col>
          <xdr:colOff>200025</xdr:colOff>
          <xdr:row>124</xdr:row>
          <xdr:rowOff>180975</xdr:rowOff>
        </xdr:to>
        <xdr:sp macro="" textlink="">
          <xdr:nvSpPr>
            <xdr:cNvPr id="28978" name="Object 306" hidden="1">
              <a:extLst>
                <a:ext uri="{63B3BB69-23CF-44E3-9099-C40C66FF867C}">
                  <a14:compatExt spid="_x0000_s28978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105</xdr:row>
      <xdr:rowOff>0</xdr:rowOff>
    </xdr:from>
    <xdr:to>
      <xdr:col>1</xdr:col>
      <xdr:colOff>847725</xdr:colOff>
      <xdr:row>108</xdr:row>
      <xdr:rowOff>104775</xdr:rowOff>
    </xdr:to>
    <xdr:grpSp>
      <xdr:nvGrpSpPr>
        <xdr:cNvPr id="1621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19868345"/>
          <a:ext cx="1612408" cy="668226"/>
          <a:chOff x="0" y="83"/>
          <a:chExt cx="159" cy="71"/>
        </a:xfrm>
      </xdr:grpSpPr>
      <xdr:sp macro="" textlink="">
        <xdr:nvSpPr>
          <xdr:cNvPr id="1622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23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4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1625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626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627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1628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29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1629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1630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631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32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33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2087</xdr:row>
          <xdr:rowOff>19050</xdr:rowOff>
        </xdr:from>
        <xdr:to>
          <xdr:col>2</xdr:col>
          <xdr:colOff>133350</xdr:colOff>
          <xdr:row>2088</xdr:row>
          <xdr:rowOff>161925</xdr:rowOff>
        </xdr:to>
        <xdr:sp macro="" textlink="">
          <xdr:nvSpPr>
            <xdr:cNvPr id="28979" name="Object 307" hidden="1">
              <a:extLst>
                <a:ext uri="{63B3BB69-23CF-44E3-9099-C40C66FF867C}">
                  <a14:compatExt spid="_x0000_s28979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2090</xdr:row>
          <xdr:rowOff>0</xdr:rowOff>
        </xdr:from>
        <xdr:to>
          <xdr:col>1</xdr:col>
          <xdr:colOff>647700</xdr:colOff>
          <xdr:row>2092</xdr:row>
          <xdr:rowOff>104775</xdr:rowOff>
        </xdr:to>
        <xdr:sp macro="" textlink="">
          <xdr:nvSpPr>
            <xdr:cNvPr id="28980" name="Object 308" hidden="1">
              <a:extLst>
                <a:ext uri="{63B3BB69-23CF-44E3-9099-C40C66FF867C}">
                  <a14:compatExt spid="_x0000_s28980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2094</xdr:row>
          <xdr:rowOff>76200</xdr:rowOff>
        </xdr:from>
        <xdr:to>
          <xdr:col>1</xdr:col>
          <xdr:colOff>200025</xdr:colOff>
          <xdr:row>2095</xdr:row>
          <xdr:rowOff>180975</xdr:rowOff>
        </xdr:to>
        <xdr:sp macro="" textlink="">
          <xdr:nvSpPr>
            <xdr:cNvPr id="28981" name="Object 309" hidden="1">
              <a:extLst>
                <a:ext uri="{63B3BB69-23CF-44E3-9099-C40C66FF867C}">
                  <a14:compatExt spid="_x0000_s28981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2075</xdr:row>
      <xdr:rowOff>85725</xdr:rowOff>
    </xdr:from>
    <xdr:to>
      <xdr:col>2</xdr:col>
      <xdr:colOff>0</xdr:colOff>
      <xdr:row>2079</xdr:row>
      <xdr:rowOff>0</xdr:rowOff>
    </xdr:to>
    <xdr:grpSp>
      <xdr:nvGrpSpPr>
        <xdr:cNvPr id="1570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392287662"/>
          <a:ext cx="1846508" cy="665542"/>
          <a:chOff x="0" y="83"/>
          <a:chExt cx="159" cy="71"/>
        </a:xfrm>
      </xdr:grpSpPr>
      <xdr:sp macro="" textlink="">
        <xdr:nvSpPr>
          <xdr:cNvPr id="1571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572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6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587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588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602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03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04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618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619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20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34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2115</xdr:row>
          <xdr:rowOff>0</xdr:rowOff>
        </xdr:from>
        <xdr:to>
          <xdr:col>1</xdr:col>
          <xdr:colOff>647700</xdr:colOff>
          <xdr:row>2117</xdr:row>
          <xdr:rowOff>104775</xdr:rowOff>
        </xdr:to>
        <xdr:sp macro="" textlink="">
          <xdr:nvSpPr>
            <xdr:cNvPr id="28982" name="Object 310" hidden="1">
              <a:extLst>
                <a:ext uri="{63B3BB69-23CF-44E3-9099-C40C66FF867C}">
                  <a14:compatExt spid="_x0000_s28982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2119</xdr:row>
          <xdr:rowOff>76200</xdr:rowOff>
        </xdr:from>
        <xdr:to>
          <xdr:col>1</xdr:col>
          <xdr:colOff>200025</xdr:colOff>
          <xdr:row>2120</xdr:row>
          <xdr:rowOff>180975</xdr:rowOff>
        </xdr:to>
        <xdr:sp macro="" textlink="">
          <xdr:nvSpPr>
            <xdr:cNvPr id="28983" name="Object 311" hidden="1">
              <a:extLst>
                <a:ext uri="{63B3BB69-23CF-44E3-9099-C40C66FF867C}">
                  <a14:compatExt spid="_x0000_s28983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2140</xdr:row>
          <xdr:rowOff>0</xdr:rowOff>
        </xdr:from>
        <xdr:to>
          <xdr:col>1</xdr:col>
          <xdr:colOff>647700</xdr:colOff>
          <xdr:row>2142</xdr:row>
          <xdr:rowOff>104775</xdr:rowOff>
        </xdr:to>
        <xdr:sp macro="" textlink="">
          <xdr:nvSpPr>
            <xdr:cNvPr id="28984" name="Object 312" hidden="1">
              <a:extLst>
                <a:ext uri="{63B3BB69-23CF-44E3-9099-C40C66FF867C}">
                  <a14:compatExt spid="_x0000_s28984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2144</xdr:row>
          <xdr:rowOff>76200</xdr:rowOff>
        </xdr:from>
        <xdr:to>
          <xdr:col>1</xdr:col>
          <xdr:colOff>200025</xdr:colOff>
          <xdr:row>2145</xdr:row>
          <xdr:rowOff>180975</xdr:rowOff>
        </xdr:to>
        <xdr:sp macro="" textlink="">
          <xdr:nvSpPr>
            <xdr:cNvPr id="28985" name="Object 313" hidden="1">
              <a:extLst>
                <a:ext uri="{63B3BB69-23CF-44E3-9099-C40C66FF867C}">
                  <a14:compatExt spid="_x0000_s28985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2165</xdr:row>
          <xdr:rowOff>0</xdr:rowOff>
        </xdr:from>
        <xdr:to>
          <xdr:col>1</xdr:col>
          <xdr:colOff>647700</xdr:colOff>
          <xdr:row>2167</xdr:row>
          <xdr:rowOff>104775</xdr:rowOff>
        </xdr:to>
        <xdr:sp macro="" textlink="">
          <xdr:nvSpPr>
            <xdr:cNvPr id="28986" name="Object 314" hidden="1">
              <a:extLst>
                <a:ext uri="{63B3BB69-23CF-44E3-9099-C40C66FF867C}">
                  <a14:compatExt spid="_x0000_s28986"/>
                </a:ext>
                <a:ext uri="{FF2B5EF4-FFF2-40B4-BE49-F238E27FC236}">
                  <a16:creationId xmlns:a16="http://schemas.microsoft.com/office/drawing/2014/main" id="{00000000-0008-0000-0200-00009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2169</xdr:row>
          <xdr:rowOff>76200</xdr:rowOff>
        </xdr:from>
        <xdr:to>
          <xdr:col>1</xdr:col>
          <xdr:colOff>200025</xdr:colOff>
          <xdr:row>2170</xdr:row>
          <xdr:rowOff>180975</xdr:rowOff>
        </xdr:to>
        <xdr:sp macro="" textlink="">
          <xdr:nvSpPr>
            <xdr:cNvPr id="28987" name="Object 315" hidden="1">
              <a:extLst>
                <a:ext uri="{63B3BB69-23CF-44E3-9099-C40C66FF867C}">
                  <a14:compatExt spid="_x0000_s28987"/>
                </a:ext>
                <a:ext uri="{FF2B5EF4-FFF2-40B4-BE49-F238E27FC236}">
                  <a16:creationId xmlns:a16="http://schemas.microsoft.com/office/drawing/2014/main" id="{00000000-0008-0000-0200-00009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2188</xdr:row>
          <xdr:rowOff>19050</xdr:rowOff>
        </xdr:from>
        <xdr:to>
          <xdr:col>2</xdr:col>
          <xdr:colOff>133350</xdr:colOff>
          <xdr:row>2189</xdr:row>
          <xdr:rowOff>161925</xdr:rowOff>
        </xdr:to>
        <xdr:sp macro="" textlink="">
          <xdr:nvSpPr>
            <xdr:cNvPr id="28988" name="Object 316" hidden="1">
              <a:extLst>
                <a:ext uri="{63B3BB69-23CF-44E3-9099-C40C66FF867C}">
                  <a14:compatExt spid="_x0000_s28988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2191</xdr:row>
          <xdr:rowOff>0</xdr:rowOff>
        </xdr:from>
        <xdr:to>
          <xdr:col>1</xdr:col>
          <xdr:colOff>647700</xdr:colOff>
          <xdr:row>2193</xdr:row>
          <xdr:rowOff>104775</xdr:rowOff>
        </xdr:to>
        <xdr:sp macro="" textlink="">
          <xdr:nvSpPr>
            <xdr:cNvPr id="28989" name="Object 317" hidden="1">
              <a:extLst>
                <a:ext uri="{63B3BB69-23CF-44E3-9099-C40C66FF867C}">
                  <a14:compatExt spid="_x0000_s28989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2195</xdr:row>
          <xdr:rowOff>76200</xdr:rowOff>
        </xdr:from>
        <xdr:to>
          <xdr:col>1</xdr:col>
          <xdr:colOff>200025</xdr:colOff>
          <xdr:row>2196</xdr:row>
          <xdr:rowOff>180975</xdr:rowOff>
        </xdr:to>
        <xdr:sp macro="" textlink="">
          <xdr:nvSpPr>
            <xdr:cNvPr id="28990" name="Object 318" hidden="1">
              <a:extLst>
                <a:ext uri="{63B3BB69-23CF-44E3-9099-C40C66FF867C}">
                  <a14:compatExt spid="_x0000_s28990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2176</xdr:row>
      <xdr:rowOff>85725</xdr:rowOff>
    </xdr:from>
    <xdr:to>
      <xdr:col>2</xdr:col>
      <xdr:colOff>0</xdr:colOff>
      <xdr:row>2180</xdr:row>
      <xdr:rowOff>0</xdr:rowOff>
    </xdr:to>
    <xdr:grpSp>
      <xdr:nvGrpSpPr>
        <xdr:cNvPr id="1635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411377908"/>
          <a:ext cx="1846508" cy="665543"/>
          <a:chOff x="0" y="83"/>
          <a:chExt cx="159" cy="71"/>
        </a:xfrm>
      </xdr:grpSpPr>
      <xdr:sp macro="" textlink="">
        <xdr:nvSpPr>
          <xdr:cNvPr id="1636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637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8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639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640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641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42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43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644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645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46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47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2112</xdr:row>
          <xdr:rowOff>19050</xdr:rowOff>
        </xdr:from>
        <xdr:to>
          <xdr:col>2</xdr:col>
          <xdr:colOff>133350</xdr:colOff>
          <xdr:row>2113</xdr:row>
          <xdr:rowOff>161925</xdr:rowOff>
        </xdr:to>
        <xdr:sp macro="" textlink="">
          <xdr:nvSpPr>
            <xdr:cNvPr id="28991" name="Object 319" hidden="1">
              <a:extLst>
                <a:ext uri="{63B3BB69-23CF-44E3-9099-C40C66FF867C}">
                  <a14:compatExt spid="_x0000_s28991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2162</xdr:row>
          <xdr:rowOff>19050</xdr:rowOff>
        </xdr:from>
        <xdr:to>
          <xdr:col>2</xdr:col>
          <xdr:colOff>133350</xdr:colOff>
          <xdr:row>2163</xdr:row>
          <xdr:rowOff>161925</xdr:rowOff>
        </xdr:to>
        <xdr:sp macro="" textlink="">
          <xdr:nvSpPr>
            <xdr:cNvPr id="28992" name="Object 320" hidden="1">
              <a:extLst>
                <a:ext uri="{63B3BB69-23CF-44E3-9099-C40C66FF867C}">
                  <a14:compatExt spid="_x0000_s28992"/>
                </a:ext>
                <a:ext uri="{FF2B5EF4-FFF2-40B4-BE49-F238E27FC236}">
                  <a16:creationId xmlns:a16="http://schemas.microsoft.com/office/drawing/2014/main" id="{00000000-0008-0000-0200-0000FD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2101</xdr:row>
      <xdr:rowOff>0</xdr:rowOff>
    </xdr:from>
    <xdr:to>
      <xdr:col>2</xdr:col>
      <xdr:colOff>2458</xdr:colOff>
      <xdr:row>2104</xdr:row>
      <xdr:rowOff>104775</xdr:rowOff>
    </xdr:to>
    <xdr:grpSp>
      <xdr:nvGrpSpPr>
        <xdr:cNvPr id="1648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397112007"/>
          <a:ext cx="2001366" cy="668226"/>
          <a:chOff x="0" y="83"/>
          <a:chExt cx="159" cy="71"/>
        </a:xfrm>
      </xdr:grpSpPr>
      <xdr:sp macro="" textlink="">
        <xdr:nvSpPr>
          <xdr:cNvPr id="1649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650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1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652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653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654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55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56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657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658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59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60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2126</xdr:row>
      <xdr:rowOff>0</xdr:rowOff>
    </xdr:from>
    <xdr:to>
      <xdr:col>2</xdr:col>
      <xdr:colOff>2458</xdr:colOff>
      <xdr:row>2129</xdr:row>
      <xdr:rowOff>104775</xdr:rowOff>
    </xdr:to>
    <xdr:grpSp>
      <xdr:nvGrpSpPr>
        <xdr:cNvPr id="1661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401834261"/>
          <a:ext cx="2001366" cy="668225"/>
          <a:chOff x="0" y="83"/>
          <a:chExt cx="159" cy="71"/>
        </a:xfrm>
      </xdr:grpSpPr>
      <xdr:sp macro="" textlink="">
        <xdr:nvSpPr>
          <xdr:cNvPr id="1662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663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4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665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666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667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8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9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670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671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72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73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2151</xdr:row>
      <xdr:rowOff>0</xdr:rowOff>
    </xdr:from>
    <xdr:to>
      <xdr:col>2</xdr:col>
      <xdr:colOff>2458</xdr:colOff>
      <xdr:row>2154</xdr:row>
      <xdr:rowOff>104774</xdr:rowOff>
    </xdr:to>
    <xdr:grpSp>
      <xdr:nvGrpSpPr>
        <xdr:cNvPr id="1674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406556514"/>
          <a:ext cx="2001366" cy="668225"/>
          <a:chOff x="0" y="83"/>
          <a:chExt cx="159" cy="71"/>
        </a:xfrm>
      </xdr:grpSpPr>
      <xdr:sp macro="" textlink="">
        <xdr:nvSpPr>
          <xdr:cNvPr id="1675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676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7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678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679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680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81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82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683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684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85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86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2213</xdr:row>
          <xdr:rowOff>19050</xdr:rowOff>
        </xdr:from>
        <xdr:to>
          <xdr:col>2</xdr:col>
          <xdr:colOff>133350</xdr:colOff>
          <xdr:row>2214</xdr:row>
          <xdr:rowOff>161925</xdr:rowOff>
        </xdr:to>
        <xdr:sp macro="" textlink="">
          <xdr:nvSpPr>
            <xdr:cNvPr id="28993" name="Object 321" hidden="1">
              <a:extLst>
                <a:ext uri="{63B3BB69-23CF-44E3-9099-C40C66FF867C}">
                  <a14:compatExt spid="_x0000_s28993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2216</xdr:row>
          <xdr:rowOff>0</xdr:rowOff>
        </xdr:from>
        <xdr:to>
          <xdr:col>1</xdr:col>
          <xdr:colOff>647700</xdr:colOff>
          <xdr:row>2218</xdr:row>
          <xdr:rowOff>104775</xdr:rowOff>
        </xdr:to>
        <xdr:sp macro="" textlink="">
          <xdr:nvSpPr>
            <xdr:cNvPr id="28994" name="Object 322" hidden="1">
              <a:extLst>
                <a:ext uri="{63B3BB69-23CF-44E3-9099-C40C66FF867C}">
                  <a14:compatExt spid="_x0000_s28994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2220</xdr:row>
          <xdr:rowOff>76200</xdr:rowOff>
        </xdr:from>
        <xdr:to>
          <xdr:col>1</xdr:col>
          <xdr:colOff>200025</xdr:colOff>
          <xdr:row>2221</xdr:row>
          <xdr:rowOff>180975</xdr:rowOff>
        </xdr:to>
        <xdr:sp macro="" textlink="">
          <xdr:nvSpPr>
            <xdr:cNvPr id="28995" name="Object 323" hidden="1">
              <a:extLst>
                <a:ext uri="{63B3BB69-23CF-44E3-9099-C40C66FF867C}">
                  <a14:compatExt spid="_x0000_s28995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2201</xdr:row>
      <xdr:rowOff>85725</xdr:rowOff>
    </xdr:from>
    <xdr:to>
      <xdr:col>2</xdr:col>
      <xdr:colOff>0</xdr:colOff>
      <xdr:row>2205</xdr:row>
      <xdr:rowOff>0</xdr:rowOff>
    </xdr:to>
    <xdr:grpSp>
      <xdr:nvGrpSpPr>
        <xdr:cNvPr id="1687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416100162"/>
          <a:ext cx="1846508" cy="665542"/>
          <a:chOff x="0" y="83"/>
          <a:chExt cx="159" cy="71"/>
        </a:xfrm>
      </xdr:grpSpPr>
      <xdr:sp macro="" textlink="">
        <xdr:nvSpPr>
          <xdr:cNvPr id="1688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689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0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691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692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693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94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95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696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697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698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699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2137</xdr:row>
          <xdr:rowOff>19050</xdr:rowOff>
        </xdr:from>
        <xdr:to>
          <xdr:col>2</xdr:col>
          <xdr:colOff>133350</xdr:colOff>
          <xdr:row>2138</xdr:row>
          <xdr:rowOff>161925</xdr:rowOff>
        </xdr:to>
        <xdr:sp macro="" textlink="">
          <xdr:nvSpPr>
            <xdr:cNvPr id="28996" name="Object 324" hidden="1">
              <a:extLst>
                <a:ext uri="{63B3BB69-23CF-44E3-9099-C40C66FF867C}">
                  <a14:compatExt spid="_x0000_s289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2238</xdr:row>
          <xdr:rowOff>19050</xdr:rowOff>
        </xdr:from>
        <xdr:to>
          <xdr:col>2</xdr:col>
          <xdr:colOff>133350</xdr:colOff>
          <xdr:row>2239</xdr:row>
          <xdr:rowOff>161925</xdr:rowOff>
        </xdr:to>
        <xdr:sp macro="" textlink="">
          <xdr:nvSpPr>
            <xdr:cNvPr id="28997" name="Object 325" hidden="1">
              <a:extLst>
                <a:ext uri="{63B3BB69-23CF-44E3-9099-C40C66FF867C}">
                  <a14:compatExt spid="_x0000_s28997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2241</xdr:row>
          <xdr:rowOff>0</xdr:rowOff>
        </xdr:from>
        <xdr:to>
          <xdr:col>1</xdr:col>
          <xdr:colOff>647700</xdr:colOff>
          <xdr:row>2243</xdr:row>
          <xdr:rowOff>104775</xdr:rowOff>
        </xdr:to>
        <xdr:sp macro="" textlink="">
          <xdr:nvSpPr>
            <xdr:cNvPr id="28998" name="Object 326" hidden="1">
              <a:extLst>
                <a:ext uri="{63B3BB69-23CF-44E3-9099-C40C66FF867C}">
                  <a14:compatExt spid="_x0000_s28998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2245</xdr:row>
          <xdr:rowOff>76200</xdr:rowOff>
        </xdr:from>
        <xdr:to>
          <xdr:col>1</xdr:col>
          <xdr:colOff>200025</xdr:colOff>
          <xdr:row>2246</xdr:row>
          <xdr:rowOff>180975</xdr:rowOff>
        </xdr:to>
        <xdr:sp macro="" textlink="">
          <xdr:nvSpPr>
            <xdr:cNvPr id="28999" name="Object 327" hidden="1">
              <a:extLst>
                <a:ext uri="{63B3BB69-23CF-44E3-9099-C40C66FF867C}">
                  <a14:compatExt spid="_x0000_s28999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2226</xdr:row>
      <xdr:rowOff>85725</xdr:rowOff>
    </xdr:from>
    <xdr:to>
      <xdr:col>2</xdr:col>
      <xdr:colOff>0</xdr:colOff>
      <xdr:row>2230</xdr:row>
      <xdr:rowOff>0</xdr:rowOff>
    </xdr:to>
    <xdr:grpSp>
      <xdr:nvGrpSpPr>
        <xdr:cNvPr id="1700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420822415"/>
          <a:ext cx="1846508" cy="665543"/>
          <a:chOff x="0" y="83"/>
          <a:chExt cx="159" cy="71"/>
        </a:xfrm>
      </xdr:grpSpPr>
      <xdr:sp macro="" textlink="">
        <xdr:nvSpPr>
          <xdr:cNvPr id="1701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702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3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704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705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706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07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08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709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710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711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712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2264</xdr:row>
          <xdr:rowOff>19050</xdr:rowOff>
        </xdr:from>
        <xdr:to>
          <xdr:col>2</xdr:col>
          <xdr:colOff>133350</xdr:colOff>
          <xdr:row>2265</xdr:row>
          <xdr:rowOff>161925</xdr:rowOff>
        </xdr:to>
        <xdr:sp macro="" textlink="">
          <xdr:nvSpPr>
            <xdr:cNvPr id="29006" name="Object 334" hidden="1">
              <a:extLst>
                <a:ext uri="{63B3BB69-23CF-44E3-9099-C40C66FF867C}">
                  <a14:compatExt spid="_x0000_s29006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2267</xdr:row>
          <xdr:rowOff>0</xdr:rowOff>
        </xdr:from>
        <xdr:to>
          <xdr:col>1</xdr:col>
          <xdr:colOff>647700</xdr:colOff>
          <xdr:row>2269</xdr:row>
          <xdr:rowOff>104775</xdr:rowOff>
        </xdr:to>
        <xdr:sp macro="" textlink="">
          <xdr:nvSpPr>
            <xdr:cNvPr id="29007" name="Object 335" hidden="1">
              <a:extLst>
                <a:ext uri="{63B3BB69-23CF-44E3-9099-C40C66FF867C}">
                  <a14:compatExt spid="_x0000_s29007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2271</xdr:row>
          <xdr:rowOff>76200</xdr:rowOff>
        </xdr:from>
        <xdr:to>
          <xdr:col>1</xdr:col>
          <xdr:colOff>200025</xdr:colOff>
          <xdr:row>2272</xdr:row>
          <xdr:rowOff>180975</xdr:rowOff>
        </xdr:to>
        <xdr:sp macro="" textlink="">
          <xdr:nvSpPr>
            <xdr:cNvPr id="29008" name="Object 336" hidden="1">
              <a:extLst>
                <a:ext uri="{63B3BB69-23CF-44E3-9099-C40C66FF867C}">
                  <a14:compatExt spid="_x0000_s29008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2252</xdr:row>
      <xdr:rowOff>85725</xdr:rowOff>
    </xdr:from>
    <xdr:to>
      <xdr:col>2</xdr:col>
      <xdr:colOff>0</xdr:colOff>
      <xdr:row>2256</xdr:row>
      <xdr:rowOff>0</xdr:rowOff>
    </xdr:to>
    <xdr:grpSp>
      <xdr:nvGrpSpPr>
        <xdr:cNvPr id="1739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425745901"/>
          <a:ext cx="1846508" cy="665543"/>
          <a:chOff x="0" y="83"/>
          <a:chExt cx="159" cy="71"/>
        </a:xfrm>
      </xdr:grpSpPr>
      <xdr:sp macro="" textlink="">
        <xdr:nvSpPr>
          <xdr:cNvPr id="1740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741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2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743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744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745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46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47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748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749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750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751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518</xdr:row>
          <xdr:rowOff>19050</xdr:rowOff>
        </xdr:from>
        <xdr:to>
          <xdr:col>2</xdr:col>
          <xdr:colOff>133350</xdr:colOff>
          <xdr:row>519</xdr:row>
          <xdr:rowOff>161925</xdr:rowOff>
        </xdr:to>
        <xdr:sp macro="" textlink="">
          <xdr:nvSpPr>
            <xdr:cNvPr id="29015" name="Object 343" hidden="1">
              <a:extLst>
                <a:ext uri="{63B3BB69-23CF-44E3-9099-C40C66FF867C}">
                  <a14:compatExt spid="_x0000_s29015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521</xdr:row>
          <xdr:rowOff>0</xdr:rowOff>
        </xdr:from>
        <xdr:to>
          <xdr:col>1</xdr:col>
          <xdr:colOff>647700</xdr:colOff>
          <xdr:row>523</xdr:row>
          <xdr:rowOff>104775</xdr:rowOff>
        </xdr:to>
        <xdr:sp macro="" textlink="">
          <xdr:nvSpPr>
            <xdr:cNvPr id="29016" name="Object 344" hidden="1">
              <a:extLst>
                <a:ext uri="{63B3BB69-23CF-44E3-9099-C40C66FF867C}">
                  <a14:compatExt spid="_x0000_s29016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525</xdr:row>
          <xdr:rowOff>76200</xdr:rowOff>
        </xdr:from>
        <xdr:to>
          <xdr:col>1</xdr:col>
          <xdr:colOff>200025</xdr:colOff>
          <xdr:row>526</xdr:row>
          <xdr:rowOff>180975</xdr:rowOff>
        </xdr:to>
        <xdr:sp macro="" textlink="">
          <xdr:nvSpPr>
            <xdr:cNvPr id="29017" name="Object 345" hidden="1">
              <a:extLst>
                <a:ext uri="{63B3BB69-23CF-44E3-9099-C40C66FF867C}">
                  <a14:compatExt spid="_x0000_s29017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506</xdr:row>
      <xdr:rowOff>85725</xdr:rowOff>
    </xdr:from>
    <xdr:to>
      <xdr:col>2</xdr:col>
      <xdr:colOff>0</xdr:colOff>
      <xdr:row>510</xdr:row>
      <xdr:rowOff>0</xdr:rowOff>
    </xdr:to>
    <xdr:grpSp>
      <xdr:nvGrpSpPr>
        <xdr:cNvPr id="1778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95724774"/>
          <a:ext cx="1846508" cy="665543"/>
          <a:chOff x="0" y="83"/>
          <a:chExt cx="159" cy="71"/>
        </a:xfrm>
      </xdr:grpSpPr>
      <xdr:sp macro="" textlink="">
        <xdr:nvSpPr>
          <xdr:cNvPr id="1779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780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1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782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783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784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85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86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787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788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789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790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543</xdr:row>
          <xdr:rowOff>19050</xdr:rowOff>
        </xdr:from>
        <xdr:to>
          <xdr:col>2</xdr:col>
          <xdr:colOff>133350</xdr:colOff>
          <xdr:row>544</xdr:row>
          <xdr:rowOff>161925</xdr:rowOff>
        </xdr:to>
        <xdr:sp macro="" textlink="">
          <xdr:nvSpPr>
            <xdr:cNvPr id="29018" name="Object 346" hidden="1">
              <a:extLst>
                <a:ext uri="{63B3BB69-23CF-44E3-9099-C40C66FF867C}">
                  <a14:compatExt spid="_x0000_s29018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546</xdr:row>
          <xdr:rowOff>0</xdr:rowOff>
        </xdr:from>
        <xdr:to>
          <xdr:col>1</xdr:col>
          <xdr:colOff>647700</xdr:colOff>
          <xdr:row>548</xdr:row>
          <xdr:rowOff>104775</xdr:rowOff>
        </xdr:to>
        <xdr:sp macro="" textlink="">
          <xdr:nvSpPr>
            <xdr:cNvPr id="29019" name="Object 347" hidden="1">
              <a:extLst>
                <a:ext uri="{63B3BB69-23CF-44E3-9099-C40C66FF867C}">
                  <a14:compatExt spid="_x0000_s29019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550</xdr:row>
          <xdr:rowOff>76200</xdr:rowOff>
        </xdr:from>
        <xdr:to>
          <xdr:col>1</xdr:col>
          <xdr:colOff>200025</xdr:colOff>
          <xdr:row>551</xdr:row>
          <xdr:rowOff>180975</xdr:rowOff>
        </xdr:to>
        <xdr:sp macro="" textlink="">
          <xdr:nvSpPr>
            <xdr:cNvPr id="29020" name="Object 348" hidden="1">
              <a:extLst>
                <a:ext uri="{63B3BB69-23CF-44E3-9099-C40C66FF867C}">
                  <a14:compatExt spid="_x0000_s29020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531</xdr:row>
      <xdr:rowOff>85725</xdr:rowOff>
    </xdr:from>
    <xdr:to>
      <xdr:col>2</xdr:col>
      <xdr:colOff>0</xdr:colOff>
      <xdr:row>535</xdr:row>
      <xdr:rowOff>0</xdr:rowOff>
    </xdr:to>
    <xdr:grpSp>
      <xdr:nvGrpSpPr>
        <xdr:cNvPr id="1791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100447028"/>
          <a:ext cx="1846508" cy="665542"/>
          <a:chOff x="0" y="83"/>
          <a:chExt cx="159" cy="71"/>
        </a:xfrm>
      </xdr:grpSpPr>
      <xdr:sp macro="" textlink="">
        <xdr:nvSpPr>
          <xdr:cNvPr id="1792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793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4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795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796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797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98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99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800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801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802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803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568</xdr:row>
          <xdr:rowOff>19050</xdr:rowOff>
        </xdr:from>
        <xdr:to>
          <xdr:col>2</xdr:col>
          <xdr:colOff>133350</xdr:colOff>
          <xdr:row>569</xdr:row>
          <xdr:rowOff>161925</xdr:rowOff>
        </xdr:to>
        <xdr:sp macro="" textlink="">
          <xdr:nvSpPr>
            <xdr:cNvPr id="29021" name="Object 349" hidden="1">
              <a:extLst>
                <a:ext uri="{63B3BB69-23CF-44E3-9099-C40C66FF867C}">
                  <a14:compatExt spid="_x0000_s29021"/>
                </a:ext>
                <a:ext uri="{FF2B5EF4-FFF2-40B4-BE49-F238E27FC236}">
                  <a16:creationId xmlns:a16="http://schemas.microsoft.com/office/drawing/2014/main" id="{00000000-0008-0000-0200-0000B0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571</xdr:row>
          <xdr:rowOff>0</xdr:rowOff>
        </xdr:from>
        <xdr:to>
          <xdr:col>1</xdr:col>
          <xdr:colOff>647700</xdr:colOff>
          <xdr:row>573</xdr:row>
          <xdr:rowOff>104775</xdr:rowOff>
        </xdr:to>
        <xdr:sp macro="" textlink="">
          <xdr:nvSpPr>
            <xdr:cNvPr id="29022" name="Object 350" hidden="1">
              <a:extLst>
                <a:ext uri="{63B3BB69-23CF-44E3-9099-C40C66FF867C}">
                  <a14:compatExt spid="_x0000_s29022"/>
                </a:ext>
                <a:ext uri="{FF2B5EF4-FFF2-40B4-BE49-F238E27FC236}">
                  <a16:creationId xmlns:a16="http://schemas.microsoft.com/office/drawing/2014/main" id="{00000000-0008-0000-0200-0000B1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575</xdr:row>
          <xdr:rowOff>76200</xdr:rowOff>
        </xdr:from>
        <xdr:to>
          <xdr:col>1</xdr:col>
          <xdr:colOff>200025</xdr:colOff>
          <xdr:row>576</xdr:row>
          <xdr:rowOff>180975</xdr:rowOff>
        </xdr:to>
        <xdr:sp macro="" textlink="">
          <xdr:nvSpPr>
            <xdr:cNvPr id="29023" name="Object 351" hidden="1">
              <a:extLst>
                <a:ext uri="{63B3BB69-23CF-44E3-9099-C40C66FF867C}">
                  <a14:compatExt spid="_x0000_s29023"/>
                </a:ext>
                <a:ext uri="{FF2B5EF4-FFF2-40B4-BE49-F238E27FC236}">
                  <a16:creationId xmlns:a16="http://schemas.microsoft.com/office/drawing/2014/main" id="{00000000-0008-0000-0200-0000B2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556</xdr:row>
      <xdr:rowOff>85725</xdr:rowOff>
    </xdr:from>
    <xdr:to>
      <xdr:col>2</xdr:col>
      <xdr:colOff>0</xdr:colOff>
      <xdr:row>560</xdr:row>
      <xdr:rowOff>0</xdr:rowOff>
    </xdr:to>
    <xdr:grpSp>
      <xdr:nvGrpSpPr>
        <xdr:cNvPr id="1804" name="Group 59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GrpSpPr>
          <a:grpSpLocks noChangeAspect="1"/>
        </xdr:cNvGrpSpPr>
      </xdr:nvGrpSpPr>
      <xdr:grpSpPr bwMode="auto">
        <a:xfrm>
          <a:off x="152400" y="105169281"/>
          <a:ext cx="1846508" cy="665543"/>
          <a:chOff x="0" y="83"/>
          <a:chExt cx="159" cy="71"/>
        </a:xfrm>
      </xdr:grpSpPr>
      <xdr:sp macro="" textlink="">
        <xdr:nvSpPr>
          <xdr:cNvPr id="1805" name="AutoShape 58">
            <a:extLst>
              <a:ext uri="{FF2B5EF4-FFF2-40B4-BE49-F238E27FC236}">
                <a16:creationId xmlns:a16="http://schemas.microsoft.com/office/drawing/2014/main" id="{00000000-0008-0000-0200-00003109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806" name="Line 64">
            <a:extLst>
              <a:ext uri="{FF2B5EF4-FFF2-40B4-BE49-F238E27FC236}">
                <a16:creationId xmlns:a16="http://schemas.microsoft.com/office/drawing/2014/main" id="{00000000-0008-0000-0200-00003209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7" name="Rectangle 65">
            <a:extLst>
              <a:ext uri="{FF2B5EF4-FFF2-40B4-BE49-F238E27FC236}">
                <a16:creationId xmlns:a16="http://schemas.microsoft.com/office/drawing/2014/main" id="{00000000-0008-0000-0200-00003309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808" name="Rectangle 66">
            <a:extLst>
              <a:ext uri="{FF2B5EF4-FFF2-40B4-BE49-F238E27FC236}">
                <a16:creationId xmlns:a16="http://schemas.microsoft.com/office/drawing/2014/main" id="{00000000-0008-0000-0200-00003409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809" name="Rectangle 67">
            <a:extLst>
              <a:ext uri="{FF2B5EF4-FFF2-40B4-BE49-F238E27FC236}">
                <a16:creationId xmlns:a16="http://schemas.microsoft.com/office/drawing/2014/main" id="{00000000-0008-0000-0200-00003509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810" name="Rectangle 68">
            <a:extLst>
              <a:ext uri="{FF2B5EF4-FFF2-40B4-BE49-F238E27FC236}">
                <a16:creationId xmlns:a16="http://schemas.microsoft.com/office/drawing/2014/main" id="{00000000-0008-0000-0200-00003609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811" name="Rectangle 69">
            <a:extLst>
              <a:ext uri="{FF2B5EF4-FFF2-40B4-BE49-F238E27FC236}">
                <a16:creationId xmlns:a16="http://schemas.microsoft.com/office/drawing/2014/main" id="{00000000-0008-0000-0200-00003709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812" name="Rectangle 70">
            <a:extLst>
              <a:ext uri="{FF2B5EF4-FFF2-40B4-BE49-F238E27FC236}">
                <a16:creationId xmlns:a16="http://schemas.microsoft.com/office/drawing/2014/main" id="{00000000-0008-0000-0200-00003809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813" name="Rectangle 71">
            <a:extLst>
              <a:ext uri="{FF2B5EF4-FFF2-40B4-BE49-F238E27FC236}">
                <a16:creationId xmlns:a16="http://schemas.microsoft.com/office/drawing/2014/main" id="{00000000-0008-0000-0200-00003909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814" name="Rectangle 72">
            <a:extLst>
              <a:ext uri="{FF2B5EF4-FFF2-40B4-BE49-F238E27FC236}">
                <a16:creationId xmlns:a16="http://schemas.microsoft.com/office/drawing/2014/main" id="{00000000-0008-0000-0200-00003A09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815" name="Rectangle 73">
            <a:extLst>
              <a:ext uri="{FF2B5EF4-FFF2-40B4-BE49-F238E27FC236}">
                <a16:creationId xmlns:a16="http://schemas.microsoft.com/office/drawing/2014/main" id="{00000000-0008-0000-0200-00003B09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816" name="Rectangle 74">
            <a:extLst>
              <a:ext uri="{FF2B5EF4-FFF2-40B4-BE49-F238E27FC236}">
                <a16:creationId xmlns:a16="http://schemas.microsoft.com/office/drawing/2014/main" id="{00000000-0008-0000-0200-00003C09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 editAs="oneCell">
    <xdr:from>
      <xdr:col>7</xdr:col>
      <xdr:colOff>0</xdr:colOff>
      <xdr:row>2</xdr:row>
      <xdr:rowOff>0</xdr:rowOff>
    </xdr:from>
    <xdr:to>
      <xdr:col>15</xdr:col>
      <xdr:colOff>532521</xdr:colOff>
      <xdr:row>25</xdr:row>
      <xdr:rowOff>134021</xdr:rowOff>
    </xdr:to>
    <xdr:pic>
      <xdr:nvPicPr>
        <xdr:cNvPr id="1395" name="Imagen 139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8662" y="402465"/>
          <a:ext cx="6649986" cy="4467225"/>
        </a:xfrm>
        <a:prstGeom prst="rect">
          <a:avLst/>
        </a:prstGeom>
      </xdr:spPr>
    </xdr:pic>
    <xdr:clientData/>
  </xdr:twoCellAnchor>
  <xdr:twoCellAnchor editAs="oneCell">
    <xdr:from>
      <xdr:col>6</xdr:col>
      <xdr:colOff>737852</xdr:colOff>
      <xdr:row>26</xdr:row>
      <xdr:rowOff>187817</xdr:rowOff>
    </xdr:from>
    <xdr:to>
      <xdr:col>16</xdr:col>
      <xdr:colOff>254821</xdr:colOff>
      <xdr:row>48</xdr:row>
      <xdr:rowOff>115809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1831" y="5111303"/>
          <a:ext cx="7163800" cy="408679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141</xdr:row>
          <xdr:rowOff>19050</xdr:rowOff>
        </xdr:from>
        <xdr:to>
          <xdr:col>2</xdr:col>
          <xdr:colOff>133350</xdr:colOff>
          <xdr:row>142</xdr:row>
          <xdr:rowOff>161925</xdr:rowOff>
        </xdr:to>
        <xdr:sp macro="" textlink="">
          <xdr:nvSpPr>
            <xdr:cNvPr id="29024" name="Object 352" hidden="1">
              <a:extLst>
                <a:ext uri="{63B3BB69-23CF-44E3-9099-C40C66FF867C}">
                  <a14:compatExt spid="_x0000_s29024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144</xdr:row>
          <xdr:rowOff>0</xdr:rowOff>
        </xdr:from>
        <xdr:to>
          <xdr:col>1</xdr:col>
          <xdr:colOff>647700</xdr:colOff>
          <xdr:row>146</xdr:row>
          <xdr:rowOff>104775</xdr:rowOff>
        </xdr:to>
        <xdr:sp macro="" textlink="">
          <xdr:nvSpPr>
            <xdr:cNvPr id="29025" name="Object 353" hidden="1">
              <a:extLst>
                <a:ext uri="{63B3BB69-23CF-44E3-9099-C40C66FF867C}">
                  <a14:compatExt spid="_x0000_s29025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148</xdr:row>
          <xdr:rowOff>76200</xdr:rowOff>
        </xdr:from>
        <xdr:to>
          <xdr:col>1</xdr:col>
          <xdr:colOff>200025</xdr:colOff>
          <xdr:row>149</xdr:row>
          <xdr:rowOff>180975</xdr:rowOff>
        </xdr:to>
        <xdr:sp macro="" textlink="">
          <xdr:nvSpPr>
            <xdr:cNvPr id="29026" name="Object 354" hidden="1">
              <a:extLst>
                <a:ext uri="{63B3BB69-23CF-44E3-9099-C40C66FF867C}">
                  <a14:compatExt spid="_x0000_s29026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130</xdr:row>
      <xdr:rowOff>0</xdr:rowOff>
    </xdr:from>
    <xdr:to>
      <xdr:col>1</xdr:col>
      <xdr:colOff>847725</xdr:colOff>
      <xdr:row>133</xdr:row>
      <xdr:rowOff>104775</xdr:rowOff>
    </xdr:to>
    <xdr:grpSp>
      <xdr:nvGrpSpPr>
        <xdr:cNvPr id="1410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24590599"/>
          <a:ext cx="1612408" cy="668225"/>
          <a:chOff x="0" y="83"/>
          <a:chExt cx="159" cy="71"/>
        </a:xfrm>
      </xdr:grpSpPr>
      <xdr:sp macro="" textlink="">
        <xdr:nvSpPr>
          <xdr:cNvPr id="1411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412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6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1427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428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429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1430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431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1431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1432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33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34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435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166</xdr:row>
          <xdr:rowOff>19050</xdr:rowOff>
        </xdr:from>
        <xdr:to>
          <xdr:col>2</xdr:col>
          <xdr:colOff>133350</xdr:colOff>
          <xdr:row>167</xdr:row>
          <xdr:rowOff>161925</xdr:rowOff>
        </xdr:to>
        <xdr:sp macro="" textlink="">
          <xdr:nvSpPr>
            <xdr:cNvPr id="29027" name="Object 355" hidden="1">
              <a:extLst>
                <a:ext uri="{63B3BB69-23CF-44E3-9099-C40C66FF867C}">
                  <a14:compatExt spid="_x0000_s29027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169</xdr:row>
          <xdr:rowOff>0</xdr:rowOff>
        </xdr:from>
        <xdr:to>
          <xdr:col>1</xdr:col>
          <xdr:colOff>647700</xdr:colOff>
          <xdr:row>171</xdr:row>
          <xdr:rowOff>104775</xdr:rowOff>
        </xdr:to>
        <xdr:sp macro="" textlink="">
          <xdr:nvSpPr>
            <xdr:cNvPr id="29028" name="Object 356" hidden="1">
              <a:extLst>
                <a:ext uri="{63B3BB69-23CF-44E3-9099-C40C66FF867C}">
                  <a14:compatExt spid="_x0000_s29028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173</xdr:row>
          <xdr:rowOff>76200</xdr:rowOff>
        </xdr:from>
        <xdr:to>
          <xdr:col>1</xdr:col>
          <xdr:colOff>200025</xdr:colOff>
          <xdr:row>174</xdr:row>
          <xdr:rowOff>180975</xdr:rowOff>
        </xdr:to>
        <xdr:sp macro="" textlink="">
          <xdr:nvSpPr>
            <xdr:cNvPr id="29029" name="Object 357" hidden="1">
              <a:extLst>
                <a:ext uri="{63B3BB69-23CF-44E3-9099-C40C66FF867C}">
                  <a14:compatExt spid="_x0000_s29029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154</xdr:row>
      <xdr:rowOff>85725</xdr:rowOff>
    </xdr:from>
    <xdr:to>
      <xdr:col>2</xdr:col>
      <xdr:colOff>0</xdr:colOff>
      <xdr:row>158</xdr:row>
      <xdr:rowOff>0</xdr:rowOff>
    </xdr:to>
    <xdr:grpSp>
      <xdr:nvGrpSpPr>
        <xdr:cNvPr id="1436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29210760"/>
          <a:ext cx="1846508" cy="665543"/>
          <a:chOff x="0" y="83"/>
          <a:chExt cx="159" cy="71"/>
        </a:xfrm>
      </xdr:grpSpPr>
      <xdr:sp macro="" textlink="">
        <xdr:nvSpPr>
          <xdr:cNvPr id="1437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438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9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440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441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442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3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44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58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59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60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461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191</xdr:row>
          <xdr:rowOff>19050</xdr:rowOff>
        </xdr:from>
        <xdr:to>
          <xdr:col>2</xdr:col>
          <xdr:colOff>133350</xdr:colOff>
          <xdr:row>192</xdr:row>
          <xdr:rowOff>161925</xdr:rowOff>
        </xdr:to>
        <xdr:sp macro="" textlink="">
          <xdr:nvSpPr>
            <xdr:cNvPr id="29030" name="Object 358" hidden="1">
              <a:extLst>
                <a:ext uri="{63B3BB69-23CF-44E3-9099-C40C66FF867C}">
                  <a14:compatExt spid="_x0000_s29030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194</xdr:row>
          <xdr:rowOff>0</xdr:rowOff>
        </xdr:from>
        <xdr:to>
          <xdr:col>1</xdr:col>
          <xdr:colOff>647700</xdr:colOff>
          <xdr:row>196</xdr:row>
          <xdr:rowOff>104775</xdr:rowOff>
        </xdr:to>
        <xdr:sp macro="" textlink="">
          <xdr:nvSpPr>
            <xdr:cNvPr id="29031" name="Object 359" hidden="1">
              <a:extLst>
                <a:ext uri="{63B3BB69-23CF-44E3-9099-C40C66FF867C}">
                  <a14:compatExt spid="_x0000_s29031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198</xdr:row>
          <xdr:rowOff>76200</xdr:rowOff>
        </xdr:from>
        <xdr:to>
          <xdr:col>1</xdr:col>
          <xdr:colOff>200025</xdr:colOff>
          <xdr:row>199</xdr:row>
          <xdr:rowOff>180975</xdr:rowOff>
        </xdr:to>
        <xdr:sp macro="" textlink="">
          <xdr:nvSpPr>
            <xdr:cNvPr id="29032" name="Object 360" hidden="1">
              <a:extLst>
                <a:ext uri="{63B3BB69-23CF-44E3-9099-C40C66FF867C}">
                  <a14:compatExt spid="_x0000_s29032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179</xdr:row>
      <xdr:rowOff>85725</xdr:rowOff>
    </xdr:from>
    <xdr:to>
      <xdr:col>2</xdr:col>
      <xdr:colOff>0</xdr:colOff>
      <xdr:row>183</xdr:row>
      <xdr:rowOff>0</xdr:rowOff>
    </xdr:to>
    <xdr:grpSp>
      <xdr:nvGrpSpPr>
        <xdr:cNvPr id="1462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33933014"/>
          <a:ext cx="1846508" cy="665542"/>
          <a:chOff x="0" y="83"/>
          <a:chExt cx="159" cy="71"/>
        </a:xfrm>
      </xdr:grpSpPr>
      <xdr:sp macro="" textlink="">
        <xdr:nvSpPr>
          <xdr:cNvPr id="1463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464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65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466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467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468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69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70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71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72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73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474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219</xdr:row>
          <xdr:rowOff>0</xdr:rowOff>
        </xdr:from>
        <xdr:to>
          <xdr:col>1</xdr:col>
          <xdr:colOff>647700</xdr:colOff>
          <xdr:row>221</xdr:row>
          <xdr:rowOff>104775</xdr:rowOff>
        </xdr:to>
        <xdr:sp macro="" textlink="">
          <xdr:nvSpPr>
            <xdr:cNvPr id="29033" name="Object 361" hidden="1">
              <a:extLst>
                <a:ext uri="{63B3BB69-23CF-44E3-9099-C40C66FF867C}">
                  <a14:compatExt spid="_x0000_s29033"/>
                </a:ext>
                <a:ext uri="{FF2B5EF4-FFF2-40B4-BE49-F238E27FC236}">
                  <a16:creationId xmlns:a16="http://schemas.microsoft.com/office/drawing/2014/main" id="{00000000-0008-0000-0200-00008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223</xdr:row>
          <xdr:rowOff>76200</xdr:rowOff>
        </xdr:from>
        <xdr:to>
          <xdr:col>1</xdr:col>
          <xdr:colOff>200025</xdr:colOff>
          <xdr:row>224</xdr:row>
          <xdr:rowOff>180975</xdr:rowOff>
        </xdr:to>
        <xdr:sp macro="" textlink="">
          <xdr:nvSpPr>
            <xdr:cNvPr id="29034" name="Object 362" hidden="1">
              <a:extLst>
                <a:ext uri="{63B3BB69-23CF-44E3-9099-C40C66FF867C}">
                  <a14:compatExt spid="_x0000_s29034"/>
                </a:ext>
                <a:ext uri="{FF2B5EF4-FFF2-40B4-BE49-F238E27FC236}">
                  <a16:creationId xmlns:a16="http://schemas.microsoft.com/office/drawing/2014/main" id="{00000000-0008-0000-0200-00009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216</xdr:row>
          <xdr:rowOff>19050</xdr:rowOff>
        </xdr:from>
        <xdr:to>
          <xdr:col>2</xdr:col>
          <xdr:colOff>133350</xdr:colOff>
          <xdr:row>217</xdr:row>
          <xdr:rowOff>161925</xdr:rowOff>
        </xdr:to>
        <xdr:sp macro="" textlink="">
          <xdr:nvSpPr>
            <xdr:cNvPr id="29035" name="Object 363" hidden="1">
              <a:extLst>
                <a:ext uri="{63B3BB69-23CF-44E3-9099-C40C66FF867C}">
                  <a14:compatExt spid="_x0000_s29035"/>
                </a:ext>
                <a:ext uri="{FF2B5EF4-FFF2-40B4-BE49-F238E27FC236}">
                  <a16:creationId xmlns:a16="http://schemas.microsoft.com/office/drawing/2014/main" id="{00000000-0008-0000-0200-0000FC6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205</xdr:row>
      <xdr:rowOff>0</xdr:rowOff>
    </xdr:from>
    <xdr:to>
      <xdr:col>2</xdr:col>
      <xdr:colOff>2458</xdr:colOff>
      <xdr:row>208</xdr:row>
      <xdr:rowOff>104775</xdr:rowOff>
    </xdr:to>
    <xdr:grpSp>
      <xdr:nvGrpSpPr>
        <xdr:cNvPr id="1475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38757359"/>
          <a:ext cx="2001366" cy="668226"/>
          <a:chOff x="0" y="83"/>
          <a:chExt cx="159" cy="71"/>
        </a:xfrm>
      </xdr:grpSpPr>
      <xdr:sp macro="" textlink="">
        <xdr:nvSpPr>
          <xdr:cNvPr id="1476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477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78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479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480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481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82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83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84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85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86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487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2315</xdr:row>
          <xdr:rowOff>19050</xdr:rowOff>
        </xdr:from>
        <xdr:to>
          <xdr:col>2</xdr:col>
          <xdr:colOff>133350</xdr:colOff>
          <xdr:row>2316</xdr:row>
          <xdr:rowOff>161925</xdr:rowOff>
        </xdr:to>
        <xdr:sp macro="" textlink="">
          <xdr:nvSpPr>
            <xdr:cNvPr id="29036" name="Object 364" hidden="1">
              <a:extLst>
                <a:ext uri="{63B3BB69-23CF-44E3-9099-C40C66FF867C}">
                  <a14:compatExt spid="_x0000_s29036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2318</xdr:row>
          <xdr:rowOff>0</xdr:rowOff>
        </xdr:from>
        <xdr:to>
          <xdr:col>1</xdr:col>
          <xdr:colOff>647700</xdr:colOff>
          <xdr:row>2320</xdr:row>
          <xdr:rowOff>104775</xdr:rowOff>
        </xdr:to>
        <xdr:sp macro="" textlink="">
          <xdr:nvSpPr>
            <xdr:cNvPr id="29037" name="Object 365" hidden="1">
              <a:extLst>
                <a:ext uri="{63B3BB69-23CF-44E3-9099-C40C66FF867C}">
                  <a14:compatExt spid="_x0000_s29037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2322</xdr:row>
          <xdr:rowOff>76200</xdr:rowOff>
        </xdr:from>
        <xdr:to>
          <xdr:col>1</xdr:col>
          <xdr:colOff>200025</xdr:colOff>
          <xdr:row>2323</xdr:row>
          <xdr:rowOff>180975</xdr:rowOff>
        </xdr:to>
        <xdr:sp macro="" textlink="">
          <xdr:nvSpPr>
            <xdr:cNvPr id="29038" name="Object 366" hidden="1">
              <a:extLst>
                <a:ext uri="{63B3BB69-23CF-44E3-9099-C40C66FF867C}">
                  <a14:compatExt spid="_x0000_s29038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2303</xdr:row>
      <xdr:rowOff>85725</xdr:rowOff>
    </xdr:from>
    <xdr:to>
      <xdr:col>2</xdr:col>
      <xdr:colOff>0</xdr:colOff>
      <xdr:row>2307</xdr:row>
      <xdr:rowOff>0</xdr:rowOff>
    </xdr:to>
    <xdr:grpSp>
      <xdr:nvGrpSpPr>
        <xdr:cNvPr id="1488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435391640"/>
          <a:ext cx="1846508" cy="665543"/>
          <a:chOff x="0" y="83"/>
          <a:chExt cx="159" cy="71"/>
        </a:xfrm>
      </xdr:grpSpPr>
      <xdr:sp macro="" textlink="">
        <xdr:nvSpPr>
          <xdr:cNvPr id="1489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490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1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492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493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494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95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96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497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498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499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500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2366</xdr:row>
          <xdr:rowOff>19050</xdr:rowOff>
        </xdr:from>
        <xdr:to>
          <xdr:col>2</xdr:col>
          <xdr:colOff>133350</xdr:colOff>
          <xdr:row>2367</xdr:row>
          <xdr:rowOff>161925</xdr:rowOff>
        </xdr:to>
        <xdr:sp macro="" textlink="">
          <xdr:nvSpPr>
            <xdr:cNvPr id="29039" name="Object 367" hidden="1">
              <a:extLst>
                <a:ext uri="{63B3BB69-23CF-44E3-9099-C40C66FF867C}">
                  <a14:compatExt spid="_x0000_s29039"/>
                </a:ext>
                <a:ext uri="{FF2B5EF4-FFF2-40B4-BE49-F238E27FC236}">
                  <a16:creationId xmlns:a16="http://schemas.microsoft.com/office/drawing/2014/main" id="{00000000-0008-0000-02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2369</xdr:row>
          <xdr:rowOff>0</xdr:rowOff>
        </xdr:from>
        <xdr:to>
          <xdr:col>1</xdr:col>
          <xdr:colOff>647700</xdr:colOff>
          <xdr:row>2371</xdr:row>
          <xdr:rowOff>104775</xdr:rowOff>
        </xdr:to>
        <xdr:sp macro="" textlink="">
          <xdr:nvSpPr>
            <xdr:cNvPr id="29040" name="Object 368" hidden="1">
              <a:extLst>
                <a:ext uri="{63B3BB69-23CF-44E3-9099-C40C66FF867C}">
                  <a14:compatExt spid="_x0000_s29040"/>
                </a:ext>
                <a:ext uri="{FF2B5EF4-FFF2-40B4-BE49-F238E27FC236}">
                  <a16:creationId xmlns:a16="http://schemas.microsoft.com/office/drawing/2014/main" id="{00000000-0008-0000-0200-00008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2373</xdr:row>
          <xdr:rowOff>76200</xdr:rowOff>
        </xdr:from>
        <xdr:to>
          <xdr:col>1</xdr:col>
          <xdr:colOff>200025</xdr:colOff>
          <xdr:row>2374</xdr:row>
          <xdr:rowOff>180975</xdr:rowOff>
        </xdr:to>
        <xdr:sp macro="" textlink="">
          <xdr:nvSpPr>
            <xdr:cNvPr id="29041" name="Object 369" hidden="1">
              <a:extLst>
                <a:ext uri="{63B3BB69-23CF-44E3-9099-C40C66FF867C}">
                  <a14:compatExt spid="_x0000_s29041"/>
                </a:ext>
                <a:ext uri="{FF2B5EF4-FFF2-40B4-BE49-F238E27FC236}">
                  <a16:creationId xmlns:a16="http://schemas.microsoft.com/office/drawing/2014/main" id="{00000000-0008-0000-0200-00008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152400</xdr:colOff>
      <xdr:row>2354</xdr:row>
      <xdr:rowOff>85725</xdr:rowOff>
    </xdr:from>
    <xdr:to>
      <xdr:col>2</xdr:col>
      <xdr:colOff>0</xdr:colOff>
      <xdr:row>2358</xdr:row>
      <xdr:rowOff>0</xdr:rowOff>
    </xdr:to>
    <xdr:grpSp>
      <xdr:nvGrpSpPr>
        <xdr:cNvPr id="1501" name="Group 59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GrpSpPr>
          <a:grpSpLocks noChangeAspect="1"/>
        </xdr:cNvGrpSpPr>
      </xdr:nvGrpSpPr>
      <xdr:grpSpPr bwMode="auto">
        <a:xfrm>
          <a:off x="152400" y="445037380"/>
          <a:ext cx="1846508" cy="665543"/>
          <a:chOff x="0" y="83"/>
          <a:chExt cx="159" cy="71"/>
        </a:xfrm>
      </xdr:grpSpPr>
      <xdr:sp macro="" textlink="">
        <xdr:nvSpPr>
          <xdr:cNvPr id="1502" name="AutoShape 58">
            <a:extLst>
              <a:ext uri="{FF2B5EF4-FFF2-40B4-BE49-F238E27FC236}">
                <a16:creationId xmlns:a16="http://schemas.microsoft.com/office/drawing/2014/main" id="{00000000-0008-0000-0200-00005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503" name="Line 64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4" name="Rectangle 65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505" name="Rectangle 66">
            <a:extLst>
              <a:ext uri="{FF2B5EF4-FFF2-40B4-BE49-F238E27FC236}">
                <a16:creationId xmlns:a16="http://schemas.microsoft.com/office/drawing/2014/main" id="{00000000-0008-0000-02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506" name="Rectangle 67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507" name="Rectangle 68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508" name="Rectangle 69">
            <a:extLst>
              <a:ext uri="{FF2B5EF4-FFF2-40B4-BE49-F238E27FC236}">
                <a16:creationId xmlns:a16="http://schemas.microsoft.com/office/drawing/2014/main" id="{00000000-0008-0000-02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509" name="Rectangle 70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510" name="Rectangle 71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511" name="Rectangle 72">
            <a:extLst>
              <a:ext uri="{FF2B5EF4-FFF2-40B4-BE49-F238E27FC236}">
                <a16:creationId xmlns:a16="http://schemas.microsoft.com/office/drawing/2014/main" id="{00000000-0008-0000-02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512" name="Rectangle 73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513" name="Rectangle 74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2290</xdr:row>
          <xdr:rowOff>19050</xdr:rowOff>
        </xdr:from>
        <xdr:to>
          <xdr:col>2</xdr:col>
          <xdr:colOff>133350</xdr:colOff>
          <xdr:row>2291</xdr:row>
          <xdr:rowOff>161925</xdr:rowOff>
        </xdr:to>
        <xdr:sp macro="" textlink="">
          <xdr:nvSpPr>
            <xdr:cNvPr id="29042" name="Object 370" hidden="1">
              <a:extLst>
                <a:ext uri="{63B3BB69-23CF-44E3-9099-C40C66FF867C}">
                  <a14:compatExt spid="_x0000_s29042"/>
                </a:ext>
                <a:ext uri="{FF2B5EF4-FFF2-40B4-BE49-F238E27FC236}">
                  <a16:creationId xmlns:a16="http://schemas.microsoft.com/office/drawing/2014/main" id="{00000000-0008-0000-0300-00002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2293</xdr:row>
          <xdr:rowOff>0</xdr:rowOff>
        </xdr:from>
        <xdr:to>
          <xdr:col>1</xdr:col>
          <xdr:colOff>647700</xdr:colOff>
          <xdr:row>2295</xdr:row>
          <xdr:rowOff>104775</xdr:rowOff>
        </xdr:to>
        <xdr:sp macro="" textlink="">
          <xdr:nvSpPr>
            <xdr:cNvPr id="29043" name="Object 371" hidden="1">
              <a:extLst>
                <a:ext uri="{63B3BB69-23CF-44E3-9099-C40C66FF867C}">
                  <a14:compatExt spid="_x0000_s29043"/>
                </a:ext>
                <a:ext uri="{FF2B5EF4-FFF2-40B4-BE49-F238E27FC236}">
                  <a16:creationId xmlns:a16="http://schemas.microsoft.com/office/drawing/2014/main" id="{00000000-0008-0000-0300-00002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2297</xdr:row>
          <xdr:rowOff>76200</xdr:rowOff>
        </xdr:from>
        <xdr:to>
          <xdr:col>1</xdr:col>
          <xdr:colOff>200025</xdr:colOff>
          <xdr:row>2298</xdr:row>
          <xdr:rowOff>180975</xdr:rowOff>
        </xdr:to>
        <xdr:sp macro="" textlink="">
          <xdr:nvSpPr>
            <xdr:cNvPr id="29044" name="Object 372" hidden="1">
              <a:extLst>
                <a:ext uri="{63B3BB69-23CF-44E3-9099-C40C66FF867C}">
                  <a14:compatExt spid="_x0000_s29044"/>
                </a:ext>
                <a:ext uri="{FF2B5EF4-FFF2-40B4-BE49-F238E27FC236}">
                  <a16:creationId xmlns:a16="http://schemas.microsoft.com/office/drawing/2014/main" id="{00000000-0008-0000-0300-00002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2279</xdr:row>
      <xdr:rowOff>0</xdr:rowOff>
    </xdr:from>
    <xdr:to>
      <xdr:col>1</xdr:col>
      <xdr:colOff>847725</xdr:colOff>
      <xdr:row>2282</xdr:row>
      <xdr:rowOff>104775</xdr:rowOff>
    </xdr:to>
    <xdr:grpSp>
      <xdr:nvGrpSpPr>
        <xdr:cNvPr id="1514" name="Group 59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GrpSpPr>
          <a:grpSpLocks noChangeAspect="1"/>
        </xdr:cNvGrpSpPr>
      </xdr:nvGrpSpPr>
      <xdr:grpSpPr bwMode="auto">
        <a:xfrm>
          <a:off x="0" y="430771479"/>
          <a:ext cx="1612408" cy="668226"/>
          <a:chOff x="0" y="83"/>
          <a:chExt cx="159" cy="71"/>
        </a:xfrm>
      </xdr:grpSpPr>
      <xdr:sp macro="" textlink="">
        <xdr:nvSpPr>
          <xdr:cNvPr id="1515" name="AutoShape 58">
            <a:extLst>
              <a:ext uri="{FF2B5EF4-FFF2-40B4-BE49-F238E27FC236}">
                <a16:creationId xmlns:a16="http://schemas.microsoft.com/office/drawing/2014/main" id="{00000000-0008-0000-0300-00005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516" name="Line 64">
            <a:extLst>
              <a:ext uri="{FF2B5EF4-FFF2-40B4-BE49-F238E27FC236}">
                <a16:creationId xmlns:a16="http://schemas.microsoft.com/office/drawing/2014/main" id="{00000000-0008-0000-0300-00005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7" name="Rectangle 65">
            <a:extLst>
              <a:ext uri="{FF2B5EF4-FFF2-40B4-BE49-F238E27FC236}">
                <a16:creationId xmlns:a16="http://schemas.microsoft.com/office/drawing/2014/main" id="{00000000-0008-0000-03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1518" name="Rectangle 66">
            <a:extLst>
              <a:ext uri="{FF2B5EF4-FFF2-40B4-BE49-F238E27FC236}">
                <a16:creationId xmlns:a16="http://schemas.microsoft.com/office/drawing/2014/main" id="{00000000-0008-0000-03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519" name="Rectangle 67">
            <a:extLst>
              <a:ext uri="{FF2B5EF4-FFF2-40B4-BE49-F238E27FC236}">
                <a16:creationId xmlns:a16="http://schemas.microsoft.com/office/drawing/2014/main" id="{00000000-0008-0000-03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520" name="Rectangle 68">
            <a:extLst>
              <a:ext uri="{FF2B5EF4-FFF2-40B4-BE49-F238E27FC236}">
                <a16:creationId xmlns:a16="http://schemas.microsoft.com/office/drawing/2014/main" id="{00000000-0008-0000-03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1521" name="Rectangle 69">
            <a:extLst>
              <a:ext uri="{FF2B5EF4-FFF2-40B4-BE49-F238E27FC236}">
                <a16:creationId xmlns:a16="http://schemas.microsoft.com/office/drawing/2014/main" id="{00000000-0008-0000-03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522" name="Rectangle 70">
                <a:extLst>
                  <a:ext uri="{FF2B5EF4-FFF2-40B4-BE49-F238E27FC236}">
                    <a16:creationId xmlns:a16="http://schemas.microsoft.com/office/drawing/2014/main" id="{00000000-0008-0000-0300-00005B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1522" name="Rectangle 70">
                <a:extLst>
                  <a:ext uri="{FF2B5EF4-FFF2-40B4-BE49-F238E27FC236}">
                    <a16:creationId xmlns:a16="http://schemas.microsoft.com/office/drawing/2014/main" id="{00000000-0008-0000-0300-00005B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1523" name="Rectangle 71">
            <a:extLst>
              <a:ext uri="{FF2B5EF4-FFF2-40B4-BE49-F238E27FC236}">
                <a16:creationId xmlns:a16="http://schemas.microsoft.com/office/drawing/2014/main" id="{00000000-0008-0000-03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524" name="Rectangle 72">
            <a:extLst>
              <a:ext uri="{FF2B5EF4-FFF2-40B4-BE49-F238E27FC236}">
                <a16:creationId xmlns:a16="http://schemas.microsoft.com/office/drawing/2014/main" id="{00000000-0008-0000-03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525" name="Rectangle 73">
            <a:extLst>
              <a:ext uri="{FF2B5EF4-FFF2-40B4-BE49-F238E27FC236}">
                <a16:creationId xmlns:a16="http://schemas.microsoft.com/office/drawing/2014/main" id="{00000000-0008-0000-03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526" name="Rectangle 74">
            <a:extLst>
              <a:ext uri="{FF2B5EF4-FFF2-40B4-BE49-F238E27FC236}">
                <a16:creationId xmlns:a16="http://schemas.microsoft.com/office/drawing/2014/main" id="{00000000-0008-0000-0300-00005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2341</xdr:row>
          <xdr:rowOff>19050</xdr:rowOff>
        </xdr:from>
        <xdr:to>
          <xdr:col>2</xdr:col>
          <xdr:colOff>133350</xdr:colOff>
          <xdr:row>2342</xdr:row>
          <xdr:rowOff>161925</xdr:rowOff>
        </xdr:to>
        <xdr:sp macro="" textlink="">
          <xdr:nvSpPr>
            <xdr:cNvPr id="29045" name="Object 373" hidden="1">
              <a:extLst>
                <a:ext uri="{63B3BB69-23CF-44E3-9099-C40C66FF867C}">
                  <a14:compatExt spid="_x0000_s29045"/>
                </a:ext>
                <a:ext uri="{FF2B5EF4-FFF2-40B4-BE49-F238E27FC236}">
                  <a16:creationId xmlns:a16="http://schemas.microsoft.com/office/drawing/2014/main" id="{00000000-0008-0000-0300-00002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2344</xdr:row>
          <xdr:rowOff>0</xdr:rowOff>
        </xdr:from>
        <xdr:to>
          <xdr:col>1</xdr:col>
          <xdr:colOff>647700</xdr:colOff>
          <xdr:row>2346</xdr:row>
          <xdr:rowOff>104775</xdr:rowOff>
        </xdr:to>
        <xdr:sp macro="" textlink="">
          <xdr:nvSpPr>
            <xdr:cNvPr id="29046" name="Object 374" hidden="1">
              <a:extLst>
                <a:ext uri="{63B3BB69-23CF-44E3-9099-C40C66FF867C}">
                  <a14:compatExt spid="_x0000_s29046"/>
                </a:ext>
                <a:ext uri="{FF2B5EF4-FFF2-40B4-BE49-F238E27FC236}">
                  <a16:creationId xmlns:a16="http://schemas.microsoft.com/office/drawing/2014/main" id="{00000000-0008-0000-0300-00002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2348</xdr:row>
          <xdr:rowOff>76200</xdr:rowOff>
        </xdr:from>
        <xdr:to>
          <xdr:col>1</xdr:col>
          <xdr:colOff>200025</xdr:colOff>
          <xdr:row>2349</xdr:row>
          <xdr:rowOff>180975</xdr:rowOff>
        </xdr:to>
        <xdr:sp macro="" textlink="">
          <xdr:nvSpPr>
            <xdr:cNvPr id="29047" name="Object 375" hidden="1">
              <a:extLst>
                <a:ext uri="{63B3BB69-23CF-44E3-9099-C40C66FF867C}">
                  <a14:compatExt spid="_x0000_s29047"/>
                </a:ext>
                <a:ext uri="{FF2B5EF4-FFF2-40B4-BE49-F238E27FC236}">
                  <a16:creationId xmlns:a16="http://schemas.microsoft.com/office/drawing/2014/main" id="{00000000-0008-0000-0300-00002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2330</xdr:row>
      <xdr:rowOff>0</xdr:rowOff>
    </xdr:from>
    <xdr:to>
      <xdr:col>1</xdr:col>
      <xdr:colOff>847725</xdr:colOff>
      <xdr:row>2333</xdr:row>
      <xdr:rowOff>104775</xdr:rowOff>
    </xdr:to>
    <xdr:grpSp>
      <xdr:nvGrpSpPr>
        <xdr:cNvPr id="1527" name="Group 59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GrpSpPr>
          <a:grpSpLocks noChangeAspect="1"/>
        </xdr:cNvGrpSpPr>
      </xdr:nvGrpSpPr>
      <xdr:grpSpPr bwMode="auto">
        <a:xfrm>
          <a:off x="0" y="440417218"/>
          <a:ext cx="1612408" cy="668226"/>
          <a:chOff x="0" y="83"/>
          <a:chExt cx="159" cy="71"/>
        </a:xfrm>
      </xdr:grpSpPr>
      <xdr:sp macro="" textlink="">
        <xdr:nvSpPr>
          <xdr:cNvPr id="1528" name="AutoShape 58">
            <a:extLst>
              <a:ext uri="{FF2B5EF4-FFF2-40B4-BE49-F238E27FC236}">
                <a16:creationId xmlns:a16="http://schemas.microsoft.com/office/drawing/2014/main" id="{00000000-0008-0000-0300-00005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529" name="Line 64">
            <a:extLst>
              <a:ext uri="{FF2B5EF4-FFF2-40B4-BE49-F238E27FC236}">
                <a16:creationId xmlns:a16="http://schemas.microsoft.com/office/drawing/2014/main" id="{00000000-0008-0000-0300-00005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0" name="Rectangle 65">
            <a:extLst>
              <a:ext uri="{FF2B5EF4-FFF2-40B4-BE49-F238E27FC236}">
                <a16:creationId xmlns:a16="http://schemas.microsoft.com/office/drawing/2014/main" id="{00000000-0008-0000-03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1531" name="Rectangle 66">
            <a:extLst>
              <a:ext uri="{FF2B5EF4-FFF2-40B4-BE49-F238E27FC236}">
                <a16:creationId xmlns:a16="http://schemas.microsoft.com/office/drawing/2014/main" id="{00000000-0008-0000-03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532" name="Rectangle 67">
            <a:extLst>
              <a:ext uri="{FF2B5EF4-FFF2-40B4-BE49-F238E27FC236}">
                <a16:creationId xmlns:a16="http://schemas.microsoft.com/office/drawing/2014/main" id="{00000000-0008-0000-03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533" name="Rectangle 68">
            <a:extLst>
              <a:ext uri="{FF2B5EF4-FFF2-40B4-BE49-F238E27FC236}">
                <a16:creationId xmlns:a16="http://schemas.microsoft.com/office/drawing/2014/main" id="{00000000-0008-0000-03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1534" name="Rectangle 69">
            <a:extLst>
              <a:ext uri="{FF2B5EF4-FFF2-40B4-BE49-F238E27FC236}">
                <a16:creationId xmlns:a16="http://schemas.microsoft.com/office/drawing/2014/main" id="{00000000-0008-0000-03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535" name="Rectangle 70">
                <a:extLst>
                  <a:ext uri="{FF2B5EF4-FFF2-40B4-BE49-F238E27FC236}">
                    <a16:creationId xmlns:a16="http://schemas.microsoft.com/office/drawing/2014/main" id="{00000000-0008-0000-0300-00005B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1535" name="Rectangle 70">
                <a:extLst>
                  <a:ext uri="{FF2B5EF4-FFF2-40B4-BE49-F238E27FC236}">
                    <a16:creationId xmlns:a16="http://schemas.microsoft.com/office/drawing/2014/main" id="{00000000-0008-0000-0300-00005B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1536" name="Rectangle 71">
            <a:extLst>
              <a:ext uri="{FF2B5EF4-FFF2-40B4-BE49-F238E27FC236}">
                <a16:creationId xmlns:a16="http://schemas.microsoft.com/office/drawing/2014/main" id="{00000000-0008-0000-03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537" name="Rectangle 72">
            <a:extLst>
              <a:ext uri="{FF2B5EF4-FFF2-40B4-BE49-F238E27FC236}">
                <a16:creationId xmlns:a16="http://schemas.microsoft.com/office/drawing/2014/main" id="{00000000-0008-0000-03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538" name="Rectangle 73">
            <a:extLst>
              <a:ext uri="{FF2B5EF4-FFF2-40B4-BE49-F238E27FC236}">
                <a16:creationId xmlns:a16="http://schemas.microsoft.com/office/drawing/2014/main" id="{00000000-0008-0000-03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539" name="Rectangle 74">
            <a:extLst>
              <a:ext uri="{FF2B5EF4-FFF2-40B4-BE49-F238E27FC236}">
                <a16:creationId xmlns:a16="http://schemas.microsoft.com/office/drawing/2014/main" id="{00000000-0008-0000-0300-00005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345</xdr:row>
          <xdr:rowOff>0</xdr:rowOff>
        </xdr:from>
        <xdr:to>
          <xdr:col>1</xdr:col>
          <xdr:colOff>647700</xdr:colOff>
          <xdr:row>347</xdr:row>
          <xdr:rowOff>104775</xdr:rowOff>
        </xdr:to>
        <xdr:sp macro="" textlink="">
          <xdr:nvSpPr>
            <xdr:cNvPr id="29048" name="Object 376" hidden="1">
              <a:extLst>
                <a:ext uri="{63B3BB69-23CF-44E3-9099-C40C66FF867C}">
                  <a14:compatExt spid="_x0000_s29048"/>
                </a:ext>
                <a:ext uri="{FF2B5EF4-FFF2-40B4-BE49-F238E27FC236}">
                  <a16:creationId xmlns:a16="http://schemas.microsoft.com/office/drawing/2014/main" id="{00000000-0008-0000-0200-00009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349</xdr:row>
          <xdr:rowOff>76200</xdr:rowOff>
        </xdr:from>
        <xdr:to>
          <xdr:col>1</xdr:col>
          <xdr:colOff>200025</xdr:colOff>
          <xdr:row>350</xdr:row>
          <xdr:rowOff>180975</xdr:rowOff>
        </xdr:to>
        <xdr:sp macro="" textlink="">
          <xdr:nvSpPr>
            <xdr:cNvPr id="29049" name="Object 377" hidden="1">
              <a:extLst>
                <a:ext uri="{63B3BB69-23CF-44E3-9099-C40C66FF867C}">
                  <a14:compatExt spid="_x0000_s29049"/>
                </a:ext>
                <a:ext uri="{FF2B5EF4-FFF2-40B4-BE49-F238E27FC236}">
                  <a16:creationId xmlns:a16="http://schemas.microsoft.com/office/drawing/2014/main" id="{00000000-0008-0000-0200-00009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331</xdr:row>
      <xdr:rowOff>0</xdr:rowOff>
    </xdr:from>
    <xdr:to>
      <xdr:col>2</xdr:col>
      <xdr:colOff>2458</xdr:colOff>
      <xdr:row>334</xdr:row>
      <xdr:rowOff>104775</xdr:rowOff>
    </xdr:to>
    <xdr:grpSp>
      <xdr:nvGrpSpPr>
        <xdr:cNvPr id="1540" name="Group 59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>
          <a:grpSpLocks noChangeAspect="1"/>
        </xdr:cNvGrpSpPr>
      </xdr:nvGrpSpPr>
      <xdr:grpSpPr bwMode="auto">
        <a:xfrm>
          <a:off x="0" y="62569859"/>
          <a:ext cx="2001366" cy="668226"/>
          <a:chOff x="0" y="83"/>
          <a:chExt cx="159" cy="71"/>
        </a:xfrm>
      </xdr:grpSpPr>
      <xdr:sp macro="" textlink="">
        <xdr:nvSpPr>
          <xdr:cNvPr id="1541" name="AutoShape 58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542" name="Line 64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3" name="Rectangle 65">
            <a:extLst>
              <a:ext uri="{FF2B5EF4-FFF2-40B4-BE49-F238E27FC236}">
                <a16:creationId xmlns:a16="http://schemas.microsoft.com/office/drawing/2014/main" id="{00000000-0008-0000-0200-00002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544" name="Rectangle 66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545" name="Rectangle 67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546" name="Rectangle 68">
            <a:extLst>
              <a:ext uri="{FF2B5EF4-FFF2-40B4-BE49-F238E27FC236}">
                <a16:creationId xmlns:a16="http://schemas.microsoft.com/office/drawing/2014/main" id="{00000000-0008-0000-0200-00002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547" name="Rectangle 69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548" name="Rectangle 70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549" name="Rectangle 71">
            <a:extLst>
              <a:ext uri="{FF2B5EF4-FFF2-40B4-BE49-F238E27FC236}">
                <a16:creationId xmlns:a16="http://schemas.microsoft.com/office/drawing/2014/main" id="{00000000-0008-0000-0200-00002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550" name="Rectangle 72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551" name="Rectangle 73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552" name="Rectangle 74">
            <a:extLst>
              <a:ext uri="{FF2B5EF4-FFF2-40B4-BE49-F238E27FC236}">
                <a16:creationId xmlns:a16="http://schemas.microsoft.com/office/drawing/2014/main" id="{00000000-0008-0000-0200-00002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342</xdr:row>
          <xdr:rowOff>19050</xdr:rowOff>
        </xdr:from>
        <xdr:to>
          <xdr:col>2</xdr:col>
          <xdr:colOff>133350</xdr:colOff>
          <xdr:row>343</xdr:row>
          <xdr:rowOff>161925</xdr:rowOff>
        </xdr:to>
        <xdr:sp macro="" textlink="">
          <xdr:nvSpPr>
            <xdr:cNvPr id="29050" name="Object 378" hidden="1">
              <a:extLst>
                <a:ext uri="{63B3BB69-23CF-44E3-9099-C40C66FF867C}">
                  <a14:compatExt spid="_x0000_s29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238125</xdr:colOff>
          <xdr:row>16</xdr:row>
          <xdr:rowOff>19050</xdr:rowOff>
        </xdr:from>
        <xdr:ext cx="1894133" cy="330691"/>
        <xdr:sp macro="" textlink="">
          <xdr:nvSpPr>
            <xdr:cNvPr id="29051" name="Object 379" hidden="1">
              <a:extLst>
                <a:ext uri="{63B3BB69-23CF-44E3-9099-C40C66FF867C}">
                  <a14:compatExt spid="_x0000_s29051"/>
                </a:ext>
                <a:ext uri="{FF2B5EF4-FFF2-40B4-BE49-F238E27FC236}">
                  <a16:creationId xmlns:a16="http://schemas.microsoft.com/office/drawing/2014/main" id="{00000000-0008-0000-0200-00008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219075</xdr:colOff>
          <xdr:row>19</xdr:row>
          <xdr:rowOff>0</xdr:rowOff>
        </xdr:from>
        <xdr:ext cx="1193308" cy="480409"/>
        <xdr:sp macro="" textlink="">
          <xdr:nvSpPr>
            <xdr:cNvPr id="29052" name="Object 380" hidden="1">
              <a:extLst>
                <a:ext uri="{63B3BB69-23CF-44E3-9099-C40C66FF867C}">
                  <a14:compatExt spid="_x0000_s29052"/>
                </a:ext>
                <a:ext uri="{FF2B5EF4-FFF2-40B4-BE49-F238E27FC236}">
                  <a16:creationId xmlns:a16="http://schemas.microsoft.com/office/drawing/2014/main" id="{00000000-0008-0000-0200-00008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28575</xdr:colOff>
          <xdr:row>23</xdr:row>
          <xdr:rowOff>76200</xdr:rowOff>
        </xdr:from>
        <xdr:ext cx="936133" cy="292592"/>
        <xdr:sp macro="" textlink="">
          <xdr:nvSpPr>
            <xdr:cNvPr id="29053" name="Object 381" hidden="1">
              <a:extLst>
                <a:ext uri="{63B3BB69-23CF-44E3-9099-C40C66FF867C}">
                  <a14:compatExt spid="_x0000_s29053"/>
                </a:ext>
                <a:ext uri="{FF2B5EF4-FFF2-40B4-BE49-F238E27FC236}">
                  <a16:creationId xmlns:a16="http://schemas.microsoft.com/office/drawing/2014/main" id="{00000000-0008-0000-0200-00008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oneCellAnchor>
    </mc:Choice>
    <mc:Fallback/>
  </mc:AlternateContent>
  <xdr:twoCellAnchor>
    <xdr:from>
      <xdr:col>0</xdr:col>
      <xdr:colOff>152400</xdr:colOff>
      <xdr:row>4</xdr:row>
      <xdr:rowOff>85725</xdr:rowOff>
    </xdr:from>
    <xdr:to>
      <xdr:col>2</xdr:col>
      <xdr:colOff>0</xdr:colOff>
      <xdr:row>8</xdr:row>
      <xdr:rowOff>0</xdr:rowOff>
    </xdr:to>
    <xdr:grpSp>
      <xdr:nvGrpSpPr>
        <xdr:cNvPr id="1553" name="Group 59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>
          <a:grpSpLocks noChangeAspect="1"/>
        </xdr:cNvGrpSpPr>
      </xdr:nvGrpSpPr>
      <xdr:grpSpPr bwMode="auto">
        <a:xfrm>
          <a:off x="152400" y="877239"/>
          <a:ext cx="1846508" cy="665543"/>
          <a:chOff x="0" y="83"/>
          <a:chExt cx="159" cy="71"/>
        </a:xfrm>
      </xdr:grpSpPr>
      <xdr:sp macro="" textlink="">
        <xdr:nvSpPr>
          <xdr:cNvPr id="1554" name="AutoShape 58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555" name="Line 64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6" name="Rectangle 65">
            <a:extLst>
              <a:ext uri="{FF2B5EF4-FFF2-40B4-BE49-F238E27FC236}">
                <a16:creationId xmlns:a16="http://schemas.microsoft.com/office/drawing/2014/main" id="{00000000-0008-0000-02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1713" name="Rectangle 66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714" name="Rectangle 67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715" name="Rectangle 68">
            <a:extLst>
              <a:ext uri="{FF2B5EF4-FFF2-40B4-BE49-F238E27FC236}">
                <a16:creationId xmlns:a16="http://schemas.microsoft.com/office/drawing/2014/main" id="{00000000-0008-0000-0200-000068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16" name="Rectangle 69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17" name="Rectangle 70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67" y="116"/>
            <a:ext cx="19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718" name="Rectangle 71">
            <a:extLst>
              <a:ext uri="{FF2B5EF4-FFF2-40B4-BE49-F238E27FC236}">
                <a16:creationId xmlns:a16="http://schemas.microsoft.com/office/drawing/2014/main" id="{00000000-0008-0000-02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719" name="Rectangle 72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720" name="Rectangle 73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721" name="Rectangle 74">
            <a:extLst>
              <a:ext uri="{FF2B5EF4-FFF2-40B4-BE49-F238E27FC236}">
                <a16:creationId xmlns:a16="http://schemas.microsoft.com/office/drawing/2014/main" id="{00000000-0008-0000-02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16</xdr:row>
          <xdr:rowOff>19050</xdr:rowOff>
        </xdr:from>
        <xdr:to>
          <xdr:col>2</xdr:col>
          <xdr:colOff>76200</xdr:colOff>
          <xdr:row>17</xdr:row>
          <xdr:rowOff>161925</xdr:rowOff>
        </xdr:to>
        <xdr:sp macro="" textlink="">
          <xdr:nvSpPr>
            <xdr:cNvPr id="17450" name="Object 42" hidden="1">
              <a:extLst>
                <a:ext uri="{63B3BB69-23CF-44E3-9099-C40C66FF867C}">
                  <a14:compatExt spid="_x0000_s17450"/>
                </a:ext>
                <a:ext uri="{FF2B5EF4-FFF2-40B4-BE49-F238E27FC236}">
                  <a16:creationId xmlns:a16="http://schemas.microsoft.com/office/drawing/2014/main" id="{00000000-0008-0000-0300-00002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19</xdr:row>
          <xdr:rowOff>0</xdr:rowOff>
        </xdr:from>
        <xdr:to>
          <xdr:col>1</xdr:col>
          <xdr:colOff>400050</xdr:colOff>
          <xdr:row>21</xdr:row>
          <xdr:rowOff>104775</xdr:rowOff>
        </xdr:to>
        <xdr:sp macro="" textlink="">
          <xdr:nvSpPr>
            <xdr:cNvPr id="17451" name="Object 43" hidden="1">
              <a:extLst>
                <a:ext uri="{63B3BB69-23CF-44E3-9099-C40C66FF867C}">
                  <a14:compatExt spid="_x0000_s17451"/>
                </a:ext>
                <a:ext uri="{FF2B5EF4-FFF2-40B4-BE49-F238E27FC236}">
                  <a16:creationId xmlns:a16="http://schemas.microsoft.com/office/drawing/2014/main" id="{00000000-0008-0000-0300-00002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23</xdr:row>
          <xdr:rowOff>76200</xdr:rowOff>
        </xdr:from>
        <xdr:to>
          <xdr:col>0</xdr:col>
          <xdr:colOff>962025</xdr:colOff>
          <xdr:row>24</xdr:row>
          <xdr:rowOff>180975</xdr:rowOff>
        </xdr:to>
        <xdr:sp macro="" textlink="">
          <xdr:nvSpPr>
            <xdr:cNvPr id="17452" name="Object 44" hidden="1">
              <a:extLst>
                <a:ext uri="{63B3BB69-23CF-44E3-9099-C40C66FF867C}">
                  <a14:compatExt spid="_x0000_s17452"/>
                </a:ext>
                <a:ext uri="{FF2B5EF4-FFF2-40B4-BE49-F238E27FC236}">
                  <a16:creationId xmlns:a16="http://schemas.microsoft.com/office/drawing/2014/main" id="{00000000-0008-0000-0300-00002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40</xdr:row>
          <xdr:rowOff>19050</xdr:rowOff>
        </xdr:from>
        <xdr:to>
          <xdr:col>2</xdr:col>
          <xdr:colOff>76200</xdr:colOff>
          <xdr:row>41</xdr:row>
          <xdr:rowOff>161925</xdr:rowOff>
        </xdr:to>
        <xdr:sp macro="" textlink="">
          <xdr:nvSpPr>
            <xdr:cNvPr id="17657" name="Object 249" hidden="1">
              <a:extLst>
                <a:ext uri="{63B3BB69-23CF-44E3-9099-C40C66FF867C}">
                  <a14:compatExt spid="_x0000_s17657"/>
                </a:ext>
                <a:ext uri="{FF2B5EF4-FFF2-40B4-BE49-F238E27FC236}">
                  <a16:creationId xmlns:a16="http://schemas.microsoft.com/office/drawing/2014/main" id="{00000000-0008-0000-0300-0000F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43</xdr:row>
          <xdr:rowOff>0</xdr:rowOff>
        </xdr:from>
        <xdr:to>
          <xdr:col>1</xdr:col>
          <xdr:colOff>400050</xdr:colOff>
          <xdr:row>45</xdr:row>
          <xdr:rowOff>104775</xdr:rowOff>
        </xdr:to>
        <xdr:sp macro="" textlink="">
          <xdr:nvSpPr>
            <xdr:cNvPr id="17658" name="Object 250" hidden="1">
              <a:extLst>
                <a:ext uri="{63B3BB69-23CF-44E3-9099-C40C66FF867C}">
                  <a14:compatExt spid="_x0000_s17658"/>
                </a:ext>
                <a:ext uri="{FF2B5EF4-FFF2-40B4-BE49-F238E27FC236}">
                  <a16:creationId xmlns:a16="http://schemas.microsoft.com/office/drawing/2014/main" id="{00000000-0008-0000-0300-0000F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47</xdr:row>
          <xdr:rowOff>76200</xdr:rowOff>
        </xdr:from>
        <xdr:to>
          <xdr:col>0</xdr:col>
          <xdr:colOff>962025</xdr:colOff>
          <xdr:row>48</xdr:row>
          <xdr:rowOff>180975</xdr:rowOff>
        </xdr:to>
        <xdr:sp macro="" textlink="">
          <xdr:nvSpPr>
            <xdr:cNvPr id="17659" name="Object 251" hidden="1">
              <a:extLst>
                <a:ext uri="{63B3BB69-23CF-44E3-9099-C40C66FF867C}">
                  <a14:compatExt spid="_x0000_s17659"/>
                </a:ext>
                <a:ext uri="{FF2B5EF4-FFF2-40B4-BE49-F238E27FC236}">
                  <a16:creationId xmlns:a16="http://schemas.microsoft.com/office/drawing/2014/main" id="{00000000-0008-0000-0300-0000F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64</xdr:row>
          <xdr:rowOff>19050</xdr:rowOff>
        </xdr:from>
        <xdr:to>
          <xdr:col>2</xdr:col>
          <xdr:colOff>76200</xdr:colOff>
          <xdr:row>65</xdr:row>
          <xdr:rowOff>161925</xdr:rowOff>
        </xdr:to>
        <xdr:sp macro="" textlink="">
          <xdr:nvSpPr>
            <xdr:cNvPr id="17660" name="Object 252" hidden="1">
              <a:extLst>
                <a:ext uri="{63B3BB69-23CF-44E3-9099-C40C66FF867C}">
                  <a14:compatExt spid="_x0000_s17660"/>
                </a:ext>
                <a:ext uri="{FF2B5EF4-FFF2-40B4-BE49-F238E27FC236}">
                  <a16:creationId xmlns:a16="http://schemas.microsoft.com/office/drawing/2014/main" id="{00000000-0008-0000-0300-0000F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67</xdr:row>
          <xdr:rowOff>0</xdr:rowOff>
        </xdr:from>
        <xdr:to>
          <xdr:col>1</xdr:col>
          <xdr:colOff>400050</xdr:colOff>
          <xdr:row>69</xdr:row>
          <xdr:rowOff>104775</xdr:rowOff>
        </xdr:to>
        <xdr:sp macro="" textlink="">
          <xdr:nvSpPr>
            <xdr:cNvPr id="17661" name="Object 253" hidden="1">
              <a:extLst>
                <a:ext uri="{63B3BB69-23CF-44E3-9099-C40C66FF867C}">
                  <a14:compatExt spid="_x0000_s17661"/>
                </a:ext>
                <a:ext uri="{FF2B5EF4-FFF2-40B4-BE49-F238E27FC236}">
                  <a16:creationId xmlns:a16="http://schemas.microsoft.com/office/drawing/2014/main" id="{00000000-0008-0000-0300-0000F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71</xdr:row>
          <xdr:rowOff>76200</xdr:rowOff>
        </xdr:from>
        <xdr:to>
          <xdr:col>0</xdr:col>
          <xdr:colOff>962025</xdr:colOff>
          <xdr:row>72</xdr:row>
          <xdr:rowOff>180975</xdr:rowOff>
        </xdr:to>
        <xdr:sp macro="" textlink="">
          <xdr:nvSpPr>
            <xdr:cNvPr id="17662" name="Object 254" hidden="1">
              <a:extLst>
                <a:ext uri="{63B3BB69-23CF-44E3-9099-C40C66FF867C}">
                  <a14:compatExt spid="_x0000_s17662"/>
                </a:ext>
                <a:ext uri="{FF2B5EF4-FFF2-40B4-BE49-F238E27FC236}">
                  <a16:creationId xmlns:a16="http://schemas.microsoft.com/office/drawing/2014/main" id="{00000000-0008-0000-0300-0000F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88</xdr:row>
          <xdr:rowOff>19050</xdr:rowOff>
        </xdr:from>
        <xdr:to>
          <xdr:col>2</xdr:col>
          <xdr:colOff>76200</xdr:colOff>
          <xdr:row>89</xdr:row>
          <xdr:rowOff>161925</xdr:rowOff>
        </xdr:to>
        <xdr:sp macro="" textlink="">
          <xdr:nvSpPr>
            <xdr:cNvPr id="17663" name="Object 255" hidden="1">
              <a:extLst>
                <a:ext uri="{63B3BB69-23CF-44E3-9099-C40C66FF867C}">
                  <a14:compatExt spid="_x0000_s17663"/>
                </a:ext>
                <a:ext uri="{FF2B5EF4-FFF2-40B4-BE49-F238E27FC236}">
                  <a16:creationId xmlns:a16="http://schemas.microsoft.com/office/drawing/2014/main" id="{00000000-0008-0000-0300-0000F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91</xdr:row>
          <xdr:rowOff>0</xdr:rowOff>
        </xdr:from>
        <xdr:to>
          <xdr:col>1</xdr:col>
          <xdr:colOff>400050</xdr:colOff>
          <xdr:row>93</xdr:row>
          <xdr:rowOff>104775</xdr:rowOff>
        </xdr:to>
        <xdr:sp macro="" textlink="">
          <xdr:nvSpPr>
            <xdr:cNvPr id="17664" name="Object 256" hidden="1">
              <a:extLst>
                <a:ext uri="{63B3BB69-23CF-44E3-9099-C40C66FF867C}">
                  <a14:compatExt spid="_x0000_s17664"/>
                </a:ext>
                <a:ext uri="{FF2B5EF4-FFF2-40B4-BE49-F238E27FC236}">
                  <a16:creationId xmlns:a16="http://schemas.microsoft.com/office/drawing/2014/main" id="{00000000-0008-0000-0300-000000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95</xdr:row>
          <xdr:rowOff>76200</xdr:rowOff>
        </xdr:from>
        <xdr:to>
          <xdr:col>0</xdr:col>
          <xdr:colOff>962025</xdr:colOff>
          <xdr:row>96</xdr:row>
          <xdr:rowOff>180975</xdr:rowOff>
        </xdr:to>
        <xdr:sp macro="" textlink="">
          <xdr:nvSpPr>
            <xdr:cNvPr id="17665" name="Object 257" hidden="1">
              <a:extLst>
                <a:ext uri="{63B3BB69-23CF-44E3-9099-C40C66FF867C}">
                  <a14:compatExt spid="_x0000_s17665"/>
                </a:ext>
                <a:ext uri="{FF2B5EF4-FFF2-40B4-BE49-F238E27FC236}">
                  <a16:creationId xmlns:a16="http://schemas.microsoft.com/office/drawing/2014/main" id="{00000000-0008-0000-0300-000001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112</xdr:row>
          <xdr:rowOff>19050</xdr:rowOff>
        </xdr:from>
        <xdr:to>
          <xdr:col>2</xdr:col>
          <xdr:colOff>76200</xdr:colOff>
          <xdr:row>113</xdr:row>
          <xdr:rowOff>161925</xdr:rowOff>
        </xdr:to>
        <xdr:sp macro="" textlink="">
          <xdr:nvSpPr>
            <xdr:cNvPr id="17666" name="Object 258" hidden="1">
              <a:extLst>
                <a:ext uri="{63B3BB69-23CF-44E3-9099-C40C66FF867C}">
                  <a14:compatExt spid="_x0000_s17666"/>
                </a:ext>
                <a:ext uri="{FF2B5EF4-FFF2-40B4-BE49-F238E27FC236}">
                  <a16:creationId xmlns:a16="http://schemas.microsoft.com/office/drawing/2014/main" id="{00000000-0008-0000-0300-000002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115</xdr:row>
          <xdr:rowOff>0</xdr:rowOff>
        </xdr:from>
        <xdr:to>
          <xdr:col>1</xdr:col>
          <xdr:colOff>400050</xdr:colOff>
          <xdr:row>117</xdr:row>
          <xdr:rowOff>104775</xdr:rowOff>
        </xdr:to>
        <xdr:sp macro="" textlink="">
          <xdr:nvSpPr>
            <xdr:cNvPr id="17667" name="Object 259" hidden="1">
              <a:extLst>
                <a:ext uri="{63B3BB69-23CF-44E3-9099-C40C66FF867C}">
                  <a14:compatExt spid="_x0000_s17667"/>
                </a:ext>
                <a:ext uri="{FF2B5EF4-FFF2-40B4-BE49-F238E27FC236}">
                  <a16:creationId xmlns:a16="http://schemas.microsoft.com/office/drawing/2014/main" id="{00000000-0008-0000-0300-000003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119</xdr:row>
          <xdr:rowOff>76200</xdr:rowOff>
        </xdr:from>
        <xdr:to>
          <xdr:col>0</xdr:col>
          <xdr:colOff>962025</xdr:colOff>
          <xdr:row>120</xdr:row>
          <xdr:rowOff>180975</xdr:rowOff>
        </xdr:to>
        <xdr:sp macro="" textlink="">
          <xdr:nvSpPr>
            <xdr:cNvPr id="17668" name="Object 260" hidden="1">
              <a:extLst>
                <a:ext uri="{63B3BB69-23CF-44E3-9099-C40C66FF867C}">
                  <a14:compatExt spid="_x0000_s17668"/>
                </a:ext>
                <a:ext uri="{FF2B5EF4-FFF2-40B4-BE49-F238E27FC236}">
                  <a16:creationId xmlns:a16="http://schemas.microsoft.com/office/drawing/2014/main" id="{00000000-0008-0000-0300-000004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136</xdr:row>
          <xdr:rowOff>19050</xdr:rowOff>
        </xdr:from>
        <xdr:to>
          <xdr:col>2</xdr:col>
          <xdr:colOff>76200</xdr:colOff>
          <xdr:row>137</xdr:row>
          <xdr:rowOff>161925</xdr:rowOff>
        </xdr:to>
        <xdr:sp macro="" textlink="">
          <xdr:nvSpPr>
            <xdr:cNvPr id="17669" name="Object 261" hidden="1">
              <a:extLst>
                <a:ext uri="{63B3BB69-23CF-44E3-9099-C40C66FF867C}">
                  <a14:compatExt spid="_x0000_s17669"/>
                </a:ext>
                <a:ext uri="{FF2B5EF4-FFF2-40B4-BE49-F238E27FC236}">
                  <a16:creationId xmlns:a16="http://schemas.microsoft.com/office/drawing/2014/main" id="{00000000-0008-0000-0300-000005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139</xdr:row>
          <xdr:rowOff>0</xdr:rowOff>
        </xdr:from>
        <xdr:to>
          <xdr:col>1</xdr:col>
          <xdr:colOff>400050</xdr:colOff>
          <xdr:row>141</xdr:row>
          <xdr:rowOff>104775</xdr:rowOff>
        </xdr:to>
        <xdr:sp macro="" textlink="">
          <xdr:nvSpPr>
            <xdr:cNvPr id="17670" name="Object 262" hidden="1">
              <a:extLst>
                <a:ext uri="{63B3BB69-23CF-44E3-9099-C40C66FF867C}">
                  <a14:compatExt spid="_x0000_s17670"/>
                </a:ext>
                <a:ext uri="{FF2B5EF4-FFF2-40B4-BE49-F238E27FC236}">
                  <a16:creationId xmlns:a16="http://schemas.microsoft.com/office/drawing/2014/main" id="{00000000-0008-0000-0300-000006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143</xdr:row>
          <xdr:rowOff>76200</xdr:rowOff>
        </xdr:from>
        <xdr:to>
          <xdr:col>0</xdr:col>
          <xdr:colOff>962025</xdr:colOff>
          <xdr:row>144</xdr:row>
          <xdr:rowOff>180975</xdr:rowOff>
        </xdr:to>
        <xdr:sp macro="" textlink="">
          <xdr:nvSpPr>
            <xdr:cNvPr id="17671" name="Object 263" hidden="1">
              <a:extLst>
                <a:ext uri="{63B3BB69-23CF-44E3-9099-C40C66FF867C}">
                  <a14:compatExt spid="_x0000_s17671"/>
                </a:ext>
                <a:ext uri="{FF2B5EF4-FFF2-40B4-BE49-F238E27FC236}">
                  <a16:creationId xmlns:a16="http://schemas.microsoft.com/office/drawing/2014/main" id="{00000000-0008-0000-0300-000007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160</xdr:row>
          <xdr:rowOff>19050</xdr:rowOff>
        </xdr:from>
        <xdr:to>
          <xdr:col>2</xdr:col>
          <xdr:colOff>76200</xdr:colOff>
          <xdr:row>161</xdr:row>
          <xdr:rowOff>161925</xdr:rowOff>
        </xdr:to>
        <xdr:sp macro="" textlink="">
          <xdr:nvSpPr>
            <xdr:cNvPr id="17672" name="Object 264" hidden="1">
              <a:extLst>
                <a:ext uri="{63B3BB69-23CF-44E3-9099-C40C66FF867C}">
                  <a14:compatExt spid="_x0000_s17672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163</xdr:row>
          <xdr:rowOff>0</xdr:rowOff>
        </xdr:from>
        <xdr:to>
          <xdr:col>1</xdr:col>
          <xdr:colOff>400050</xdr:colOff>
          <xdr:row>165</xdr:row>
          <xdr:rowOff>104775</xdr:rowOff>
        </xdr:to>
        <xdr:sp macro="" textlink="">
          <xdr:nvSpPr>
            <xdr:cNvPr id="17673" name="Object 265" hidden="1">
              <a:extLst>
                <a:ext uri="{63B3BB69-23CF-44E3-9099-C40C66FF867C}">
                  <a14:compatExt spid="_x0000_s17673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167</xdr:row>
          <xdr:rowOff>76200</xdr:rowOff>
        </xdr:from>
        <xdr:to>
          <xdr:col>0</xdr:col>
          <xdr:colOff>962025</xdr:colOff>
          <xdr:row>168</xdr:row>
          <xdr:rowOff>180975</xdr:rowOff>
        </xdr:to>
        <xdr:sp macro="" textlink="">
          <xdr:nvSpPr>
            <xdr:cNvPr id="17674" name="Object 266" hidden="1">
              <a:extLst>
                <a:ext uri="{63B3BB69-23CF-44E3-9099-C40C66FF867C}">
                  <a14:compatExt spid="_x0000_s17674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5</xdr:row>
      <xdr:rowOff>0</xdr:rowOff>
    </xdr:from>
    <xdr:to>
      <xdr:col>1</xdr:col>
      <xdr:colOff>847725</xdr:colOff>
      <xdr:row>8</xdr:row>
      <xdr:rowOff>104775</xdr:rowOff>
    </xdr:to>
    <xdr:grpSp>
      <xdr:nvGrpSpPr>
        <xdr:cNvPr id="339" name="Group 59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GrpSpPr>
          <a:grpSpLocks noChangeAspect="1"/>
        </xdr:cNvGrpSpPr>
      </xdr:nvGrpSpPr>
      <xdr:grpSpPr bwMode="auto">
        <a:xfrm>
          <a:off x="0" y="963576"/>
          <a:ext cx="1855603" cy="669629"/>
          <a:chOff x="0" y="83"/>
          <a:chExt cx="159" cy="71"/>
        </a:xfrm>
      </xdr:grpSpPr>
      <xdr:sp macro="" textlink="">
        <xdr:nvSpPr>
          <xdr:cNvPr id="340" name="AutoShape 58">
            <a:extLst>
              <a:ext uri="{FF2B5EF4-FFF2-40B4-BE49-F238E27FC236}">
                <a16:creationId xmlns:a16="http://schemas.microsoft.com/office/drawing/2014/main" id="{00000000-0008-0000-0300-000054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41" name="Line 64">
            <a:extLst>
              <a:ext uri="{FF2B5EF4-FFF2-40B4-BE49-F238E27FC236}">
                <a16:creationId xmlns:a16="http://schemas.microsoft.com/office/drawing/2014/main" id="{00000000-0008-0000-0300-000055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" name="Rectangle 65">
            <a:extLst>
              <a:ext uri="{FF2B5EF4-FFF2-40B4-BE49-F238E27FC236}">
                <a16:creationId xmlns:a16="http://schemas.microsoft.com/office/drawing/2014/main" id="{00000000-0008-0000-0300-000056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343" name="Rectangle 66">
            <a:extLst>
              <a:ext uri="{FF2B5EF4-FFF2-40B4-BE49-F238E27FC236}">
                <a16:creationId xmlns:a16="http://schemas.microsoft.com/office/drawing/2014/main" id="{00000000-0008-0000-0300-000057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44" name="Rectangle 67">
            <a:extLst>
              <a:ext uri="{FF2B5EF4-FFF2-40B4-BE49-F238E27FC236}">
                <a16:creationId xmlns:a16="http://schemas.microsoft.com/office/drawing/2014/main" id="{00000000-0008-0000-0300-000058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45" name="Rectangle 68">
            <a:extLst>
              <a:ext uri="{FF2B5EF4-FFF2-40B4-BE49-F238E27FC236}">
                <a16:creationId xmlns:a16="http://schemas.microsoft.com/office/drawing/2014/main" id="{00000000-0008-0000-0300-000059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346" name="Rectangle 69">
            <a:extLst>
              <a:ext uri="{FF2B5EF4-FFF2-40B4-BE49-F238E27FC236}">
                <a16:creationId xmlns:a16="http://schemas.microsoft.com/office/drawing/2014/main" id="{00000000-0008-0000-0300-00005A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47" name="Rectangle 70">
                <a:extLst>
                  <a:ext uri="{FF2B5EF4-FFF2-40B4-BE49-F238E27FC236}">
                    <a16:creationId xmlns:a16="http://schemas.microsoft.com/office/drawing/2014/main" id="{00000000-0008-0000-0300-00005B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347" name="Rectangle 70">
                <a:extLst>
                  <a:ext uri="{FF2B5EF4-FFF2-40B4-BE49-F238E27FC236}">
                    <a16:creationId xmlns:a16="http://schemas.microsoft.com/office/drawing/2014/main" id="{BAB83D5B-80EF-44E7-8208-F1E0D17399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348" name="Rectangle 71">
            <a:extLst>
              <a:ext uri="{FF2B5EF4-FFF2-40B4-BE49-F238E27FC236}">
                <a16:creationId xmlns:a16="http://schemas.microsoft.com/office/drawing/2014/main" id="{00000000-0008-0000-0300-00005C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49" name="Rectangle 72">
            <a:extLst>
              <a:ext uri="{FF2B5EF4-FFF2-40B4-BE49-F238E27FC236}">
                <a16:creationId xmlns:a16="http://schemas.microsoft.com/office/drawing/2014/main" id="{00000000-0008-0000-0300-00005D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50" name="Rectangle 73">
            <a:extLst>
              <a:ext uri="{FF2B5EF4-FFF2-40B4-BE49-F238E27FC236}">
                <a16:creationId xmlns:a16="http://schemas.microsoft.com/office/drawing/2014/main" id="{00000000-0008-0000-0300-00005E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351" name="Rectangle 74">
            <a:extLst>
              <a:ext uri="{FF2B5EF4-FFF2-40B4-BE49-F238E27FC236}">
                <a16:creationId xmlns:a16="http://schemas.microsoft.com/office/drawing/2014/main" id="{00000000-0008-0000-0300-00005F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29</xdr:row>
      <xdr:rowOff>0</xdr:rowOff>
    </xdr:from>
    <xdr:to>
      <xdr:col>1</xdr:col>
      <xdr:colOff>847725</xdr:colOff>
      <xdr:row>32</xdr:row>
      <xdr:rowOff>104775</xdr:rowOff>
    </xdr:to>
    <xdr:grpSp>
      <xdr:nvGrpSpPr>
        <xdr:cNvPr id="352" name="Group 59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GrpSpPr>
          <a:grpSpLocks noChangeAspect="1"/>
        </xdr:cNvGrpSpPr>
      </xdr:nvGrpSpPr>
      <xdr:grpSpPr bwMode="auto">
        <a:xfrm>
          <a:off x="0" y="5493488"/>
          <a:ext cx="1855603" cy="669630"/>
          <a:chOff x="0" y="83"/>
          <a:chExt cx="159" cy="71"/>
        </a:xfrm>
      </xdr:grpSpPr>
      <xdr:sp macro="" textlink="">
        <xdr:nvSpPr>
          <xdr:cNvPr id="353" name="AutoShape 58">
            <a:extLst>
              <a:ext uri="{FF2B5EF4-FFF2-40B4-BE49-F238E27FC236}">
                <a16:creationId xmlns:a16="http://schemas.microsoft.com/office/drawing/2014/main" id="{00000000-0008-0000-0300-000061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4" name="Line 64">
            <a:extLst>
              <a:ext uri="{FF2B5EF4-FFF2-40B4-BE49-F238E27FC236}">
                <a16:creationId xmlns:a16="http://schemas.microsoft.com/office/drawing/2014/main" id="{00000000-0008-0000-0300-000062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" name="Rectangle 65">
            <a:extLst>
              <a:ext uri="{FF2B5EF4-FFF2-40B4-BE49-F238E27FC236}">
                <a16:creationId xmlns:a16="http://schemas.microsoft.com/office/drawing/2014/main" id="{00000000-0008-0000-0300-000063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356" name="Rectangle 66">
            <a:extLst>
              <a:ext uri="{FF2B5EF4-FFF2-40B4-BE49-F238E27FC236}">
                <a16:creationId xmlns:a16="http://schemas.microsoft.com/office/drawing/2014/main" id="{00000000-0008-0000-0300-000064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57" name="Rectangle 67">
            <a:extLst>
              <a:ext uri="{FF2B5EF4-FFF2-40B4-BE49-F238E27FC236}">
                <a16:creationId xmlns:a16="http://schemas.microsoft.com/office/drawing/2014/main" id="{00000000-0008-0000-0300-000065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58" name="Rectangle 68">
            <a:extLst>
              <a:ext uri="{FF2B5EF4-FFF2-40B4-BE49-F238E27FC236}">
                <a16:creationId xmlns:a16="http://schemas.microsoft.com/office/drawing/2014/main" id="{00000000-0008-0000-0300-000066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359" name="Rectangle 69">
            <a:extLst>
              <a:ext uri="{FF2B5EF4-FFF2-40B4-BE49-F238E27FC236}">
                <a16:creationId xmlns:a16="http://schemas.microsoft.com/office/drawing/2014/main" id="{00000000-0008-0000-0300-000067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60" name="Rectangle 70">
                <a:extLst>
                  <a:ext uri="{FF2B5EF4-FFF2-40B4-BE49-F238E27FC236}">
                    <a16:creationId xmlns:a16="http://schemas.microsoft.com/office/drawing/2014/main" id="{00000000-0008-0000-0300-000068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360" name="Rectangle 70">
                <a:extLst>
                  <a:ext uri="{FF2B5EF4-FFF2-40B4-BE49-F238E27FC236}">
                    <a16:creationId xmlns:a16="http://schemas.microsoft.com/office/drawing/2014/main" id="{BAB83D5B-80EF-44E7-8208-F1E0D17399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361" name="Rectangle 71">
            <a:extLst>
              <a:ext uri="{FF2B5EF4-FFF2-40B4-BE49-F238E27FC236}">
                <a16:creationId xmlns:a16="http://schemas.microsoft.com/office/drawing/2014/main" id="{00000000-0008-0000-0300-000069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62" name="Rectangle 72">
            <a:extLst>
              <a:ext uri="{FF2B5EF4-FFF2-40B4-BE49-F238E27FC236}">
                <a16:creationId xmlns:a16="http://schemas.microsoft.com/office/drawing/2014/main" id="{00000000-0008-0000-03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63" name="Rectangle 73">
            <a:extLst>
              <a:ext uri="{FF2B5EF4-FFF2-40B4-BE49-F238E27FC236}">
                <a16:creationId xmlns:a16="http://schemas.microsoft.com/office/drawing/2014/main" id="{00000000-0008-0000-03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364" name="Rectangle 74">
            <a:extLst>
              <a:ext uri="{FF2B5EF4-FFF2-40B4-BE49-F238E27FC236}">
                <a16:creationId xmlns:a16="http://schemas.microsoft.com/office/drawing/2014/main" id="{00000000-0008-0000-0300-00006C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53</xdr:row>
      <xdr:rowOff>0</xdr:rowOff>
    </xdr:from>
    <xdr:to>
      <xdr:col>1</xdr:col>
      <xdr:colOff>847725</xdr:colOff>
      <xdr:row>56</xdr:row>
      <xdr:rowOff>104775</xdr:rowOff>
    </xdr:to>
    <xdr:grpSp>
      <xdr:nvGrpSpPr>
        <xdr:cNvPr id="365" name="Group 59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GrpSpPr>
          <a:grpSpLocks noChangeAspect="1"/>
        </xdr:cNvGrpSpPr>
      </xdr:nvGrpSpPr>
      <xdr:grpSpPr bwMode="auto">
        <a:xfrm>
          <a:off x="0" y="10023401"/>
          <a:ext cx="1855603" cy="669630"/>
          <a:chOff x="0" y="83"/>
          <a:chExt cx="159" cy="71"/>
        </a:xfrm>
      </xdr:grpSpPr>
      <xdr:sp macro="" textlink="">
        <xdr:nvSpPr>
          <xdr:cNvPr id="366" name="AutoShape 58">
            <a:extLst>
              <a:ext uri="{FF2B5EF4-FFF2-40B4-BE49-F238E27FC236}">
                <a16:creationId xmlns:a16="http://schemas.microsoft.com/office/drawing/2014/main" id="{00000000-0008-0000-0300-00006E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67" name="Line 64">
            <a:extLst>
              <a:ext uri="{FF2B5EF4-FFF2-40B4-BE49-F238E27FC236}">
                <a16:creationId xmlns:a16="http://schemas.microsoft.com/office/drawing/2014/main" id="{00000000-0008-0000-0300-00006F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8" name="Rectangle 65">
            <a:extLst>
              <a:ext uri="{FF2B5EF4-FFF2-40B4-BE49-F238E27FC236}">
                <a16:creationId xmlns:a16="http://schemas.microsoft.com/office/drawing/2014/main" id="{00000000-0008-0000-0300-000070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369" name="Rectangle 66">
            <a:extLst>
              <a:ext uri="{FF2B5EF4-FFF2-40B4-BE49-F238E27FC236}">
                <a16:creationId xmlns:a16="http://schemas.microsoft.com/office/drawing/2014/main" id="{00000000-0008-0000-0300-000071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70" name="Rectangle 67">
            <a:extLst>
              <a:ext uri="{FF2B5EF4-FFF2-40B4-BE49-F238E27FC236}">
                <a16:creationId xmlns:a16="http://schemas.microsoft.com/office/drawing/2014/main" id="{00000000-0008-0000-0300-000072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71" name="Rectangle 68">
            <a:extLst>
              <a:ext uri="{FF2B5EF4-FFF2-40B4-BE49-F238E27FC236}">
                <a16:creationId xmlns:a16="http://schemas.microsoft.com/office/drawing/2014/main" id="{00000000-0008-0000-0300-000073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372" name="Rectangle 69">
            <a:extLst>
              <a:ext uri="{FF2B5EF4-FFF2-40B4-BE49-F238E27FC236}">
                <a16:creationId xmlns:a16="http://schemas.microsoft.com/office/drawing/2014/main" id="{00000000-0008-0000-0300-000074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73" name="Rectangle 70">
                <a:extLst>
                  <a:ext uri="{FF2B5EF4-FFF2-40B4-BE49-F238E27FC236}">
                    <a16:creationId xmlns:a16="http://schemas.microsoft.com/office/drawing/2014/main" id="{00000000-0008-0000-0300-000075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373" name="Rectangle 70">
                <a:extLst>
                  <a:ext uri="{FF2B5EF4-FFF2-40B4-BE49-F238E27FC236}">
                    <a16:creationId xmlns:a16="http://schemas.microsoft.com/office/drawing/2014/main" id="{BAB83D5B-80EF-44E7-8208-F1E0D17399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374" name="Rectangle 71">
            <a:extLst>
              <a:ext uri="{FF2B5EF4-FFF2-40B4-BE49-F238E27FC236}">
                <a16:creationId xmlns:a16="http://schemas.microsoft.com/office/drawing/2014/main" id="{00000000-0008-0000-0300-000076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75" name="Rectangle 72">
            <a:extLst>
              <a:ext uri="{FF2B5EF4-FFF2-40B4-BE49-F238E27FC236}">
                <a16:creationId xmlns:a16="http://schemas.microsoft.com/office/drawing/2014/main" id="{00000000-0008-0000-0300-000077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76" name="Rectangle 73">
            <a:extLst>
              <a:ext uri="{FF2B5EF4-FFF2-40B4-BE49-F238E27FC236}">
                <a16:creationId xmlns:a16="http://schemas.microsoft.com/office/drawing/2014/main" id="{00000000-0008-0000-0300-000078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377" name="Rectangle 74">
            <a:extLst>
              <a:ext uri="{FF2B5EF4-FFF2-40B4-BE49-F238E27FC236}">
                <a16:creationId xmlns:a16="http://schemas.microsoft.com/office/drawing/2014/main" id="{00000000-0008-0000-0300-000079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77</xdr:row>
      <xdr:rowOff>0</xdr:rowOff>
    </xdr:from>
    <xdr:to>
      <xdr:col>1</xdr:col>
      <xdr:colOff>847725</xdr:colOff>
      <xdr:row>80</xdr:row>
      <xdr:rowOff>104775</xdr:rowOff>
    </xdr:to>
    <xdr:grpSp>
      <xdr:nvGrpSpPr>
        <xdr:cNvPr id="391" name="Group 59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GrpSpPr>
          <a:grpSpLocks noChangeAspect="1"/>
        </xdr:cNvGrpSpPr>
      </xdr:nvGrpSpPr>
      <xdr:grpSpPr bwMode="auto">
        <a:xfrm>
          <a:off x="0" y="14553314"/>
          <a:ext cx="1855603" cy="669630"/>
          <a:chOff x="0" y="83"/>
          <a:chExt cx="159" cy="71"/>
        </a:xfrm>
      </xdr:grpSpPr>
      <xdr:sp macro="" textlink="">
        <xdr:nvSpPr>
          <xdr:cNvPr id="392" name="AutoShape 58">
            <a:extLst>
              <a:ext uri="{FF2B5EF4-FFF2-40B4-BE49-F238E27FC236}">
                <a16:creationId xmlns:a16="http://schemas.microsoft.com/office/drawing/2014/main" id="{00000000-0008-0000-0300-000088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93" name="Line 64">
            <a:extLst>
              <a:ext uri="{FF2B5EF4-FFF2-40B4-BE49-F238E27FC236}">
                <a16:creationId xmlns:a16="http://schemas.microsoft.com/office/drawing/2014/main" id="{00000000-0008-0000-0300-000089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4" name="Rectangle 65">
            <a:extLst>
              <a:ext uri="{FF2B5EF4-FFF2-40B4-BE49-F238E27FC236}">
                <a16:creationId xmlns:a16="http://schemas.microsoft.com/office/drawing/2014/main" id="{00000000-0008-0000-0300-00008A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395" name="Rectangle 66">
            <a:extLst>
              <a:ext uri="{FF2B5EF4-FFF2-40B4-BE49-F238E27FC236}">
                <a16:creationId xmlns:a16="http://schemas.microsoft.com/office/drawing/2014/main" id="{00000000-0008-0000-0300-00008B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96" name="Rectangle 67">
            <a:extLst>
              <a:ext uri="{FF2B5EF4-FFF2-40B4-BE49-F238E27FC236}">
                <a16:creationId xmlns:a16="http://schemas.microsoft.com/office/drawing/2014/main" id="{00000000-0008-0000-0300-00008C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97" name="Rectangle 68">
            <a:extLst>
              <a:ext uri="{FF2B5EF4-FFF2-40B4-BE49-F238E27FC236}">
                <a16:creationId xmlns:a16="http://schemas.microsoft.com/office/drawing/2014/main" id="{00000000-0008-0000-0300-00008D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398" name="Rectangle 69">
            <a:extLst>
              <a:ext uri="{FF2B5EF4-FFF2-40B4-BE49-F238E27FC236}">
                <a16:creationId xmlns:a16="http://schemas.microsoft.com/office/drawing/2014/main" id="{00000000-0008-0000-0300-00008E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99" name="Rectangle 70">
                <a:extLst>
                  <a:ext uri="{FF2B5EF4-FFF2-40B4-BE49-F238E27FC236}">
                    <a16:creationId xmlns:a16="http://schemas.microsoft.com/office/drawing/2014/main" id="{00000000-0008-0000-0300-00008F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399" name="Rectangle 70">
                <a:extLst>
                  <a:ext uri="{FF2B5EF4-FFF2-40B4-BE49-F238E27FC236}">
                    <a16:creationId xmlns:a16="http://schemas.microsoft.com/office/drawing/2014/main" id="{BAB83D5B-80EF-44E7-8208-F1E0D17399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400" name="Rectangle 71">
            <a:extLst>
              <a:ext uri="{FF2B5EF4-FFF2-40B4-BE49-F238E27FC236}">
                <a16:creationId xmlns:a16="http://schemas.microsoft.com/office/drawing/2014/main" id="{00000000-0008-0000-0300-000090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01" name="Rectangle 72">
            <a:extLst>
              <a:ext uri="{FF2B5EF4-FFF2-40B4-BE49-F238E27FC236}">
                <a16:creationId xmlns:a16="http://schemas.microsoft.com/office/drawing/2014/main" id="{00000000-0008-0000-0300-000091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02" name="Rectangle 73">
            <a:extLst>
              <a:ext uri="{FF2B5EF4-FFF2-40B4-BE49-F238E27FC236}">
                <a16:creationId xmlns:a16="http://schemas.microsoft.com/office/drawing/2014/main" id="{00000000-0008-0000-0300-000092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03" name="Rectangle 74">
            <a:extLst>
              <a:ext uri="{FF2B5EF4-FFF2-40B4-BE49-F238E27FC236}">
                <a16:creationId xmlns:a16="http://schemas.microsoft.com/office/drawing/2014/main" id="{00000000-0008-0000-0300-000093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101</xdr:row>
      <xdr:rowOff>0</xdr:rowOff>
    </xdr:from>
    <xdr:to>
      <xdr:col>1</xdr:col>
      <xdr:colOff>847725</xdr:colOff>
      <xdr:row>104</xdr:row>
      <xdr:rowOff>104775</xdr:rowOff>
    </xdr:to>
    <xdr:grpSp>
      <xdr:nvGrpSpPr>
        <xdr:cNvPr id="417" name="Group 59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GrpSpPr>
          <a:grpSpLocks noChangeAspect="1"/>
        </xdr:cNvGrpSpPr>
      </xdr:nvGrpSpPr>
      <xdr:grpSpPr bwMode="auto">
        <a:xfrm>
          <a:off x="0" y="19083227"/>
          <a:ext cx="1855603" cy="669629"/>
          <a:chOff x="0" y="83"/>
          <a:chExt cx="159" cy="71"/>
        </a:xfrm>
      </xdr:grpSpPr>
      <xdr:sp macro="" textlink="">
        <xdr:nvSpPr>
          <xdr:cNvPr id="418" name="AutoShape 58">
            <a:extLst>
              <a:ext uri="{FF2B5EF4-FFF2-40B4-BE49-F238E27FC236}">
                <a16:creationId xmlns:a16="http://schemas.microsoft.com/office/drawing/2014/main" id="{00000000-0008-0000-0300-0000A2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19" name="Line 64">
            <a:extLst>
              <a:ext uri="{FF2B5EF4-FFF2-40B4-BE49-F238E27FC236}">
                <a16:creationId xmlns:a16="http://schemas.microsoft.com/office/drawing/2014/main" id="{00000000-0008-0000-0300-0000A3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0" name="Rectangle 65">
            <a:extLst>
              <a:ext uri="{FF2B5EF4-FFF2-40B4-BE49-F238E27FC236}">
                <a16:creationId xmlns:a16="http://schemas.microsoft.com/office/drawing/2014/main" id="{00000000-0008-0000-0300-0000A4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421" name="Rectangle 66">
            <a:extLst>
              <a:ext uri="{FF2B5EF4-FFF2-40B4-BE49-F238E27FC236}">
                <a16:creationId xmlns:a16="http://schemas.microsoft.com/office/drawing/2014/main" id="{00000000-0008-0000-0300-0000A5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22" name="Rectangle 67">
            <a:extLst>
              <a:ext uri="{FF2B5EF4-FFF2-40B4-BE49-F238E27FC236}">
                <a16:creationId xmlns:a16="http://schemas.microsoft.com/office/drawing/2014/main" id="{00000000-0008-0000-0300-0000A6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23" name="Rectangle 68">
            <a:extLst>
              <a:ext uri="{FF2B5EF4-FFF2-40B4-BE49-F238E27FC236}">
                <a16:creationId xmlns:a16="http://schemas.microsoft.com/office/drawing/2014/main" id="{00000000-0008-0000-0300-0000A7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424" name="Rectangle 69">
            <a:extLst>
              <a:ext uri="{FF2B5EF4-FFF2-40B4-BE49-F238E27FC236}">
                <a16:creationId xmlns:a16="http://schemas.microsoft.com/office/drawing/2014/main" id="{00000000-0008-0000-0300-0000A8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25" name="Rectangle 70">
                <a:extLst>
                  <a:ext uri="{FF2B5EF4-FFF2-40B4-BE49-F238E27FC236}">
                    <a16:creationId xmlns:a16="http://schemas.microsoft.com/office/drawing/2014/main" id="{00000000-0008-0000-0300-0000A9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425" name="Rectangle 70">
                <a:extLst>
                  <a:ext uri="{FF2B5EF4-FFF2-40B4-BE49-F238E27FC236}">
                    <a16:creationId xmlns:a16="http://schemas.microsoft.com/office/drawing/2014/main" id="{BAB83D5B-80EF-44E7-8208-F1E0D17399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426" name="Rectangle 71">
            <a:extLst>
              <a:ext uri="{FF2B5EF4-FFF2-40B4-BE49-F238E27FC236}">
                <a16:creationId xmlns:a16="http://schemas.microsoft.com/office/drawing/2014/main" id="{00000000-0008-0000-0300-0000AA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27" name="Rectangle 72">
            <a:extLst>
              <a:ext uri="{FF2B5EF4-FFF2-40B4-BE49-F238E27FC236}">
                <a16:creationId xmlns:a16="http://schemas.microsoft.com/office/drawing/2014/main" id="{00000000-0008-0000-0300-0000AB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28" name="Rectangle 73">
            <a:extLst>
              <a:ext uri="{FF2B5EF4-FFF2-40B4-BE49-F238E27FC236}">
                <a16:creationId xmlns:a16="http://schemas.microsoft.com/office/drawing/2014/main" id="{00000000-0008-0000-0300-0000AC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29" name="Rectangle 74">
            <a:extLst>
              <a:ext uri="{FF2B5EF4-FFF2-40B4-BE49-F238E27FC236}">
                <a16:creationId xmlns:a16="http://schemas.microsoft.com/office/drawing/2014/main" id="{00000000-0008-0000-0300-0000AD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125</xdr:row>
      <xdr:rowOff>0</xdr:rowOff>
    </xdr:from>
    <xdr:to>
      <xdr:col>1</xdr:col>
      <xdr:colOff>847725</xdr:colOff>
      <xdr:row>128</xdr:row>
      <xdr:rowOff>104775</xdr:rowOff>
    </xdr:to>
    <xdr:grpSp>
      <xdr:nvGrpSpPr>
        <xdr:cNvPr id="430" name="Group 59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GrpSpPr>
          <a:grpSpLocks noChangeAspect="1"/>
        </xdr:cNvGrpSpPr>
      </xdr:nvGrpSpPr>
      <xdr:grpSpPr bwMode="auto">
        <a:xfrm>
          <a:off x="0" y="23613140"/>
          <a:ext cx="1855603" cy="669629"/>
          <a:chOff x="0" y="83"/>
          <a:chExt cx="159" cy="71"/>
        </a:xfrm>
      </xdr:grpSpPr>
      <xdr:sp macro="" textlink="">
        <xdr:nvSpPr>
          <xdr:cNvPr id="431" name="AutoShape 58">
            <a:extLst>
              <a:ext uri="{FF2B5EF4-FFF2-40B4-BE49-F238E27FC236}">
                <a16:creationId xmlns:a16="http://schemas.microsoft.com/office/drawing/2014/main" id="{00000000-0008-0000-0300-0000AF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32" name="Line 64">
            <a:extLst>
              <a:ext uri="{FF2B5EF4-FFF2-40B4-BE49-F238E27FC236}">
                <a16:creationId xmlns:a16="http://schemas.microsoft.com/office/drawing/2014/main" id="{00000000-0008-0000-0300-0000B0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Rectangle 65">
            <a:extLst>
              <a:ext uri="{FF2B5EF4-FFF2-40B4-BE49-F238E27FC236}">
                <a16:creationId xmlns:a16="http://schemas.microsoft.com/office/drawing/2014/main" id="{00000000-0008-0000-0300-0000B1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434" name="Rectangle 66">
            <a:extLst>
              <a:ext uri="{FF2B5EF4-FFF2-40B4-BE49-F238E27FC236}">
                <a16:creationId xmlns:a16="http://schemas.microsoft.com/office/drawing/2014/main" id="{00000000-0008-0000-0300-0000B2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35" name="Rectangle 67">
            <a:extLst>
              <a:ext uri="{FF2B5EF4-FFF2-40B4-BE49-F238E27FC236}">
                <a16:creationId xmlns:a16="http://schemas.microsoft.com/office/drawing/2014/main" id="{00000000-0008-0000-0300-0000B3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36" name="Rectangle 68">
            <a:extLst>
              <a:ext uri="{FF2B5EF4-FFF2-40B4-BE49-F238E27FC236}">
                <a16:creationId xmlns:a16="http://schemas.microsoft.com/office/drawing/2014/main" id="{00000000-0008-0000-0300-0000B4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437" name="Rectangle 69">
            <a:extLst>
              <a:ext uri="{FF2B5EF4-FFF2-40B4-BE49-F238E27FC236}">
                <a16:creationId xmlns:a16="http://schemas.microsoft.com/office/drawing/2014/main" id="{00000000-0008-0000-0300-0000B5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38" name="Rectangle 70">
                <a:extLst>
                  <a:ext uri="{FF2B5EF4-FFF2-40B4-BE49-F238E27FC236}">
                    <a16:creationId xmlns:a16="http://schemas.microsoft.com/office/drawing/2014/main" id="{00000000-0008-0000-0300-0000B6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438" name="Rectangle 70">
                <a:extLst>
                  <a:ext uri="{FF2B5EF4-FFF2-40B4-BE49-F238E27FC236}">
                    <a16:creationId xmlns:a16="http://schemas.microsoft.com/office/drawing/2014/main" id="{BAB83D5B-80EF-44E7-8208-F1E0D17399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439" name="Rectangle 71">
            <a:extLst>
              <a:ext uri="{FF2B5EF4-FFF2-40B4-BE49-F238E27FC236}">
                <a16:creationId xmlns:a16="http://schemas.microsoft.com/office/drawing/2014/main" id="{00000000-0008-0000-0300-0000B7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40" name="Rectangle 72">
            <a:extLst>
              <a:ext uri="{FF2B5EF4-FFF2-40B4-BE49-F238E27FC236}">
                <a16:creationId xmlns:a16="http://schemas.microsoft.com/office/drawing/2014/main" id="{00000000-0008-0000-0300-0000B8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41" name="Rectangle 73">
            <a:extLst>
              <a:ext uri="{FF2B5EF4-FFF2-40B4-BE49-F238E27FC236}">
                <a16:creationId xmlns:a16="http://schemas.microsoft.com/office/drawing/2014/main" id="{00000000-0008-0000-0300-0000B9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42" name="Rectangle 74">
            <a:extLst>
              <a:ext uri="{FF2B5EF4-FFF2-40B4-BE49-F238E27FC236}">
                <a16:creationId xmlns:a16="http://schemas.microsoft.com/office/drawing/2014/main" id="{00000000-0008-0000-0300-0000BA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xdr:twoCellAnchor>
    <xdr:from>
      <xdr:col>0</xdr:col>
      <xdr:colOff>0</xdr:colOff>
      <xdr:row>149</xdr:row>
      <xdr:rowOff>0</xdr:rowOff>
    </xdr:from>
    <xdr:to>
      <xdr:col>1</xdr:col>
      <xdr:colOff>847725</xdr:colOff>
      <xdr:row>152</xdr:row>
      <xdr:rowOff>104775</xdr:rowOff>
    </xdr:to>
    <xdr:grpSp>
      <xdr:nvGrpSpPr>
        <xdr:cNvPr id="443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28143052"/>
          <a:ext cx="1855603" cy="669630"/>
          <a:chOff x="0" y="83"/>
          <a:chExt cx="159" cy="71"/>
        </a:xfrm>
      </xdr:grpSpPr>
      <xdr:sp macro="" textlink="">
        <xdr:nvSpPr>
          <xdr:cNvPr id="444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45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447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48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49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450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51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451" name="Rectangle 70">
                <a:extLst>
                  <a:ext uri="{FF2B5EF4-FFF2-40B4-BE49-F238E27FC236}">
                    <a16:creationId xmlns:a16="http://schemas.microsoft.com/office/drawing/2014/main" id="{BAB83D5B-80EF-44E7-8208-F1E0D17399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452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53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54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55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184</xdr:row>
          <xdr:rowOff>19050</xdr:rowOff>
        </xdr:from>
        <xdr:to>
          <xdr:col>2</xdr:col>
          <xdr:colOff>76200</xdr:colOff>
          <xdr:row>185</xdr:row>
          <xdr:rowOff>161925</xdr:rowOff>
        </xdr:to>
        <xdr:sp macro="" textlink="">
          <xdr:nvSpPr>
            <xdr:cNvPr id="17717" name="Object 309" hidden="1">
              <a:extLst>
                <a:ext uri="{63B3BB69-23CF-44E3-9099-C40C66FF867C}">
                  <a14:compatExt spid="_x0000_s17717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187</xdr:row>
          <xdr:rowOff>0</xdr:rowOff>
        </xdr:from>
        <xdr:to>
          <xdr:col>1</xdr:col>
          <xdr:colOff>400050</xdr:colOff>
          <xdr:row>189</xdr:row>
          <xdr:rowOff>104775</xdr:rowOff>
        </xdr:to>
        <xdr:sp macro="" textlink="">
          <xdr:nvSpPr>
            <xdr:cNvPr id="17718" name="Object 310" hidden="1">
              <a:extLst>
                <a:ext uri="{63B3BB69-23CF-44E3-9099-C40C66FF867C}">
                  <a14:compatExt spid="_x0000_s17718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191</xdr:row>
          <xdr:rowOff>76200</xdr:rowOff>
        </xdr:from>
        <xdr:to>
          <xdr:col>0</xdr:col>
          <xdr:colOff>962025</xdr:colOff>
          <xdr:row>192</xdr:row>
          <xdr:rowOff>180975</xdr:rowOff>
        </xdr:to>
        <xdr:sp macro="" textlink="">
          <xdr:nvSpPr>
            <xdr:cNvPr id="17719" name="Object 311" hidden="1">
              <a:extLst>
                <a:ext uri="{63B3BB69-23CF-44E3-9099-C40C66FF867C}">
                  <a14:compatExt spid="_x0000_s17719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173</xdr:row>
      <xdr:rowOff>0</xdr:rowOff>
    </xdr:from>
    <xdr:to>
      <xdr:col>1</xdr:col>
      <xdr:colOff>847725</xdr:colOff>
      <xdr:row>176</xdr:row>
      <xdr:rowOff>104775</xdr:rowOff>
    </xdr:to>
    <xdr:grpSp>
      <xdr:nvGrpSpPr>
        <xdr:cNvPr id="379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32661890"/>
          <a:ext cx="1855603" cy="669629"/>
          <a:chOff x="0" y="83"/>
          <a:chExt cx="159" cy="71"/>
        </a:xfrm>
      </xdr:grpSpPr>
      <xdr:sp macro="" textlink="">
        <xdr:nvSpPr>
          <xdr:cNvPr id="380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81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2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383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384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385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386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87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387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388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389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390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404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208</xdr:row>
          <xdr:rowOff>19050</xdr:rowOff>
        </xdr:from>
        <xdr:to>
          <xdr:col>2</xdr:col>
          <xdr:colOff>76200</xdr:colOff>
          <xdr:row>209</xdr:row>
          <xdr:rowOff>161925</xdr:rowOff>
        </xdr:to>
        <xdr:sp macro="" textlink="">
          <xdr:nvSpPr>
            <xdr:cNvPr id="17720" name="Object 312" hidden="1">
              <a:extLst>
                <a:ext uri="{63B3BB69-23CF-44E3-9099-C40C66FF867C}">
                  <a14:compatExt spid="_x0000_s17720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211</xdr:row>
          <xdr:rowOff>0</xdr:rowOff>
        </xdr:from>
        <xdr:to>
          <xdr:col>1</xdr:col>
          <xdr:colOff>400050</xdr:colOff>
          <xdr:row>213</xdr:row>
          <xdr:rowOff>104775</xdr:rowOff>
        </xdr:to>
        <xdr:sp macro="" textlink="">
          <xdr:nvSpPr>
            <xdr:cNvPr id="17721" name="Object 313" hidden="1">
              <a:extLst>
                <a:ext uri="{63B3BB69-23CF-44E3-9099-C40C66FF867C}">
                  <a14:compatExt spid="_x0000_s17721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215</xdr:row>
          <xdr:rowOff>76200</xdr:rowOff>
        </xdr:from>
        <xdr:to>
          <xdr:col>0</xdr:col>
          <xdr:colOff>962025</xdr:colOff>
          <xdr:row>216</xdr:row>
          <xdr:rowOff>180975</xdr:rowOff>
        </xdr:to>
        <xdr:sp macro="" textlink="">
          <xdr:nvSpPr>
            <xdr:cNvPr id="17722" name="Object 314" hidden="1">
              <a:extLst>
                <a:ext uri="{63B3BB69-23CF-44E3-9099-C40C66FF867C}">
                  <a14:compatExt spid="_x0000_s17722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197</xdr:row>
      <xdr:rowOff>0</xdr:rowOff>
    </xdr:from>
    <xdr:to>
      <xdr:col>1</xdr:col>
      <xdr:colOff>847725</xdr:colOff>
      <xdr:row>200</xdr:row>
      <xdr:rowOff>104775</xdr:rowOff>
    </xdr:to>
    <xdr:grpSp>
      <xdr:nvGrpSpPr>
        <xdr:cNvPr id="405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37191802"/>
          <a:ext cx="1855603" cy="669630"/>
          <a:chOff x="0" y="83"/>
          <a:chExt cx="159" cy="71"/>
        </a:xfrm>
      </xdr:grpSpPr>
      <xdr:sp macro="" textlink="">
        <xdr:nvSpPr>
          <xdr:cNvPr id="406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07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409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10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11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412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13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413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414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415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416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08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232</xdr:row>
          <xdr:rowOff>19050</xdr:rowOff>
        </xdr:from>
        <xdr:to>
          <xdr:col>2</xdr:col>
          <xdr:colOff>76200</xdr:colOff>
          <xdr:row>233</xdr:row>
          <xdr:rowOff>161925</xdr:rowOff>
        </xdr:to>
        <xdr:sp macro="" textlink="">
          <xdr:nvSpPr>
            <xdr:cNvPr id="17723" name="Object 315" hidden="1">
              <a:extLst>
                <a:ext uri="{63B3BB69-23CF-44E3-9099-C40C66FF867C}">
                  <a14:compatExt spid="_x0000_s17723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235</xdr:row>
          <xdr:rowOff>0</xdr:rowOff>
        </xdr:from>
        <xdr:to>
          <xdr:col>1</xdr:col>
          <xdr:colOff>400050</xdr:colOff>
          <xdr:row>237</xdr:row>
          <xdr:rowOff>104775</xdr:rowOff>
        </xdr:to>
        <xdr:sp macro="" textlink="">
          <xdr:nvSpPr>
            <xdr:cNvPr id="17724" name="Object 316" hidden="1">
              <a:extLst>
                <a:ext uri="{63B3BB69-23CF-44E3-9099-C40C66FF867C}">
                  <a14:compatExt spid="_x0000_s17724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239</xdr:row>
          <xdr:rowOff>76200</xdr:rowOff>
        </xdr:from>
        <xdr:to>
          <xdr:col>0</xdr:col>
          <xdr:colOff>962025</xdr:colOff>
          <xdr:row>240</xdr:row>
          <xdr:rowOff>180975</xdr:rowOff>
        </xdr:to>
        <xdr:sp macro="" textlink="">
          <xdr:nvSpPr>
            <xdr:cNvPr id="17725" name="Object 317" hidden="1">
              <a:extLst>
                <a:ext uri="{63B3BB69-23CF-44E3-9099-C40C66FF867C}">
                  <a14:compatExt spid="_x0000_s17725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221</xdr:row>
      <xdr:rowOff>0</xdr:rowOff>
    </xdr:from>
    <xdr:to>
      <xdr:col>1</xdr:col>
      <xdr:colOff>847725</xdr:colOff>
      <xdr:row>224</xdr:row>
      <xdr:rowOff>104775</xdr:rowOff>
    </xdr:to>
    <xdr:grpSp>
      <xdr:nvGrpSpPr>
        <xdr:cNvPr id="509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41721715"/>
          <a:ext cx="1855603" cy="669630"/>
          <a:chOff x="0" y="83"/>
          <a:chExt cx="159" cy="71"/>
        </a:xfrm>
      </xdr:grpSpPr>
      <xdr:sp macro="" textlink="">
        <xdr:nvSpPr>
          <xdr:cNvPr id="510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11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513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514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515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516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17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517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518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19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20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34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256</xdr:row>
          <xdr:rowOff>19050</xdr:rowOff>
        </xdr:from>
        <xdr:to>
          <xdr:col>2</xdr:col>
          <xdr:colOff>76200</xdr:colOff>
          <xdr:row>257</xdr:row>
          <xdr:rowOff>161925</xdr:rowOff>
        </xdr:to>
        <xdr:sp macro="" textlink="">
          <xdr:nvSpPr>
            <xdr:cNvPr id="17726" name="Object 318" hidden="1">
              <a:extLst>
                <a:ext uri="{63B3BB69-23CF-44E3-9099-C40C66FF867C}">
                  <a14:compatExt spid="_x0000_s17726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259</xdr:row>
          <xdr:rowOff>0</xdr:rowOff>
        </xdr:from>
        <xdr:to>
          <xdr:col>1</xdr:col>
          <xdr:colOff>400050</xdr:colOff>
          <xdr:row>261</xdr:row>
          <xdr:rowOff>104775</xdr:rowOff>
        </xdr:to>
        <xdr:sp macro="" textlink="">
          <xdr:nvSpPr>
            <xdr:cNvPr id="17727" name="Object 319" hidden="1">
              <a:extLst>
                <a:ext uri="{63B3BB69-23CF-44E3-9099-C40C66FF867C}">
                  <a14:compatExt spid="_x0000_s17727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263</xdr:row>
          <xdr:rowOff>76200</xdr:rowOff>
        </xdr:from>
        <xdr:to>
          <xdr:col>0</xdr:col>
          <xdr:colOff>962025</xdr:colOff>
          <xdr:row>264</xdr:row>
          <xdr:rowOff>180975</xdr:rowOff>
        </xdr:to>
        <xdr:sp macro="" textlink="">
          <xdr:nvSpPr>
            <xdr:cNvPr id="17728" name="Object 320" hidden="1">
              <a:extLst>
                <a:ext uri="{63B3BB69-23CF-44E3-9099-C40C66FF867C}">
                  <a14:compatExt spid="_x0000_s17728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245</xdr:row>
      <xdr:rowOff>0</xdr:rowOff>
    </xdr:from>
    <xdr:to>
      <xdr:col>1</xdr:col>
      <xdr:colOff>847725</xdr:colOff>
      <xdr:row>248</xdr:row>
      <xdr:rowOff>104775</xdr:rowOff>
    </xdr:to>
    <xdr:grpSp>
      <xdr:nvGrpSpPr>
        <xdr:cNvPr id="535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46251628"/>
          <a:ext cx="1855603" cy="669630"/>
          <a:chOff x="0" y="83"/>
          <a:chExt cx="159" cy="71"/>
        </a:xfrm>
      </xdr:grpSpPr>
      <xdr:sp macro="" textlink="">
        <xdr:nvSpPr>
          <xdr:cNvPr id="536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37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8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539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540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541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542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43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543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544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45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46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612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280</xdr:row>
          <xdr:rowOff>19050</xdr:rowOff>
        </xdr:from>
        <xdr:to>
          <xdr:col>2</xdr:col>
          <xdr:colOff>76200</xdr:colOff>
          <xdr:row>281</xdr:row>
          <xdr:rowOff>161925</xdr:rowOff>
        </xdr:to>
        <xdr:sp macro="" textlink="">
          <xdr:nvSpPr>
            <xdr:cNvPr id="17729" name="Object 321" hidden="1">
              <a:extLst>
                <a:ext uri="{63B3BB69-23CF-44E3-9099-C40C66FF867C}">
                  <a14:compatExt spid="_x0000_s17729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283</xdr:row>
          <xdr:rowOff>0</xdr:rowOff>
        </xdr:from>
        <xdr:to>
          <xdr:col>1</xdr:col>
          <xdr:colOff>400050</xdr:colOff>
          <xdr:row>285</xdr:row>
          <xdr:rowOff>104775</xdr:rowOff>
        </xdr:to>
        <xdr:sp macro="" textlink="">
          <xdr:nvSpPr>
            <xdr:cNvPr id="17730" name="Object 322" hidden="1">
              <a:extLst>
                <a:ext uri="{63B3BB69-23CF-44E3-9099-C40C66FF867C}">
                  <a14:compatExt spid="_x0000_s17730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287</xdr:row>
          <xdr:rowOff>76200</xdr:rowOff>
        </xdr:from>
        <xdr:to>
          <xdr:col>0</xdr:col>
          <xdr:colOff>962025</xdr:colOff>
          <xdr:row>288</xdr:row>
          <xdr:rowOff>180975</xdr:rowOff>
        </xdr:to>
        <xdr:sp macro="" textlink="">
          <xdr:nvSpPr>
            <xdr:cNvPr id="17731" name="Object 323" hidden="1">
              <a:extLst>
                <a:ext uri="{63B3BB69-23CF-44E3-9099-C40C66FF867C}">
                  <a14:compatExt spid="_x0000_s17731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269</xdr:row>
      <xdr:rowOff>0</xdr:rowOff>
    </xdr:from>
    <xdr:to>
      <xdr:col>1</xdr:col>
      <xdr:colOff>847725</xdr:colOff>
      <xdr:row>272</xdr:row>
      <xdr:rowOff>104775</xdr:rowOff>
    </xdr:to>
    <xdr:grpSp>
      <xdr:nvGrpSpPr>
        <xdr:cNvPr id="182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50781541"/>
          <a:ext cx="1855603" cy="669629"/>
          <a:chOff x="0" y="83"/>
          <a:chExt cx="159" cy="71"/>
        </a:xfrm>
      </xdr:grpSpPr>
      <xdr:sp macro="" textlink="">
        <xdr:nvSpPr>
          <xdr:cNvPr id="183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84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186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187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188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189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90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190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191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192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93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94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304</xdr:row>
          <xdr:rowOff>19050</xdr:rowOff>
        </xdr:from>
        <xdr:to>
          <xdr:col>2</xdr:col>
          <xdr:colOff>76200</xdr:colOff>
          <xdr:row>305</xdr:row>
          <xdr:rowOff>161925</xdr:rowOff>
        </xdr:to>
        <xdr:sp macro="" textlink="">
          <xdr:nvSpPr>
            <xdr:cNvPr id="17732" name="Object 324" hidden="1">
              <a:extLst>
                <a:ext uri="{63B3BB69-23CF-44E3-9099-C40C66FF867C}">
                  <a14:compatExt spid="_x0000_s17732"/>
                </a:ext>
                <a:ext uri="{FF2B5EF4-FFF2-40B4-BE49-F238E27FC236}">
                  <a16:creationId xmlns:a16="http://schemas.microsoft.com/office/drawing/2014/main" id="{00000000-0008-0000-0300-000008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307</xdr:row>
          <xdr:rowOff>0</xdr:rowOff>
        </xdr:from>
        <xdr:to>
          <xdr:col>1</xdr:col>
          <xdr:colOff>400050</xdr:colOff>
          <xdr:row>309</xdr:row>
          <xdr:rowOff>104775</xdr:rowOff>
        </xdr:to>
        <xdr:sp macro="" textlink="">
          <xdr:nvSpPr>
            <xdr:cNvPr id="17733" name="Object 325" hidden="1">
              <a:extLst>
                <a:ext uri="{63B3BB69-23CF-44E3-9099-C40C66FF867C}">
                  <a14:compatExt spid="_x0000_s17733"/>
                </a:ext>
                <a:ext uri="{FF2B5EF4-FFF2-40B4-BE49-F238E27FC236}">
                  <a16:creationId xmlns:a16="http://schemas.microsoft.com/office/drawing/2014/main" id="{00000000-0008-0000-0300-000009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311</xdr:row>
          <xdr:rowOff>76200</xdr:rowOff>
        </xdr:from>
        <xdr:to>
          <xdr:col>0</xdr:col>
          <xdr:colOff>962025</xdr:colOff>
          <xdr:row>312</xdr:row>
          <xdr:rowOff>180975</xdr:rowOff>
        </xdr:to>
        <xdr:sp macro="" textlink="">
          <xdr:nvSpPr>
            <xdr:cNvPr id="17734" name="Object 326" hidden="1">
              <a:extLst>
                <a:ext uri="{63B3BB69-23CF-44E3-9099-C40C66FF867C}">
                  <a14:compatExt spid="_x0000_s17734"/>
                </a:ext>
                <a:ext uri="{FF2B5EF4-FFF2-40B4-BE49-F238E27FC236}">
                  <a16:creationId xmlns:a16="http://schemas.microsoft.com/office/drawing/2014/main" id="{00000000-0008-0000-0300-00000A4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0</xdr:colOff>
      <xdr:row>293</xdr:row>
      <xdr:rowOff>0</xdr:rowOff>
    </xdr:from>
    <xdr:to>
      <xdr:col>1</xdr:col>
      <xdr:colOff>847725</xdr:colOff>
      <xdr:row>296</xdr:row>
      <xdr:rowOff>104775</xdr:rowOff>
    </xdr:to>
    <xdr:grpSp>
      <xdr:nvGrpSpPr>
        <xdr:cNvPr id="198" name="Group 59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GrpSpPr>
          <a:grpSpLocks noChangeAspect="1"/>
        </xdr:cNvGrpSpPr>
      </xdr:nvGrpSpPr>
      <xdr:grpSpPr bwMode="auto">
        <a:xfrm>
          <a:off x="0" y="55311453"/>
          <a:ext cx="1855603" cy="669630"/>
          <a:chOff x="0" y="83"/>
          <a:chExt cx="159" cy="71"/>
        </a:xfrm>
      </xdr:grpSpPr>
      <xdr:sp macro="" textlink="">
        <xdr:nvSpPr>
          <xdr:cNvPr id="199" name="AutoShape 58">
            <a:extLst>
              <a:ext uri="{FF2B5EF4-FFF2-40B4-BE49-F238E27FC236}">
                <a16:creationId xmlns:a16="http://schemas.microsoft.com/office/drawing/2014/main" id="{00000000-0008-0000-0300-0000BC01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83"/>
            <a:ext cx="159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s-PE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200" name="Line 64">
            <a:extLst>
              <a:ext uri="{FF2B5EF4-FFF2-40B4-BE49-F238E27FC236}">
                <a16:creationId xmlns:a16="http://schemas.microsoft.com/office/drawing/2014/main" id="{00000000-0008-0000-03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1" name="Rectangle 65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</a:t>
            </a:r>
          </a:p>
        </xdr:txBody>
      </xdr:sp>
      <xdr:sp macro="" textlink="">
        <xdr:nvSpPr>
          <xdr:cNvPr id="202" name="Rectangle 66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203" name="Rectangle 67">
            <a:extLst>
              <a:ext uri="{FF2B5EF4-FFF2-40B4-BE49-F238E27FC236}">
                <a16:creationId xmlns:a16="http://schemas.microsoft.com/office/drawing/2014/main" id="{00000000-0008-0000-0300-0000C001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204" name="Rectangle 68">
            <a:extLst>
              <a:ext uri="{FF2B5EF4-FFF2-40B4-BE49-F238E27FC236}">
                <a16:creationId xmlns:a16="http://schemas.microsoft.com/office/drawing/2014/main" id="{00000000-0008-0000-0300-0000C101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xdr:sp macro="" textlink="">
        <xdr:nvSpPr>
          <xdr:cNvPr id="205" name="Rectangle 69">
            <a:extLst>
              <a:ext uri="{FF2B5EF4-FFF2-40B4-BE49-F238E27FC236}">
                <a16:creationId xmlns:a16="http://schemas.microsoft.com/office/drawing/2014/main" id="{00000000-0008-0000-0300-0000C201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s-PE" sz="1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6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kumimoji="0" lang="es-PE" sz="1800" b="0" i="1" u="none" strike="noStrike" kern="0" cap="none" spc="0" normalizeH="0" baseline="0" noProof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206" name="Rectangle 70">
                <a:extLst>
                  <a:ext uri="{FF2B5EF4-FFF2-40B4-BE49-F238E27FC236}">
                    <a16:creationId xmlns:a16="http://schemas.microsoft.com/office/drawing/2014/main" id="{00000000-0008-0000-0300-0000C3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" y="116"/>
                <a:ext cx="52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marL="0" marR="0" lvl="0" indent="0" algn="l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/>
                </a:pPr>
                <a:r>
                  <a:rPr kumimoji="0" lang="es-PE" sz="1800" b="0" i="0" u="none" strike="noStrike" kern="0" cap="none" spc="0" normalizeH="0" baseline="0" noProof="0">
                    <a:ln>
                      <a:noFill/>
                    </a:ln>
                    <a:solidFill>
                      <a:sysClr val="windowText" lastClr="000000"/>
                    </a:solidFill>
                    <a:effectLst/>
                    <a:uLnTx/>
                    <a:uFillTx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kumimoji="0" lang="es-PE" sz="18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 </a:t>
                </a:r>
                <a:r>
                  <a:rPr kumimoji="0" lang="es-PE" sz="1900" b="0" i="1" u="none" strike="noStrike" kern="0" cap="none" spc="0" normalizeH="0" baseline="0" noProof="0">
                    <a:ln>
                      <a:noFill/>
                    </a:ln>
                    <a:solidFill>
                      <a:srgbClr val="000000"/>
                    </a:solidFill>
                    <a:effectLst/>
                    <a:uLnTx/>
                    <a:uFillTx/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207" name="Rectangle 71">
            <a:extLst>
              <a:ext uri="{FF2B5EF4-FFF2-40B4-BE49-F238E27FC236}">
                <a16:creationId xmlns:a16="http://schemas.microsoft.com/office/drawing/2014/main" id="{00000000-0008-0000-0300-0000C401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208" name="Rectangle 72">
            <a:extLst>
              <a:ext uri="{FF2B5EF4-FFF2-40B4-BE49-F238E27FC236}">
                <a16:creationId xmlns:a16="http://schemas.microsoft.com/office/drawing/2014/main" id="{00000000-0008-0000-0300-0000C501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209" name="Rectangle 73">
            <a:extLst>
              <a:ext uri="{FF2B5EF4-FFF2-40B4-BE49-F238E27FC236}">
                <a16:creationId xmlns:a16="http://schemas.microsoft.com/office/drawing/2014/main" id="{00000000-0008-0000-0300-0000C601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100" b="0" i="1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210" name="Rectangle 74">
            <a:extLst>
              <a:ext uri="{FF2B5EF4-FFF2-40B4-BE49-F238E27FC236}">
                <a16:creationId xmlns:a16="http://schemas.microsoft.com/office/drawing/2014/main" id="{00000000-0008-0000-0300-0000C701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s-PE" sz="1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Symbol"/>
              </a:rPr>
              <a:t></a:t>
            </a:r>
          </a:p>
        </xdr:txBody>
      </xdr:sp>
    </xdr:grpSp>
    <xdr:clientData/>
  </xdr:twoCellAnchor>
  <xdr:twoCellAnchor editAs="oneCell">
    <xdr:from>
      <xdr:col>5</xdr:col>
      <xdr:colOff>609158</xdr:colOff>
      <xdr:row>1</xdr:row>
      <xdr:rowOff>99679</xdr:rowOff>
    </xdr:from>
    <xdr:to>
      <xdr:col>15</xdr:col>
      <xdr:colOff>130806</xdr:colOff>
      <xdr:row>23</xdr:row>
      <xdr:rowOff>22056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0146" y="287964"/>
          <a:ext cx="7163800" cy="40867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39</xdr:row>
          <xdr:rowOff>19050</xdr:rowOff>
        </xdr:from>
        <xdr:to>
          <xdr:col>2</xdr:col>
          <xdr:colOff>304800</xdr:colOff>
          <xdr:row>40</xdr:row>
          <xdr:rowOff>161925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4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42</xdr:row>
          <xdr:rowOff>0</xdr:rowOff>
        </xdr:from>
        <xdr:to>
          <xdr:col>1</xdr:col>
          <xdr:colOff>476250</xdr:colOff>
          <xdr:row>44</xdr:row>
          <xdr:rowOff>104775</xdr:rowOff>
        </xdr:to>
        <xdr:sp macro="" textlink="">
          <xdr:nvSpPr>
            <xdr:cNvPr id="22530" name="Object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4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46</xdr:row>
          <xdr:rowOff>76200</xdr:rowOff>
        </xdr:from>
        <xdr:to>
          <xdr:col>1</xdr:col>
          <xdr:colOff>28575</xdr:colOff>
          <xdr:row>47</xdr:row>
          <xdr:rowOff>180975</xdr:rowOff>
        </xdr:to>
        <xdr:sp macro="" textlink="">
          <xdr:nvSpPr>
            <xdr:cNvPr id="22531" name="Object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4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46187</xdr:colOff>
      <xdr:row>28</xdr:row>
      <xdr:rowOff>19051</xdr:rowOff>
    </xdr:from>
    <xdr:to>
      <xdr:col>1</xdr:col>
      <xdr:colOff>744243</xdr:colOff>
      <xdr:row>31</xdr:row>
      <xdr:rowOff>38101</xdr:rowOff>
    </xdr:to>
    <xdr:grpSp>
      <xdr:nvGrpSpPr>
        <xdr:cNvPr id="43" name="Group 59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GrpSpPr>
          <a:grpSpLocks noChangeAspect="1"/>
        </xdr:cNvGrpSpPr>
      </xdr:nvGrpSpPr>
      <xdr:grpSpPr bwMode="auto">
        <a:xfrm>
          <a:off x="46187" y="5304903"/>
          <a:ext cx="1629622" cy="584269"/>
          <a:chOff x="-15" y="83"/>
          <a:chExt cx="174" cy="71"/>
        </a:xfrm>
      </xdr:grpSpPr>
      <xdr:sp macro="" textlink="">
        <xdr:nvSpPr>
          <xdr:cNvPr id="44" name="AutoShape 58">
            <a:extLst>
              <a:ext uri="{FF2B5EF4-FFF2-40B4-BE49-F238E27FC236}">
                <a16:creationId xmlns:a16="http://schemas.microsoft.com/office/drawing/2014/main" id="{00000000-0008-0000-0400-00002C00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-15" y="83"/>
            <a:ext cx="174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45" name="Line 6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Rectangle 65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47" name="Rectangle 6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48" name="Rectangle 6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49" name="Rectangle 6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50" name="Rectangle 69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1" name="Rectangle 70">
                <a:extLst>
                  <a:ext uri="{FF2B5EF4-FFF2-40B4-BE49-F238E27FC236}">
                    <a16:creationId xmlns:a16="http://schemas.microsoft.com/office/drawing/2014/main" id="{00000000-0008-0000-0400-00003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9" y="116"/>
                <a:ext cx="69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algn="l" rtl="0"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s-PE" sz="18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s-PE" sz="18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lang="es-PE" sz="1800" b="0" i="1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s-PE" sz="1900" b="0" i="1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51" name="Rectangle 70">
                <a:extLst>
                  <a:ext uri="{FF2B5EF4-FFF2-40B4-BE49-F238E27FC236}">
                    <a16:creationId xmlns:a16="http://schemas.microsoft.com/office/drawing/2014/main" id="{BAB83D5B-80EF-44E7-8208-F1E0D17399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9" y="116"/>
                <a:ext cx="69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algn="l" rtl="0">
                  <a:defRPr sz="1000"/>
                </a:pPr>
                <a:r>
                  <a:rPr lang="es-PE" sz="18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lang="es-PE" sz="1800" b="0" i="1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s-PE" sz="1900" b="0" i="1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52" name="Rectangle 7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53" name="Rectangle 72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54" name="Rectangle 7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55" name="Rectangle 7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14</xdr:row>
          <xdr:rowOff>19050</xdr:rowOff>
        </xdr:from>
        <xdr:to>
          <xdr:col>2</xdr:col>
          <xdr:colOff>304800</xdr:colOff>
          <xdr:row>15</xdr:row>
          <xdr:rowOff>161925</xdr:rowOff>
        </xdr:to>
        <xdr:sp macro="" textlink="">
          <xdr:nvSpPr>
            <xdr:cNvPr id="22551" name="Object 23" hidden="1">
              <a:extLst>
                <a:ext uri="{63B3BB69-23CF-44E3-9099-C40C66FF867C}">
                  <a14:compatExt spid="_x0000_s22551"/>
                </a:ext>
                <a:ext uri="{FF2B5EF4-FFF2-40B4-BE49-F238E27FC236}">
                  <a16:creationId xmlns:a16="http://schemas.microsoft.com/office/drawing/2014/main" id="{00000000-0008-0000-04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17</xdr:row>
          <xdr:rowOff>0</xdr:rowOff>
        </xdr:from>
        <xdr:to>
          <xdr:col>1</xdr:col>
          <xdr:colOff>476250</xdr:colOff>
          <xdr:row>19</xdr:row>
          <xdr:rowOff>104775</xdr:rowOff>
        </xdr:to>
        <xdr:sp macro="" textlink="">
          <xdr:nvSpPr>
            <xdr:cNvPr id="22552" name="Object 24" hidden="1">
              <a:extLst>
                <a:ext uri="{63B3BB69-23CF-44E3-9099-C40C66FF867C}">
                  <a14:compatExt spid="_x0000_s22552"/>
                </a:ext>
                <a:ext uri="{FF2B5EF4-FFF2-40B4-BE49-F238E27FC236}">
                  <a16:creationId xmlns:a16="http://schemas.microsoft.com/office/drawing/2014/main" id="{00000000-0008-0000-04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21</xdr:row>
          <xdr:rowOff>76200</xdr:rowOff>
        </xdr:from>
        <xdr:to>
          <xdr:col>1</xdr:col>
          <xdr:colOff>28575</xdr:colOff>
          <xdr:row>22</xdr:row>
          <xdr:rowOff>180975</xdr:rowOff>
        </xdr:to>
        <xdr:sp macro="" textlink="">
          <xdr:nvSpPr>
            <xdr:cNvPr id="22553" name="Object 25" hidden="1">
              <a:extLst>
                <a:ext uri="{63B3BB69-23CF-44E3-9099-C40C66FF867C}">
                  <a14:compatExt spid="_x0000_s22553"/>
                </a:ext>
                <a:ext uri="{FF2B5EF4-FFF2-40B4-BE49-F238E27FC236}">
                  <a16:creationId xmlns:a16="http://schemas.microsoft.com/office/drawing/2014/main" id="{00000000-0008-0000-04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3366FF" mc:Ignorable="a14" a14:legacySpreadsheetColorIndex="48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46187</xdr:colOff>
      <xdr:row>3</xdr:row>
      <xdr:rowOff>19051</xdr:rowOff>
    </xdr:from>
    <xdr:to>
      <xdr:col>1</xdr:col>
      <xdr:colOff>744243</xdr:colOff>
      <xdr:row>6</xdr:row>
      <xdr:rowOff>38101</xdr:rowOff>
    </xdr:to>
    <xdr:grpSp>
      <xdr:nvGrpSpPr>
        <xdr:cNvPr id="85" name="Group 59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GrpSpPr>
          <a:grpSpLocks noChangeAspect="1"/>
        </xdr:cNvGrpSpPr>
      </xdr:nvGrpSpPr>
      <xdr:grpSpPr bwMode="auto">
        <a:xfrm>
          <a:off x="46187" y="584271"/>
          <a:ext cx="1629622" cy="584270"/>
          <a:chOff x="-15" y="83"/>
          <a:chExt cx="174" cy="71"/>
        </a:xfrm>
      </xdr:grpSpPr>
      <xdr:sp macro="" textlink="">
        <xdr:nvSpPr>
          <xdr:cNvPr id="86" name="AutoShape 58">
            <a:extLst>
              <a:ext uri="{FF2B5EF4-FFF2-40B4-BE49-F238E27FC236}">
                <a16:creationId xmlns:a16="http://schemas.microsoft.com/office/drawing/2014/main" id="{00000000-0008-0000-0400-00002C00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-15" y="83"/>
            <a:ext cx="174" cy="6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olid"/>
            <a:miter lim="800000"/>
            <a:headEnd type="none" w="med" len="med"/>
            <a:tailEnd type="none" w="med" len="med"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87" name="Line 6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SpPr>
            <a:spLocks noChangeShapeType="1"/>
          </xdr:cNvSpPr>
        </xdr:nvSpPr>
        <xdr:spPr bwMode="auto">
          <a:xfrm>
            <a:off x="43" y="116"/>
            <a:ext cx="112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Rectangle 65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140" y="117"/>
            <a:ext cx="1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Symbol"/>
              </a:rPr>
              <a:t></a:t>
            </a:r>
          </a:p>
        </xdr:txBody>
      </xdr:sp>
      <xdr:sp macro="" textlink="">
        <xdr:nvSpPr>
          <xdr:cNvPr id="89" name="Rectangle 66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103" y="117"/>
            <a:ext cx="34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cos</a:t>
            </a:r>
          </a:p>
        </xdr:txBody>
      </xdr:sp>
      <xdr:sp macro="" textlink="">
        <xdr:nvSpPr>
          <xdr:cNvPr id="90" name="Rectangle 6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87" y="122"/>
            <a:ext cx="1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*</a:t>
            </a:r>
          </a:p>
        </xdr:txBody>
      </xdr:sp>
      <xdr:sp macro="" textlink="">
        <xdr:nvSpPr>
          <xdr:cNvPr id="91" name="Rectangle 6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71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" name="Rectangle 69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57" y="119"/>
            <a:ext cx="0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endParaRPr lang="es-PE" sz="19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93" name="Rectangle 70">
                <a:extLst>
                  <a:ext uri="{FF2B5EF4-FFF2-40B4-BE49-F238E27FC236}">
                    <a16:creationId xmlns:a16="http://schemas.microsoft.com/office/drawing/2014/main" id="{00000000-0008-0000-0400-00003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9" y="116"/>
                <a:ext cx="69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algn="l" rtl="0">
                  <a:defRPr sz="1000"/>
                </a:pPr>
                <a14:m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s-PE" sz="18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s-PE" sz="18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e>
                    </m:rad>
                  </m:oMath>
                </a14:m>
                <a:r>
                  <a:rPr lang="es-PE" sz="1800" b="0" i="1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s-PE" sz="1900" b="0" i="1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V</a:t>
                </a:r>
              </a:p>
            </xdr:txBody>
          </xdr:sp>
        </mc:Choice>
        <mc:Fallback xmlns="">
          <xdr:sp macro="" textlink="">
            <xdr:nvSpPr>
              <xdr:cNvPr id="93" name="Rectangle 70">
                <a:extLst>
                  <a:ext uri="{FF2B5EF4-FFF2-40B4-BE49-F238E27FC236}">
                    <a16:creationId xmlns:a16="http://schemas.microsoft.com/office/drawing/2014/main" id="{00000000-0008-0000-0400-00003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9" y="116"/>
                <a:ext cx="69" cy="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wrap="square" lIns="0" tIns="0" rIns="0" bIns="0" anchor="t">
                <a:spAutoFit/>
              </a:bodyPr>
              <a:lstStyle/>
              <a:p>
                <a:pPr algn="l" rtl="0">
                  <a:defRPr sz="1000"/>
                </a:pPr>
                <a:r>
                  <a:rPr lang="es-PE" sz="1800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√3</a:t>
                </a:r>
                <a:r>
                  <a:rPr lang="es-PE" sz="1800" b="0" i="1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</a:t>
                </a:r>
                <a:r>
                  <a:rPr lang="es-PE" sz="1900" b="0" i="1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V</a:t>
                </a:r>
              </a:p>
            </xdr:txBody>
          </xdr:sp>
        </mc:Fallback>
      </mc:AlternateContent>
      <xdr:sp macro="" textlink="">
        <xdr:nvSpPr>
          <xdr:cNvPr id="94" name="Rectangle 71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88" y="83"/>
            <a:ext cx="23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W</a:t>
            </a:r>
          </a:p>
        </xdr:txBody>
      </xdr:sp>
      <xdr:sp macro="" textlink="">
        <xdr:nvSpPr>
          <xdr:cNvPr id="95" name="Rectangle 72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4" y="99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96" name="Rectangle 73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12" y="115"/>
            <a:ext cx="10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1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97" name="Rectangle 74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25" y="97"/>
            <a:ext cx="14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PE" sz="19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</xdr:grpSp>
    <xdr:clientData/>
  </xdr:twoCellAnchor>
  <xdr:twoCellAnchor editAs="oneCell">
    <xdr:from>
      <xdr:col>5</xdr:col>
      <xdr:colOff>628022</xdr:colOff>
      <xdr:row>0</xdr:row>
      <xdr:rowOff>115138</xdr:rowOff>
    </xdr:from>
    <xdr:to>
      <xdr:col>15</xdr:col>
      <xdr:colOff>150888</xdr:colOff>
      <xdr:row>22</xdr:row>
      <xdr:rowOff>56988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5577" y="115138"/>
          <a:ext cx="7163800" cy="4086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10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6.bin"/><Relationship Id="rId159" Type="http://schemas.openxmlformats.org/officeDocument/2006/relationships/oleObject" Target="../embeddings/oleObject152.bin"/><Relationship Id="rId170" Type="http://schemas.openxmlformats.org/officeDocument/2006/relationships/oleObject" Target="../embeddings/oleObject163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60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7.bin"/><Relationship Id="rId128" Type="http://schemas.openxmlformats.org/officeDocument/2006/relationships/oleObject" Target="../embeddings/oleObject121.bin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174.bin"/><Relationship Id="rId237" Type="http://schemas.openxmlformats.org/officeDocument/2006/relationships/oleObject" Target="../embeddings/oleObject229.bin"/><Relationship Id="rId279" Type="http://schemas.openxmlformats.org/officeDocument/2006/relationships/oleObject" Target="../embeddings/oleObject271.bin"/><Relationship Id="rId43" Type="http://schemas.openxmlformats.org/officeDocument/2006/relationships/oleObject" Target="../embeddings/oleObject36.bin"/><Relationship Id="rId139" Type="http://schemas.openxmlformats.org/officeDocument/2006/relationships/oleObject" Target="../embeddings/oleObject132.bin"/><Relationship Id="rId290" Type="http://schemas.openxmlformats.org/officeDocument/2006/relationships/oleObject" Target="../embeddings/oleObject282.bin"/><Relationship Id="rId85" Type="http://schemas.openxmlformats.org/officeDocument/2006/relationships/oleObject" Target="../embeddings/oleObject78.bin"/><Relationship Id="rId150" Type="http://schemas.openxmlformats.org/officeDocument/2006/relationships/oleObject" Target="../embeddings/oleObject143.bin"/><Relationship Id="rId192" Type="http://schemas.openxmlformats.org/officeDocument/2006/relationships/oleObject" Target="../embeddings/oleObject185.bin"/><Relationship Id="rId206" Type="http://schemas.openxmlformats.org/officeDocument/2006/relationships/oleObject" Target="../embeddings/oleObject199.bin"/><Relationship Id="rId248" Type="http://schemas.openxmlformats.org/officeDocument/2006/relationships/oleObject" Target="../embeddings/oleObject240.bin"/><Relationship Id="rId269" Type="http://schemas.openxmlformats.org/officeDocument/2006/relationships/oleObject" Target="../embeddings/oleObject261.bin"/><Relationship Id="rId12" Type="http://schemas.openxmlformats.org/officeDocument/2006/relationships/oleObject" Target="../embeddings/oleObject7.bin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1.bin"/><Relationship Id="rId129" Type="http://schemas.openxmlformats.org/officeDocument/2006/relationships/oleObject" Target="../embeddings/oleObject122.bin"/><Relationship Id="rId280" Type="http://schemas.openxmlformats.org/officeDocument/2006/relationships/oleObject" Target="../embeddings/oleObject272.bin"/><Relationship Id="rId54" Type="http://schemas.openxmlformats.org/officeDocument/2006/relationships/oleObject" Target="../embeddings/oleObject47.bin"/><Relationship Id="rId75" Type="http://schemas.openxmlformats.org/officeDocument/2006/relationships/oleObject" Target="../embeddings/oleObject68.bin"/><Relationship Id="rId96" Type="http://schemas.openxmlformats.org/officeDocument/2006/relationships/oleObject" Target="../embeddings/oleObject89.bin"/><Relationship Id="rId140" Type="http://schemas.openxmlformats.org/officeDocument/2006/relationships/oleObject" Target="../embeddings/oleObject133.bin"/><Relationship Id="rId161" Type="http://schemas.openxmlformats.org/officeDocument/2006/relationships/oleObject" Target="../embeddings/oleObject154.bin"/><Relationship Id="rId182" Type="http://schemas.openxmlformats.org/officeDocument/2006/relationships/oleObject" Target="../embeddings/oleObject175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2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1.bin"/><Relationship Id="rId23" Type="http://schemas.openxmlformats.org/officeDocument/2006/relationships/image" Target="../media/image5.emf"/><Relationship Id="rId119" Type="http://schemas.openxmlformats.org/officeDocument/2006/relationships/oleObject" Target="../embeddings/oleObject112.bin"/><Relationship Id="rId270" Type="http://schemas.openxmlformats.org/officeDocument/2006/relationships/oleObject" Target="../embeddings/oleObject262.bin"/><Relationship Id="rId44" Type="http://schemas.openxmlformats.org/officeDocument/2006/relationships/oleObject" Target="../embeddings/oleObject37.bin"/><Relationship Id="rId65" Type="http://schemas.openxmlformats.org/officeDocument/2006/relationships/oleObject" Target="../embeddings/oleObject58.bin"/><Relationship Id="rId86" Type="http://schemas.openxmlformats.org/officeDocument/2006/relationships/oleObject" Target="../embeddings/oleObject79.bin"/><Relationship Id="rId130" Type="http://schemas.openxmlformats.org/officeDocument/2006/relationships/oleObject" Target="../embeddings/oleObject123.bin"/><Relationship Id="rId151" Type="http://schemas.openxmlformats.org/officeDocument/2006/relationships/oleObject" Target="../embeddings/oleObject144.bin"/><Relationship Id="rId172" Type="http://schemas.openxmlformats.org/officeDocument/2006/relationships/oleObject" Target="../embeddings/oleObject165.bin"/><Relationship Id="rId193" Type="http://schemas.openxmlformats.org/officeDocument/2006/relationships/oleObject" Target="../embeddings/oleObject186.bin"/><Relationship Id="rId207" Type="http://schemas.openxmlformats.org/officeDocument/2006/relationships/oleObject" Target="../embeddings/oleObject200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1.bin"/><Relationship Id="rId13" Type="http://schemas.openxmlformats.org/officeDocument/2006/relationships/oleObject" Target="../embeddings/oleObject8.bin"/><Relationship Id="rId109" Type="http://schemas.openxmlformats.org/officeDocument/2006/relationships/oleObject" Target="../embeddings/oleObject102.bin"/><Relationship Id="rId260" Type="http://schemas.openxmlformats.org/officeDocument/2006/relationships/oleObject" Target="../embeddings/oleObject252.bin"/><Relationship Id="rId281" Type="http://schemas.openxmlformats.org/officeDocument/2006/relationships/oleObject" Target="../embeddings/oleObject273.bin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8.bin"/><Relationship Id="rId76" Type="http://schemas.openxmlformats.org/officeDocument/2006/relationships/oleObject" Target="../embeddings/oleObject69.bin"/><Relationship Id="rId97" Type="http://schemas.openxmlformats.org/officeDocument/2006/relationships/oleObject" Target="../embeddings/oleObject90.bin"/><Relationship Id="rId120" Type="http://schemas.openxmlformats.org/officeDocument/2006/relationships/oleObject" Target="../embeddings/oleObject113.bin"/><Relationship Id="rId141" Type="http://schemas.openxmlformats.org/officeDocument/2006/relationships/oleObject" Target="../embeddings/oleObject134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5.bin"/><Relationship Id="rId183" Type="http://schemas.openxmlformats.org/officeDocument/2006/relationships/oleObject" Target="../embeddings/oleObject176.bin"/><Relationship Id="rId218" Type="http://schemas.openxmlformats.org/officeDocument/2006/relationships/oleObject" Target="../embeddings/oleObject210.bin"/><Relationship Id="rId239" Type="http://schemas.openxmlformats.org/officeDocument/2006/relationships/oleObject" Target="../embeddings/oleObject231.bin"/><Relationship Id="rId250" Type="http://schemas.openxmlformats.org/officeDocument/2006/relationships/oleObject" Target="../embeddings/oleObject242.bin"/><Relationship Id="rId271" Type="http://schemas.openxmlformats.org/officeDocument/2006/relationships/oleObject" Target="../embeddings/oleObject263.bin"/><Relationship Id="rId24" Type="http://schemas.openxmlformats.org/officeDocument/2006/relationships/oleObject" Target="../embeddings/oleObject17.bin"/><Relationship Id="rId45" Type="http://schemas.openxmlformats.org/officeDocument/2006/relationships/oleObject" Target="../embeddings/oleObject38.bin"/><Relationship Id="rId66" Type="http://schemas.openxmlformats.org/officeDocument/2006/relationships/oleObject" Target="../embeddings/oleObject59.bin"/><Relationship Id="rId87" Type="http://schemas.openxmlformats.org/officeDocument/2006/relationships/oleObject" Target="../embeddings/oleObject80.bin"/><Relationship Id="rId110" Type="http://schemas.openxmlformats.org/officeDocument/2006/relationships/oleObject" Target="../embeddings/oleObject103.bin"/><Relationship Id="rId131" Type="http://schemas.openxmlformats.org/officeDocument/2006/relationships/oleObject" Target="../embeddings/oleObject124.bin"/><Relationship Id="rId152" Type="http://schemas.openxmlformats.org/officeDocument/2006/relationships/oleObject" Target="../embeddings/oleObject145.bin"/><Relationship Id="rId173" Type="http://schemas.openxmlformats.org/officeDocument/2006/relationships/oleObject" Target="../embeddings/oleObject166.bin"/><Relationship Id="rId194" Type="http://schemas.openxmlformats.org/officeDocument/2006/relationships/oleObject" Target="../embeddings/oleObject187.bin"/><Relationship Id="rId208" Type="http://schemas.openxmlformats.org/officeDocument/2006/relationships/oleObject" Target="../embeddings/oleObject201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2.bin"/><Relationship Id="rId261" Type="http://schemas.openxmlformats.org/officeDocument/2006/relationships/oleObject" Target="../embeddings/oleObject253.bin"/><Relationship Id="rId14" Type="http://schemas.openxmlformats.org/officeDocument/2006/relationships/oleObject" Target="../embeddings/oleObject9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9.bin"/><Relationship Id="rId77" Type="http://schemas.openxmlformats.org/officeDocument/2006/relationships/oleObject" Target="../embeddings/oleObject70.bin"/><Relationship Id="rId100" Type="http://schemas.openxmlformats.org/officeDocument/2006/relationships/oleObject" Target="../embeddings/oleObject93.bin"/><Relationship Id="rId282" Type="http://schemas.openxmlformats.org/officeDocument/2006/relationships/oleObject" Target="../embeddings/oleObject274.bin"/><Relationship Id="rId8" Type="http://schemas.openxmlformats.org/officeDocument/2006/relationships/image" Target="../media/image3.emf"/><Relationship Id="rId98" Type="http://schemas.openxmlformats.org/officeDocument/2006/relationships/oleObject" Target="../embeddings/oleObject91.bin"/><Relationship Id="rId121" Type="http://schemas.openxmlformats.org/officeDocument/2006/relationships/oleObject" Target="../embeddings/oleObject114.bin"/><Relationship Id="rId142" Type="http://schemas.openxmlformats.org/officeDocument/2006/relationships/oleObject" Target="../embeddings/oleObject135.bin"/><Relationship Id="rId163" Type="http://schemas.openxmlformats.org/officeDocument/2006/relationships/oleObject" Target="../embeddings/oleObject156.bin"/><Relationship Id="rId184" Type="http://schemas.openxmlformats.org/officeDocument/2006/relationships/oleObject" Target="../embeddings/oleObject177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3.bin"/><Relationship Id="rId25" Type="http://schemas.openxmlformats.org/officeDocument/2006/relationships/oleObject" Target="../embeddings/oleObject18.bin"/><Relationship Id="rId46" Type="http://schemas.openxmlformats.org/officeDocument/2006/relationships/oleObject" Target="../embeddings/oleObject39.bin"/><Relationship Id="rId67" Type="http://schemas.openxmlformats.org/officeDocument/2006/relationships/oleObject" Target="../embeddings/oleObject60.bin"/><Relationship Id="rId272" Type="http://schemas.openxmlformats.org/officeDocument/2006/relationships/oleObject" Target="../embeddings/oleObject264.bin"/><Relationship Id="rId88" Type="http://schemas.openxmlformats.org/officeDocument/2006/relationships/oleObject" Target="../embeddings/oleObject81.bin"/><Relationship Id="rId111" Type="http://schemas.openxmlformats.org/officeDocument/2006/relationships/oleObject" Target="../embeddings/oleObject104.bin"/><Relationship Id="rId132" Type="http://schemas.openxmlformats.org/officeDocument/2006/relationships/oleObject" Target="../embeddings/oleObject125.bin"/><Relationship Id="rId153" Type="http://schemas.openxmlformats.org/officeDocument/2006/relationships/oleObject" Target="../embeddings/oleObject146.bin"/><Relationship Id="rId174" Type="http://schemas.openxmlformats.org/officeDocument/2006/relationships/oleObject" Target="../embeddings/oleObject167.bin"/><Relationship Id="rId195" Type="http://schemas.openxmlformats.org/officeDocument/2006/relationships/oleObject" Target="../embeddings/oleObject188.bin"/><Relationship Id="rId209" Type="http://schemas.openxmlformats.org/officeDocument/2006/relationships/oleObject" Target="../embeddings/oleObject202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3.bin"/><Relationship Id="rId15" Type="http://schemas.openxmlformats.org/officeDocument/2006/relationships/oleObject" Target="../embeddings/oleObject10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50.bin"/><Relationship Id="rId262" Type="http://schemas.openxmlformats.org/officeDocument/2006/relationships/oleObject" Target="../embeddings/oleObject254.bin"/><Relationship Id="rId283" Type="http://schemas.openxmlformats.org/officeDocument/2006/relationships/oleObject" Target="../embeddings/oleObject275.bin"/><Relationship Id="rId78" Type="http://schemas.openxmlformats.org/officeDocument/2006/relationships/oleObject" Target="../embeddings/oleObject71.bin"/><Relationship Id="rId99" Type="http://schemas.openxmlformats.org/officeDocument/2006/relationships/oleObject" Target="../embeddings/oleObject92.bin"/><Relationship Id="rId101" Type="http://schemas.openxmlformats.org/officeDocument/2006/relationships/oleObject" Target="../embeddings/oleObject94.bin"/><Relationship Id="rId122" Type="http://schemas.openxmlformats.org/officeDocument/2006/relationships/oleObject" Target="../embeddings/oleObject115.bin"/><Relationship Id="rId143" Type="http://schemas.openxmlformats.org/officeDocument/2006/relationships/oleObject" Target="../embeddings/oleObject136.bin"/><Relationship Id="rId164" Type="http://schemas.openxmlformats.org/officeDocument/2006/relationships/oleObject" Target="../embeddings/oleObject157.bin"/><Relationship Id="rId185" Type="http://schemas.openxmlformats.org/officeDocument/2006/relationships/oleObject" Target="../embeddings/oleObject178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3.bin"/><Relationship Id="rId26" Type="http://schemas.openxmlformats.org/officeDocument/2006/relationships/oleObject" Target="../embeddings/oleObject19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4.bin"/><Relationship Id="rId273" Type="http://schemas.openxmlformats.org/officeDocument/2006/relationships/oleObject" Target="../embeddings/oleObject265.bin"/><Relationship Id="rId47" Type="http://schemas.openxmlformats.org/officeDocument/2006/relationships/oleObject" Target="../embeddings/oleObject40.bin"/><Relationship Id="rId68" Type="http://schemas.openxmlformats.org/officeDocument/2006/relationships/oleObject" Target="../embeddings/oleObject61.bin"/><Relationship Id="rId89" Type="http://schemas.openxmlformats.org/officeDocument/2006/relationships/oleObject" Target="../embeddings/oleObject82.bin"/><Relationship Id="rId112" Type="http://schemas.openxmlformats.org/officeDocument/2006/relationships/oleObject" Target="../embeddings/oleObject105.bin"/><Relationship Id="rId133" Type="http://schemas.openxmlformats.org/officeDocument/2006/relationships/oleObject" Target="../embeddings/oleObject126.bin"/><Relationship Id="rId154" Type="http://schemas.openxmlformats.org/officeDocument/2006/relationships/oleObject" Target="../embeddings/oleObject147.bin"/><Relationship Id="rId175" Type="http://schemas.openxmlformats.org/officeDocument/2006/relationships/oleObject" Target="../embeddings/oleObject168.bin"/><Relationship Id="rId196" Type="http://schemas.openxmlformats.org/officeDocument/2006/relationships/oleObject" Target="../embeddings/oleObject189.bin"/><Relationship Id="rId200" Type="http://schemas.openxmlformats.org/officeDocument/2006/relationships/oleObject" Target="../embeddings/oleObject193.bin"/><Relationship Id="rId16" Type="http://schemas.openxmlformats.org/officeDocument/2006/relationships/oleObject" Target="../embeddings/oleObject11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4.bin"/><Relationship Id="rId263" Type="http://schemas.openxmlformats.org/officeDocument/2006/relationships/oleObject" Target="../embeddings/oleObject255.bin"/><Relationship Id="rId284" Type="http://schemas.openxmlformats.org/officeDocument/2006/relationships/oleObject" Target="../embeddings/oleObject276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1.bin"/><Relationship Id="rId79" Type="http://schemas.openxmlformats.org/officeDocument/2006/relationships/oleObject" Target="../embeddings/oleObject72.bin"/><Relationship Id="rId102" Type="http://schemas.openxmlformats.org/officeDocument/2006/relationships/oleObject" Target="../embeddings/oleObject95.bin"/><Relationship Id="rId123" Type="http://schemas.openxmlformats.org/officeDocument/2006/relationships/oleObject" Target="../embeddings/oleObject116.bin"/><Relationship Id="rId144" Type="http://schemas.openxmlformats.org/officeDocument/2006/relationships/oleObject" Target="../embeddings/oleObject137.bin"/><Relationship Id="rId90" Type="http://schemas.openxmlformats.org/officeDocument/2006/relationships/oleObject" Target="../embeddings/oleObject83.bin"/><Relationship Id="rId165" Type="http://schemas.openxmlformats.org/officeDocument/2006/relationships/oleObject" Target="../embeddings/oleObject158.bin"/><Relationship Id="rId186" Type="http://schemas.openxmlformats.org/officeDocument/2006/relationships/oleObject" Target="../embeddings/oleObject179.bin"/><Relationship Id="rId211" Type="http://schemas.openxmlformats.org/officeDocument/2006/relationships/oleObject" Target="../embeddings/oleObject204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5.bin"/><Relationship Id="rId274" Type="http://schemas.openxmlformats.org/officeDocument/2006/relationships/oleObject" Target="../embeddings/oleObject266.bin"/><Relationship Id="rId27" Type="http://schemas.openxmlformats.org/officeDocument/2006/relationships/oleObject" Target="../embeddings/oleObject20.bin"/><Relationship Id="rId48" Type="http://schemas.openxmlformats.org/officeDocument/2006/relationships/oleObject" Target="../embeddings/oleObject41.bin"/><Relationship Id="rId69" Type="http://schemas.openxmlformats.org/officeDocument/2006/relationships/oleObject" Target="../embeddings/oleObject62.bin"/><Relationship Id="rId113" Type="http://schemas.openxmlformats.org/officeDocument/2006/relationships/oleObject" Target="../embeddings/oleObject106.bin"/><Relationship Id="rId134" Type="http://schemas.openxmlformats.org/officeDocument/2006/relationships/oleObject" Target="../embeddings/oleObject127.bin"/><Relationship Id="rId80" Type="http://schemas.openxmlformats.org/officeDocument/2006/relationships/oleObject" Target="../embeddings/oleObject73.bin"/><Relationship Id="rId155" Type="http://schemas.openxmlformats.org/officeDocument/2006/relationships/oleObject" Target="../embeddings/oleObject148.bin"/><Relationship Id="rId176" Type="http://schemas.openxmlformats.org/officeDocument/2006/relationships/oleObject" Target="../embeddings/oleObject169.bin"/><Relationship Id="rId197" Type="http://schemas.openxmlformats.org/officeDocument/2006/relationships/oleObject" Target="../embeddings/oleObject190.bin"/><Relationship Id="rId201" Type="http://schemas.openxmlformats.org/officeDocument/2006/relationships/oleObject" Target="../embeddings/oleObject194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5.bin"/><Relationship Id="rId264" Type="http://schemas.openxmlformats.org/officeDocument/2006/relationships/oleObject" Target="../embeddings/oleObject256.bin"/><Relationship Id="rId285" Type="http://schemas.openxmlformats.org/officeDocument/2006/relationships/oleObject" Target="../embeddings/oleObject277.bin"/><Relationship Id="rId17" Type="http://schemas.openxmlformats.org/officeDocument/2006/relationships/oleObject" Target="../embeddings/oleObject12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2.bin"/><Relationship Id="rId103" Type="http://schemas.openxmlformats.org/officeDocument/2006/relationships/oleObject" Target="../embeddings/oleObject96.bin"/><Relationship Id="rId124" Type="http://schemas.openxmlformats.org/officeDocument/2006/relationships/oleObject" Target="../embeddings/oleObject117.bin"/><Relationship Id="rId70" Type="http://schemas.openxmlformats.org/officeDocument/2006/relationships/oleObject" Target="../embeddings/oleObject63.bin"/><Relationship Id="rId91" Type="http://schemas.openxmlformats.org/officeDocument/2006/relationships/oleObject" Target="../embeddings/oleObject84.bin"/><Relationship Id="rId145" Type="http://schemas.openxmlformats.org/officeDocument/2006/relationships/oleObject" Target="../embeddings/oleObject138.bin"/><Relationship Id="rId166" Type="http://schemas.openxmlformats.org/officeDocument/2006/relationships/oleObject" Target="../embeddings/oleObject159.bin"/><Relationship Id="rId187" Type="http://schemas.openxmlformats.org/officeDocument/2006/relationships/oleObject" Target="../embeddings/oleObject180.bin"/><Relationship Id="rId1" Type="http://schemas.openxmlformats.org/officeDocument/2006/relationships/drawing" Target="../drawings/drawing1.xml"/><Relationship Id="rId212" Type="http://schemas.openxmlformats.org/officeDocument/2006/relationships/oleObject" Target="../embeddings/oleObject205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6.bin"/><Relationship Id="rId28" Type="http://schemas.openxmlformats.org/officeDocument/2006/relationships/oleObject" Target="../embeddings/oleObject21.bin"/><Relationship Id="rId49" Type="http://schemas.openxmlformats.org/officeDocument/2006/relationships/oleObject" Target="../embeddings/oleObject42.bin"/><Relationship Id="rId114" Type="http://schemas.openxmlformats.org/officeDocument/2006/relationships/oleObject" Target="../embeddings/oleObject107.bin"/><Relationship Id="rId275" Type="http://schemas.openxmlformats.org/officeDocument/2006/relationships/oleObject" Target="../embeddings/oleObject267.bin"/><Relationship Id="rId60" Type="http://schemas.openxmlformats.org/officeDocument/2006/relationships/oleObject" Target="../embeddings/oleObject53.bin"/><Relationship Id="rId81" Type="http://schemas.openxmlformats.org/officeDocument/2006/relationships/oleObject" Target="../embeddings/oleObject74.bin"/><Relationship Id="rId135" Type="http://schemas.openxmlformats.org/officeDocument/2006/relationships/oleObject" Target="../embeddings/oleObject128.bin"/><Relationship Id="rId156" Type="http://schemas.openxmlformats.org/officeDocument/2006/relationships/oleObject" Target="../embeddings/oleObject149.bin"/><Relationship Id="rId177" Type="http://schemas.openxmlformats.org/officeDocument/2006/relationships/oleObject" Target="../embeddings/oleObject170.bin"/><Relationship Id="rId198" Type="http://schemas.openxmlformats.org/officeDocument/2006/relationships/oleObject" Target="../embeddings/oleObject191.bin"/><Relationship Id="rId202" Type="http://schemas.openxmlformats.org/officeDocument/2006/relationships/oleObject" Target="../embeddings/oleObject195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6.bin"/><Relationship Id="rId18" Type="http://schemas.openxmlformats.org/officeDocument/2006/relationships/oleObject" Target="../embeddings/oleObject13.bin"/><Relationship Id="rId39" Type="http://schemas.openxmlformats.org/officeDocument/2006/relationships/oleObject" Target="../embeddings/oleObject32.bin"/><Relationship Id="rId265" Type="http://schemas.openxmlformats.org/officeDocument/2006/relationships/oleObject" Target="../embeddings/oleObject257.bin"/><Relationship Id="rId286" Type="http://schemas.openxmlformats.org/officeDocument/2006/relationships/oleObject" Target="../embeddings/oleObject278.bin"/><Relationship Id="rId50" Type="http://schemas.openxmlformats.org/officeDocument/2006/relationships/oleObject" Target="../embeddings/oleObject43.bin"/><Relationship Id="rId104" Type="http://schemas.openxmlformats.org/officeDocument/2006/relationships/oleObject" Target="../embeddings/oleObject97.bin"/><Relationship Id="rId125" Type="http://schemas.openxmlformats.org/officeDocument/2006/relationships/oleObject" Target="../embeddings/oleObject118.bin"/><Relationship Id="rId146" Type="http://schemas.openxmlformats.org/officeDocument/2006/relationships/oleObject" Target="../embeddings/oleObject139.bin"/><Relationship Id="rId167" Type="http://schemas.openxmlformats.org/officeDocument/2006/relationships/oleObject" Target="../embeddings/oleObject160.bin"/><Relationship Id="rId188" Type="http://schemas.openxmlformats.org/officeDocument/2006/relationships/oleObject" Target="../embeddings/oleObject181.bin"/><Relationship Id="rId71" Type="http://schemas.openxmlformats.org/officeDocument/2006/relationships/oleObject" Target="../embeddings/oleObject64.bin"/><Relationship Id="rId92" Type="http://schemas.openxmlformats.org/officeDocument/2006/relationships/oleObject" Target="../embeddings/oleObject85.bin"/><Relationship Id="rId213" Type="http://schemas.openxmlformats.org/officeDocument/2006/relationships/oleObject" Target="../embeddings/oleObject206.bin"/><Relationship Id="rId234" Type="http://schemas.openxmlformats.org/officeDocument/2006/relationships/oleObject" Target="../embeddings/oleObject226.bin"/><Relationship Id="rId2" Type="http://schemas.openxmlformats.org/officeDocument/2006/relationships/vmlDrawing" Target="../drawings/vmlDrawing2.vml"/><Relationship Id="rId29" Type="http://schemas.openxmlformats.org/officeDocument/2006/relationships/oleObject" Target="../embeddings/oleObject22.bin"/><Relationship Id="rId255" Type="http://schemas.openxmlformats.org/officeDocument/2006/relationships/oleObject" Target="../embeddings/oleObject247.bin"/><Relationship Id="rId276" Type="http://schemas.openxmlformats.org/officeDocument/2006/relationships/oleObject" Target="../embeddings/oleObject268.bin"/><Relationship Id="rId40" Type="http://schemas.openxmlformats.org/officeDocument/2006/relationships/oleObject" Target="../embeddings/oleObject33.bin"/><Relationship Id="rId115" Type="http://schemas.openxmlformats.org/officeDocument/2006/relationships/oleObject" Target="../embeddings/oleObject108.bin"/><Relationship Id="rId136" Type="http://schemas.openxmlformats.org/officeDocument/2006/relationships/oleObject" Target="../embeddings/oleObject129.bin"/><Relationship Id="rId157" Type="http://schemas.openxmlformats.org/officeDocument/2006/relationships/oleObject" Target="../embeddings/oleObject150.bin"/><Relationship Id="rId178" Type="http://schemas.openxmlformats.org/officeDocument/2006/relationships/oleObject" Target="../embeddings/oleObject171.bin"/><Relationship Id="rId61" Type="http://schemas.openxmlformats.org/officeDocument/2006/relationships/oleObject" Target="../embeddings/oleObject54.bin"/><Relationship Id="rId82" Type="http://schemas.openxmlformats.org/officeDocument/2006/relationships/oleObject" Target="../embeddings/oleObject75.bin"/><Relationship Id="rId199" Type="http://schemas.openxmlformats.org/officeDocument/2006/relationships/oleObject" Target="../embeddings/oleObject192.bin"/><Relationship Id="rId203" Type="http://schemas.openxmlformats.org/officeDocument/2006/relationships/oleObject" Target="../embeddings/oleObject196.bin"/><Relationship Id="rId19" Type="http://schemas.openxmlformats.org/officeDocument/2006/relationships/image" Target="../media/image4.emf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7.bin"/><Relationship Id="rId266" Type="http://schemas.openxmlformats.org/officeDocument/2006/relationships/oleObject" Target="../embeddings/oleObject258.bin"/><Relationship Id="rId287" Type="http://schemas.openxmlformats.org/officeDocument/2006/relationships/oleObject" Target="../embeddings/oleObject279.bin"/><Relationship Id="rId30" Type="http://schemas.openxmlformats.org/officeDocument/2006/relationships/oleObject" Target="../embeddings/oleObject23.bin"/><Relationship Id="rId105" Type="http://schemas.openxmlformats.org/officeDocument/2006/relationships/oleObject" Target="../embeddings/oleObject98.bin"/><Relationship Id="rId126" Type="http://schemas.openxmlformats.org/officeDocument/2006/relationships/oleObject" Target="../embeddings/oleObject119.bin"/><Relationship Id="rId147" Type="http://schemas.openxmlformats.org/officeDocument/2006/relationships/oleObject" Target="../embeddings/oleObject140.bin"/><Relationship Id="rId168" Type="http://schemas.openxmlformats.org/officeDocument/2006/relationships/oleObject" Target="../embeddings/oleObject161.bin"/><Relationship Id="rId51" Type="http://schemas.openxmlformats.org/officeDocument/2006/relationships/oleObject" Target="../embeddings/oleObject44.bin"/><Relationship Id="rId72" Type="http://schemas.openxmlformats.org/officeDocument/2006/relationships/oleObject" Target="../embeddings/oleObject65.bin"/><Relationship Id="rId93" Type="http://schemas.openxmlformats.org/officeDocument/2006/relationships/oleObject" Target="../embeddings/oleObject86.bin"/><Relationship Id="rId189" Type="http://schemas.openxmlformats.org/officeDocument/2006/relationships/oleObject" Target="../embeddings/oleObject182.bin"/><Relationship Id="rId3" Type="http://schemas.openxmlformats.org/officeDocument/2006/relationships/oleObject" Target="../embeddings/oleObject1.bin"/><Relationship Id="rId214" Type="http://schemas.openxmlformats.org/officeDocument/2006/relationships/oleObject" Target="../embeddings/oleObject207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8.bin"/><Relationship Id="rId277" Type="http://schemas.openxmlformats.org/officeDocument/2006/relationships/oleObject" Target="../embeddings/oleObject269.bin"/><Relationship Id="rId116" Type="http://schemas.openxmlformats.org/officeDocument/2006/relationships/oleObject" Target="../embeddings/oleObject109.bin"/><Relationship Id="rId137" Type="http://schemas.openxmlformats.org/officeDocument/2006/relationships/oleObject" Target="../embeddings/oleObject130.bin"/><Relationship Id="rId158" Type="http://schemas.openxmlformats.org/officeDocument/2006/relationships/oleObject" Target="../embeddings/oleObject151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4.bin"/><Relationship Id="rId62" Type="http://schemas.openxmlformats.org/officeDocument/2006/relationships/oleObject" Target="../embeddings/oleObject55.bin"/><Relationship Id="rId83" Type="http://schemas.openxmlformats.org/officeDocument/2006/relationships/oleObject" Target="../embeddings/oleObject76.bin"/><Relationship Id="rId179" Type="http://schemas.openxmlformats.org/officeDocument/2006/relationships/oleObject" Target="../embeddings/oleObject172.bin"/><Relationship Id="rId190" Type="http://schemas.openxmlformats.org/officeDocument/2006/relationships/oleObject" Target="../embeddings/oleObject183.bin"/><Relationship Id="rId204" Type="http://schemas.openxmlformats.org/officeDocument/2006/relationships/oleObject" Target="../embeddings/oleObject197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8.bin"/><Relationship Id="rId267" Type="http://schemas.openxmlformats.org/officeDocument/2006/relationships/oleObject" Target="../embeddings/oleObject259.bin"/><Relationship Id="rId288" Type="http://schemas.openxmlformats.org/officeDocument/2006/relationships/oleObject" Target="../embeddings/oleObject280.bin"/><Relationship Id="rId106" Type="http://schemas.openxmlformats.org/officeDocument/2006/relationships/oleObject" Target="../embeddings/oleObject99.bin"/><Relationship Id="rId127" Type="http://schemas.openxmlformats.org/officeDocument/2006/relationships/oleObject" Target="../embeddings/oleObject120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5.bin"/><Relationship Id="rId73" Type="http://schemas.openxmlformats.org/officeDocument/2006/relationships/oleObject" Target="../embeddings/oleObject66.bin"/><Relationship Id="rId94" Type="http://schemas.openxmlformats.org/officeDocument/2006/relationships/oleObject" Target="../embeddings/oleObject87.bin"/><Relationship Id="rId148" Type="http://schemas.openxmlformats.org/officeDocument/2006/relationships/oleObject" Target="../embeddings/oleObject141.bin"/><Relationship Id="rId169" Type="http://schemas.openxmlformats.org/officeDocument/2006/relationships/oleObject" Target="../embeddings/oleObject162.bin"/><Relationship Id="rId4" Type="http://schemas.openxmlformats.org/officeDocument/2006/relationships/image" Target="../media/image1.emf"/><Relationship Id="rId180" Type="http://schemas.openxmlformats.org/officeDocument/2006/relationships/oleObject" Target="../embeddings/oleObject173.bin"/><Relationship Id="rId215" Type="http://schemas.openxmlformats.org/officeDocument/2006/relationships/oleObject" Target="../embeddings/oleObject208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9.bin"/><Relationship Id="rId278" Type="http://schemas.openxmlformats.org/officeDocument/2006/relationships/oleObject" Target="../embeddings/oleObject270.bin"/><Relationship Id="rId42" Type="http://schemas.openxmlformats.org/officeDocument/2006/relationships/oleObject" Target="../embeddings/oleObject35.bin"/><Relationship Id="rId84" Type="http://schemas.openxmlformats.org/officeDocument/2006/relationships/oleObject" Target="../embeddings/oleObject77.bin"/><Relationship Id="rId138" Type="http://schemas.openxmlformats.org/officeDocument/2006/relationships/oleObject" Target="../embeddings/oleObject131.bin"/><Relationship Id="rId191" Type="http://schemas.openxmlformats.org/officeDocument/2006/relationships/oleObject" Target="../embeddings/oleObject184.bin"/><Relationship Id="rId205" Type="http://schemas.openxmlformats.org/officeDocument/2006/relationships/oleObject" Target="../embeddings/oleObject198.bin"/><Relationship Id="rId247" Type="http://schemas.openxmlformats.org/officeDocument/2006/relationships/oleObject" Target="../embeddings/oleObject239.bin"/><Relationship Id="rId107" Type="http://schemas.openxmlformats.org/officeDocument/2006/relationships/oleObject" Target="../embeddings/oleObject100.bin"/><Relationship Id="rId289" Type="http://schemas.openxmlformats.org/officeDocument/2006/relationships/oleObject" Target="../embeddings/oleObject281.bin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6.bin"/><Relationship Id="rId149" Type="http://schemas.openxmlformats.org/officeDocument/2006/relationships/oleObject" Target="../embeddings/oleObject142.bin"/><Relationship Id="rId95" Type="http://schemas.openxmlformats.org/officeDocument/2006/relationships/oleObject" Target="../embeddings/oleObject88.bin"/><Relationship Id="rId160" Type="http://schemas.openxmlformats.org/officeDocument/2006/relationships/oleObject" Target="../embeddings/oleObject153.bin"/><Relationship Id="rId216" Type="http://schemas.openxmlformats.org/officeDocument/2006/relationships/image" Target="../media/image6.emf"/><Relationship Id="rId258" Type="http://schemas.openxmlformats.org/officeDocument/2006/relationships/oleObject" Target="../embeddings/oleObject250.bin"/><Relationship Id="rId22" Type="http://schemas.openxmlformats.org/officeDocument/2006/relationships/oleObject" Target="../embeddings/oleObject16.bin"/><Relationship Id="rId64" Type="http://schemas.openxmlformats.org/officeDocument/2006/relationships/oleObject" Target="../embeddings/oleObject57.bin"/><Relationship Id="rId118" Type="http://schemas.openxmlformats.org/officeDocument/2006/relationships/oleObject" Target="../embeddings/oleObject111.bin"/><Relationship Id="rId171" Type="http://schemas.openxmlformats.org/officeDocument/2006/relationships/oleObject" Target="../embeddings/oleObject164.bin"/><Relationship Id="rId227" Type="http://schemas.openxmlformats.org/officeDocument/2006/relationships/oleObject" Target="../embeddings/oleObject219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289.bin"/><Relationship Id="rId18" Type="http://schemas.openxmlformats.org/officeDocument/2006/relationships/oleObject" Target="../embeddings/oleObject294.bin"/><Relationship Id="rId26" Type="http://schemas.openxmlformats.org/officeDocument/2006/relationships/oleObject" Target="../embeddings/oleObject302.bin"/><Relationship Id="rId39" Type="http://schemas.openxmlformats.org/officeDocument/2006/relationships/oleObject" Target="../embeddings/oleObject315.bin"/><Relationship Id="rId21" Type="http://schemas.openxmlformats.org/officeDocument/2006/relationships/oleObject" Target="../embeddings/oleObject297.bin"/><Relationship Id="rId34" Type="http://schemas.openxmlformats.org/officeDocument/2006/relationships/oleObject" Target="../embeddings/oleObject310.bin"/><Relationship Id="rId42" Type="http://schemas.openxmlformats.org/officeDocument/2006/relationships/oleObject" Target="../embeddings/oleObject318.bin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292.bin"/><Relationship Id="rId29" Type="http://schemas.openxmlformats.org/officeDocument/2006/relationships/oleObject" Target="../embeddings/oleObject305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84.bin"/><Relationship Id="rId11" Type="http://schemas.openxmlformats.org/officeDocument/2006/relationships/oleObject" Target="../embeddings/oleObject287.bin"/><Relationship Id="rId24" Type="http://schemas.openxmlformats.org/officeDocument/2006/relationships/oleObject" Target="../embeddings/oleObject300.bin"/><Relationship Id="rId32" Type="http://schemas.openxmlformats.org/officeDocument/2006/relationships/oleObject" Target="../embeddings/oleObject308.bin"/><Relationship Id="rId37" Type="http://schemas.openxmlformats.org/officeDocument/2006/relationships/oleObject" Target="../embeddings/oleObject313.bin"/><Relationship Id="rId40" Type="http://schemas.openxmlformats.org/officeDocument/2006/relationships/oleObject" Target="../embeddings/oleObject316.bin"/><Relationship Id="rId45" Type="http://schemas.openxmlformats.org/officeDocument/2006/relationships/oleObject" Target="../embeddings/oleObject321.bin"/><Relationship Id="rId5" Type="http://schemas.openxmlformats.org/officeDocument/2006/relationships/image" Target="../media/image6.emf"/><Relationship Id="rId15" Type="http://schemas.openxmlformats.org/officeDocument/2006/relationships/oleObject" Target="../embeddings/oleObject291.bin"/><Relationship Id="rId23" Type="http://schemas.openxmlformats.org/officeDocument/2006/relationships/oleObject" Target="../embeddings/oleObject299.bin"/><Relationship Id="rId28" Type="http://schemas.openxmlformats.org/officeDocument/2006/relationships/oleObject" Target="../embeddings/oleObject304.bin"/><Relationship Id="rId36" Type="http://schemas.openxmlformats.org/officeDocument/2006/relationships/oleObject" Target="../embeddings/oleObject312.bin"/><Relationship Id="rId10" Type="http://schemas.openxmlformats.org/officeDocument/2006/relationships/oleObject" Target="../embeddings/oleObject286.bin"/><Relationship Id="rId19" Type="http://schemas.openxmlformats.org/officeDocument/2006/relationships/oleObject" Target="../embeddings/oleObject295.bin"/><Relationship Id="rId31" Type="http://schemas.openxmlformats.org/officeDocument/2006/relationships/oleObject" Target="../embeddings/oleObject307.bin"/><Relationship Id="rId44" Type="http://schemas.openxmlformats.org/officeDocument/2006/relationships/oleObject" Target="../embeddings/oleObject320.bin"/><Relationship Id="rId4" Type="http://schemas.openxmlformats.org/officeDocument/2006/relationships/oleObject" Target="../embeddings/oleObject283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290.bin"/><Relationship Id="rId22" Type="http://schemas.openxmlformats.org/officeDocument/2006/relationships/oleObject" Target="../embeddings/oleObject298.bin"/><Relationship Id="rId27" Type="http://schemas.openxmlformats.org/officeDocument/2006/relationships/oleObject" Target="../embeddings/oleObject303.bin"/><Relationship Id="rId30" Type="http://schemas.openxmlformats.org/officeDocument/2006/relationships/oleObject" Target="../embeddings/oleObject306.bin"/><Relationship Id="rId35" Type="http://schemas.openxmlformats.org/officeDocument/2006/relationships/oleObject" Target="../embeddings/oleObject311.bin"/><Relationship Id="rId43" Type="http://schemas.openxmlformats.org/officeDocument/2006/relationships/oleObject" Target="../embeddings/oleObject319.bin"/><Relationship Id="rId8" Type="http://schemas.openxmlformats.org/officeDocument/2006/relationships/oleObject" Target="../embeddings/oleObject285.bin"/><Relationship Id="rId3" Type="http://schemas.openxmlformats.org/officeDocument/2006/relationships/vmlDrawing" Target="../drawings/vmlDrawing3.vml"/><Relationship Id="rId12" Type="http://schemas.openxmlformats.org/officeDocument/2006/relationships/oleObject" Target="../embeddings/oleObject288.bin"/><Relationship Id="rId17" Type="http://schemas.openxmlformats.org/officeDocument/2006/relationships/oleObject" Target="../embeddings/oleObject293.bin"/><Relationship Id="rId25" Type="http://schemas.openxmlformats.org/officeDocument/2006/relationships/oleObject" Target="../embeddings/oleObject301.bin"/><Relationship Id="rId33" Type="http://schemas.openxmlformats.org/officeDocument/2006/relationships/oleObject" Target="../embeddings/oleObject309.bin"/><Relationship Id="rId38" Type="http://schemas.openxmlformats.org/officeDocument/2006/relationships/oleObject" Target="../embeddings/oleObject314.bin"/><Relationship Id="rId20" Type="http://schemas.openxmlformats.org/officeDocument/2006/relationships/oleObject" Target="../embeddings/oleObject296.bin"/><Relationship Id="rId41" Type="http://schemas.openxmlformats.org/officeDocument/2006/relationships/oleObject" Target="../embeddings/oleObject317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24.bin"/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327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23.bin"/><Relationship Id="rId11" Type="http://schemas.openxmlformats.org/officeDocument/2006/relationships/oleObject" Target="../embeddings/oleObject326.bin"/><Relationship Id="rId5" Type="http://schemas.openxmlformats.org/officeDocument/2006/relationships/image" Target="../media/image9.emf"/><Relationship Id="rId10" Type="http://schemas.openxmlformats.org/officeDocument/2006/relationships/oleObject" Target="../embeddings/oleObject325.bin"/><Relationship Id="rId4" Type="http://schemas.openxmlformats.org/officeDocument/2006/relationships/oleObject" Target="../embeddings/oleObject322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21"/>
  <sheetViews>
    <sheetView topLeftCell="A10" zoomScale="90" zoomScaleNormal="90" workbookViewId="0">
      <selection activeCell="L5" sqref="L5"/>
    </sheetView>
  </sheetViews>
  <sheetFormatPr baseColWidth="10" defaultRowHeight="15" x14ac:dyDescent="0.25"/>
  <cols>
    <col min="1" max="1" width="13" bestFit="1" customWidth="1"/>
    <col min="2" max="2" width="9.28515625" style="3" bestFit="1" customWidth="1"/>
    <col min="3" max="3" width="10" customWidth="1"/>
    <col min="4" max="4" width="12.140625" customWidth="1"/>
    <col min="5" max="5" width="11.85546875" bestFit="1" customWidth="1"/>
    <col min="6" max="6" width="17.85546875" bestFit="1" customWidth="1"/>
    <col min="7" max="7" width="9" customWidth="1"/>
    <col min="8" max="8" width="8.140625" customWidth="1"/>
    <col min="9" max="9" width="12.85546875" customWidth="1"/>
    <col min="11" max="11" width="10.140625" customWidth="1"/>
    <col min="12" max="12" width="8.7109375" customWidth="1"/>
    <col min="13" max="13" width="7.7109375" customWidth="1"/>
    <col min="14" max="14" width="11.85546875" customWidth="1"/>
    <col min="15" max="15" width="6.5703125" customWidth="1"/>
    <col min="16" max="16" width="8.5703125" customWidth="1"/>
    <col min="17" max="19" width="6.5703125" customWidth="1"/>
    <col min="20" max="20" width="7.140625" customWidth="1"/>
    <col min="21" max="21" width="13.140625" customWidth="1"/>
    <col min="22" max="22" width="12.7109375" customWidth="1"/>
    <col min="23" max="23" width="7.7109375" bestFit="1" customWidth="1"/>
    <col min="24" max="24" width="12" bestFit="1" customWidth="1"/>
    <col min="25" max="25" width="7.7109375" bestFit="1" customWidth="1"/>
    <col min="26" max="26" width="12.42578125" customWidth="1"/>
    <col min="27" max="27" width="7.7109375" bestFit="1" customWidth="1"/>
    <col min="28" max="28" width="12.85546875" customWidth="1"/>
  </cols>
  <sheetData>
    <row r="2" spans="1:28" x14ac:dyDescent="0.25">
      <c r="A2" s="91" t="s">
        <v>17</v>
      </c>
      <c r="B2" s="91"/>
      <c r="C2" s="91"/>
      <c r="D2" s="91"/>
      <c r="F2" s="91" t="s">
        <v>18</v>
      </c>
      <c r="G2" s="91"/>
      <c r="H2" s="91"/>
      <c r="I2" s="91"/>
    </row>
    <row r="3" spans="1:28" ht="15.75" thickBot="1" x14ac:dyDescent="0.3"/>
    <row r="4" spans="1:28" ht="34.5" customHeight="1" x14ac:dyDescent="0.25">
      <c r="A4" s="2" t="s">
        <v>14</v>
      </c>
      <c r="B4" s="2" t="s">
        <v>0</v>
      </c>
      <c r="C4" s="29" t="s">
        <v>19</v>
      </c>
      <c r="D4" s="27" t="s">
        <v>20</v>
      </c>
      <c r="F4" s="14" t="s">
        <v>14</v>
      </c>
      <c r="G4" s="15" t="s">
        <v>0</v>
      </c>
      <c r="H4" s="29" t="s">
        <v>19</v>
      </c>
      <c r="I4" s="27" t="s">
        <v>20</v>
      </c>
      <c r="K4" s="13"/>
      <c r="L4" s="29" t="s">
        <v>45</v>
      </c>
      <c r="M4" s="29" t="s">
        <v>47</v>
      </c>
      <c r="N4" s="29" t="s">
        <v>46</v>
      </c>
      <c r="O4" s="29" t="s">
        <v>47</v>
      </c>
      <c r="P4" s="29" t="s">
        <v>49</v>
      </c>
      <c r="Q4" s="29" t="s">
        <v>47</v>
      </c>
      <c r="R4" s="29"/>
      <c r="S4" s="29"/>
      <c r="T4" s="29" t="s">
        <v>47</v>
      </c>
      <c r="U4" s="27" t="s">
        <v>20</v>
      </c>
      <c r="V4" s="28"/>
      <c r="W4" s="11"/>
      <c r="X4" s="28"/>
      <c r="Y4" s="11"/>
      <c r="Z4" s="28"/>
      <c r="AA4" s="11"/>
      <c r="AB4" s="28"/>
    </row>
    <row r="5" spans="1:28" ht="18" customHeight="1" x14ac:dyDescent="0.25">
      <c r="A5" s="1" t="s">
        <v>1</v>
      </c>
      <c r="B5" s="5">
        <v>0</v>
      </c>
      <c r="C5" s="6">
        <v>300</v>
      </c>
      <c r="D5" s="16">
        <f>B5*C5</f>
        <v>0</v>
      </c>
      <c r="F5" s="17" t="s">
        <v>1</v>
      </c>
      <c r="G5" s="6">
        <v>0</v>
      </c>
      <c r="H5" s="6">
        <v>300</v>
      </c>
      <c r="I5" s="16">
        <f>G5*H5</f>
        <v>0</v>
      </c>
      <c r="K5" s="37" t="s">
        <v>48</v>
      </c>
      <c r="L5" s="34">
        <v>35</v>
      </c>
      <c r="M5" s="34">
        <v>300</v>
      </c>
      <c r="N5" s="34">
        <v>5</v>
      </c>
      <c r="O5" s="34">
        <v>495</v>
      </c>
      <c r="P5" s="34">
        <v>1</v>
      </c>
      <c r="Q5" s="34">
        <v>180</v>
      </c>
      <c r="R5" s="34"/>
      <c r="S5" s="34"/>
      <c r="T5" s="7">
        <v>46</v>
      </c>
      <c r="U5" s="8">
        <f>T5*H5</f>
        <v>13800</v>
      </c>
    </row>
    <row r="6" spans="1:28" ht="18" customHeight="1" x14ac:dyDescent="0.25">
      <c r="A6" s="1" t="s">
        <v>2</v>
      </c>
      <c r="B6" s="5">
        <v>0</v>
      </c>
      <c r="C6" s="6">
        <v>300</v>
      </c>
      <c r="D6" s="16">
        <f t="shared" ref="D6:D19" si="0">B6*C6</f>
        <v>0</v>
      </c>
      <c r="F6" s="17" t="s">
        <v>2</v>
      </c>
      <c r="G6" s="6">
        <v>0</v>
      </c>
      <c r="H6" s="6">
        <v>300</v>
      </c>
      <c r="I6" s="16">
        <f t="shared" ref="I6:I17" si="1">G6*H6</f>
        <v>0</v>
      </c>
      <c r="K6" s="30" t="s">
        <v>40</v>
      </c>
      <c r="L6" s="35"/>
      <c r="M6" s="35"/>
      <c r="N6" s="35"/>
      <c r="O6" s="35"/>
      <c r="P6" s="35"/>
      <c r="Q6" s="35"/>
      <c r="R6" s="35"/>
      <c r="S6" s="35"/>
      <c r="T6" s="7">
        <v>83</v>
      </c>
      <c r="U6" s="8">
        <f>T6*H6</f>
        <v>24900</v>
      </c>
    </row>
    <row r="7" spans="1:28" ht="18" customHeight="1" x14ac:dyDescent="0.25">
      <c r="A7" s="1" t="s">
        <v>3</v>
      </c>
      <c r="B7" s="5">
        <v>0</v>
      </c>
      <c r="C7" s="6">
        <v>300</v>
      </c>
      <c r="D7" s="16">
        <f t="shared" si="0"/>
        <v>0</v>
      </c>
      <c r="F7" s="17" t="s">
        <v>3</v>
      </c>
      <c r="G7" s="6">
        <v>2</v>
      </c>
      <c r="H7" s="6">
        <v>300</v>
      </c>
      <c r="I7" s="16">
        <f t="shared" si="1"/>
        <v>600</v>
      </c>
      <c r="K7" s="30" t="s">
        <v>41</v>
      </c>
      <c r="L7" s="35"/>
      <c r="M7" s="35"/>
      <c r="N7" s="35"/>
      <c r="O7" s="35"/>
      <c r="P7" s="35"/>
      <c r="Q7" s="35"/>
      <c r="R7" s="35"/>
      <c r="S7" s="35"/>
      <c r="T7" s="7">
        <v>84</v>
      </c>
      <c r="U7" s="8">
        <f>T7*H7</f>
        <v>25200</v>
      </c>
    </row>
    <row r="8" spans="1:28" ht="18" customHeight="1" x14ac:dyDescent="0.25">
      <c r="A8" s="1" t="s">
        <v>4</v>
      </c>
      <c r="B8" s="5">
        <v>0</v>
      </c>
      <c r="C8" s="6">
        <v>300</v>
      </c>
      <c r="D8" s="16">
        <f t="shared" si="0"/>
        <v>0</v>
      </c>
      <c r="F8" s="17" t="s">
        <v>4</v>
      </c>
      <c r="G8" s="6">
        <v>19</v>
      </c>
      <c r="H8" s="6">
        <v>300</v>
      </c>
      <c r="I8" s="16">
        <f t="shared" si="1"/>
        <v>5700</v>
      </c>
      <c r="K8" s="30" t="s">
        <v>42</v>
      </c>
      <c r="L8" s="35"/>
      <c r="M8" s="35"/>
      <c r="N8" s="35"/>
      <c r="O8" s="35"/>
      <c r="P8" s="35"/>
      <c r="Q8" s="35"/>
      <c r="R8" s="35"/>
      <c r="S8" s="35"/>
      <c r="T8" s="7">
        <v>81</v>
      </c>
      <c r="U8" s="8">
        <f>T8*H8</f>
        <v>24300</v>
      </c>
    </row>
    <row r="9" spans="1:28" ht="18" customHeight="1" thickBot="1" x14ac:dyDescent="0.3">
      <c r="A9" s="1" t="s">
        <v>5</v>
      </c>
      <c r="B9" s="5">
        <v>0</v>
      </c>
      <c r="C9" s="6">
        <v>300</v>
      </c>
      <c r="D9" s="16">
        <f t="shared" si="0"/>
        <v>0</v>
      </c>
      <c r="F9" s="17" t="s">
        <v>5</v>
      </c>
      <c r="G9" s="6">
        <v>6</v>
      </c>
      <c r="H9" s="6">
        <v>300</v>
      </c>
      <c r="I9" s="16">
        <f t="shared" si="1"/>
        <v>1800</v>
      </c>
      <c r="K9" s="31" t="s">
        <v>43</v>
      </c>
      <c r="L9" s="36"/>
      <c r="M9" s="36"/>
      <c r="N9" s="36"/>
      <c r="O9" s="36"/>
      <c r="P9" s="36"/>
      <c r="Q9" s="36"/>
      <c r="R9" s="36"/>
      <c r="S9" s="36"/>
      <c r="T9" s="10">
        <v>84</v>
      </c>
      <c r="U9" s="9">
        <f>T9*H9</f>
        <v>25200</v>
      </c>
    </row>
    <row r="10" spans="1:28" ht="18" customHeight="1" x14ac:dyDescent="0.25">
      <c r="A10" s="1" t="s">
        <v>6</v>
      </c>
      <c r="B10" s="5">
        <v>0</v>
      </c>
      <c r="C10" s="6">
        <v>300</v>
      </c>
      <c r="D10" s="16">
        <f t="shared" si="0"/>
        <v>0</v>
      </c>
      <c r="F10" s="17" t="s">
        <v>6</v>
      </c>
      <c r="G10" s="6">
        <v>7</v>
      </c>
      <c r="H10" s="6">
        <v>300</v>
      </c>
      <c r="I10" s="16">
        <f t="shared" si="1"/>
        <v>2100</v>
      </c>
    </row>
    <row r="11" spans="1:28" ht="18" customHeight="1" x14ac:dyDescent="0.25">
      <c r="A11" s="1" t="s">
        <v>7</v>
      </c>
      <c r="B11" s="5">
        <v>0</v>
      </c>
      <c r="C11" s="6">
        <v>300</v>
      </c>
      <c r="D11" s="16">
        <f t="shared" si="0"/>
        <v>0</v>
      </c>
      <c r="F11" s="17" t="s">
        <v>7</v>
      </c>
      <c r="G11" s="6">
        <v>2</v>
      </c>
      <c r="H11" s="6">
        <v>300</v>
      </c>
      <c r="I11" s="16">
        <f t="shared" si="1"/>
        <v>600</v>
      </c>
    </row>
    <row r="12" spans="1:28" ht="18" customHeight="1" x14ac:dyDescent="0.25">
      <c r="A12" s="1" t="s">
        <v>8</v>
      </c>
      <c r="B12" s="5">
        <v>1</v>
      </c>
      <c r="C12" s="6">
        <v>300</v>
      </c>
      <c r="D12" s="16">
        <f t="shared" si="0"/>
        <v>300</v>
      </c>
      <c r="F12" s="17" t="s">
        <v>8</v>
      </c>
      <c r="G12" s="6">
        <v>70</v>
      </c>
      <c r="H12" s="6">
        <v>300</v>
      </c>
      <c r="I12" s="16">
        <f t="shared" si="1"/>
        <v>21000</v>
      </c>
    </row>
    <row r="13" spans="1:28" ht="18" customHeight="1" x14ac:dyDescent="0.25">
      <c r="A13" s="1" t="s">
        <v>9</v>
      </c>
      <c r="B13" s="5">
        <v>0</v>
      </c>
      <c r="C13" s="6">
        <v>300</v>
      </c>
      <c r="D13" s="16">
        <f t="shared" si="0"/>
        <v>0</v>
      </c>
      <c r="F13" s="17" t="s">
        <v>9</v>
      </c>
      <c r="G13" s="6">
        <v>2</v>
      </c>
      <c r="H13" s="6">
        <v>300</v>
      </c>
      <c r="I13" s="16">
        <f t="shared" si="1"/>
        <v>600</v>
      </c>
    </row>
    <row r="14" spans="1:28" ht="18" customHeight="1" x14ac:dyDescent="0.25">
      <c r="A14" s="1" t="s">
        <v>10</v>
      </c>
      <c r="B14" s="5">
        <v>6</v>
      </c>
      <c r="C14" s="6">
        <v>300</v>
      </c>
      <c r="D14" s="16">
        <f t="shared" si="0"/>
        <v>1800</v>
      </c>
      <c r="F14" s="17" t="s">
        <v>10</v>
      </c>
      <c r="G14" s="6">
        <v>19</v>
      </c>
      <c r="H14" s="6">
        <v>300</v>
      </c>
      <c r="I14" s="16">
        <f t="shared" si="1"/>
        <v>5700</v>
      </c>
    </row>
    <row r="15" spans="1:28" ht="18" customHeight="1" x14ac:dyDescent="0.25">
      <c r="A15" s="1" t="s">
        <v>11</v>
      </c>
      <c r="B15" s="5">
        <v>3</v>
      </c>
      <c r="C15" s="6">
        <v>300</v>
      </c>
      <c r="D15" s="16">
        <f t="shared" si="0"/>
        <v>900</v>
      </c>
      <c r="F15" s="17" t="s">
        <v>11</v>
      </c>
      <c r="G15" s="6">
        <v>147</v>
      </c>
      <c r="H15" s="6">
        <v>300</v>
      </c>
      <c r="I15" s="16">
        <f t="shared" si="1"/>
        <v>44100</v>
      </c>
    </row>
    <row r="16" spans="1:28" ht="18" customHeight="1" x14ac:dyDescent="0.25">
      <c r="A16" s="1" t="s">
        <v>12</v>
      </c>
      <c r="B16" s="5">
        <v>22</v>
      </c>
      <c r="C16" s="6">
        <v>300</v>
      </c>
      <c r="D16" s="16">
        <f t="shared" si="0"/>
        <v>6600</v>
      </c>
      <c r="F16" s="17" t="s">
        <v>12</v>
      </c>
      <c r="G16" s="6">
        <v>37</v>
      </c>
      <c r="H16" s="6">
        <v>300</v>
      </c>
      <c r="I16" s="16">
        <f t="shared" si="1"/>
        <v>11100</v>
      </c>
    </row>
    <row r="17" spans="1:9" ht="18" customHeight="1" x14ac:dyDescent="0.25">
      <c r="A17" s="1" t="s">
        <v>13</v>
      </c>
      <c r="B17" s="5">
        <v>0</v>
      </c>
      <c r="C17" s="6">
        <v>300</v>
      </c>
      <c r="D17" s="16">
        <f t="shared" si="0"/>
        <v>0</v>
      </c>
      <c r="F17" s="17" t="s">
        <v>13</v>
      </c>
      <c r="G17" s="6">
        <v>65</v>
      </c>
      <c r="H17" s="6">
        <v>300</v>
      </c>
      <c r="I17" s="16">
        <f t="shared" si="1"/>
        <v>19500</v>
      </c>
    </row>
    <row r="18" spans="1:9" x14ac:dyDescent="0.25">
      <c r="A18" s="4" t="s">
        <v>16</v>
      </c>
      <c r="B18" s="6">
        <v>0</v>
      </c>
      <c r="C18" s="6">
        <v>300</v>
      </c>
      <c r="D18" s="16">
        <f t="shared" si="0"/>
        <v>0</v>
      </c>
      <c r="F18" s="17" t="s">
        <v>16</v>
      </c>
      <c r="G18" s="6">
        <v>2</v>
      </c>
      <c r="H18" s="6">
        <v>300</v>
      </c>
      <c r="I18" s="16">
        <f>G18*H18</f>
        <v>600</v>
      </c>
    </row>
    <row r="19" spans="1:9" ht="15.75" thickBot="1" x14ac:dyDescent="0.3">
      <c r="A19" s="4" t="s">
        <v>15</v>
      </c>
      <c r="B19" s="6">
        <f>SUM(B5:B18)</f>
        <v>32</v>
      </c>
      <c r="C19" s="6">
        <v>300</v>
      </c>
      <c r="D19" s="25">
        <f t="shared" si="0"/>
        <v>9600</v>
      </c>
      <c r="F19" s="18" t="s">
        <v>15</v>
      </c>
      <c r="G19" s="21">
        <f>SUM(G5:G18)</f>
        <v>378</v>
      </c>
      <c r="H19" s="12">
        <v>300</v>
      </c>
      <c r="I19" s="26">
        <f>G19*H19</f>
        <v>113400</v>
      </c>
    </row>
    <row r="21" spans="1:9" x14ac:dyDescent="0.25">
      <c r="F21" s="20" t="s">
        <v>21</v>
      </c>
      <c r="G21" s="19">
        <f>D19+I19</f>
        <v>123000</v>
      </c>
    </row>
  </sheetData>
  <mergeCells count="2">
    <mergeCell ref="F2:I2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70"/>
  <sheetViews>
    <sheetView zoomScale="70" zoomScaleNormal="70" workbookViewId="0">
      <selection activeCell="N23" sqref="N23"/>
    </sheetView>
  </sheetViews>
  <sheetFormatPr baseColWidth="10" defaultRowHeight="15" x14ac:dyDescent="0.25"/>
  <cols>
    <col min="1" max="1" width="8.42578125" customWidth="1"/>
    <col min="2" max="2" width="72.7109375" customWidth="1"/>
    <col min="3" max="3" width="16.42578125" customWidth="1"/>
    <col min="4" max="4" width="13.5703125" customWidth="1"/>
    <col min="5" max="5" width="9.85546875" customWidth="1"/>
    <col min="6" max="6" width="14.42578125" customWidth="1"/>
    <col min="7" max="7" width="20.7109375" customWidth="1"/>
    <col min="8" max="8" width="13.85546875" bestFit="1" customWidth="1"/>
    <col min="9" max="9" width="18" hidden="1" customWidth="1"/>
    <col min="10" max="10" width="23.28515625" hidden="1" customWidth="1"/>
    <col min="11" max="11" width="15.140625" customWidth="1"/>
    <col min="12" max="12" width="16" customWidth="1"/>
    <col min="14" max="14" width="13.5703125" bestFit="1" customWidth="1"/>
    <col min="15" max="15" width="16.28515625" customWidth="1"/>
  </cols>
  <sheetData>
    <row r="1" spans="1:14" x14ac:dyDescent="0.25">
      <c r="A1" s="92" t="s">
        <v>62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4" x14ac:dyDescent="0.25">
      <c r="A2" s="94" t="s">
        <v>63</v>
      </c>
      <c r="B2" s="94" t="s">
        <v>64</v>
      </c>
      <c r="C2" s="39" t="s">
        <v>65</v>
      </c>
      <c r="D2" s="39" t="s">
        <v>66</v>
      </c>
      <c r="E2" s="40" t="s">
        <v>67</v>
      </c>
      <c r="F2" s="41" t="s">
        <v>68</v>
      </c>
      <c r="G2" s="39" t="s">
        <v>68</v>
      </c>
      <c r="H2" s="39" t="s">
        <v>68</v>
      </c>
      <c r="I2" s="42" t="s">
        <v>69</v>
      </c>
      <c r="J2" s="42" t="s">
        <v>70</v>
      </c>
      <c r="K2" s="42" t="s">
        <v>69</v>
      </c>
      <c r="L2" s="42" t="s">
        <v>69</v>
      </c>
    </row>
    <row r="3" spans="1:14" x14ac:dyDescent="0.25">
      <c r="A3" s="94"/>
      <c r="B3" s="94"/>
      <c r="C3" s="39" t="s">
        <v>71</v>
      </c>
      <c r="D3" s="39"/>
      <c r="E3" s="40"/>
      <c r="F3" s="41" t="s">
        <v>72</v>
      </c>
      <c r="G3" s="39" t="s">
        <v>73</v>
      </c>
      <c r="H3" s="39" t="s">
        <v>15</v>
      </c>
      <c r="I3" s="42" t="s">
        <v>74</v>
      </c>
      <c r="J3" s="42" t="s">
        <v>75</v>
      </c>
      <c r="K3" s="42" t="s">
        <v>76</v>
      </c>
      <c r="L3" s="42" t="s">
        <v>77</v>
      </c>
    </row>
    <row r="4" spans="1:14" x14ac:dyDescent="0.25">
      <c r="A4" s="94"/>
      <c r="B4" s="94"/>
      <c r="C4" s="39" t="s">
        <v>78</v>
      </c>
      <c r="D4" s="39" t="s">
        <v>79</v>
      </c>
      <c r="E4" s="40"/>
      <c r="F4" s="41" t="s">
        <v>78</v>
      </c>
      <c r="G4" s="39" t="s">
        <v>78</v>
      </c>
      <c r="H4" s="39" t="s">
        <v>78</v>
      </c>
      <c r="I4" s="42" t="s">
        <v>80</v>
      </c>
      <c r="J4" s="42" t="s">
        <v>81</v>
      </c>
      <c r="K4" s="42" t="s">
        <v>82</v>
      </c>
      <c r="L4" s="42" t="s">
        <v>80</v>
      </c>
    </row>
    <row r="5" spans="1:14" s="66" customFormat="1" ht="17.25" x14ac:dyDescent="0.3">
      <c r="A5" s="60" t="s">
        <v>83</v>
      </c>
      <c r="B5" s="61" t="s">
        <v>84</v>
      </c>
      <c r="C5" s="62"/>
      <c r="D5" s="62"/>
      <c r="E5" s="63"/>
      <c r="F5" s="64"/>
      <c r="G5" s="62"/>
      <c r="H5" s="65">
        <f>H6+H16+H31+H40+H48+H56+H65+H67+H77+H87+H97+H106+H108+H111</f>
        <v>170829.91999999998</v>
      </c>
      <c r="I5" s="86">
        <f>H5/(1.73*380*0.9)</f>
        <v>288.72987864651992</v>
      </c>
      <c r="J5" s="86">
        <f>0.8*H5</f>
        <v>136663.93599999999</v>
      </c>
      <c r="K5" s="86">
        <f t="shared" ref="K5:K32" si="0">1.25*L5</f>
        <v>324.82111347733496</v>
      </c>
      <c r="L5" s="87">
        <f>H5/(1.73*380*1)</f>
        <v>259.85689078186795</v>
      </c>
      <c r="M5"/>
      <c r="N5"/>
    </row>
    <row r="6" spans="1:14" s="85" customFormat="1" ht="17.25" x14ac:dyDescent="0.25">
      <c r="A6" s="56" t="s">
        <v>113</v>
      </c>
      <c r="B6" s="56" t="s">
        <v>116</v>
      </c>
      <c r="C6" s="57"/>
      <c r="D6" s="57"/>
      <c r="E6" s="81"/>
      <c r="F6" s="82"/>
      <c r="G6" s="57"/>
      <c r="H6" s="83">
        <f>SUM(H7:H15)</f>
        <v>20273.919999999998</v>
      </c>
      <c r="I6" s="84">
        <f>H6/(1.73*380*0.9)</f>
        <v>34.266166379339488</v>
      </c>
      <c r="J6" s="84">
        <f>0.6*H6</f>
        <v>12164.351999999999</v>
      </c>
      <c r="K6" s="86">
        <f t="shared" ref="K6:K10" si="1">1.25*L6</f>
        <v>38.549437176756918</v>
      </c>
      <c r="L6" s="87">
        <f>H6/(1.73*380*1)</f>
        <v>30.839549741405534</v>
      </c>
      <c r="M6"/>
      <c r="N6"/>
    </row>
    <row r="7" spans="1:14" s="85" customFormat="1" ht="15.75" x14ac:dyDescent="0.25">
      <c r="A7" s="43" t="s">
        <v>85</v>
      </c>
      <c r="B7" s="49" t="s">
        <v>117</v>
      </c>
      <c r="C7" s="53">
        <f>745.7</f>
        <v>745.7</v>
      </c>
      <c r="D7" s="53">
        <v>1</v>
      </c>
      <c r="E7" s="44">
        <v>0.8</v>
      </c>
      <c r="F7" s="53">
        <f t="shared" ref="F7:F10" si="2">C7*D7*E7</f>
        <v>596.56000000000006</v>
      </c>
      <c r="G7" s="53">
        <f t="shared" ref="G7:G10" si="3">F7</f>
        <v>596.56000000000006</v>
      </c>
      <c r="H7" s="88">
        <f t="shared" ref="H7:H10" si="4">F7</f>
        <v>596.56000000000006</v>
      </c>
      <c r="I7" s="54">
        <f t="shared" ref="I7:I10" si="5">G7/(220)</f>
        <v>2.7116363636363641</v>
      </c>
      <c r="J7" s="54">
        <f t="shared" ref="J7:J10" si="6">0.8*H7</f>
        <v>477.24800000000005</v>
      </c>
      <c r="K7" s="55">
        <f t="shared" si="1"/>
        <v>3.3895454545454551</v>
      </c>
      <c r="L7" s="48">
        <f t="shared" ref="L7" si="7">H7/(1*220*1)</f>
        <v>2.7116363636363641</v>
      </c>
      <c r="M7"/>
      <c r="N7"/>
    </row>
    <row r="8" spans="1:14" s="85" customFormat="1" ht="15.75" x14ac:dyDescent="0.25">
      <c r="A8" s="43" t="s">
        <v>86</v>
      </c>
      <c r="B8" s="49" t="s">
        <v>118</v>
      </c>
      <c r="C8" s="53">
        <f>745.7*1.5</f>
        <v>1118.5500000000002</v>
      </c>
      <c r="D8" s="53">
        <v>1</v>
      </c>
      <c r="E8" s="44">
        <v>0.8</v>
      </c>
      <c r="F8" s="53">
        <f t="shared" si="2"/>
        <v>894.84000000000015</v>
      </c>
      <c r="G8" s="53">
        <f t="shared" si="3"/>
        <v>894.84000000000015</v>
      </c>
      <c r="H8" s="88">
        <f t="shared" si="4"/>
        <v>894.84000000000015</v>
      </c>
      <c r="I8" s="54">
        <f t="shared" si="5"/>
        <v>4.0674545454545461</v>
      </c>
      <c r="J8" s="54">
        <f t="shared" si="6"/>
        <v>715.87200000000018</v>
      </c>
      <c r="K8" s="55">
        <f t="shared" si="1"/>
        <v>1.7014755095832068</v>
      </c>
      <c r="L8" s="89">
        <f t="shared" ref="L7:L10" si="8">H8/(1.73*380*1)</f>
        <v>1.3611804076665655</v>
      </c>
      <c r="M8"/>
      <c r="N8"/>
    </row>
    <row r="9" spans="1:14" s="85" customFormat="1" ht="15.75" x14ac:dyDescent="0.25">
      <c r="A9" s="43" t="s">
        <v>88</v>
      </c>
      <c r="B9" s="49" t="s">
        <v>119</v>
      </c>
      <c r="C9" s="53">
        <f>745.7*1.5</f>
        <v>1118.5500000000002</v>
      </c>
      <c r="D9" s="53">
        <v>1</v>
      </c>
      <c r="E9" s="44">
        <v>0.8</v>
      </c>
      <c r="F9" s="53">
        <f t="shared" si="2"/>
        <v>894.84000000000015</v>
      </c>
      <c r="G9" s="53">
        <f t="shared" si="3"/>
        <v>894.84000000000015</v>
      </c>
      <c r="H9" s="88">
        <f t="shared" si="4"/>
        <v>894.84000000000015</v>
      </c>
      <c r="I9" s="54">
        <f t="shared" si="5"/>
        <v>4.0674545454545461</v>
      </c>
      <c r="J9" s="54">
        <f t="shared" si="6"/>
        <v>715.87200000000018</v>
      </c>
      <c r="K9" s="55">
        <f t="shared" si="1"/>
        <v>1.7014755095832068</v>
      </c>
      <c r="L9" s="89">
        <f t="shared" si="8"/>
        <v>1.3611804076665655</v>
      </c>
      <c r="M9"/>
      <c r="N9"/>
    </row>
    <row r="10" spans="1:14" s="85" customFormat="1" ht="15.75" x14ac:dyDescent="0.25">
      <c r="A10" s="43" t="s">
        <v>90</v>
      </c>
      <c r="B10" s="49" t="s">
        <v>120</v>
      </c>
      <c r="C10" s="53">
        <f>745.7*1.5</f>
        <v>1118.5500000000002</v>
      </c>
      <c r="D10" s="53">
        <v>1</v>
      </c>
      <c r="E10" s="44">
        <v>0.8</v>
      </c>
      <c r="F10" s="53">
        <f t="shared" si="2"/>
        <v>894.84000000000015</v>
      </c>
      <c r="G10" s="53">
        <f t="shared" si="3"/>
        <v>894.84000000000015</v>
      </c>
      <c r="H10" s="88">
        <f t="shared" si="4"/>
        <v>894.84000000000015</v>
      </c>
      <c r="I10" s="54">
        <f t="shared" si="5"/>
        <v>4.0674545454545461</v>
      </c>
      <c r="J10" s="54">
        <f t="shared" si="6"/>
        <v>715.87200000000018</v>
      </c>
      <c r="K10" s="55">
        <f t="shared" si="1"/>
        <v>1.7014755095832068</v>
      </c>
      <c r="L10" s="89">
        <f t="shared" si="8"/>
        <v>1.3611804076665655</v>
      </c>
      <c r="M10"/>
      <c r="N10"/>
    </row>
    <row r="11" spans="1:14" s="85" customFormat="1" ht="15.75" x14ac:dyDescent="0.25">
      <c r="A11" s="52" t="s">
        <v>91</v>
      </c>
      <c r="B11" s="49" t="s">
        <v>121</v>
      </c>
      <c r="C11" s="53">
        <f>745.7*1.5</f>
        <v>1118.5500000000002</v>
      </c>
      <c r="D11" s="53">
        <v>1</v>
      </c>
      <c r="E11" s="44">
        <v>0.8</v>
      </c>
      <c r="F11" s="53">
        <f t="shared" ref="F11" si="9">C11*D11*E11</f>
        <v>894.84000000000015</v>
      </c>
      <c r="G11" s="53">
        <f t="shared" ref="G11" si="10">F11</f>
        <v>894.84000000000015</v>
      </c>
      <c r="H11" s="88">
        <f t="shared" ref="H11" si="11">F11</f>
        <v>894.84000000000015</v>
      </c>
      <c r="I11" s="54">
        <f t="shared" ref="I11" si="12">G11/(220)</f>
        <v>4.0674545454545461</v>
      </c>
      <c r="J11" s="54">
        <f t="shared" ref="J11" si="13">0.8*H11</f>
        <v>715.87200000000018</v>
      </c>
      <c r="K11" s="55">
        <f t="shared" ref="K11" si="14">1.25*L11</f>
        <v>1.7014755095832068</v>
      </c>
      <c r="L11" s="89">
        <f>H11/(1.73*380*1)</f>
        <v>1.3611804076665655</v>
      </c>
      <c r="M11"/>
      <c r="N11"/>
    </row>
    <row r="12" spans="1:14" s="85" customFormat="1" ht="15.75" x14ac:dyDescent="0.25">
      <c r="A12" s="52" t="s">
        <v>92</v>
      </c>
      <c r="B12" s="49" t="s">
        <v>210</v>
      </c>
      <c r="C12" s="53">
        <v>18642.5</v>
      </c>
      <c r="D12" s="53">
        <v>1</v>
      </c>
      <c r="E12" s="44">
        <v>0.8</v>
      </c>
      <c r="F12" s="53">
        <f t="shared" ref="F12:F13" si="15">C12*D12*E12</f>
        <v>14914</v>
      </c>
      <c r="G12" s="53">
        <f t="shared" ref="G12:G13" si="16">F12</f>
        <v>14914</v>
      </c>
      <c r="H12" s="88">
        <f t="shared" ref="H12" si="17">F12</f>
        <v>14914</v>
      </c>
      <c r="I12" s="54">
        <f t="shared" ref="I12:I13" si="18">G12/(220)</f>
        <v>67.790909090909096</v>
      </c>
      <c r="J12" s="54">
        <f t="shared" ref="J12" si="19">0.8*H12</f>
        <v>11931.2</v>
      </c>
      <c r="K12" s="55">
        <f t="shared" ref="K12:K13" si="20">1.25*L12</f>
        <v>28.357925159720111</v>
      </c>
      <c r="L12" s="89">
        <f>H12/(1.73*380*1)</f>
        <v>22.686340127776088</v>
      </c>
      <c r="M12"/>
      <c r="N12"/>
    </row>
    <row r="13" spans="1:14" s="85" customFormat="1" ht="15.75" x14ac:dyDescent="0.25">
      <c r="A13" s="52" t="s">
        <v>93</v>
      </c>
      <c r="B13" s="49" t="s">
        <v>216</v>
      </c>
      <c r="C13" s="45">
        <v>32</v>
      </c>
      <c r="D13" s="44">
        <v>8</v>
      </c>
      <c r="E13" s="44">
        <v>1</v>
      </c>
      <c r="F13" s="44">
        <f t="shared" si="15"/>
        <v>256</v>
      </c>
      <c r="G13" s="44">
        <f t="shared" si="16"/>
        <v>256</v>
      </c>
      <c r="H13" s="50">
        <f>F13</f>
        <v>256</v>
      </c>
      <c r="I13" s="46">
        <f t="shared" si="18"/>
        <v>1.1636363636363636</v>
      </c>
      <c r="J13" s="46">
        <f t="shared" ref="J13" si="21">1*H13</f>
        <v>256</v>
      </c>
      <c r="K13" s="47">
        <f t="shared" si="20"/>
        <v>1.4545454545454546</v>
      </c>
      <c r="L13" s="48">
        <f t="shared" ref="L13" si="22">H13/(1*220*1)</f>
        <v>1.1636363636363636</v>
      </c>
      <c r="M13"/>
      <c r="N13"/>
    </row>
    <row r="14" spans="1:14" s="85" customFormat="1" ht="15.75" x14ac:dyDescent="0.25">
      <c r="A14" s="52" t="s">
        <v>94</v>
      </c>
      <c r="B14" s="49" t="s">
        <v>215</v>
      </c>
      <c r="C14" s="45">
        <v>16</v>
      </c>
      <c r="D14" s="44">
        <v>28</v>
      </c>
      <c r="E14" s="44">
        <v>1</v>
      </c>
      <c r="F14" s="44">
        <f t="shared" ref="F14:F15" si="23">C14*D14*E14</f>
        <v>448</v>
      </c>
      <c r="G14" s="44">
        <f t="shared" ref="G14:G15" si="24">F14</f>
        <v>448</v>
      </c>
      <c r="H14" s="50">
        <f t="shared" ref="H14:H15" si="25">F14</f>
        <v>448</v>
      </c>
      <c r="I14" s="46">
        <f t="shared" ref="I14:I15" si="26">G14/(220)</f>
        <v>2.0363636363636362</v>
      </c>
      <c r="J14" s="46">
        <f t="shared" ref="J14:J15" si="27">1*H14</f>
        <v>448</v>
      </c>
      <c r="K14" s="47">
        <f t="shared" ref="K14:K15" si="28">1.25*L14</f>
        <v>2.545454545454545</v>
      </c>
      <c r="L14" s="48">
        <f t="shared" ref="L14:L15" si="29">H14/(1*220*1)</f>
        <v>2.0363636363636362</v>
      </c>
      <c r="M14"/>
      <c r="N14"/>
    </row>
    <row r="15" spans="1:14" s="85" customFormat="1" ht="15.75" x14ac:dyDescent="0.25">
      <c r="A15" s="52" t="s">
        <v>95</v>
      </c>
      <c r="B15" s="49" t="s">
        <v>214</v>
      </c>
      <c r="C15" s="45">
        <v>16</v>
      </c>
      <c r="D15" s="44">
        <v>30</v>
      </c>
      <c r="E15" s="44">
        <v>1</v>
      </c>
      <c r="F15" s="44">
        <f t="shared" si="23"/>
        <v>480</v>
      </c>
      <c r="G15" s="44">
        <f t="shared" si="24"/>
        <v>480</v>
      </c>
      <c r="H15" s="50">
        <f t="shared" si="25"/>
        <v>480</v>
      </c>
      <c r="I15" s="46">
        <f t="shared" si="26"/>
        <v>2.1818181818181817</v>
      </c>
      <c r="J15" s="46">
        <f t="shared" si="27"/>
        <v>480</v>
      </c>
      <c r="K15" s="47">
        <f t="shared" si="28"/>
        <v>2.7272727272727271</v>
      </c>
      <c r="L15" s="48">
        <f t="shared" si="29"/>
        <v>2.1818181818181817</v>
      </c>
      <c r="M15"/>
      <c r="N15"/>
    </row>
    <row r="16" spans="1:14" s="73" customFormat="1" ht="15.75" x14ac:dyDescent="0.25">
      <c r="A16" s="58" t="s">
        <v>85</v>
      </c>
      <c r="B16" s="59" t="s">
        <v>55</v>
      </c>
      <c r="C16" s="67"/>
      <c r="D16" s="67"/>
      <c r="E16" s="68"/>
      <c r="F16" s="69"/>
      <c r="G16" s="67"/>
      <c r="H16" s="70">
        <f>SUM(H17:H30)</f>
        <v>14779</v>
      </c>
      <c r="I16" s="71">
        <f>H16/(1.73*380*0.9)</f>
        <v>24.978873001385931</v>
      </c>
      <c r="J16" s="71">
        <f>0.8*H16</f>
        <v>11823.2</v>
      </c>
      <c r="K16" s="71">
        <f>1.25*L16</f>
        <v>28.101232126559172</v>
      </c>
      <c r="L16" s="72">
        <f>H16/(1.73*380*1)</f>
        <v>22.480985701247338</v>
      </c>
      <c r="M16"/>
      <c r="N16"/>
    </row>
    <row r="17" spans="1:15" ht="15.75" customHeight="1" x14ac:dyDescent="0.25">
      <c r="A17" s="43" t="s">
        <v>85</v>
      </c>
      <c r="B17" s="49" t="s">
        <v>131</v>
      </c>
      <c r="C17" s="45">
        <v>350</v>
      </c>
      <c r="D17" s="44">
        <v>9</v>
      </c>
      <c r="E17" s="44">
        <v>0.8</v>
      </c>
      <c r="F17" s="44">
        <f t="shared" ref="F17" si="30">C17*D17*E17</f>
        <v>2520</v>
      </c>
      <c r="G17" s="44">
        <f t="shared" ref="G17" si="31">F17</f>
        <v>2520</v>
      </c>
      <c r="H17" s="50">
        <f t="shared" ref="H17" si="32">F17</f>
        <v>2520</v>
      </c>
      <c r="I17" s="46">
        <f t="shared" ref="I17:I66" si="33">G17/(220)</f>
        <v>11.454545454545455</v>
      </c>
      <c r="J17" s="46">
        <f>1*H17</f>
        <v>2520</v>
      </c>
      <c r="K17" s="47">
        <f t="shared" si="0"/>
        <v>14.318181818181818</v>
      </c>
      <c r="L17" s="48">
        <f>H17/(1*220*1)</f>
        <v>11.454545454545455</v>
      </c>
    </row>
    <row r="18" spans="1:15" x14ac:dyDescent="0.25">
      <c r="A18" s="43" t="s">
        <v>86</v>
      </c>
      <c r="B18" s="49" t="s">
        <v>131</v>
      </c>
      <c r="C18" s="45">
        <v>350</v>
      </c>
      <c r="D18" s="44">
        <v>9</v>
      </c>
      <c r="E18" s="44">
        <v>0.8</v>
      </c>
      <c r="F18" s="44">
        <f t="shared" ref="F18:F27" si="34">C18*D18*E18</f>
        <v>2520</v>
      </c>
      <c r="G18" s="44">
        <f t="shared" ref="G18:G27" si="35">F18</f>
        <v>2520</v>
      </c>
      <c r="H18" s="50">
        <f t="shared" ref="H18:H27" si="36">F18</f>
        <v>2520</v>
      </c>
      <c r="I18" s="46">
        <f t="shared" ref="I18:I27" si="37">G18/(220)</f>
        <v>11.454545454545455</v>
      </c>
      <c r="J18" s="46">
        <f t="shared" ref="J18:J27" si="38">1*H18</f>
        <v>2520</v>
      </c>
      <c r="K18" s="47">
        <f t="shared" ref="K18:K27" si="39">1.25*L18</f>
        <v>14.318181818181818</v>
      </c>
      <c r="L18" s="48">
        <f t="shared" ref="L18:L27" si="40">H18/(1*220*1)</f>
        <v>11.454545454545455</v>
      </c>
    </row>
    <row r="19" spans="1:15" x14ac:dyDescent="0.25">
      <c r="A19" s="43" t="s">
        <v>88</v>
      </c>
      <c r="B19" s="49" t="s">
        <v>131</v>
      </c>
      <c r="C19" s="45">
        <v>350</v>
      </c>
      <c r="D19" s="44">
        <v>9</v>
      </c>
      <c r="E19" s="44">
        <v>0.8</v>
      </c>
      <c r="F19" s="44">
        <f t="shared" si="34"/>
        <v>2520</v>
      </c>
      <c r="G19" s="44">
        <f t="shared" si="35"/>
        <v>2520</v>
      </c>
      <c r="H19" s="50">
        <f t="shared" si="36"/>
        <v>2520</v>
      </c>
      <c r="I19" s="46">
        <f t="shared" si="37"/>
        <v>11.454545454545455</v>
      </c>
      <c r="J19" s="46">
        <f t="shared" si="38"/>
        <v>2520</v>
      </c>
      <c r="K19" s="47">
        <f t="shared" si="39"/>
        <v>14.318181818181818</v>
      </c>
      <c r="L19" s="48">
        <f t="shared" si="40"/>
        <v>11.454545454545455</v>
      </c>
    </row>
    <row r="20" spans="1:15" x14ac:dyDescent="0.25">
      <c r="A20" s="43" t="s">
        <v>90</v>
      </c>
      <c r="B20" s="49" t="s">
        <v>131</v>
      </c>
      <c r="C20" s="45">
        <v>350</v>
      </c>
      <c r="D20" s="44">
        <v>7</v>
      </c>
      <c r="E20" s="44">
        <v>0.8</v>
      </c>
      <c r="F20" s="44">
        <f t="shared" si="34"/>
        <v>1960</v>
      </c>
      <c r="G20" s="44">
        <f t="shared" si="35"/>
        <v>1960</v>
      </c>
      <c r="H20" s="50">
        <f t="shared" si="36"/>
        <v>1960</v>
      </c>
      <c r="I20" s="46">
        <f t="shared" si="37"/>
        <v>8.9090909090909083</v>
      </c>
      <c r="J20" s="46">
        <f t="shared" si="38"/>
        <v>1960</v>
      </c>
      <c r="K20" s="47">
        <f t="shared" si="39"/>
        <v>11.136363636363635</v>
      </c>
      <c r="L20" s="48">
        <f>H20/(1*220*1)</f>
        <v>8.9090909090909083</v>
      </c>
    </row>
    <row r="21" spans="1:15" x14ac:dyDescent="0.25">
      <c r="A21" s="43" t="s">
        <v>91</v>
      </c>
      <c r="B21" s="49" t="s">
        <v>220</v>
      </c>
      <c r="C21" s="45">
        <v>50</v>
      </c>
      <c r="D21" s="44">
        <v>13</v>
      </c>
      <c r="E21" s="44">
        <v>0.8</v>
      </c>
      <c r="F21" s="44">
        <f t="shared" ref="F21" si="41">C21*D21*E21</f>
        <v>520</v>
      </c>
      <c r="G21" s="44">
        <f t="shared" ref="G21" si="42">F21</f>
        <v>520</v>
      </c>
      <c r="H21" s="50">
        <f t="shared" ref="H21" si="43">F21</f>
        <v>520</v>
      </c>
      <c r="I21" s="46">
        <f t="shared" ref="I21" si="44">G21/(220)</f>
        <v>2.3636363636363638</v>
      </c>
      <c r="J21" s="46">
        <f t="shared" ref="J21" si="45">1*H21</f>
        <v>520</v>
      </c>
      <c r="K21" s="47">
        <f t="shared" ref="K21" si="46">1.25*L21</f>
        <v>2.9545454545454546</v>
      </c>
      <c r="L21" s="48">
        <f>H21/(1*220*1)</f>
        <v>2.3636363636363638</v>
      </c>
    </row>
    <row r="22" spans="1:15" ht="17.25" customHeight="1" x14ac:dyDescent="0.25">
      <c r="A22" s="43" t="s">
        <v>92</v>
      </c>
      <c r="B22" s="49" t="s">
        <v>89</v>
      </c>
      <c r="C22" s="45">
        <v>42</v>
      </c>
      <c r="D22" s="44">
        <v>15</v>
      </c>
      <c r="E22" s="44">
        <v>1</v>
      </c>
      <c r="F22" s="44">
        <f t="shared" si="34"/>
        <v>630</v>
      </c>
      <c r="G22" s="44">
        <f t="shared" si="35"/>
        <v>630</v>
      </c>
      <c r="H22" s="50">
        <f t="shared" si="36"/>
        <v>630</v>
      </c>
      <c r="I22" s="46">
        <f t="shared" si="37"/>
        <v>2.8636363636363638</v>
      </c>
      <c r="J22" s="46">
        <f t="shared" si="38"/>
        <v>630</v>
      </c>
      <c r="K22" s="47">
        <f t="shared" si="39"/>
        <v>3.5795454545454546</v>
      </c>
      <c r="L22" s="48">
        <f t="shared" si="40"/>
        <v>2.8636363636363638</v>
      </c>
    </row>
    <row r="23" spans="1:15" x14ac:dyDescent="0.25">
      <c r="A23" s="43" t="s">
        <v>93</v>
      </c>
      <c r="B23" s="49" t="s">
        <v>89</v>
      </c>
      <c r="C23" s="45">
        <v>47</v>
      </c>
      <c r="D23" s="44">
        <v>16</v>
      </c>
      <c r="E23" s="44">
        <v>1</v>
      </c>
      <c r="F23" s="44">
        <f t="shared" si="34"/>
        <v>752</v>
      </c>
      <c r="G23" s="44">
        <f t="shared" si="35"/>
        <v>752</v>
      </c>
      <c r="H23" s="50">
        <f t="shared" si="36"/>
        <v>752</v>
      </c>
      <c r="I23" s="46">
        <f t="shared" si="37"/>
        <v>3.418181818181818</v>
      </c>
      <c r="J23" s="46">
        <f t="shared" si="38"/>
        <v>752</v>
      </c>
      <c r="K23" s="47">
        <f t="shared" si="39"/>
        <v>4.2727272727272725</v>
      </c>
      <c r="L23" s="48">
        <f t="shared" si="40"/>
        <v>3.418181818181818</v>
      </c>
    </row>
    <row r="24" spans="1:15" x14ac:dyDescent="0.25">
      <c r="A24" s="43" t="s">
        <v>94</v>
      </c>
      <c r="B24" s="49" t="s">
        <v>170</v>
      </c>
      <c r="C24" s="45">
        <v>21</v>
      </c>
      <c r="D24" s="44">
        <v>22</v>
      </c>
      <c r="E24" s="44">
        <v>1</v>
      </c>
      <c r="F24" s="44">
        <f t="shared" si="34"/>
        <v>462</v>
      </c>
      <c r="G24" s="44">
        <f t="shared" si="35"/>
        <v>462</v>
      </c>
      <c r="H24" s="50">
        <f t="shared" si="36"/>
        <v>462</v>
      </c>
      <c r="I24" s="46">
        <f t="shared" si="37"/>
        <v>2.1</v>
      </c>
      <c r="J24" s="46">
        <f t="shared" si="38"/>
        <v>462</v>
      </c>
      <c r="K24" s="47">
        <f t="shared" si="39"/>
        <v>2.625</v>
      </c>
      <c r="L24" s="48">
        <f t="shared" si="40"/>
        <v>2.1</v>
      </c>
    </row>
    <row r="25" spans="1:15" x14ac:dyDescent="0.25">
      <c r="A25" s="43" t="s">
        <v>95</v>
      </c>
      <c r="B25" s="49" t="s">
        <v>98</v>
      </c>
      <c r="C25" s="45">
        <v>13</v>
      </c>
      <c r="D25" s="44">
        <v>12</v>
      </c>
      <c r="E25" s="44">
        <v>1</v>
      </c>
      <c r="F25" s="44">
        <f t="shared" si="34"/>
        <v>156</v>
      </c>
      <c r="G25" s="44">
        <f t="shared" si="35"/>
        <v>156</v>
      </c>
      <c r="H25" s="50">
        <f t="shared" si="36"/>
        <v>156</v>
      </c>
      <c r="I25" s="46">
        <f t="shared" si="37"/>
        <v>0.70909090909090911</v>
      </c>
      <c r="J25" s="46">
        <f t="shared" si="38"/>
        <v>156</v>
      </c>
      <c r="K25" s="47">
        <f t="shared" si="39"/>
        <v>0.88636363636363635</v>
      </c>
      <c r="L25" s="48">
        <f t="shared" si="40"/>
        <v>0.70909090909090911</v>
      </c>
      <c r="O25" s="90"/>
    </row>
    <row r="26" spans="1:15" x14ac:dyDescent="0.25">
      <c r="A26" s="43" t="s">
        <v>96</v>
      </c>
      <c r="B26" s="49" t="s">
        <v>166</v>
      </c>
      <c r="C26" s="45">
        <v>22.5</v>
      </c>
      <c r="D26" s="44">
        <v>22</v>
      </c>
      <c r="E26" s="44">
        <v>1</v>
      </c>
      <c r="F26" s="44">
        <f t="shared" si="34"/>
        <v>495</v>
      </c>
      <c r="G26" s="44">
        <f t="shared" si="35"/>
        <v>495</v>
      </c>
      <c r="H26" s="50">
        <f>F26</f>
        <v>495</v>
      </c>
      <c r="I26" s="46">
        <f t="shared" si="37"/>
        <v>2.25</v>
      </c>
      <c r="J26" s="46">
        <f t="shared" si="38"/>
        <v>495</v>
      </c>
      <c r="K26" s="47">
        <f t="shared" si="39"/>
        <v>2.8125</v>
      </c>
      <c r="L26" s="48">
        <f t="shared" si="40"/>
        <v>2.25</v>
      </c>
    </row>
    <row r="27" spans="1:15" x14ac:dyDescent="0.25">
      <c r="A27" s="43" t="s">
        <v>97</v>
      </c>
      <c r="B27" s="49" t="s">
        <v>166</v>
      </c>
      <c r="C27" s="45">
        <v>22.5</v>
      </c>
      <c r="D27" s="44">
        <v>18</v>
      </c>
      <c r="E27" s="44">
        <v>1</v>
      </c>
      <c r="F27" s="44">
        <f t="shared" si="34"/>
        <v>405</v>
      </c>
      <c r="G27" s="44">
        <f t="shared" si="35"/>
        <v>405</v>
      </c>
      <c r="H27" s="50">
        <f t="shared" si="36"/>
        <v>405</v>
      </c>
      <c r="I27" s="46">
        <f t="shared" si="37"/>
        <v>1.8409090909090908</v>
      </c>
      <c r="J27" s="46">
        <f t="shared" si="38"/>
        <v>405</v>
      </c>
      <c r="K27" s="47">
        <f t="shared" si="39"/>
        <v>2.3011363636363633</v>
      </c>
      <c r="L27" s="48">
        <f t="shared" si="40"/>
        <v>1.8409090909090908</v>
      </c>
    </row>
    <row r="28" spans="1:15" x14ac:dyDescent="0.25">
      <c r="A28" s="43" t="s">
        <v>134</v>
      </c>
      <c r="B28" s="49" t="s">
        <v>166</v>
      </c>
      <c r="C28" s="45">
        <v>42</v>
      </c>
      <c r="D28" s="44">
        <v>12</v>
      </c>
      <c r="E28" s="44">
        <v>1</v>
      </c>
      <c r="F28" s="44">
        <f t="shared" ref="F28:F30" si="47">C28*D28*E28</f>
        <v>504</v>
      </c>
      <c r="G28" s="44">
        <f t="shared" ref="G28:G30" si="48">F28</f>
        <v>504</v>
      </c>
      <c r="H28" s="50">
        <f t="shared" ref="H28:H30" si="49">F28</f>
        <v>504</v>
      </c>
      <c r="I28" s="46">
        <f t="shared" ref="I28:I30" si="50">G28/(220)</f>
        <v>2.290909090909091</v>
      </c>
      <c r="J28" s="46">
        <f t="shared" ref="J28:J30" si="51">1*H28</f>
        <v>504</v>
      </c>
      <c r="K28" s="47">
        <f t="shared" ref="K28:K30" si="52">1.25*L28</f>
        <v>2.8636363636363638</v>
      </c>
      <c r="L28" s="48">
        <f t="shared" ref="L28:L30" si="53">H28/(1*220*1)</f>
        <v>2.290909090909091</v>
      </c>
    </row>
    <row r="29" spans="1:15" x14ac:dyDescent="0.25">
      <c r="A29" s="43" t="s">
        <v>135</v>
      </c>
      <c r="B29" s="49" t="s">
        <v>166</v>
      </c>
      <c r="C29" s="45">
        <v>47</v>
      </c>
      <c r="D29" s="44">
        <v>15</v>
      </c>
      <c r="E29" s="44">
        <v>1</v>
      </c>
      <c r="F29" s="44">
        <f t="shared" si="47"/>
        <v>705</v>
      </c>
      <c r="G29" s="44">
        <f t="shared" si="48"/>
        <v>705</v>
      </c>
      <c r="H29" s="50">
        <f t="shared" si="49"/>
        <v>705</v>
      </c>
      <c r="I29" s="46">
        <f t="shared" si="50"/>
        <v>3.2045454545454546</v>
      </c>
      <c r="J29" s="46">
        <f t="shared" si="51"/>
        <v>705</v>
      </c>
      <c r="K29" s="47">
        <f t="shared" si="52"/>
        <v>4.0056818181818183</v>
      </c>
      <c r="L29" s="48">
        <f t="shared" si="53"/>
        <v>3.2045454545454546</v>
      </c>
    </row>
    <row r="30" spans="1:15" x14ac:dyDescent="0.25">
      <c r="A30" s="43" t="s">
        <v>224</v>
      </c>
      <c r="B30" s="49" t="s">
        <v>166</v>
      </c>
      <c r="C30" s="45">
        <v>42</v>
      </c>
      <c r="D30" s="44">
        <v>15</v>
      </c>
      <c r="E30" s="44">
        <v>1</v>
      </c>
      <c r="F30" s="44">
        <f t="shared" si="47"/>
        <v>630</v>
      </c>
      <c r="G30" s="44">
        <f t="shared" si="48"/>
        <v>630</v>
      </c>
      <c r="H30" s="50">
        <f t="shared" si="49"/>
        <v>630</v>
      </c>
      <c r="I30" s="46">
        <f t="shared" si="50"/>
        <v>2.8636363636363638</v>
      </c>
      <c r="J30" s="46">
        <f t="shared" si="51"/>
        <v>630</v>
      </c>
      <c r="K30" s="47">
        <f t="shared" si="52"/>
        <v>3.5795454545454546</v>
      </c>
      <c r="L30" s="48">
        <f t="shared" si="53"/>
        <v>2.8636363636363638</v>
      </c>
    </row>
    <row r="31" spans="1:15" s="80" customFormat="1" ht="15.75" x14ac:dyDescent="0.25">
      <c r="A31" s="58" t="s">
        <v>86</v>
      </c>
      <c r="B31" s="59" t="s">
        <v>54</v>
      </c>
      <c r="C31" s="74"/>
      <c r="D31" s="74"/>
      <c r="E31" s="75"/>
      <c r="F31" s="76"/>
      <c r="G31" s="74"/>
      <c r="H31" s="77">
        <f>SUM(H32:H39)</f>
        <v>17709</v>
      </c>
      <c r="I31" s="78">
        <f>H31/(1.73*380*0.9)</f>
        <v>29.931041476523681</v>
      </c>
      <c r="J31" s="78">
        <f>0.8*H31</f>
        <v>14167.2</v>
      </c>
      <c r="K31" s="78">
        <f t="shared" si="0"/>
        <v>33.672421661089139</v>
      </c>
      <c r="L31" s="79">
        <f>H31/(1.73*380*1)</f>
        <v>26.93793732887131</v>
      </c>
    </row>
    <row r="32" spans="1:15" x14ac:dyDescent="0.25">
      <c r="A32" s="43" t="s">
        <v>85</v>
      </c>
      <c r="B32" s="49" t="s">
        <v>131</v>
      </c>
      <c r="C32" s="45">
        <v>350</v>
      </c>
      <c r="D32" s="44">
        <v>8</v>
      </c>
      <c r="E32" s="44">
        <v>0.8</v>
      </c>
      <c r="F32" s="44">
        <f t="shared" ref="F32" si="54">C32*D32*E32</f>
        <v>2240</v>
      </c>
      <c r="G32" s="44">
        <f t="shared" ref="G32" si="55">F32</f>
        <v>2240</v>
      </c>
      <c r="H32" s="50">
        <f t="shared" ref="H32" si="56">F32</f>
        <v>2240</v>
      </c>
      <c r="I32" s="46">
        <f t="shared" si="33"/>
        <v>10.181818181818182</v>
      </c>
      <c r="J32" s="46">
        <f>1*H32</f>
        <v>2240</v>
      </c>
      <c r="K32" s="47">
        <f t="shared" si="0"/>
        <v>12.727272727272727</v>
      </c>
      <c r="L32" s="48">
        <f t="shared" ref="L32:L39" si="57">H32/(1*220)</f>
        <v>10.181818181818182</v>
      </c>
    </row>
    <row r="33" spans="1:14" x14ac:dyDescent="0.25">
      <c r="A33" s="43" t="s">
        <v>86</v>
      </c>
      <c r="B33" s="49" t="s">
        <v>131</v>
      </c>
      <c r="C33" s="45">
        <v>350</v>
      </c>
      <c r="D33" s="44">
        <v>10</v>
      </c>
      <c r="E33" s="44">
        <v>0.8</v>
      </c>
      <c r="F33" s="44">
        <f t="shared" ref="F33:F39" si="58">C33*D33*E33</f>
        <v>2800</v>
      </c>
      <c r="G33" s="44">
        <f t="shared" ref="G33:G39" si="59">F33</f>
        <v>2800</v>
      </c>
      <c r="H33" s="50">
        <f t="shared" ref="H33:H39" si="60">F33</f>
        <v>2800</v>
      </c>
      <c r="I33" s="46">
        <f t="shared" ref="I33:I39" si="61">G33/(220)</f>
        <v>12.727272727272727</v>
      </c>
      <c r="J33" s="46">
        <f t="shared" ref="J33:J39" si="62">1*H33</f>
        <v>2800</v>
      </c>
      <c r="K33" s="47">
        <f t="shared" ref="K33:K39" si="63">1.25*L33</f>
        <v>15.909090909090908</v>
      </c>
      <c r="L33" s="48">
        <f t="shared" si="57"/>
        <v>12.727272727272727</v>
      </c>
    </row>
    <row r="34" spans="1:14" x14ac:dyDescent="0.25">
      <c r="A34" s="43" t="s">
        <v>88</v>
      </c>
      <c r="B34" s="49" t="s">
        <v>131</v>
      </c>
      <c r="C34" s="45">
        <v>350</v>
      </c>
      <c r="D34" s="44">
        <v>10</v>
      </c>
      <c r="E34" s="44">
        <v>0.8</v>
      </c>
      <c r="F34" s="44">
        <f t="shared" si="58"/>
        <v>2800</v>
      </c>
      <c r="G34" s="44">
        <f t="shared" si="59"/>
        <v>2800</v>
      </c>
      <c r="H34" s="50">
        <f t="shared" si="60"/>
        <v>2800</v>
      </c>
      <c r="I34" s="46">
        <f t="shared" si="61"/>
        <v>12.727272727272727</v>
      </c>
      <c r="J34" s="46">
        <f t="shared" si="62"/>
        <v>2800</v>
      </c>
      <c r="K34" s="47">
        <f t="shared" si="63"/>
        <v>15.909090909090908</v>
      </c>
      <c r="L34" s="48">
        <f t="shared" si="57"/>
        <v>12.727272727272727</v>
      </c>
    </row>
    <row r="35" spans="1:14" ht="15.75" customHeight="1" x14ac:dyDescent="0.25">
      <c r="A35" s="43" t="s">
        <v>90</v>
      </c>
      <c r="B35" s="49" t="s">
        <v>131</v>
      </c>
      <c r="C35" s="45">
        <v>350</v>
      </c>
      <c r="D35" s="44">
        <v>12</v>
      </c>
      <c r="E35" s="44">
        <v>0.8</v>
      </c>
      <c r="F35" s="44">
        <f t="shared" si="58"/>
        <v>3360</v>
      </c>
      <c r="G35" s="44">
        <f t="shared" si="59"/>
        <v>3360</v>
      </c>
      <c r="H35" s="50">
        <f t="shared" si="60"/>
        <v>3360</v>
      </c>
      <c r="I35" s="46">
        <f t="shared" si="61"/>
        <v>15.272727272727273</v>
      </c>
      <c r="J35" s="46">
        <f t="shared" si="62"/>
        <v>3360</v>
      </c>
      <c r="K35" s="47">
        <f t="shared" si="63"/>
        <v>19.090909090909093</v>
      </c>
      <c r="L35" s="48">
        <f t="shared" si="57"/>
        <v>15.272727272727273</v>
      </c>
      <c r="N35" t="s">
        <v>114</v>
      </c>
    </row>
    <row r="36" spans="1:14" ht="15.75" customHeight="1" x14ac:dyDescent="0.25">
      <c r="A36" s="43" t="s">
        <v>91</v>
      </c>
      <c r="B36" s="49" t="s">
        <v>131</v>
      </c>
      <c r="C36" s="45">
        <v>350</v>
      </c>
      <c r="D36" s="44">
        <v>12</v>
      </c>
      <c r="E36" s="44">
        <v>0.8</v>
      </c>
      <c r="F36" s="44">
        <f t="shared" si="58"/>
        <v>3360</v>
      </c>
      <c r="G36" s="44">
        <f t="shared" si="59"/>
        <v>3360</v>
      </c>
      <c r="H36" s="50">
        <f t="shared" si="60"/>
        <v>3360</v>
      </c>
      <c r="I36" s="46">
        <f t="shared" si="61"/>
        <v>15.272727272727273</v>
      </c>
      <c r="J36" s="46">
        <f t="shared" si="62"/>
        <v>3360</v>
      </c>
      <c r="K36" s="47">
        <f t="shared" si="63"/>
        <v>19.090909090909093</v>
      </c>
      <c r="L36" s="48">
        <f t="shared" si="57"/>
        <v>15.272727272727273</v>
      </c>
    </row>
    <row r="37" spans="1:14" ht="15.75" customHeight="1" x14ac:dyDescent="0.25">
      <c r="A37" s="43" t="s">
        <v>92</v>
      </c>
      <c r="B37" s="49" t="s">
        <v>89</v>
      </c>
      <c r="C37" s="45">
        <v>47</v>
      </c>
      <c r="D37" s="44">
        <v>21</v>
      </c>
      <c r="E37" s="44">
        <v>1</v>
      </c>
      <c r="F37" s="44">
        <f t="shared" si="58"/>
        <v>987</v>
      </c>
      <c r="G37" s="44">
        <f t="shared" si="59"/>
        <v>987</v>
      </c>
      <c r="H37" s="50">
        <f t="shared" si="60"/>
        <v>987</v>
      </c>
      <c r="I37" s="46">
        <f t="shared" si="61"/>
        <v>4.4863636363636363</v>
      </c>
      <c r="J37" s="46">
        <f t="shared" si="62"/>
        <v>987</v>
      </c>
      <c r="K37" s="47">
        <f t="shared" si="63"/>
        <v>5.607954545454545</v>
      </c>
      <c r="L37" s="48">
        <f t="shared" si="57"/>
        <v>4.4863636363636363</v>
      </c>
    </row>
    <row r="38" spans="1:14" x14ac:dyDescent="0.25">
      <c r="A38" s="43" t="s">
        <v>93</v>
      </c>
      <c r="B38" s="49" t="s">
        <v>87</v>
      </c>
      <c r="C38" s="45">
        <v>47</v>
      </c>
      <c r="D38" s="44">
        <v>19</v>
      </c>
      <c r="E38" s="44">
        <v>1</v>
      </c>
      <c r="F38" s="44">
        <f t="shared" si="58"/>
        <v>893</v>
      </c>
      <c r="G38" s="44">
        <f t="shared" si="59"/>
        <v>893</v>
      </c>
      <c r="H38" s="50">
        <f t="shared" si="60"/>
        <v>893</v>
      </c>
      <c r="I38" s="46">
        <f t="shared" si="61"/>
        <v>4.0590909090909095</v>
      </c>
      <c r="J38" s="46">
        <f t="shared" si="62"/>
        <v>893</v>
      </c>
      <c r="K38" s="47">
        <f t="shared" si="63"/>
        <v>5.0738636363636367</v>
      </c>
      <c r="L38" s="48">
        <f t="shared" si="57"/>
        <v>4.0590909090909095</v>
      </c>
    </row>
    <row r="39" spans="1:14" x14ac:dyDescent="0.25">
      <c r="A39" s="43" t="s">
        <v>94</v>
      </c>
      <c r="B39" s="49" t="s">
        <v>87</v>
      </c>
      <c r="C39" s="45">
        <v>47</v>
      </c>
      <c r="D39" s="44">
        <v>27</v>
      </c>
      <c r="E39" s="44">
        <v>1</v>
      </c>
      <c r="F39" s="44">
        <f t="shared" si="58"/>
        <v>1269</v>
      </c>
      <c r="G39" s="44">
        <f t="shared" si="59"/>
        <v>1269</v>
      </c>
      <c r="H39" s="50">
        <f t="shared" si="60"/>
        <v>1269</v>
      </c>
      <c r="I39" s="46">
        <f t="shared" si="61"/>
        <v>5.7681818181818185</v>
      </c>
      <c r="J39" s="46">
        <f t="shared" si="62"/>
        <v>1269</v>
      </c>
      <c r="K39" s="47">
        <f t="shared" si="63"/>
        <v>7.2102272727272734</v>
      </c>
      <c r="L39" s="48">
        <f t="shared" si="57"/>
        <v>5.7681818181818185</v>
      </c>
    </row>
    <row r="40" spans="1:14" s="80" customFormat="1" ht="15.75" x14ac:dyDescent="0.25">
      <c r="A40" s="58" t="s">
        <v>88</v>
      </c>
      <c r="B40" s="59" t="s">
        <v>56</v>
      </c>
      <c r="C40" s="74"/>
      <c r="D40" s="74"/>
      <c r="E40" s="75"/>
      <c r="F40" s="76"/>
      <c r="G40" s="74"/>
      <c r="H40" s="77">
        <f>SUM(H41:H47)</f>
        <v>10816</v>
      </c>
      <c r="I40" s="78">
        <f>H40/(1.73*380*0.9)</f>
        <v>18.28076936078153</v>
      </c>
      <c r="J40" s="78">
        <f>0.8*H40</f>
        <v>8652.8000000000011</v>
      </c>
      <c r="K40" s="78">
        <f t="shared" ref="K40:K49" si="64">1.25*L40</f>
        <v>20.565865530879222</v>
      </c>
      <c r="L40" s="79">
        <f>H40/(1.73*380*1)</f>
        <v>16.452692424703379</v>
      </c>
    </row>
    <row r="41" spans="1:14" x14ac:dyDescent="0.25">
      <c r="A41" s="43" t="s">
        <v>85</v>
      </c>
      <c r="B41" s="49" t="s">
        <v>131</v>
      </c>
      <c r="C41" s="45">
        <v>350</v>
      </c>
      <c r="D41" s="44">
        <v>12</v>
      </c>
      <c r="E41" s="44">
        <v>0.8</v>
      </c>
      <c r="F41" s="44">
        <f t="shared" ref="F41" si="65">C41*D41*E41</f>
        <v>3360</v>
      </c>
      <c r="G41" s="44">
        <f t="shared" ref="G41" si="66">F41</f>
        <v>3360</v>
      </c>
      <c r="H41" s="50">
        <f t="shared" ref="H41" si="67">F41</f>
        <v>3360</v>
      </c>
      <c r="I41" s="46">
        <f t="shared" si="33"/>
        <v>15.272727272727273</v>
      </c>
      <c r="J41" s="46">
        <f>1*H41</f>
        <v>3360</v>
      </c>
      <c r="K41" s="47">
        <f t="shared" si="64"/>
        <v>19.090909090909093</v>
      </c>
      <c r="L41" s="48">
        <f>H41/(1*220*1)</f>
        <v>15.272727272727273</v>
      </c>
    </row>
    <row r="42" spans="1:14" x14ac:dyDescent="0.25">
      <c r="A42" s="43" t="s">
        <v>86</v>
      </c>
      <c r="B42" s="49" t="s">
        <v>131</v>
      </c>
      <c r="C42" s="45">
        <v>350</v>
      </c>
      <c r="D42" s="44">
        <v>11</v>
      </c>
      <c r="E42" s="44">
        <v>0.8</v>
      </c>
      <c r="F42" s="44">
        <f t="shared" ref="F42:F47" si="68">C42*D42*E42</f>
        <v>3080</v>
      </c>
      <c r="G42" s="44">
        <f t="shared" ref="G42:G47" si="69">F42</f>
        <v>3080</v>
      </c>
      <c r="H42" s="50">
        <f t="shared" ref="H42:H47" si="70">F42</f>
        <v>3080</v>
      </c>
      <c r="I42" s="46">
        <f t="shared" ref="I42:I47" si="71">G42/(220)</f>
        <v>14</v>
      </c>
      <c r="J42" s="46">
        <f t="shared" ref="J42:J47" si="72">1*H42</f>
        <v>3080</v>
      </c>
      <c r="K42" s="47">
        <f t="shared" ref="K42:K47" si="73">1.25*L42</f>
        <v>17.5</v>
      </c>
      <c r="L42" s="48">
        <f t="shared" ref="L42:L47" si="74">H42/(1*220*1)</f>
        <v>14</v>
      </c>
    </row>
    <row r="43" spans="1:14" x14ac:dyDescent="0.25">
      <c r="A43" s="43" t="s">
        <v>88</v>
      </c>
      <c r="B43" s="49" t="s">
        <v>131</v>
      </c>
      <c r="C43" s="45">
        <v>350</v>
      </c>
      <c r="D43" s="44">
        <v>6</v>
      </c>
      <c r="E43" s="44">
        <v>0.8</v>
      </c>
      <c r="F43" s="44">
        <f t="shared" si="68"/>
        <v>1680</v>
      </c>
      <c r="G43" s="44">
        <f t="shared" si="69"/>
        <v>1680</v>
      </c>
      <c r="H43" s="50">
        <f t="shared" si="70"/>
        <v>1680</v>
      </c>
      <c r="I43" s="46">
        <f t="shared" si="71"/>
        <v>7.6363636363636367</v>
      </c>
      <c r="J43" s="46">
        <f t="shared" si="72"/>
        <v>1680</v>
      </c>
      <c r="K43" s="47">
        <f t="shared" si="73"/>
        <v>9.5454545454545467</v>
      </c>
      <c r="L43" s="48">
        <f t="shared" si="74"/>
        <v>7.6363636363636367</v>
      </c>
    </row>
    <row r="44" spans="1:14" x14ac:dyDescent="0.25">
      <c r="A44" s="43" t="s">
        <v>90</v>
      </c>
      <c r="B44" s="49" t="s">
        <v>98</v>
      </c>
      <c r="C44" s="45">
        <v>13</v>
      </c>
      <c r="D44" s="44">
        <v>25</v>
      </c>
      <c r="E44" s="44">
        <v>1</v>
      </c>
      <c r="F44" s="44">
        <f t="shared" si="68"/>
        <v>325</v>
      </c>
      <c r="G44" s="44">
        <f t="shared" si="69"/>
        <v>325</v>
      </c>
      <c r="H44" s="50">
        <f t="shared" si="70"/>
        <v>325</v>
      </c>
      <c r="I44" s="46">
        <f t="shared" si="71"/>
        <v>1.4772727272727273</v>
      </c>
      <c r="J44" s="46">
        <f t="shared" si="72"/>
        <v>325</v>
      </c>
      <c r="K44" s="47">
        <f t="shared" si="73"/>
        <v>1.8465909090909092</v>
      </c>
      <c r="L44" s="48">
        <f t="shared" si="74"/>
        <v>1.4772727272727273</v>
      </c>
    </row>
    <row r="45" spans="1:14" x14ac:dyDescent="0.25">
      <c r="A45" s="43" t="s">
        <v>91</v>
      </c>
      <c r="B45" s="49" t="s">
        <v>87</v>
      </c>
      <c r="C45" s="45">
        <v>47</v>
      </c>
      <c r="D45" s="44">
        <v>26</v>
      </c>
      <c r="E45" s="44">
        <v>1</v>
      </c>
      <c r="F45" s="44">
        <f t="shared" si="68"/>
        <v>1222</v>
      </c>
      <c r="G45" s="44">
        <f t="shared" si="69"/>
        <v>1222</v>
      </c>
      <c r="H45" s="50">
        <f t="shared" si="70"/>
        <v>1222</v>
      </c>
      <c r="I45" s="46">
        <f t="shared" si="71"/>
        <v>5.5545454545454547</v>
      </c>
      <c r="J45" s="46">
        <f t="shared" si="72"/>
        <v>1222</v>
      </c>
      <c r="K45" s="47">
        <f t="shared" si="73"/>
        <v>6.9431818181818183</v>
      </c>
      <c r="L45" s="48">
        <f t="shared" si="74"/>
        <v>5.5545454545454547</v>
      </c>
    </row>
    <row r="46" spans="1:14" x14ac:dyDescent="0.25">
      <c r="A46" s="43" t="s">
        <v>92</v>
      </c>
      <c r="B46" s="49" t="s">
        <v>87</v>
      </c>
      <c r="C46" s="45">
        <v>22.5</v>
      </c>
      <c r="D46" s="44">
        <v>26</v>
      </c>
      <c r="E46" s="44">
        <v>1</v>
      </c>
      <c r="F46" s="44">
        <f t="shared" si="68"/>
        <v>585</v>
      </c>
      <c r="G46" s="44">
        <f t="shared" si="69"/>
        <v>585</v>
      </c>
      <c r="H46" s="50">
        <f t="shared" si="70"/>
        <v>585</v>
      </c>
      <c r="I46" s="46">
        <f t="shared" si="71"/>
        <v>2.6590909090909092</v>
      </c>
      <c r="J46" s="46">
        <f t="shared" si="72"/>
        <v>585</v>
      </c>
      <c r="K46" s="47">
        <f t="shared" si="73"/>
        <v>3.3238636363636367</v>
      </c>
      <c r="L46" s="48">
        <f t="shared" si="74"/>
        <v>2.6590909090909092</v>
      </c>
    </row>
    <row r="47" spans="1:14" x14ac:dyDescent="0.25">
      <c r="A47" s="43" t="s">
        <v>93</v>
      </c>
      <c r="B47" s="49" t="s">
        <v>87</v>
      </c>
      <c r="C47" s="45">
        <v>47</v>
      </c>
      <c r="D47" s="44">
        <v>12</v>
      </c>
      <c r="E47" s="44">
        <v>1</v>
      </c>
      <c r="F47" s="44">
        <f t="shared" si="68"/>
        <v>564</v>
      </c>
      <c r="G47" s="44">
        <f t="shared" si="69"/>
        <v>564</v>
      </c>
      <c r="H47" s="50">
        <f t="shared" si="70"/>
        <v>564</v>
      </c>
      <c r="I47" s="46">
        <f t="shared" si="71"/>
        <v>2.5636363636363635</v>
      </c>
      <c r="J47" s="46">
        <f t="shared" si="72"/>
        <v>564</v>
      </c>
      <c r="K47" s="47">
        <f t="shared" si="73"/>
        <v>3.2045454545454541</v>
      </c>
      <c r="L47" s="48">
        <f t="shared" si="74"/>
        <v>2.5636363636363635</v>
      </c>
    </row>
    <row r="48" spans="1:14" s="80" customFormat="1" ht="15.75" x14ac:dyDescent="0.25">
      <c r="A48" s="58" t="s">
        <v>90</v>
      </c>
      <c r="B48" s="59" t="s">
        <v>57</v>
      </c>
      <c r="C48" s="74"/>
      <c r="D48" s="74"/>
      <c r="E48" s="75"/>
      <c r="F48" s="76"/>
      <c r="G48" s="74"/>
      <c r="H48" s="77">
        <f>SUM(H49:H55)</f>
        <v>12064</v>
      </c>
      <c r="I48" s="78">
        <f>H48/(1.73*380*0.9)</f>
        <v>20.39008890241017</v>
      </c>
      <c r="J48" s="78">
        <f>0.8*H48</f>
        <v>9651.2000000000007</v>
      </c>
      <c r="K48" s="78">
        <f t="shared" si="64"/>
        <v>22.93885001521144</v>
      </c>
      <c r="L48" s="79">
        <f>H48/(1.73*380*1)</f>
        <v>18.351080012169152</v>
      </c>
      <c r="M48"/>
    </row>
    <row r="49" spans="1:13" ht="15.75" x14ac:dyDescent="0.25">
      <c r="A49" s="43" t="s">
        <v>85</v>
      </c>
      <c r="B49" s="49" t="s">
        <v>131</v>
      </c>
      <c r="C49" s="45">
        <v>350</v>
      </c>
      <c r="D49" s="44">
        <v>10</v>
      </c>
      <c r="E49" s="44">
        <v>0.8</v>
      </c>
      <c r="F49" s="44">
        <f t="shared" ref="F49" si="75">C49*D49*E49</f>
        <v>2800</v>
      </c>
      <c r="G49" s="44">
        <f t="shared" ref="G49" si="76">F49</f>
        <v>2800</v>
      </c>
      <c r="H49" s="50">
        <f t="shared" ref="H49" si="77">F49</f>
        <v>2800</v>
      </c>
      <c r="I49" s="46">
        <f t="shared" si="33"/>
        <v>12.727272727272727</v>
      </c>
      <c r="J49" s="46">
        <f>1*H49</f>
        <v>2800</v>
      </c>
      <c r="K49" s="47">
        <f t="shared" si="64"/>
        <v>15.909090909090908</v>
      </c>
      <c r="L49" s="48">
        <f>H49/(1*220*1)</f>
        <v>12.727272727272727</v>
      </c>
      <c r="M49" s="80"/>
    </row>
    <row r="50" spans="1:13" x14ac:dyDescent="0.25">
      <c r="A50" s="43" t="s">
        <v>86</v>
      </c>
      <c r="B50" s="49" t="s">
        <v>131</v>
      </c>
      <c r="C50" s="45">
        <v>350</v>
      </c>
      <c r="D50" s="44">
        <v>11</v>
      </c>
      <c r="E50" s="44">
        <v>0.8</v>
      </c>
      <c r="F50" s="44">
        <f t="shared" ref="F50:F55" si="78">C50*D50*E50</f>
        <v>3080</v>
      </c>
      <c r="G50" s="44">
        <f t="shared" ref="G50:G55" si="79">F50</f>
        <v>3080</v>
      </c>
      <c r="H50" s="50">
        <f t="shared" ref="H50:H55" si="80">F50</f>
        <v>3080</v>
      </c>
      <c r="I50" s="46">
        <f t="shared" ref="I50:I55" si="81">G50/(220)</f>
        <v>14</v>
      </c>
      <c r="J50" s="46">
        <f t="shared" ref="J50:J55" si="82">1*H50</f>
        <v>3080</v>
      </c>
      <c r="K50" s="47">
        <f t="shared" ref="K50:K55" si="83">1.25*L50</f>
        <v>17.5</v>
      </c>
      <c r="L50" s="48">
        <f t="shared" ref="L50:L55" si="84">H50/(1*220*1)</f>
        <v>14</v>
      </c>
    </row>
    <row r="51" spans="1:13" x14ac:dyDescent="0.25">
      <c r="A51" s="43" t="s">
        <v>88</v>
      </c>
      <c r="B51" s="49" t="s">
        <v>131</v>
      </c>
      <c r="C51" s="45">
        <v>350</v>
      </c>
      <c r="D51" s="44">
        <v>10</v>
      </c>
      <c r="E51" s="44">
        <v>0.8</v>
      </c>
      <c r="F51" s="44">
        <f t="shared" si="78"/>
        <v>2800</v>
      </c>
      <c r="G51" s="44">
        <f t="shared" si="79"/>
        <v>2800</v>
      </c>
      <c r="H51" s="50">
        <f t="shared" si="80"/>
        <v>2800</v>
      </c>
      <c r="I51" s="46">
        <f t="shared" si="81"/>
        <v>12.727272727272727</v>
      </c>
      <c r="J51" s="46">
        <f t="shared" si="82"/>
        <v>2800</v>
      </c>
      <c r="K51" s="47">
        <f t="shared" si="83"/>
        <v>15.909090909090908</v>
      </c>
      <c r="L51" s="48">
        <f t="shared" si="84"/>
        <v>12.727272727272727</v>
      </c>
    </row>
    <row r="52" spans="1:13" x14ac:dyDescent="0.25">
      <c r="A52" s="43" t="s">
        <v>90</v>
      </c>
      <c r="B52" s="49" t="s">
        <v>89</v>
      </c>
      <c r="C52" s="45">
        <v>47</v>
      </c>
      <c r="D52" s="44">
        <v>16</v>
      </c>
      <c r="E52" s="44">
        <v>1</v>
      </c>
      <c r="F52" s="44">
        <f t="shared" si="78"/>
        <v>752</v>
      </c>
      <c r="G52" s="44">
        <f t="shared" si="79"/>
        <v>752</v>
      </c>
      <c r="H52" s="50">
        <f t="shared" si="80"/>
        <v>752</v>
      </c>
      <c r="I52" s="46">
        <f t="shared" si="81"/>
        <v>3.418181818181818</v>
      </c>
      <c r="J52" s="46">
        <f t="shared" si="82"/>
        <v>752</v>
      </c>
      <c r="K52" s="47">
        <f t="shared" si="83"/>
        <v>4.2727272727272725</v>
      </c>
      <c r="L52" s="48">
        <f t="shared" si="84"/>
        <v>3.418181818181818</v>
      </c>
    </row>
    <row r="53" spans="1:13" x14ac:dyDescent="0.25">
      <c r="A53" s="43" t="s">
        <v>91</v>
      </c>
      <c r="B53" s="49" t="s">
        <v>89</v>
      </c>
      <c r="C53" s="45">
        <v>47</v>
      </c>
      <c r="D53" s="44">
        <v>21</v>
      </c>
      <c r="E53" s="44">
        <v>1</v>
      </c>
      <c r="F53" s="44">
        <f t="shared" si="78"/>
        <v>987</v>
      </c>
      <c r="G53" s="44">
        <f t="shared" si="79"/>
        <v>987</v>
      </c>
      <c r="H53" s="50">
        <f t="shared" si="80"/>
        <v>987</v>
      </c>
      <c r="I53" s="46">
        <f t="shared" si="81"/>
        <v>4.4863636363636363</v>
      </c>
      <c r="J53" s="46">
        <f t="shared" si="82"/>
        <v>987</v>
      </c>
      <c r="K53" s="47">
        <f t="shared" si="83"/>
        <v>5.607954545454545</v>
      </c>
      <c r="L53" s="48">
        <f t="shared" si="84"/>
        <v>4.4863636363636363</v>
      </c>
    </row>
    <row r="54" spans="1:13" x14ac:dyDescent="0.25">
      <c r="A54" s="43" t="s">
        <v>92</v>
      </c>
      <c r="B54" s="49" t="s">
        <v>89</v>
      </c>
      <c r="C54" s="45">
        <v>47</v>
      </c>
      <c r="D54" s="44">
        <v>14</v>
      </c>
      <c r="E54" s="44">
        <v>1</v>
      </c>
      <c r="F54" s="44">
        <f t="shared" si="78"/>
        <v>658</v>
      </c>
      <c r="G54" s="44">
        <f t="shared" si="79"/>
        <v>658</v>
      </c>
      <c r="H54" s="50">
        <f t="shared" si="80"/>
        <v>658</v>
      </c>
      <c r="I54" s="46">
        <f t="shared" si="81"/>
        <v>2.9909090909090907</v>
      </c>
      <c r="J54" s="46">
        <f t="shared" si="82"/>
        <v>658</v>
      </c>
      <c r="K54" s="47">
        <f t="shared" si="83"/>
        <v>3.7386363636363633</v>
      </c>
      <c r="L54" s="48">
        <f t="shared" si="84"/>
        <v>2.9909090909090907</v>
      </c>
    </row>
    <row r="55" spans="1:13" x14ac:dyDescent="0.25">
      <c r="A55" s="43" t="s">
        <v>93</v>
      </c>
      <c r="B55" s="49" t="s">
        <v>89</v>
      </c>
      <c r="C55" s="45">
        <v>47</v>
      </c>
      <c r="D55" s="44">
        <v>21</v>
      </c>
      <c r="E55" s="44">
        <v>1</v>
      </c>
      <c r="F55" s="44">
        <f t="shared" si="78"/>
        <v>987</v>
      </c>
      <c r="G55" s="44">
        <f t="shared" si="79"/>
        <v>987</v>
      </c>
      <c r="H55" s="50">
        <f t="shared" si="80"/>
        <v>987</v>
      </c>
      <c r="I55" s="46">
        <f t="shared" si="81"/>
        <v>4.4863636363636363</v>
      </c>
      <c r="J55" s="46">
        <f t="shared" si="82"/>
        <v>987</v>
      </c>
      <c r="K55" s="47">
        <f t="shared" si="83"/>
        <v>5.607954545454545</v>
      </c>
      <c r="L55" s="48">
        <f t="shared" si="84"/>
        <v>4.4863636363636363</v>
      </c>
    </row>
    <row r="56" spans="1:13" s="80" customFormat="1" ht="15.75" x14ac:dyDescent="0.25">
      <c r="A56" s="58" t="s">
        <v>91</v>
      </c>
      <c r="B56" s="59" t="s">
        <v>58</v>
      </c>
      <c r="C56" s="74"/>
      <c r="D56" s="74"/>
      <c r="E56" s="75"/>
      <c r="F56" s="76"/>
      <c r="G56" s="74"/>
      <c r="H56" s="77">
        <f>SUM(H57:H64)</f>
        <v>13351</v>
      </c>
      <c r="I56" s="78">
        <f>H56/(1.73*380*0.9)</f>
        <v>22.565324679714703</v>
      </c>
      <c r="J56" s="78">
        <f>0.8*H56</f>
        <v>10680.800000000001</v>
      </c>
      <c r="K56" s="78">
        <f t="shared" ref="K56:K57" si="85">1.25*L56</f>
        <v>25.385990264679037</v>
      </c>
      <c r="L56" s="79">
        <f>H56/(1.73*380*1)</f>
        <v>20.308792211743231</v>
      </c>
    </row>
    <row r="57" spans="1:13" x14ac:dyDescent="0.25">
      <c r="A57" s="43" t="s">
        <v>85</v>
      </c>
      <c r="B57" s="49" t="s">
        <v>131</v>
      </c>
      <c r="C57" s="45">
        <v>350</v>
      </c>
      <c r="D57" s="44">
        <v>11</v>
      </c>
      <c r="E57" s="44">
        <v>0.8</v>
      </c>
      <c r="F57" s="44">
        <f>C57*D57*E57</f>
        <v>3080</v>
      </c>
      <c r="G57" s="44">
        <f>F57</f>
        <v>3080</v>
      </c>
      <c r="H57" s="50">
        <f>F57</f>
        <v>3080</v>
      </c>
      <c r="I57" s="46">
        <f t="shared" si="33"/>
        <v>14</v>
      </c>
      <c r="J57" s="46">
        <f>1*H57</f>
        <v>3080</v>
      </c>
      <c r="K57" s="47">
        <f t="shared" si="85"/>
        <v>17.5</v>
      </c>
      <c r="L57" s="48">
        <f>H57/(1*220*1)</f>
        <v>14</v>
      </c>
    </row>
    <row r="58" spans="1:13" x14ac:dyDescent="0.25">
      <c r="A58" s="43" t="s">
        <v>86</v>
      </c>
      <c r="B58" s="49" t="s">
        <v>131</v>
      </c>
      <c r="C58" s="45">
        <v>350</v>
      </c>
      <c r="D58" s="44">
        <v>12</v>
      </c>
      <c r="E58" s="44">
        <v>0.8</v>
      </c>
      <c r="F58" s="44">
        <f t="shared" ref="F58:F64" si="86">C58*D58*E58</f>
        <v>3360</v>
      </c>
      <c r="G58" s="44">
        <f t="shared" ref="G58:G64" si="87">F58</f>
        <v>3360</v>
      </c>
      <c r="H58" s="50">
        <f t="shared" ref="H58:H64" si="88">F58</f>
        <v>3360</v>
      </c>
      <c r="I58" s="46">
        <f t="shared" ref="I58:I64" si="89">G58/(220)</f>
        <v>15.272727272727273</v>
      </c>
      <c r="J58" s="46">
        <f t="shared" ref="J58:J64" si="90">1*H58</f>
        <v>3360</v>
      </c>
      <c r="K58" s="47">
        <f t="shared" ref="K58:K64" si="91">1.25*L58</f>
        <v>19.090909090909093</v>
      </c>
      <c r="L58" s="48">
        <f t="shared" ref="L58:L64" si="92">H58/(1*220*1)</f>
        <v>15.272727272727273</v>
      </c>
    </row>
    <row r="59" spans="1:13" x14ac:dyDescent="0.25">
      <c r="A59" s="43" t="s">
        <v>88</v>
      </c>
      <c r="B59" s="49" t="s">
        <v>131</v>
      </c>
      <c r="C59" s="45">
        <v>350</v>
      </c>
      <c r="D59" s="44">
        <v>12</v>
      </c>
      <c r="E59" s="44">
        <v>0.8</v>
      </c>
      <c r="F59" s="44">
        <f t="shared" si="86"/>
        <v>3360</v>
      </c>
      <c r="G59" s="44">
        <f t="shared" si="87"/>
        <v>3360</v>
      </c>
      <c r="H59" s="50">
        <f t="shared" si="88"/>
        <v>3360</v>
      </c>
      <c r="I59" s="46">
        <f t="shared" si="89"/>
        <v>15.272727272727273</v>
      </c>
      <c r="J59" s="46">
        <f t="shared" si="90"/>
        <v>3360</v>
      </c>
      <c r="K59" s="47">
        <f t="shared" si="91"/>
        <v>19.090909090909093</v>
      </c>
      <c r="L59" s="48">
        <f t="shared" si="92"/>
        <v>15.272727272727273</v>
      </c>
    </row>
    <row r="60" spans="1:13" x14ac:dyDescent="0.25">
      <c r="A60" s="43" t="s">
        <v>90</v>
      </c>
      <c r="B60" s="49" t="s">
        <v>89</v>
      </c>
      <c r="C60" s="45">
        <v>47</v>
      </c>
      <c r="D60" s="44">
        <v>20</v>
      </c>
      <c r="E60" s="44">
        <v>1</v>
      </c>
      <c r="F60" s="44">
        <f t="shared" si="86"/>
        <v>940</v>
      </c>
      <c r="G60" s="44">
        <f t="shared" si="87"/>
        <v>940</v>
      </c>
      <c r="H60" s="50">
        <f t="shared" si="88"/>
        <v>940</v>
      </c>
      <c r="I60" s="46">
        <f t="shared" si="89"/>
        <v>4.2727272727272725</v>
      </c>
      <c r="J60" s="46">
        <f t="shared" si="90"/>
        <v>940</v>
      </c>
      <c r="K60" s="47">
        <f t="shared" si="91"/>
        <v>5.3409090909090908</v>
      </c>
      <c r="L60" s="48">
        <f t="shared" si="92"/>
        <v>4.2727272727272725</v>
      </c>
    </row>
    <row r="61" spans="1:13" x14ac:dyDescent="0.25">
      <c r="A61" s="43" t="s">
        <v>91</v>
      </c>
      <c r="B61" s="49" t="s">
        <v>98</v>
      </c>
      <c r="C61" s="45">
        <v>13</v>
      </c>
      <c r="D61" s="44">
        <v>26</v>
      </c>
      <c r="E61" s="44">
        <v>1</v>
      </c>
      <c r="F61" s="44">
        <f t="shared" si="86"/>
        <v>338</v>
      </c>
      <c r="G61" s="44">
        <f t="shared" si="87"/>
        <v>338</v>
      </c>
      <c r="H61" s="50">
        <f t="shared" si="88"/>
        <v>338</v>
      </c>
      <c r="I61" s="46">
        <f t="shared" si="89"/>
        <v>1.5363636363636364</v>
      </c>
      <c r="J61" s="46">
        <f t="shared" si="90"/>
        <v>338</v>
      </c>
      <c r="K61" s="47">
        <f t="shared" si="91"/>
        <v>1.9204545454545454</v>
      </c>
      <c r="L61" s="48">
        <f t="shared" si="92"/>
        <v>1.5363636363636364</v>
      </c>
    </row>
    <row r="62" spans="1:13" x14ac:dyDescent="0.25">
      <c r="A62" s="43" t="s">
        <v>92</v>
      </c>
      <c r="B62" s="49" t="s">
        <v>89</v>
      </c>
      <c r="C62" s="45">
        <v>47</v>
      </c>
      <c r="D62" s="44">
        <v>19</v>
      </c>
      <c r="E62" s="44">
        <v>1</v>
      </c>
      <c r="F62" s="44">
        <f t="shared" si="86"/>
        <v>893</v>
      </c>
      <c r="G62" s="44">
        <f t="shared" si="87"/>
        <v>893</v>
      </c>
      <c r="H62" s="50">
        <f t="shared" si="88"/>
        <v>893</v>
      </c>
      <c r="I62" s="46">
        <f t="shared" si="89"/>
        <v>4.0590909090909095</v>
      </c>
      <c r="J62" s="46">
        <f t="shared" si="90"/>
        <v>893</v>
      </c>
      <c r="K62" s="47">
        <f t="shared" si="91"/>
        <v>5.0738636363636367</v>
      </c>
      <c r="L62" s="48">
        <f t="shared" si="92"/>
        <v>4.0590909090909095</v>
      </c>
    </row>
    <row r="63" spans="1:13" x14ac:dyDescent="0.25">
      <c r="A63" s="43" t="s">
        <v>93</v>
      </c>
      <c r="B63" s="49" t="s">
        <v>89</v>
      </c>
      <c r="C63" s="45">
        <v>47</v>
      </c>
      <c r="D63" s="44">
        <v>15</v>
      </c>
      <c r="E63" s="44">
        <v>1</v>
      </c>
      <c r="F63" s="44">
        <f t="shared" si="86"/>
        <v>705</v>
      </c>
      <c r="G63" s="44">
        <f t="shared" si="87"/>
        <v>705</v>
      </c>
      <c r="H63" s="50">
        <f t="shared" si="88"/>
        <v>705</v>
      </c>
      <c r="I63" s="46">
        <f t="shared" si="89"/>
        <v>3.2045454545454546</v>
      </c>
      <c r="J63" s="46">
        <f t="shared" si="90"/>
        <v>705</v>
      </c>
      <c r="K63" s="47">
        <f t="shared" si="91"/>
        <v>4.0056818181818183</v>
      </c>
      <c r="L63" s="48">
        <f t="shared" si="92"/>
        <v>3.2045454545454546</v>
      </c>
    </row>
    <row r="64" spans="1:13" x14ac:dyDescent="0.25">
      <c r="A64" s="43" t="s">
        <v>94</v>
      </c>
      <c r="B64" s="49" t="s">
        <v>89</v>
      </c>
      <c r="C64" s="45">
        <v>22.5</v>
      </c>
      <c r="D64" s="44">
        <v>30</v>
      </c>
      <c r="E64" s="44">
        <v>1</v>
      </c>
      <c r="F64" s="44">
        <f t="shared" si="86"/>
        <v>675</v>
      </c>
      <c r="G64" s="44">
        <f t="shared" si="87"/>
        <v>675</v>
      </c>
      <c r="H64" s="50">
        <f t="shared" si="88"/>
        <v>675</v>
      </c>
      <c r="I64" s="46">
        <f t="shared" si="89"/>
        <v>3.0681818181818183</v>
      </c>
      <c r="J64" s="46">
        <f t="shared" si="90"/>
        <v>675</v>
      </c>
      <c r="K64" s="47">
        <f t="shared" si="91"/>
        <v>3.8352272727272729</v>
      </c>
      <c r="L64" s="48">
        <f t="shared" si="92"/>
        <v>3.0681818181818183</v>
      </c>
    </row>
    <row r="65" spans="1:14" s="80" customFormat="1" ht="15.75" x14ac:dyDescent="0.25">
      <c r="A65" s="58" t="s">
        <v>92</v>
      </c>
      <c r="B65" s="59" t="s">
        <v>59</v>
      </c>
      <c r="C65" s="74"/>
      <c r="D65" s="74"/>
      <c r="E65" s="75"/>
      <c r="F65" s="76"/>
      <c r="G65" s="74"/>
      <c r="H65" s="77">
        <f>H66</f>
        <v>7200</v>
      </c>
      <c r="I65" s="78">
        <f>H65/(1.73*380*0.9)</f>
        <v>12.169151201703682</v>
      </c>
      <c r="J65" s="78">
        <f>0.8*H65</f>
        <v>5760</v>
      </c>
      <c r="K65" s="78">
        <f t="shared" ref="K65:K66" si="93">1.25*L65</f>
        <v>13.690295101916641</v>
      </c>
      <c r="L65" s="79">
        <f>H65/(1.73*380*1)</f>
        <v>10.952236081533313</v>
      </c>
    </row>
    <row r="66" spans="1:14" x14ac:dyDescent="0.25">
      <c r="A66" s="43" t="s">
        <v>85</v>
      </c>
      <c r="B66" s="49" t="s">
        <v>209</v>
      </c>
      <c r="C66" s="45">
        <v>800</v>
      </c>
      <c r="D66" s="44">
        <v>9</v>
      </c>
      <c r="E66" s="44">
        <v>1</v>
      </c>
      <c r="F66" s="44">
        <f>C66*D66*E66</f>
        <v>7200</v>
      </c>
      <c r="G66" s="44">
        <f>F66</f>
        <v>7200</v>
      </c>
      <c r="H66" s="50">
        <f>F66</f>
        <v>7200</v>
      </c>
      <c r="I66" s="46">
        <f t="shared" si="33"/>
        <v>32.727272727272727</v>
      </c>
      <c r="J66" s="46">
        <f>1*H66</f>
        <v>7200</v>
      </c>
      <c r="K66" s="47">
        <f t="shared" si="93"/>
        <v>40.909090909090907</v>
      </c>
      <c r="L66" s="48">
        <f>H66/(1*220*1)</f>
        <v>32.727272727272727</v>
      </c>
    </row>
    <row r="67" spans="1:14" s="80" customFormat="1" ht="15.75" x14ac:dyDescent="0.25">
      <c r="A67" s="58" t="s">
        <v>93</v>
      </c>
      <c r="B67" s="59" t="s">
        <v>60</v>
      </c>
      <c r="C67" s="74"/>
      <c r="D67" s="74"/>
      <c r="E67" s="75"/>
      <c r="F67" s="76"/>
      <c r="G67" s="74"/>
      <c r="H67" s="77">
        <f>SUM(H68:H76)</f>
        <v>16642</v>
      </c>
      <c r="I67" s="78">
        <f>H67/(1.73*380*0.9)</f>
        <v>28.12764087482676</v>
      </c>
      <c r="J67" s="78">
        <f>0.8*H67</f>
        <v>13313.6</v>
      </c>
      <c r="K67" s="78">
        <f t="shared" ref="K67:K68" si="94">1.25*L67</f>
        <v>31.643595984180102</v>
      </c>
      <c r="L67" s="79">
        <f>H67/(1.73*380*1)</f>
        <v>25.314876787344083</v>
      </c>
    </row>
    <row r="68" spans="1:14" x14ac:dyDescent="0.25">
      <c r="A68" s="43" t="s">
        <v>85</v>
      </c>
      <c r="B68" s="49" t="s">
        <v>131</v>
      </c>
      <c r="C68" s="45">
        <v>350</v>
      </c>
      <c r="D68" s="44">
        <v>8</v>
      </c>
      <c r="E68" s="44">
        <v>0.8</v>
      </c>
      <c r="F68" s="44">
        <f>C68*D68*E68</f>
        <v>2240</v>
      </c>
      <c r="G68" s="44">
        <f>F68</f>
        <v>2240</v>
      </c>
      <c r="H68" s="50">
        <f>F68</f>
        <v>2240</v>
      </c>
      <c r="I68" s="46">
        <f t="shared" ref="I68" si="95">G68/(220)</f>
        <v>10.181818181818182</v>
      </c>
      <c r="J68" s="46">
        <f>1*H68</f>
        <v>2240</v>
      </c>
      <c r="K68" s="47">
        <f t="shared" si="94"/>
        <v>12.727272727272727</v>
      </c>
      <c r="L68" s="48">
        <f>H68/(1*220*1)</f>
        <v>10.181818181818182</v>
      </c>
    </row>
    <row r="69" spans="1:14" x14ac:dyDescent="0.25">
      <c r="A69" s="43" t="s">
        <v>86</v>
      </c>
      <c r="B69" s="49" t="s">
        <v>131</v>
      </c>
      <c r="C69" s="45">
        <v>350</v>
      </c>
      <c r="D69" s="44">
        <v>8</v>
      </c>
      <c r="E69" s="44">
        <v>0.8</v>
      </c>
      <c r="F69" s="44">
        <f t="shared" ref="F69:F76" si="96">C69*D69*E69</f>
        <v>2240</v>
      </c>
      <c r="G69" s="44">
        <f t="shared" ref="G69:G76" si="97">F69</f>
        <v>2240</v>
      </c>
      <c r="H69" s="50">
        <f t="shared" ref="H69:H76" si="98">F69</f>
        <v>2240</v>
      </c>
      <c r="I69" s="46">
        <f t="shared" ref="I69:I76" si="99">G69/(220)</f>
        <v>10.181818181818182</v>
      </c>
      <c r="J69" s="46">
        <f t="shared" ref="J69:J76" si="100">1*H69</f>
        <v>2240</v>
      </c>
      <c r="K69" s="47">
        <f t="shared" ref="K69:K76" si="101">1.25*L69</f>
        <v>12.727272727272727</v>
      </c>
      <c r="L69" s="48">
        <f t="shared" ref="L69:L76" si="102">H69/(1*220*1)</f>
        <v>10.181818181818182</v>
      </c>
    </row>
    <row r="70" spans="1:14" x14ac:dyDescent="0.25">
      <c r="A70" s="43" t="s">
        <v>88</v>
      </c>
      <c r="B70" s="49" t="s">
        <v>131</v>
      </c>
      <c r="C70" s="45">
        <v>350</v>
      </c>
      <c r="D70" s="44">
        <v>12</v>
      </c>
      <c r="E70" s="44">
        <v>0.8</v>
      </c>
      <c r="F70" s="44">
        <f t="shared" si="96"/>
        <v>3360</v>
      </c>
      <c r="G70" s="44">
        <f t="shared" si="97"/>
        <v>3360</v>
      </c>
      <c r="H70" s="50">
        <f t="shared" si="98"/>
        <v>3360</v>
      </c>
      <c r="I70" s="46">
        <f t="shared" si="99"/>
        <v>15.272727272727273</v>
      </c>
      <c r="J70" s="46">
        <f t="shared" si="100"/>
        <v>3360</v>
      </c>
      <c r="K70" s="47">
        <f t="shared" si="101"/>
        <v>19.090909090909093</v>
      </c>
      <c r="L70" s="48">
        <f t="shared" si="102"/>
        <v>15.272727272727273</v>
      </c>
    </row>
    <row r="71" spans="1:14" x14ac:dyDescent="0.25">
      <c r="A71" s="43" t="s">
        <v>90</v>
      </c>
      <c r="B71" s="49" t="s">
        <v>131</v>
      </c>
      <c r="C71" s="45">
        <v>350</v>
      </c>
      <c r="D71" s="44">
        <v>9</v>
      </c>
      <c r="E71" s="44">
        <v>0.8</v>
      </c>
      <c r="F71" s="44">
        <f t="shared" si="96"/>
        <v>2520</v>
      </c>
      <c r="G71" s="44">
        <f t="shared" si="97"/>
        <v>2520</v>
      </c>
      <c r="H71" s="50">
        <f t="shared" si="98"/>
        <v>2520</v>
      </c>
      <c r="I71" s="46">
        <f t="shared" si="99"/>
        <v>11.454545454545455</v>
      </c>
      <c r="J71" s="46">
        <f t="shared" si="100"/>
        <v>2520</v>
      </c>
      <c r="K71" s="47">
        <f t="shared" si="101"/>
        <v>14.318181818181818</v>
      </c>
      <c r="L71" s="48">
        <f t="shared" si="102"/>
        <v>11.454545454545455</v>
      </c>
    </row>
    <row r="72" spans="1:14" x14ac:dyDescent="0.25">
      <c r="A72" s="43" t="s">
        <v>91</v>
      </c>
      <c r="B72" s="49" t="s">
        <v>131</v>
      </c>
      <c r="C72" s="45">
        <v>350</v>
      </c>
      <c r="D72" s="44">
        <v>8</v>
      </c>
      <c r="E72" s="44">
        <v>0.8</v>
      </c>
      <c r="F72" s="44">
        <f t="shared" si="96"/>
        <v>2240</v>
      </c>
      <c r="G72" s="44">
        <f t="shared" si="97"/>
        <v>2240</v>
      </c>
      <c r="H72" s="50">
        <f t="shared" si="98"/>
        <v>2240</v>
      </c>
      <c r="I72" s="46">
        <f t="shared" si="99"/>
        <v>10.181818181818182</v>
      </c>
      <c r="J72" s="46">
        <f t="shared" si="100"/>
        <v>2240</v>
      </c>
      <c r="K72" s="47">
        <f t="shared" si="101"/>
        <v>12.727272727272727</v>
      </c>
      <c r="L72" s="48">
        <f t="shared" si="102"/>
        <v>10.181818181818182</v>
      </c>
    </row>
    <row r="73" spans="1:14" x14ac:dyDescent="0.25">
      <c r="A73" s="43" t="s">
        <v>92</v>
      </c>
      <c r="B73" s="51" t="s">
        <v>89</v>
      </c>
      <c r="C73" s="45">
        <v>47</v>
      </c>
      <c r="D73" s="44">
        <v>23</v>
      </c>
      <c r="E73" s="44">
        <v>1</v>
      </c>
      <c r="F73" s="44">
        <f t="shared" si="96"/>
        <v>1081</v>
      </c>
      <c r="G73" s="44">
        <f t="shared" si="97"/>
        <v>1081</v>
      </c>
      <c r="H73" s="50">
        <f t="shared" si="98"/>
        <v>1081</v>
      </c>
      <c r="I73" s="46">
        <f t="shared" si="99"/>
        <v>4.913636363636364</v>
      </c>
      <c r="J73" s="46">
        <f t="shared" si="100"/>
        <v>1081</v>
      </c>
      <c r="K73" s="47">
        <f t="shared" si="101"/>
        <v>6.142045454545455</v>
      </c>
      <c r="L73" s="48">
        <f t="shared" si="102"/>
        <v>4.913636363636364</v>
      </c>
    </row>
    <row r="74" spans="1:14" x14ac:dyDescent="0.25">
      <c r="A74" s="43" t="s">
        <v>93</v>
      </c>
      <c r="B74" s="51" t="s">
        <v>89</v>
      </c>
      <c r="C74" s="45">
        <v>47</v>
      </c>
      <c r="D74" s="44">
        <v>18</v>
      </c>
      <c r="E74" s="44">
        <v>1</v>
      </c>
      <c r="F74" s="44">
        <f t="shared" si="96"/>
        <v>846</v>
      </c>
      <c r="G74" s="44">
        <f t="shared" si="97"/>
        <v>846</v>
      </c>
      <c r="H74" s="50">
        <f t="shared" si="98"/>
        <v>846</v>
      </c>
      <c r="I74" s="46">
        <f t="shared" si="99"/>
        <v>3.8454545454545452</v>
      </c>
      <c r="J74" s="46">
        <f t="shared" si="100"/>
        <v>846</v>
      </c>
      <c r="K74" s="47">
        <f t="shared" si="101"/>
        <v>4.8068181818181817</v>
      </c>
      <c r="L74" s="48">
        <f t="shared" si="102"/>
        <v>3.8454545454545452</v>
      </c>
      <c r="N74" s="90"/>
    </row>
    <row r="75" spans="1:14" x14ac:dyDescent="0.25">
      <c r="A75" s="43" t="s">
        <v>94</v>
      </c>
      <c r="B75" s="51" t="s">
        <v>89</v>
      </c>
      <c r="C75" s="45">
        <v>47</v>
      </c>
      <c r="D75" s="44">
        <v>17</v>
      </c>
      <c r="E75" s="44">
        <v>1</v>
      </c>
      <c r="F75" s="44">
        <f t="shared" si="96"/>
        <v>799</v>
      </c>
      <c r="G75" s="44">
        <f t="shared" si="97"/>
        <v>799</v>
      </c>
      <c r="H75" s="50">
        <f t="shared" si="98"/>
        <v>799</v>
      </c>
      <c r="I75" s="46">
        <f t="shared" si="99"/>
        <v>3.6318181818181818</v>
      </c>
      <c r="J75" s="46">
        <f t="shared" si="100"/>
        <v>799</v>
      </c>
      <c r="K75" s="47">
        <f t="shared" si="101"/>
        <v>4.5397727272727275</v>
      </c>
      <c r="L75" s="48">
        <f t="shared" si="102"/>
        <v>3.6318181818181818</v>
      </c>
    </row>
    <row r="76" spans="1:14" x14ac:dyDescent="0.25">
      <c r="A76" s="43" t="s">
        <v>95</v>
      </c>
      <c r="B76" s="51" t="s">
        <v>89</v>
      </c>
      <c r="C76" s="45">
        <v>47</v>
      </c>
      <c r="D76" s="44">
        <v>28</v>
      </c>
      <c r="E76" s="44">
        <v>1</v>
      </c>
      <c r="F76" s="44">
        <f t="shared" si="96"/>
        <v>1316</v>
      </c>
      <c r="G76" s="44">
        <f t="shared" si="97"/>
        <v>1316</v>
      </c>
      <c r="H76" s="50">
        <f t="shared" si="98"/>
        <v>1316</v>
      </c>
      <c r="I76" s="46">
        <f t="shared" si="99"/>
        <v>5.9818181818181815</v>
      </c>
      <c r="J76" s="46">
        <f t="shared" si="100"/>
        <v>1316</v>
      </c>
      <c r="K76" s="47">
        <f t="shared" si="101"/>
        <v>7.4772727272727266</v>
      </c>
      <c r="L76" s="48">
        <f t="shared" si="102"/>
        <v>5.9818181818181815</v>
      </c>
    </row>
    <row r="77" spans="1:14" s="80" customFormat="1" ht="15.75" x14ac:dyDescent="0.25">
      <c r="A77" s="58" t="s">
        <v>94</v>
      </c>
      <c r="B77" s="59" t="s">
        <v>122</v>
      </c>
      <c r="C77" s="74"/>
      <c r="D77" s="74"/>
      <c r="E77" s="75"/>
      <c r="F77" s="76"/>
      <c r="G77" s="74"/>
      <c r="H77" s="77">
        <f>SUM(H78:H86)</f>
        <v>13093</v>
      </c>
      <c r="I77" s="78">
        <f>H77/(1.73*380*0.9)</f>
        <v>22.129263428320321</v>
      </c>
      <c r="J77" s="78">
        <f>0.8*H77</f>
        <v>10474.400000000001</v>
      </c>
      <c r="K77" s="78">
        <f t="shared" ref="K77:K78" si="103">1.25*L77</f>
        <v>24.895421356860361</v>
      </c>
      <c r="L77" s="79">
        <f>H77/(1.73*380*1)</f>
        <v>19.916337085488287</v>
      </c>
    </row>
    <row r="78" spans="1:14" x14ac:dyDescent="0.25">
      <c r="A78" s="43" t="s">
        <v>85</v>
      </c>
      <c r="B78" s="49" t="s">
        <v>131</v>
      </c>
      <c r="C78" s="45">
        <v>350</v>
      </c>
      <c r="D78" s="44">
        <v>4</v>
      </c>
      <c r="E78" s="44">
        <v>0.8</v>
      </c>
      <c r="F78" s="44">
        <f t="shared" ref="F78" si="104">C78*D78*E78</f>
        <v>1120</v>
      </c>
      <c r="G78" s="44">
        <f t="shared" ref="G78" si="105">F78</f>
        <v>1120</v>
      </c>
      <c r="H78" s="50">
        <f t="shared" ref="H78" si="106">F78</f>
        <v>1120</v>
      </c>
      <c r="I78" s="46">
        <f t="shared" ref="I78" si="107">G78/(220)</f>
        <v>5.0909090909090908</v>
      </c>
      <c r="J78" s="46">
        <f>1*H78</f>
        <v>1120</v>
      </c>
      <c r="K78" s="47">
        <f t="shared" si="103"/>
        <v>6.3636363636363633</v>
      </c>
      <c r="L78" s="48">
        <f>H78/(1*220*1)</f>
        <v>5.0909090909090908</v>
      </c>
    </row>
    <row r="79" spans="1:14" x14ac:dyDescent="0.25">
      <c r="A79" s="43" t="s">
        <v>86</v>
      </c>
      <c r="B79" s="49" t="s">
        <v>131</v>
      </c>
      <c r="C79" s="45">
        <v>350</v>
      </c>
      <c r="D79" s="44">
        <v>11</v>
      </c>
      <c r="E79" s="44">
        <v>0.8</v>
      </c>
      <c r="F79" s="44">
        <f t="shared" ref="F79:F86" si="108">C79*D79*E79</f>
        <v>3080</v>
      </c>
      <c r="G79" s="44">
        <f t="shared" ref="G79:G86" si="109">F79</f>
        <v>3080</v>
      </c>
      <c r="H79" s="50">
        <f t="shared" ref="H79:H86" si="110">F79</f>
        <v>3080</v>
      </c>
      <c r="I79" s="46">
        <f t="shared" ref="I79:I86" si="111">G79/(220)</f>
        <v>14</v>
      </c>
      <c r="J79" s="46">
        <f t="shared" ref="J79:J86" si="112">1*H79</f>
        <v>3080</v>
      </c>
      <c r="K79" s="47">
        <f t="shared" ref="K79:K86" si="113">1.25*L79</f>
        <v>17.5</v>
      </c>
      <c r="L79" s="48">
        <f t="shared" ref="L79:L86" si="114">H79/(1*220*1)</f>
        <v>14</v>
      </c>
    </row>
    <row r="80" spans="1:14" x14ac:dyDescent="0.25">
      <c r="A80" s="43" t="s">
        <v>88</v>
      </c>
      <c r="B80" s="49" t="s">
        <v>131</v>
      </c>
      <c r="C80" s="45">
        <v>350</v>
      </c>
      <c r="D80" s="44">
        <v>8</v>
      </c>
      <c r="E80" s="44">
        <v>0.8</v>
      </c>
      <c r="F80" s="44">
        <f t="shared" si="108"/>
        <v>2240</v>
      </c>
      <c r="G80" s="44">
        <f t="shared" si="109"/>
        <v>2240</v>
      </c>
      <c r="H80" s="50">
        <f t="shared" si="110"/>
        <v>2240</v>
      </c>
      <c r="I80" s="46">
        <f t="shared" si="111"/>
        <v>10.181818181818182</v>
      </c>
      <c r="J80" s="46">
        <f t="shared" si="112"/>
        <v>2240</v>
      </c>
      <c r="K80" s="47">
        <f t="shared" si="113"/>
        <v>12.727272727272727</v>
      </c>
      <c r="L80" s="48">
        <f t="shared" si="114"/>
        <v>10.181818181818182</v>
      </c>
    </row>
    <row r="81" spans="1:14" x14ac:dyDescent="0.25">
      <c r="A81" s="43" t="s">
        <v>90</v>
      </c>
      <c r="B81" s="49" t="s">
        <v>179</v>
      </c>
      <c r="C81" s="45">
        <v>1500</v>
      </c>
      <c r="D81" s="44">
        <v>3</v>
      </c>
      <c r="E81" s="44">
        <v>0.8</v>
      </c>
      <c r="F81" s="44">
        <f t="shared" si="108"/>
        <v>3600</v>
      </c>
      <c r="G81" s="44">
        <f t="shared" si="109"/>
        <v>3600</v>
      </c>
      <c r="H81" s="50">
        <f t="shared" si="110"/>
        <v>3600</v>
      </c>
      <c r="I81" s="46">
        <f t="shared" si="111"/>
        <v>16.363636363636363</v>
      </c>
      <c r="J81" s="46">
        <f t="shared" si="112"/>
        <v>3600</v>
      </c>
      <c r="K81" s="47">
        <f t="shared" si="113"/>
        <v>20.454545454545453</v>
      </c>
      <c r="L81" s="48">
        <f t="shared" si="114"/>
        <v>16.363636363636363</v>
      </c>
    </row>
    <row r="82" spans="1:14" x14ac:dyDescent="0.25">
      <c r="A82" s="43" t="s">
        <v>91</v>
      </c>
      <c r="B82" s="51" t="s">
        <v>89</v>
      </c>
      <c r="C82" s="45">
        <v>22.5</v>
      </c>
      <c r="D82" s="44">
        <v>30</v>
      </c>
      <c r="E82" s="44">
        <v>1</v>
      </c>
      <c r="F82" s="44">
        <f t="shared" si="108"/>
        <v>675</v>
      </c>
      <c r="G82" s="44">
        <f t="shared" si="109"/>
        <v>675</v>
      </c>
      <c r="H82" s="50">
        <f t="shared" si="110"/>
        <v>675</v>
      </c>
      <c r="I82" s="46">
        <f t="shared" si="111"/>
        <v>3.0681818181818183</v>
      </c>
      <c r="J82" s="46">
        <f t="shared" si="112"/>
        <v>675</v>
      </c>
      <c r="K82" s="47">
        <f t="shared" si="113"/>
        <v>3.8352272727272729</v>
      </c>
      <c r="L82" s="48">
        <f t="shared" si="114"/>
        <v>3.0681818181818183</v>
      </c>
    </row>
    <row r="83" spans="1:14" x14ac:dyDescent="0.25">
      <c r="A83" s="43" t="s">
        <v>92</v>
      </c>
      <c r="B83" s="51" t="s">
        <v>89</v>
      </c>
      <c r="C83" s="45">
        <v>47</v>
      </c>
      <c r="D83" s="44">
        <v>14</v>
      </c>
      <c r="E83" s="44">
        <v>1</v>
      </c>
      <c r="F83" s="44">
        <f t="shared" si="108"/>
        <v>658</v>
      </c>
      <c r="G83" s="44">
        <f t="shared" si="109"/>
        <v>658</v>
      </c>
      <c r="H83" s="50">
        <f t="shared" si="110"/>
        <v>658</v>
      </c>
      <c r="I83" s="46">
        <f t="shared" si="111"/>
        <v>2.9909090909090907</v>
      </c>
      <c r="J83" s="46">
        <f t="shared" si="112"/>
        <v>658</v>
      </c>
      <c r="K83" s="47">
        <f t="shared" si="113"/>
        <v>3.7386363636363633</v>
      </c>
      <c r="L83" s="48">
        <f t="shared" si="114"/>
        <v>2.9909090909090907</v>
      </c>
    </row>
    <row r="84" spans="1:14" x14ac:dyDescent="0.25">
      <c r="A84" s="43" t="s">
        <v>93</v>
      </c>
      <c r="B84" s="49" t="s">
        <v>98</v>
      </c>
      <c r="C84" s="45">
        <v>13</v>
      </c>
      <c r="D84" s="44">
        <v>13</v>
      </c>
      <c r="E84" s="44">
        <v>1</v>
      </c>
      <c r="F84" s="44">
        <f t="shared" si="108"/>
        <v>169</v>
      </c>
      <c r="G84" s="44">
        <f t="shared" si="109"/>
        <v>169</v>
      </c>
      <c r="H84" s="50">
        <f t="shared" si="110"/>
        <v>169</v>
      </c>
      <c r="I84" s="46">
        <f t="shared" si="111"/>
        <v>0.76818181818181819</v>
      </c>
      <c r="J84" s="46">
        <f t="shared" si="112"/>
        <v>169</v>
      </c>
      <c r="K84" s="47">
        <f t="shared" si="113"/>
        <v>0.96022727272727271</v>
      </c>
      <c r="L84" s="48">
        <f t="shared" si="114"/>
        <v>0.76818181818181819</v>
      </c>
      <c r="N84" s="90"/>
    </row>
    <row r="85" spans="1:14" x14ac:dyDescent="0.25">
      <c r="A85" s="43" t="s">
        <v>94</v>
      </c>
      <c r="B85" s="51" t="s">
        <v>89</v>
      </c>
      <c r="C85" s="45">
        <v>47</v>
      </c>
      <c r="D85" s="44">
        <v>18</v>
      </c>
      <c r="E85" s="44">
        <v>1</v>
      </c>
      <c r="F85" s="44">
        <f t="shared" si="108"/>
        <v>846</v>
      </c>
      <c r="G85" s="44">
        <f t="shared" si="109"/>
        <v>846</v>
      </c>
      <c r="H85" s="50">
        <f t="shared" si="110"/>
        <v>846</v>
      </c>
      <c r="I85" s="46">
        <f t="shared" si="111"/>
        <v>3.8454545454545452</v>
      </c>
      <c r="J85" s="46">
        <f t="shared" si="112"/>
        <v>846</v>
      </c>
      <c r="K85" s="47">
        <f t="shared" si="113"/>
        <v>4.8068181818181817</v>
      </c>
      <c r="L85" s="48">
        <f t="shared" si="114"/>
        <v>3.8454545454545452</v>
      </c>
    </row>
    <row r="86" spans="1:14" x14ac:dyDescent="0.25">
      <c r="A86" s="43" t="s">
        <v>95</v>
      </c>
      <c r="B86" s="51" t="s">
        <v>89</v>
      </c>
      <c r="C86" s="45">
        <v>47</v>
      </c>
      <c r="D86" s="44">
        <v>15</v>
      </c>
      <c r="E86" s="44">
        <v>1</v>
      </c>
      <c r="F86" s="44">
        <f t="shared" si="108"/>
        <v>705</v>
      </c>
      <c r="G86" s="44">
        <f t="shared" si="109"/>
        <v>705</v>
      </c>
      <c r="H86" s="50">
        <f t="shared" si="110"/>
        <v>705</v>
      </c>
      <c r="I86" s="46">
        <f t="shared" si="111"/>
        <v>3.2045454545454546</v>
      </c>
      <c r="J86" s="46">
        <f t="shared" si="112"/>
        <v>705</v>
      </c>
      <c r="K86" s="47">
        <f t="shared" si="113"/>
        <v>4.0056818181818183</v>
      </c>
      <c r="L86" s="48">
        <f t="shared" si="114"/>
        <v>3.2045454545454546</v>
      </c>
    </row>
    <row r="87" spans="1:14" ht="15.75" x14ac:dyDescent="0.25">
      <c r="A87" s="58" t="s">
        <v>95</v>
      </c>
      <c r="B87" s="59" t="s">
        <v>123</v>
      </c>
      <c r="C87" s="74"/>
      <c r="D87" s="74"/>
      <c r="E87" s="75"/>
      <c r="F87" s="76"/>
      <c r="G87" s="74"/>
      <c r="H87" s="77">
        <f>SUM(H88:H96)</f>
        <v>14861</v>
      </c>
      <c r="I87" s="78">
        <f>H87/(1.73*380*0.9)</f>
        <v>25.117466112294224</v>
      </c>
      <c r="J87" s="78">
        <f>0.8*H87</f>
        <v>11888.800000000001</v>
      </c>
      <c r="K87" s="78">
        <f t="shared" ref="K87:K88" si="115">1.25*L87</f>
        <v>28.257149376331</v>
      </c>
      <c r="L87" s="79">
        <f>H87/(1.73*380*1)</f>
        <v>22.605719501064801</v>
      </c>
    </row>
    <row r="88" spans="1:14" x14ac:dyDescent="0.25">
      <c r="A88" s="43" t="s">
        <v>85</v>
      </c>
      <c r="B88" s="49" t="s">
        <v>131</v>
      </c>
      <c r="C88" s="45">
        <v>350</v>
      </c>
      <c r="D88" s="44">
        <v>10</v>
      </c>
      <c r="E88" s="44">
        <v>0.8</v>
      </c>
      <c r="F88" s="44">
        <f t="shared" ref="F88" si="116">C88*D88*E88</f>
        <v>2800</v>
      </c>
      <c r="G88" s="44">
        <f t="shared" ref="G88" si="117">F88</f>
        <v>2800</v>
      </c>
      <c r="H88" s="50">
        <f t="shared" ref="H88" si="118">F88</f>
        <v>2800</v>
      </c>
      <c r="I88" s="46">
        <f t="shared" ref="I88" si="119">G88/(220)</f>
        <v>12.727272727272727</v>
      </c>
      <c r="J88" s="46">
        <f>1*H88</f>
        <v>2800</v>
      </c>
      <c r="K88" s="47">
        <f t="shared" si="115"/>
        <v>15.909090909090908</v>
      </c>
      <c r="L88" s="48">
        <f>H88/(1*220*1)</f>
        <v>12.727272727272727</v>
      </c>
    </row>
    <row r="89" spans="1:14" x14ac:dyDescent="0.25">
      <c r="A89" s="43" t="s">
        <v>86</v>
      </c>
      <c r="B89" s="49" t="s">
        <v>131</v>
      </c>
      <c r="C89" s="45">
        <v>350</v>
      </c>
      <c r="D89" s="44">
        <v>12</v>
      </c>
      <c r="E89" s="44">
        <v>0.8</v>
      </c>
      <c r="F89" s="44">
        <f t="shared" ref="F89:F96" si="120">C89*D89*E89</f>
        <v>3360</v>
      </c>
      <c r="G89" s="44">
        <f t="shared" ref="G89:G96" si="121">F89</f>
        <v>3360</v>
      </c>
      <c r="H89" s="50">
        <f t="shared" ref="H89:H96" si="122">F89</f>
        <v>3360</v>
      </c>
      <c r="I89" s="46">
        <f t="shared" ref="I89:I96" si="123">G89/(220)</f>
        <v>15.272727272727273</v>
      </c>
      <c r="J89" s="46">
        <f t="shared" ref="J89:J96" si="124">1*H89</f>
        <v>3360</v>
      </c>
      <c r="K89" s="47">
        <f t="shared" ref="K89:K96" si="125">1.25*L89</f>
        <v>19.090909090909093</v>
      </c>
      <c r="L89" s="48">
        <f t="shared" ref="L89:L96" si="126">H89/(1*220*1)</f>
        <v>15.272727272727273</v>
      </c>
    </row>
    <row r="90" spans="1:14" x14ac:dyDescent="0.25">
      <c r="A90" s="43" t="s">
        <v>88</v>
      </c>
      <c r="B90" s="49" t="s">
        <v>131</v>
      </c>
      <c r="C90" s="45">
        <v>600</v>
      </c>
      <c r="D90" s="44">
        <v>3</v>
      </c>
      <c r="E90" s="44">
        <v>0.8</v>
      </c>
      <c r="F90" s="44">
        <f t="shared" si="120"/>
        <v>1440</v>
      </c>
      <c r="G90" s="44">
        <f t="shared" si="121"/>
        <v>1440</v>
      </c>
      <c r="H90" s="50">
        <f t="shared" si="122"/>
        <v>1440</v>
      </c>
      <c r="I90" s="46">
        <f t="shared" si="123"/>
        <v>6.5454545454545459</v>
      </c>
      <c r="J90" s="46">
        <f t="shared" si="124"/>
        <v>1440</v>
      </c>
      <c r="K90" s="47">
        <f t="shared" si="125"/>
        <v>8.1818181818181817</v>
      </c>
      <c r="L90" s="48">
        <f t="shared" si="126"/>
        <v>6.5454545454545459</v>
      </c>
    </row>
    <row r="91" spans="1:14" x14ac:dyDescent="0.25">
      <c r="A91" s="43" t="s">
        <v>90</v>
      </c>
      <c r="B91" s="49" t="s">
        <v>131</v>
      </c>
      <c r="C91" s="45">
        <v>350</v>
      </c>
      <c r="D91" s="44">
        <v>12</v>
      </c>
      <c r="E91" s="44">
        <v>0.8</v>
      </c>
      <c r="F91" s="44">
        <f t="shared" si="120"/>
        <v>3360</v>
      </c>
      <c r="G91" s="44">
        <f t="shared" si="121"/>
        <v>3360</v>
      </c>
      <c r="H91" s="50">
        <f t="shared" si="122"/>
        <v>3360</v>
      </c>
      <c r="I91" s="46">
        <f t="shared" si="123"/>
        <v>15.272727272727273</v>
      </c>
      <c r="J91" s="46">
        <f t="shared" si="124"/>
        <v>3360</v>
      </c>
      <c r="K91" s="47">
        <f t="shared" si="125"/>
        <v>19.090909090909093</v>
      </c>
      <c r="L91" s="48">
        <f t="shared" si="126"/>
        <v>15.272727272727273</v>
      </c>
    </row>
    <row r="92" spans="1:14" x14ac:dyDescent="0.25">
      <c r="A92" s="43" t="s">
        <v>91</v>
      </c>
      <c r="B92" s="51" t="s">
        <v>89</v>
      </c>
      <c r="C92" s="45">
        <v>47</v>
      </c>
      <c r="D92" s="44">
        <v>12</v>
      </c>
      <c r="E92" s="44">
        <v>1</v>
      </c>
      <c r="F92" s="44">
        <f t="shared" si="120"/>
        <v>564</v>
      </c>
      <c r="G92" s="44">
        <f t="shared" si="121"/>
        <v>564</v>
      </c>
      <c r="H92" s="50">
        <f t="shared" si="122"/>
        <v>564</v>
      </c>
      <c r="I92" s="46">
        <f t="shared" si="123"/>
        <v>2.5636363636363635</v>
      </c>
      <c r="J92" s="46">
        <f t="shared" si="124"/>
        <v>564</v>
      </c>
      <c r="K92" s="47">
        <f t="shared" si="125"/>
        <v>3.2045454545454541</v>
      </c>
      <c r="L92" s="48">
        <f t="shared" si="126"/>
        <v>2.5636363636363635</v>
      </c>
    </row>
    <row r="93" spans="1:14" x14ac:dyDescent="0.25">
      <c r="A93" s="43" t="s">
        <v>92</v>
      </c>
      <c r="B93" s="51" t="s">
        <v>89</v>
      </c>
      <c r="C93" s="45">
        <v>47</v>
      </c>
      <c r="D93" s="44">
        <v>20</v>
      </c>
      <c r="E93" s="44">
        <v>1</v>
      </c>
      <c r="F93" s="44">
        <f t="shared" si="120"/>
        <v>940</v>
      </c>
      <c r="G93" s="44">
        <f t="shared" si="121"/>
        <v>940</v>
      </c>
      <c r="H93" s="50">
        <f t="shared" si="122"/>
        <v>940</v>
      </c>
      <c r="I93" s="46">
        <f t="shared" si="123"/>
        <v>4.2727272727272725</v>
      </c>
      <c r="J93" s="46">
        <f t="shared" si="124"/>
        <v>940</v>
      </c>
      <c r="K93" s="47">
        <f t="shared" si="125"/>
        <v>5.3409090909090908</v>
      </c>
      <c r="L93" s="48">
        <f t="shared" si="126"/>
        <v>4.2727272727272725</v>
      </c>
    </row>
    <row r="94" spans="1:14" x14ac:dyDescent="0.25">
      <c r="A94" s="43" t="s">
        <v>93</v>
      </c>
      <c r="B94" s="51" t="s">
        <v>89</v>
      </c>
      <c r="C94" s="45">
        <v>47</v>
      </c>
      <c r="D94" s="44">
        <v>24</v>
      </c>
      <c r="E94" s="44">
        <v>1</v>
      </c>
      <c r="F94" s="44">
        <f t="shared" si="120"/>
        <v>1128</v>
      </c>
      <c r="G94" s="44">
        <f t="shared" si="121"/>
        <v>1128</v>
      </c>
      <c r="H94" s="50">
        <f t="shared" si="122"/>
        <v>1128</v>
      </c>
      <c r="I94" s="46">
        <f t="shared" si="123"/>
        <v>5.127272727272727</v>
      </c>
      <c r="J94" s="46">
        <f t="shared" si="124"/>
        <v>1128</v>
      </c>
      <c r="K94" s="47">
        <f t="shared" si="125"/>
        <v>6.4090909090909083</v>
      </c>
      <c r="L94" s="48">
        <f t="shared" si="126"/>
        <v>5.127272727272727</v>
      </c>
    </row>
    <row r="95" spans="1:14" x14ac:dyDescent="0.25">
      <c r="A95" s="43" t="s">
        <v>94</v>
      </c>
      <c r="B95" s="51" t="s">
        <v>89</v>
      </c>
      <c r="C95" s="45">
        <v>47</v>
      </c>
      <c r="D95" s="44">
        <v>12</v>
      </c>
      <c r="E95" s="44">
        <v>1</v>
      </c>
      <c r="F95" s="44">
        <f t="shared" si="120"/>
        <v>564</v>
      </c>
      <c r="G95" s="44">
        <f t="shared" si="121"/>
        <v>564</v>
      </c>
      <c r="H95" s="50">
        <f t="shared" si="122"/>
        <v>564</v>
      </c>
      <c r="I95" s="46">
        <f t="shared" si="123"/>
        <v>2.5636363636363635</v>
      </c>
      <c r="J95" s="46">
        <f t="shared" si="124"/>
        <v>564</v>
      </c>
      <c r="K95" s="47">
        <f t="shared" si="125"/>
        <v>3.2045454545454541</v>
      </c>
      <c r="L95" s="48">
        <f t="shared" si="126"/>
        <v>2.5636363636363635</v>
      </c>
    </row>
    <row r="96" spans="1:14" x14ac:dyDescent="0.25">
      <c r="A96" s="43" t="s">
        <v>95</v>
      </c>
      <c r="B96" s="51" t="s">
        <v>89</v>
      </c>
      <c r="C96" s="45">
        <v>47</v>
      </c>
      <c r="D96" s="44">
        <v>15</v>
      </c>
      <c r="E96" s="44">
        <v>1</v>
      </c>
      <c r="F96" s="44">
        <f t="shared" si="120"/>
        <v>705</v>
      </c>
      <c r="G96" s="44">
        <f t="shared" si="121"/>
        <v>705</v>
      </c>
      <c r="H96" s="50">
        <f t="shared" si="122"/>
        <v>705</v>
      </c>
      <c r="I96" s="46">
        <f t="shared" si="123"/>
        <v>3.2045454545454546</v>
      </c>
      <c r="J96" s="46">
        <f t="shared" si="124"/>
        <v>705</v>
      </c>
      <c r="K96" s="47">
        <f t="shared" si="125"/>
        <v>4.0056818181818183</v>
      </c>
      <c r="L96" s="48">
        <f t="shared" si="126"/>
        <v>3.2045454545454546</v>
      </c>
    </row>
    <row r="97" spans="1:12" ht="15.75" x14ac:dyDescent="0.25">
      <c r="A97" s="58" t="s">
        <v>96</v>
      </c>
      <c r="B97" s="59" t="s">
        <v>124</v>
      </c>
      <c r="C97" s="74"/>
      <c r="D97" s="74"/>
      <c r="E97" s="75"/>
      <c r="F97" s="76"/>
      <c r="G97" s="74"/>
      <c r="H97" s="77">
        <f>SUM(H98:H105)</f>
        <v>11585</v>
      </c>
      <c r="I97" s="78">
        <f>H97/(1.73*380*0.9)</f>
        <v>19.580502315519048</v>
      </c>
      <c r="J97" s="78">
        <f>0.8*H97</f>
        <v>9268</v>
      </c>
      <c r="K97" s="78">
        <f t="shared" ref="K97:K105" si="127">1.25*L97</f>
        <v>22.02806510495893</v>
      </c>
      <c r="L97" s="79">
        <f>H97/(1.73*380*1)</f>
        <v>17.622452083967143</v>
      </c>
    </row>
    <row r="98" spans="1:12" x14ac:dyDescent="0.25">
      <c r="A98" s="43" t="s">
        <v>85</v>
      </c>
      <c r="B98" s="49" t="s">
        <v>131</v>
      </c>
      <c r="C98" s="45">
        <v>300</v>
      </c>
      <c r="D98" s="44">
        <v>11</v>
      </c>
      <c r="E98" s="44">
        <v>0.8</v>
      </c>
      <c r="F98" s="44">
        <f t="shared" ref="F98:F100" si="128">C98*D98*E98</f>
        <v>2640</v>
      </c>
      <c r="G98" s="44">
        <f t="shared" ref="G98" si="129">F98</f>
        <v>2640</v>
      </c>
      <c r="H98" s="50">
        <f t="shared" ref="H98:H105" si="130">F98</f>
        <v>2640</v>
      </c>
      <c r="I98" s="46">
        <f t="shared" ref="I98:I105" si="131">G98/(220)</f>
        <v>12</v>
      </c>
      <c r="J98" s="46">
        <f>1*H98</f>
        <v>2640</v>
      </c>
      <c r="K98" s="47">
        <f t="shared" si="127"/>
        <v>15</v>
      </c>
      <c r="L98" s="48">
        <f>H98/(1*220*1)</f>
        <v>12</v>
      </c>
    </row>
    <row r="99" spans="1:12" x14ac:dyDescent="0.25">
      <c r="A99" s="43" t="s">
        <v>86</v>
      </c>
      <c r="B99" s="49" t="s">
        <v>131</v>
      </c>
      <c r="C99" s="45">
        <v>300</v>
      </c>
      <c r="D99" s="44">
        <v>12</v>
      </c>
      <c r="E99" s="44">
        <v>0.8</v>
      </c>
      <c r="F99" s="44">
        <f t="shared" si="128"/>
        <v>2880</v>
      </c>
      <c r="G99" s="44">
        <f t="shared" ref="G99:G100" si="132">F99</f>
        <v>2880</v>
      </c>
      <c r="H99" s="50">
        <f t="shared" si="130"/>
        <v>2880</v>
      </c>
      <c r="I99" s="46">
        <f t="shared" si="131"/>
        <v>13.090909090909092</v>
      </c>
      <c r="J99" s="46">
        <f t="shared" ref="J99:J105" si="133">1*H99</f>
        <v>2880</v>
      </c>
      <c r="K99" s="47">
        <f t="shared" si="127"/>
        <v>16.363636363636363</v>
      </c>
      <c r="L99" s="48">
        <f t="shared" ref="L99:L105" si="134">H99/(1*220*1)</f>
        <v>13.090909090909092</v>
      </c>
    </row>
    <row r="100" spans="1:12" x14ac:dyDescent="0.25">
      <c r="A100" s="43" t="s">
        <v>88</v>
      </c>
      <c r="B100" s="49" t="s">
        <v>131</v>
      </c>
      <c r="C100" s="45">
        <v>300</v>
      </c>
      <c r="D100" s="44">
        <v>10</v>
      </c>
      <c r="E100" s="44">
        <v>0.8</v>
      </c>
      <c r="F100" s="44">
        <f t="shared" si="128"/>
        <v>2400</v>
      </c>
      <c r="G100" s="44">
        <f t="shared" si="132"/>
        <v>2400</v>
      </c>
      <c r="H100" s="50">
        <f t="shared" si="130"/>
        <v>2400</v>
      </c>
      <c r="I100" s="46">
        <f t="shared" si="131"/>
        <v>10.909090909090908</v>
      </c>
      <c r="J100" s="46">
        <f t="shared" si="133"/>
        <v>2400</v>
      </c>
      <c r="K100" s="47">
        <f t="shared" si="127"/>
        <v>13.636363636363635</v>
      </c>
      <c r="L100" s="48">
        <f t="shared" si="134"/>
        <v>10.909090909090908</v>
      </c>
    </row>
    <row r="101" spans="1:12" x14ac:dyDescent="0.25">
      <c r="A101" s="43" t="s">
        <v>90</v>
      </c>
      <c r="B101" s="49" t="s">
        <v>131</v>
      </c>
      <c r="C101" s="45">
        <v>300</v>
      </c>
      <c r="D101" s="44">
        <v>4</v>
      </c>
      <c r="E101" s="44">
        <v>0.8</v>
      </c>
      <c r="F101" s="44">
        <f t="shared" ref="F101:F105" si="135">C101*D101*E101</f>
        <v>960</v>
      </c>
      <c r="G101" s="44">
        <f t="shared" ref="G101:G105" si="136">F101</f>
        <v>960</v>
      </c>
      <c r="H101" s="50">
        <f t="shared" si="130"/>
        <v>960</v>
      </c>
      <c r="I101" s="46">
        <f t="shared" si="131"/>
        <v>4.3636363636363633</v>
      </c>
      <c r="J101" s="46">
        <f t="shared" si="133"/>
        <v>960</v>
      </c>
      <c r="K101" s="47">
        <f t="shared" si="127"/>
        <v>5.4545454545454541</v>
      </c>
      <c r="L101" s="48">
        <f t="shared" si="134"/>
        <v>4.3636363636363633</v>
      </c>
    </row>
    <row r="102" spans="1:12" x14ac:dyDescent="0.25">
      <c r="A102" s="43" t="s">
        <v>91</v>
      </c>
      <c r="B102" s="51" t="s">
        <v>89</v>
      </c>
      <c r="C102" s="45">
        <v>22.5</v>
      </c>
      <c r="D102" s="44">
        <v>30</v>
      </c>
      <c r="E102" s="44">
        <v>1</v>
      </c>
      <c r="F102" s="44">
        <f t="shared" si="135"/>
        <v>675</v>
      </c>
      <c r="G102" s="44">
        <f t="shared" si="136"/>
        <v>675</v>
      </c>
      <c r="H102" s="50">
        <f t="shared" si="130"/>
        <v>675</v>
      </c>
      <c r="I102" s="46">
        <f t="shared" si="131"/>
        <v>3.0681818181818183</v>
      </c>
      <c r="J102" s="46">
        <f t="shared" si="133"/>
        <v>675</v>
      </c>
      <c r="K102" s="47">
        <f t="shared" si="127"/>
        <v>3.8352272727272729</v>
      </c>
      <c r="L102" s="48">
        <f t="shared" si="134"/>
        <v>3.0681818181818183</v>
      </c>
    </row>
    <row r="103" spans="1:12" x14ac:dyDescent="0.25">
      <c r="A103" s="43" t="s">
        <v>92</v>
      </c>
      <c r="B103" s="49" t="s">
        <v>98</v>
      </c>
      <c r="C103" s="45">
        <v>13</v>
      </c>
      <c r="D103" s="44">
        <v>26</v>
      </c>
      <c r="E103" s="44">
        <v>1</v>
      </c>
      <c r="F103" s="44">
        <f t="shared" si="135"/>
        <v>338</v>
      </c>
      <c r="G103" s="44">
        <f t="shared" si="136"/>
        <v>338</v>
      </c>
      <c r="H103" s="50">
        <f t="shared" si="130"/>
        <v>338</v>
      </c>
      <c r="I103" s="46">
        <f t="shared" si="131"/>
        <v>1.5363636363636364</v>
      </c>
      <c r="J103" s="46">
        <f t="shared" si="133"/>
        <v>338</v>
      </c>
      <c r="K103" s="47">
        <f t="shared" si="127"/>
        <v>1.9204545454545454</v>
      </c>
      <c r="L103" s="48">
        <f t="shared" si="134"/>
        <v>1.5363636363636364</v>
      </c>
    </row>
    <row r="104" spans="1:12" x14ac:dyDescent="0.25">
      <c r="A104" s="43" t="s">
        <v>93</v>
      </c>
      <c r="B104" s="51" t="s">
        <v>89</v>
      </c>
      <c r="C104" s="45">
        <v>47</v>
      </c>
      <c r="D104" s="44">
        <v>17</v>
      </c>
      <c r="E104" s="44">
        <v>1</v>
      </c>
      <c r="F104" s="44">
        <f t="shared" si="135"/>
        <v>799</v>
      </c>
      <c r="G104" s="44">
        <f t="shared" si="136"/>
        <v>799</v>
      </c>
      <c r="H104" s="50">
        <f t="shared" si="130"/>
        <v>799</v>
      </c>
      <c r="I104" s="46">
        <f t="shared" si="131"/>
        <v>3.6318181818181818</v>
      </c>
      <c r="J104" s="46">
        <f t="shared" si="133"/>
        <v>799</v>
      </c>
      <c r="K104" s="47">
        <f t="shared" si="127"/>
        <v>4.5397727272727275</v>
      </c>
      <c r="L104" s="48">
        <f t="shared" si="134"/>
        <v>3.6318181818181818</v>
      </c>
    </row>
    <row r="105" spans="1:12" x14ac:dyDescent="0.25">
      <c r="A105" s="43" t="s">
        <v>94</v>
      </c>
      <c r="B105" s="51" t="s">
        <v>89</v>
      </c>
      <c r="C105" s="45">
        <v>47</v>
      </c>
      <c r="D105" s="44">
        <v>19</v>
      </c>
      <c r="E105" s="44">
        <v>1</v>
      </c>
      <c r="F105" s="44">
        <f t="shared" si="135"/>
        <v>893</v>
      </c>
      <c r="G105" s="44">
        <f t="shared" si="136"/>
        <v>893</v>
      </c>
      <c r="H105" s="50">
        <f t="shared" si="130"/>
        <v>893</v>
      </c>
      <c r="I105" s="46">
        <f t="shared" si="131"/>
        <v>4.0590909090909095</v>
      </c>
      <c r="J105" s="46">
        <f t="shared" si="133"/>
        <v>893</v>
      </c>
      <c r="K105" s="47">
        <f t="shared" si="127"/>
        <v>5.0738636363636367</v>
      </c>
      <c r="L105" s="48">
        <f t="shared" si="134"/>
        <v>4.0590909090909095</v>
      </c>
    </row>
    <row r="106" spans="1:12" ht="15.75" x14ac:dyDescent="0.25">
      <c r="A106" s="58" t="s">
        <v>97</v>
      </c>
      <c r="B106" s="59" t="s">
        <v>125</v>
      </c>
      <c r="C106" s="74"/>
      <c r="D106" s="74"/>
      <c r="E106" s="75"/>
      <c r="F106" s="76"/>
      <c r="G106" s="74"/>
      <c r="H106" s="77">
        <f>H107</f>
        <v>1960</v>
      </c>
      <c r="I106" s="78">
        <f>H106/(1.73*380*0.9)</f>
        <v>3.3127133826860025</v>
      </c>
      <c r="J106" s="78">
        <f>0.8*H106</f>
        <v>1568</v>
      </c>
      <c r="K106" s="78">
        <f t="shared" ref="K106:K107" si="137">1.25*L106</f>
        <v>3.7268025555217528</v>
      </c>
      <c r="L106" s="79">
        <f>H106/(1.73*380*1)</f>
        <v>2.9814420444174021</v>
      </c>
    </row>
    <row r="107" spans="1:12" x14ac:dyDescent="0.25">
      <c r="A107" s="43" t="s">
        <v>85</v>
      </c>
      <c r="B107" s="51" t="s">
        <v>107</v>
      </c>
      <c r="C107" s="45">
        <v>350</v>
      </c>
      <c r="D107" s="44">
        <v>7</v>
      </c>
      <c r="E107" s="44">
        <v>0.8</v>
      </c>
      <c r="F107" s="44">
        <f t="shared" ref="F107" si="138">C107*D107*E107</f>
        <v>1960</v>
      </c>
      <c r="G107" s="44">
        <f t="shared" ref="G107" si="139">F107</f>
        <v>1960</v>
      </c>
      <c r="H107" s="50">
        <f t="shared" ref="H107" si="140">F107</f>
        <v>1960</v>
      </c>
      <c r="I107" s="46">
        <f t="shared" ref="I107" si="141">G107/(220)</f>
        <v>8.9090909090909083</v>
      </c>
      <c r="J107" s="46">
        <f>1*H107</f>
        <v>1960</v>
      </c>
      <c r="K107" s="47">
        <f t="shared" si="137"/>
        <v>11.136363636363635</v>
      </c>
      <c r="L107" s="48">
        <f>H107/(1*220*1)</f>
        <v>8.9090909090909083</v>
      </c>
    </row>
    <row r="108" spans="1:12" ht="15.75" x14ac:dyDescent="0.25">
      <c r="A108" s="58" t="s">
        <v>134</v>
      </c>
      <c r="B108" s="59" t="s">
        <v>132</v>
      </c>
      <c r="C108" s="74"/>
      <c r="D108" s="74"/>
      <c r="E108" s="75"/>
      <c r="F108" s="76"/>
      <c r="G108" s="74"/>
      <c r="H108" s="77">
        <f>H109+H110</f>
        <v>8216</v>
      </c>
      <c r="I108" s="78">
        <f>H108/(1.73*380*0.9)</f>
        <v>13.886353649055202</v>
      </c>
      <c r="J108" s="78">
        <f>0.8*H108</f>
        <v>6572.8</v>
      </c>
      <c r="K108" s="78">
        <f t="shared" ref="K108:K113" si="142">1.25*L108</f>
        <v>15.622147855187102</v>
      </c>
      <c r="L108" s="79">
        <f>H108/(1.73*380*1)</f>
        <v>12.497718284149681</v>
      </c>
    </row>
    <row r="109" spans="1:12" x14ac:dyDescent="0.25">
      <c r="A109" s="43" t="s">
        <v>85</v>
      </c>
      <c r="B109" s="51" t="s">
        <v>208</v>
      </c>
      <c r="C109" s="45">
        <v>10000</v>
      </c>
      <c r="D109" s="44">
        <v>1</v>
      </c>
      <c r="E109" s="44">
        <v>0.8</v>
      </c>
      <c r="F109" s="44">
        <f t="shared" ref="F109:F110" si="143">C109*D109*E109</f>
        <v>8000</v>
      </c>
      <c r="G109" s="44">
        <f t="shared" ref="G109:G110" si="144">F109</f>
        <v>8000</v>
      </c>
      <c r="H109" s="50">
        <f>F109</f>
        <v>8000</v>
      </c>
      <c r="I109" s="46">
        <f t="shared" ref="I109:I110" si="145">G109/(220)</f>
        <v>36.363636363636367</v>
      </c>
      <c r="J109" s="46">
        <f>1*H109</f>
        <v>8000</v>
      </c>
      <c r="K109" s="47">
        <f t="shared" si="142"/>
        <v>15.211439002129604</v>
      </c>
      <c r="L109" s="48">
        <f>H109/(1.73*380*1)</f>
        <v>12.169151201703682</v>
      </c>
    </row>
    <row r="110" spans="1:12" x14ac:dyDescent="0.25">
      <c r="A110" s="43" t="s">
        <v>86</v>
      </c>
      <c r="B110" s="51" t="s">
        <v>166</v>
      </c>
      <c r="C110" s="45">
        <v>24</v>
      </c>
      <c r="D110" s="44">
        <v>9</v>
      </c>
      <c r="E110" s="44">
        <v>1</v>
      </c>
      <c r="F110" s="44">
        <f t="shared" si="143"/>
        <v>216</v>
      </c>
      <c r="G110" s="44">
        <f t="shared" si="144"/>
        <v>216</v>
      </c>
      <c r="H110" s="50">
        <f t="shared" ref="H110" si="146">F110</f>
        <v>216</v>
      </c>
      <c r="I110" s="46">
        <f t="shared" si="145"/>
        <v>0.98181818181818181</v>
      </c>
      <c r="J110" s="46">
        <f t="shared" ref="J110" si="147">1*H110</f>
        <v>216</v>
      </c>
      <c r="K110" s="47">
        <f t="shared" si="142"/>
        <v>1.2272727272727273</v>
      </c>
      <c r="L110" s="48">
        <f t="shared" ref="L110" si="148">H110/(1*220*1)</f>
        <v>0.98181818181818181</v>
      </c>
    </row>
    <row r="111" spans="1:12" ht="15.75" x14ac:dyDescent="0.25">
      <c r="A111" s="58" t="s">
        <v>135</v>
      </c>
      <c r="B111" s="59" t="s">
        <v>133</v>
      </c>
      <c r="C111" s="74"/>
      <c r="D111" s="74"/>
      <c r="E111" s="75"/>
      <c r="F111" s="76"/>
      <c r="G111" s="74"/>
      <c r="H111" s="77">
        <f>H112+H113</f>
        <v>8280</v>
      </c>
      <c r="I111" s="78">
        <f>H111/(1.73*380*0.9)</f>
        <v>13.994523881959234</v>
      </c>
      <c r="J111" s="78">
        <f>0.8*H111</f>
        <v>6624</v>
      </c>
      <c r="K111" s="78">
        <f t="shared" si="142"/>
        <v>15.743839367204139</v>
      </c>
      <c r="L111" s="79">
        <f>H111/(1.73*380*1)</f>
        <v>12.59507149376331</v>
      </c>
    </row>
    <row r="112" spans="1:12" x14ac:dyDescent="0.25">
      <c r="A112" s="43" t="s">
        <v>85</v>
      </c>
      <c r="B112" s="51" t="s">
        <v>208</v>
      </c>
      <c r="C112" s="45">
        <v>10000</v>
      </c>
      <c r="D112" s="44">
        <v>1</v>
      </c>
      <c r="E112" s="44">
        <v>0.8</v>
      </c>
      <c r="F112" s="44">
        <f t="shared" ref="F112:F113" si="149">C112*D112*E112</f>
        <v>8000</v>
      </c>
      <c r="G112" s="44">
        <f t="shared" ref="G112:G113" si="150">F112</f>
        <v>8000</v>
      </c>
      <c r="H112" s="50">
        <f t="shared" ref="H112:H113" si="151">F112</f>
        <v>8000</v>
      </c>
      <c r="I112" s="46">
        <f t="shared" ref="I112:I113" si="152">G112/(220)</f>
        <v>36.363636363636367</v>
      </c>
      <c r="J112" s="46">
        <f>1*H112</f>
        <v>8000</v>
      </c>
      <c r="K112" s="47">
        <f t="shared" si="142"/>
        <v>15.211439002129604</v>
      </c>
      <c r="L112" s="48">
        <f>H112/(1.73*380*1)</f>
        <v>12.169151201703682</v>
      </c>
    </row>
    <row r="113" spans="1:12" x14ac:dyDescent="0.25">
      <c r="A113" s="43" t="s">
        <v>86</v>
      </c>
      <c r="B113" s="51" t="s">
        <v>166</v>
      </c>
      <c r="C113" s="45">
        <v>20</v>
      </c>
      <c r="D113" s="44">
        <v>14</v>
      </c>
      <c r="E113" s="44">
        <v>1</v>
      </c>
      <c r="F113" s="44">
        <f t="shared" si="149"/>
        <v>280</v>
      </c>
      <c r="G113" s="44">
        <f t="shared" si="150"/>
        <v>280</v>
      </c>
      <c r="H113" s="50">
        <f t="shared" si="151"/>
        <v>280</v>
      </c>
      <c r="I113" s="46">
        <f t="shared" si="152"/>
        <v>1.2727272727272727</v>
      </c>
      <c r="J113" s="46">
        <f t="shared" ref="J113" si="153">1*H113</f>
        <v>280</v>
      </c>
      <c r="K113" s="47">
        <f t="shared" si="142"/>
        <v>1.5909090909090908</v>
      </c>
      <c r="L113" s="48">
        <f t="shared" ref="L113" si="154">H113/(1*220*1)</f>
        <v>1.2727272727272727</v>
      </c>
    </row>
    <row r="408" spans="3:3" x14ac:dyDescent="0.25">
      <c r="C408">
        <f>'CUADRO DE CARGAS'!L247</f>
        <v>0</v>
      </c>
    </row>
    <row r="464" spans="3:3" x14ac:dyDescent="0.25">
      <c r="C464">
        <f>'CUADRO DE CARGAS'!L190</f>
        <v>0</v>
      </c>
    </row>
    <row r="1670" spans="3:3" x14ac:dyDescent="0.25">
      <c r="C1670">
        <f>'CUADRO DE CARGAS'!L808</f>
        <v>0</v>
      </c>
    </row>
  </sheetData>
  <mergeCells count="3">
    <mergeCell ref="A1:L1"/>
    <mergeCell ref="A2:A4"/>
    <mergeCell ref="B2:B4"/>
  </mergeCells>
  <phoneticPr fontId="10" type="noConversion"/>
  <pageMargins left="0.7" right="0.7" top="0.75" bottom="0.75" header="0.3" footer="0.3"/>
  <pageSetup paperSize="9" orientation="portrait" horizontalDpi="4294967292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375"/>
  <sheetViews>
    <sheetView tabSelected="1" zoomScale="71" zoomScaleNormal="71" workbookViewId="0">
      <selection activeCell="F25" sqref="F25"/>
    </sheetView>
  </sheetViews>
  <sheetFormatPr baseColWidth="10" defaultRowHeight="15" x14ac:dyDescent="0.25"/>
  <cols>
    <col min="2" max="2" width="18.5703125" customWidth="1"/>
    <col min="3" max="3" width="14.85546875" customWidth="1"/>
  </cols>
  <sheetData>
    <row r="1" spans="1:6" ht="15.75" x14ac:dyDescent="0.25">
      <c r="A1" s="95" t="s">
        <v>116</v>
      </c>
      <c r="B1" s="96"/>
      <c r="C1" s="96"/>
      <c r="D1" s="96"/>
      <c r="E1" s="96"/>
      <c r="F1" s="96"/>
    </row>
    <row r="2" spans="1:6" ht="15.75" x14ac:dyDescent="0.25">
      <c r="A2" s="96" t="s">
        <v>99</v>
      </c>
      <c r="B2" s="96"/>
      <c r="C2" s="96"/>
      <c r="D2" s="96"/>
      <c r="E2" s="96"/>
      <c r="F2" s="96"/>
    </row>
    <row r="3" spans="1:6" ht="15.75" x14ac:dyDescent="0.25">
      <c r="A3" s="97" t="s">
        <v>126</v>
      </c>
      <c r="B3" s="97"/>
      <c r="C3" s="97"/>
      <c r="D3" s="97"/>
      <c r="E3" s="97"/>
      <c r="F3" s="97"/>
    </row>
    <row r="4" spans="1:6" x14ac:dyDescent="0.25">
      <c r="A4" t="s">
        <v>22</v>
      </c>
    </row>
    <row r="5" spans="1:6" x14ac:dyDescent="0.25">
      <c r="C5" t="s">
        <v>23</v>
      </c>
    </row>
    <row r="6" spans="1:6" x14ac:dyDescent="0.25">
      <c r="C6" t="s">
        <v>24</v>
      </c>
    </row>
    <row r="7" spans="1:6" x14ac:dyDescent="0.25">
      <c r="C7" t="s">
        <v>28</v>
      </c>
    </row>
    <row r="8" spans="1:6" x14ac:dyDescent="0.25">
      <c r="C8" t="s">
        <v>25</v>
      </c>
    </row>
    <row r="9" spans="1:6" x14ac:dyDescent="0.25">
      <c r="C9" t="s">
        <v>26</v>
      </c>
    </row>
    <row r="11" spans="1:6" x14ac:dyDescent="0.25">
      <c r="B11" t="s">
        <v>27</v>
      </c>
      <c r="C11" s="22">
        <f>'CUADRO DE CARGAS'!L7</f>
        <v>2.7116363636363641</v>
      </c>
      <c r="D11" t="s">
        <v>29</v>
      </c>
      <c r="E11" t="s">
        <v>30</v>
      </c>
    </row>
    <row r="12" spans="1:6" x14ac:dyDescent="0.25">
      <c r="B12" s="23" t="s">
        <v>44</v>
      </c>
      <c r="C12" s="33">
        <f>1.25*C11</f>
        <v>3.3895454545454551</v>
      </c>
      <c r="D12" s="23" t="s">
        <v>29</v>
      </c>
      <c r="E12" t="s">
        <v>51</v>
      </c>
    </row>
    <row r="13" spans="1:6" x14ac:dyDescent="0.25">
      <c r="B13" s="24" t="s">
        <v>31</v>
      </c>
      <c r="C13" s="24">
        <v>6</v>
      </c>
      <c r="D13" s="24" t="s">
        <v>32</v>
      </c>
    </row>
    <row r="14" spans="1:6" x14ac:dyDescent="0.25">
      <c r="A14" t="s">
        <v>52</v>
      </c>
    </row>
    <row r="15" spans="1:6" x14ac:dyDescent="0.25">
      <c r="B15" s="23" t="s">
        <v>36</v>
      </c>
      <c r="C15" s="23">
        <v>20</v>
      </c>
      <c r="D15" s="23" t="s">
        <v>37</v>
      </c>
      <c r="E15" s="32"/>
    </row>
    <row r="16" spans="1:6" x14ac:dyDescent="0.25">
      <c r="A16" t="s">
        <v>53</v>
      </c>
    </row>
    <row r="19" spans="1:6" x14ac:dyDescent="0.25">
      <c r="A19" t="s">
        <v>23</v>
      </c>
    </row>
    <row r="20" spans="1:6" x14ac:dyDescent="0.25">
      <c r="C20" t="s">
        <v>35</v>
      </c>
      <c r="E20">
        <v>1.7999999999999999E-2</v>
      </c>
    </row>
    <row r="21" spans="1:6" x14ac:dyDescent="0.25">
      <c r="C21" t="s">
        <v>34</v>
      </c>
      <c r="D21">
        <f>E20*C15/C13</f>
        <v>0.06</v>
      </c>
    </row>
    <row r="23" spans="1:6" x14ac:dyDescent="0.25">
      <c r="A23" t="s">
        <v>33</v>
      </c>
    </row>
    <row r="25" spans="1:6" x14ac:dyDescent="0.25">
      <c r="B25" s="38">
        <f>1*C12*D21</f>
        <v>0.20337272727272729</v>
      </c>
      <c r="C25" t="s">
        <v>38</v>
      </c>
      <c r="D25" s="24" t="s">
        <v>39</v>
      </c>
    </row>
    <row r="27" spans="1:6" ht="15.75" x14ac:dyDescent="0.25">
      <c r="A27" s="96" t="s">
        <v>100</v>
      </c>
      <c r="B27" s="96"/>
      <c r="C27" s="96"/>
      <c r="D27" s="96"/>
      <c r="E27" s="96"/>
      <c r="F27" s="96"/>
    </row>
    <row r="28" spans="1:6" ht="15.75" x14ac:dyDescent="0.25">
      <c r="A28" s="97" t="s">
        <v>127</v>
      </c>
      <c r="B28" s="97"/>
      <c r="C28" s="97"/>
      <c r="D28" s="97"/>
      <c r="E28" s="97"/>
      <c r="F28" s="97"/>
    </row>
    <row r="29" spans="1:6" x14ac:dyDescent="0.25">
      <c r="A29" t="s">
        <v>22</v>
      </c>
    </row>
    <row r="30" spans="1:6" x14ac:dyDescent="0.25">
      <c r="C30" t="s">
        <v>23</v>
      </c>
    </row>
    <row r="31" spans="1:6" x14ac:dyDescent="0.25">
      <c r="C31" t="s">
        <v>24</v>
      </c>
    </row>
    <row r="32" spans="1:6" x14ac:dyDescent="0.25">
      <c r="C32" t="s">
        <v>28</v>
      </c>
    </row>
    <row r="33" spans="1:5" x14ac:dyDescent="0.25">
      <c r="C33" t="s">
        <v>25</v>
      </c>
    </row>
    <row r="34" spans="1:5" x14ac:dyDescent="0.25">
      <c r="C34" t="s">
        <v>26</v>
      </c>
    </row>
    <row r="36" spans="1:5" x14ac:dyDescent="0.25">
      <c r="B36" t="s">
        <v>27</v>
      </c>
      <c r="C36" s="22">
        <f>'CUADRO DE CARGAS'!L8</f>
        <v>1.3611804076665655</v>
      </c>
      <c r="D36" t="s">
        <v>29</v>
      </c>
      <c r="E36" t="s">
        <v>30</v>
      </c>
    </row>
    <row r="37" spans="1:5" x14ac:dyDescent="0.25">
      <c r="B37" s="23" t="s">
        <v>44</v>
      </c>
      <c r="C37" s="33">
        <f>1.25*C36</f>
        <v>1.7014755095832068</v>
      </c>
      <c r="D37" s="23" t="s">
        <v>29</v>
      </c>
      <c r="E37" t="s">
        <v>51</v>
      </c>
    </row>
    <row r="38" spans="1:5" x14ac:dyDescent="0.25">
      <c r="B38" s="24" t="s">
        <v>31</v>
      </c>
      <c r="C38" s="24">
        <v>6</v>
      </c>
      <c r="D38" s="24" t="s">
        <v>32</v>
      </c>
    </row>
    <row r="39" spans="1:5" x14ac:dyDescent="0.25">
      <c r="A39" t="s">
        <v>52</v>
      </c>
      <c r="C39" t="s">
        <v>211</v>
      </c>
      <c r="E39" t="s">
        <v>114</v>
      </c>
    </row>
    <row r="40" spans="1:5" x14ac:dyDescent="0.25">
      <c r="B40" s="23" t="s">
        <v>36</v>
      </c>
      <c r="C40" s="23">
        <v>20</v>
      </c>
      <c r="D40" s="23" t="s">
        <v>37</v>
      </c>
      <c r="E40" s="32"/>
    </row>
    <row r="41" spans="1:5" x14ac:dyDescent="0.25">
      <c r="A41" t="s">
        <v>53</v>
      </c>
    </row>
    <row r="44" spans="1:5" x14ac:dyDescent="0.25">
      <c r="A44" t="s">
        <v>23</v>
      </c>
    </row>
    <row r="45" spans="1:5" x14ac:dyDescent="0.25">
      <c r="C45" t="s">
        <v>35</v>
      </c>
      <c r="E45">
        <v>1.7999999999999999E-2</v>
      </c>
    </row>
    <row r="46" spans="1:5" x14ac:dyDescent="0.25">
      <c r="C46" t="s">
        <v>34</v>
      </c>
      <c r="D46">
        <f>E45*C40/C38</f>
        <v>0.06</v>
      </c>
    </row>
    <row r="48" spans="1:5" x14ac:dyDescent="0.25">
      <c r="A48" t="s">
        <v>33</v>
      </c>
    </row>
    <row r="50" spans="1:6" x14ac:dyDescent="0.25">
      <c r="B50" s="38">
        <f>1.732*C37*D46*0.9</f>
        <v>0.15913560146029815</v>
      </c>
      <c r="C50" t="s">
        <v>38</v>
      </c>
      <c r="D50" s="24" t="s">
        <v>39</v>
      </c>
    </row>
    <row r="52" spans="1:6" ht="15.75" x14ac:dyDescent="0.25">
      <c r="A52" s="96" t="s">
        <v>101</v>
      </c>
      <c r="B52" s="96"/>
      <c r="C52" s="96"/>
      <c r="D52" s="96"/>
      <c r="E52" s="96"/>
      <c r="F52" s="96"/>
    </row>
    <row r="53" spans="1:6" ht="15.75" x14ac:dyDescent="0.25">
      <c r="A53" s="97" t="s">
        <v>128</v>
      </c>
      <c r="B53" s="97"/>
      <c r="C53" s="97"/>
      <c r="D53" s="97"/>
      <c r="E53" s="97"/>
      <c r="F53" s="97"/>
    </row>
    <row r="54" spans="1:6" x14ac:dyDescent="0.25">
      <c r="A54" t="s">
        <v>22</v>
      </c>
    </row>
    <row r="55" spans="1:6" x14ac:dyDescent="0.25">
      <c r="C55" t="s">
        <v>23</v>
      </c>
    </row>
    <row r="56" spans="1:6" x14ac:dyDescent="0.25">
      <c r="C56" t="s">
        <v>24</v>
      </c>
    </row>
    <row r="57" spans="1:6" x14ac:dyDescent="0.25">
      <c r="C57" t="s">
        <v>28</v>
      </c>
    </row>
    <row r="58" spans="1:6" x14ac:dyDescent="0.25">
      <c r="C58" t="s">
        <v>25</v>
      </c>
    </row>
    <row r="59" spans="1:6" x14ac:dyDescent="0.25">
      <c r="C59" t="s">
        <v>26</v>
      </c>
    </row>
    <row r="61" spans="1:6" x14ac:dyDescent="0.25">
      <c r="B61" t="s">
        <v>27</v>
      </c>
      <c r="C61" s="22">
        <f>'CUADRO DE CARGAS'!L9</f>
        <v>1.3611804076665655</v>
      </c>
      <c r="D61" t="s">
        <v>29</v>
      </c>
      <c r="E61" t="s">
        <v>30</v>
      </c>
    </row>
    <row r="62" spans="1:6" x14ac:dyDescent="0.25">
      <c r="B62" s="23" t="s">
        <v>44</v>
      </c>
      <c r="C62" s="33">
        <f>1.25*C61</f>
        <v>1.7014755095832068</v>
      </c>
      <c r="D62" s="23" t="s">
        <v>29</v>
      </c>
      <c r="E62" t="s">
        <v>51</v>
      </c>
    </row>
    <row r="63" spans="1:6" x14ac:dyDescent="0.25">
      <c r="B63" s="24" t="s">
        <v>31</v>
      </c>
      <c r="C63" s="24">
        <v>6</v>
      </c>
      <c r="D63" s="24" t="s">
        <v>32</v>
      </c>
    </row>
    <row r="64" spans="1:6" x14ac:dyDescent="0.25">
      <c r="A64" t="s">
        <v>52</v>
      </c>
      <c r="E64" t="s">
        <v>114</v>
      </c>
    </row>
    <row r="65" spans="1:6" x14ac:dyDescent="0.25">
      <c r="B65" s="23" t="s">
        <v>36</v>
      </c>
      <c r="C65" s="23">
        <v>20</v>
      </c>
      <c r="D65" s="23" t="s">
        <v>37</v>
      </c>
      <c r="E65" s="32"/>
    </row>
    <row r="66" spans="1:6" x14ac:dyDescent="0.25">
      <c r="A66" t="s">
        <v>53</v>
      </c>
    </row>
    <row r="69" spans="1:6" x14ac:dyDescent="0.25">
      <c r="A69" t="s">
        <v>23</v>
      </c>
    </row>
    <row r="70" spans="1:6" x14ac:dyDescent="0.25">
      <c r="C70" t="s">
        <v>35</v>
      </c>
      <c r="E70">
        <v>1.7999999999999999E-2</v>
      </c>
    </row>
    <row r="71" spans="1:6" x14ac:dyDescent="0.25">
      <c r="C71" t="s">
        <v>34</v>
      </c>
      <c r="D71">
        <f>E70*C65/C63</f>
        <v>0.06</v>
      </c>
    </row>
    <row r="73" spans="1:6" x14ac:dyDescent="0.25">
      <c r="A73" t="s">
        <v>33</v>
      </c>
    </row>
    <row r="75" spans="1:6" x14ac:dyDescent="0.25">
      <c r="B75" s="38">
        <f>1.732*C62*D71*0.9</f>
        <v>0.15913560146029815</v>
      </c>
      <c r="C75" t="s">
        <v>38</v>
      </c>
      <c r="D75" s="24" t="s">
        <v>39</v>
      </c>
    </row>
    <row r="77" spans="1:6" ht="15.75" x14ac:dyDescent="0.25">
      <c r="A77" s="96" t="s">
        <v>102</v>
      </c>
      <c r="B77" s="96"/>
      <c r="C77" s="96"/>
      <c r="D77" s="96"/>
      <c r="E77" s="96"/>
      <c r="F77" s="96"/>
    </row>
    <row r="78" spans="1:6" ht="15.75" x14ac:dyDescent="0.25">
      <c r="A78" s="97" t="s">
        <v>129</v>
      </c>
      <c r="B78" s="97"/>
      <c r="C78" s="97"/>
      <c r="D78" s="97"/>
      <c r="E78" s="97"/>
      <c r="F78" s="97"/>
    </row>
    <row r="79" spans="1:6" x14ac:dyDescent="0.25">
      <c r="A79" t="s">
        <v>22</v>
      </c>
    </row>
    <row r="80" spans="1:6" x14ac:dyDescent="0.25">
      <c r="C80" t="s">
        <v>23</v>
      </c>
    </row>
    <row r="81" spans="1:5" x14ac:dyDescent="0.25">
      <c r="C81" t="s">
        <v>24</v>
      </c>
    </row>
    <row r="82" spans="1:5" x14ac:dyDescent="0.25">
      <c r="C82" t="s">
        <v>28</v>
      </c>
    </row>
    <row r="83" spans="1:5" x14ac:dyDescent="0.25">
      <c r="C83" t="s">
        <v>25</v>
      </c>
    </row>
    <row r="84" spans="1:5" x14ac:dyDescent="0.25">
      <c r="C84" t="s">
        <v>26</v>
      </c>
    </row>
    <row r="86" spans="1:5" x14ac:dyDescent="0.25">
      <c r="B86" t="s">
        <v>27</v>
      </c>
      <c r="C86" s="22">
        <f>'CUADRO DE CARGAS'!L10</f>
        <v>1.3611804076665655</v>
      </c>
      <c r="D86" t="s">
        <v>29</v>
      </c>
      <c r="E86" t="s">
        <v>30</v>
      </c>
    </row>
    <row r="87" spans="1:5" x14ac:dyDescent="0.25">
      <c r="B87" s="23" t="s">
        <v>44</v>
      </c>
      <c r="C87" s="33">
        <f>1.25*C86</f>
        <v>1.7014755095832068</v>
      </c>
      <c r="D87" s="23" t="s">
        <v>29</v>
      </c>
      <c r="E87" t="s">
        <v>51</v>
      </c>
    </row>
    <row r="88" spans="1:5" x14ac:dyDescent="0.25">
      <c r="B88" s="24" t="s">
        <v>31</v>
      </c>
      <c r="C88" s="24">
        <v>6</v>
      </c>
      <c r="D88" s="24" t="s">
        <v>32</v>
      </c>
    </row>
    <row r="89" spans="1:5" x14ac:dyDescent="0.25">
      <c r="A89" t="s">
        <v>52</v>
      </c>
      <c r="E89" t="s">
        <v>114</v>
      </c>
    </row>
    <row r="90" spans="1:5" x14ac:dyDescent="0.25">
      <c r="B90" s="23" t="s">
        <v>36</v>
      </c>
      <c r="C90" s="23">
        <v>20</v>
      </c>
      <c r="D90" s="23" t="s">
        <v>37</v>
      </c>
      <c r="E90" s="32"/>
    </row>
    <row r="91" spans="1:5" x14ac:dyDescent="0.25">
      <c r="A91" t="s">
        <v>53</v>
      </c>
    </row>
    <row r="94" spans="1:5" x14ac:dyDescent="0.25">
      <c r="A94" t="s">
        <v>23</v>
      </c>
    </row>
    <row r="95" spans="1:5" x14ac:dyDescent="0.25">
      <c r="C95" t="s">
        <v>35</v>
      </c>
      <c r="E95">
        <v>1.7999999999999999E-2</v>
      </c>
    </row>
    <row r="96" spans="1:5" x14ac:dyDescent="0.25">
      <c r="C96" t="s">
        <v>34</v>
      </c>
      <c r="D96">
        <f>E95*C90/C88</f>
        <v>0.06</v>
      </c>
    </row>
    <row r="98" spans="1:6" x14ac:dyDescent="0.25">
      <c r="A98" t="s">
        <v>33</v>
      </c>
    </row>
    <row r="100" spans="1:6" x14ac:dyDescent="0.25">
      <c r="B100" s="38">
        <f>1.732*C87*D96*0.9</f>
        <v>0.15913560146029815</v>
      </c>
      <c r="C100" t="s">
        <v>38</v>
      </c>
      <c r="D100" s="24" t="s">
        <v>39</v>
      </c>
    </row>
    <row r="102" spans="1:6" ht="15.75" x14ac:dyDescent="0.25">
      <c r="A102" s="96" t="s">
        <v>103</v>
      </c>
      <c r="B102" s="96"/>
      <c r="C102" s="96"/>
      <c r="D102" s="96"/>
      <c r="E102" s="96"/>
      <c r="F102" s="96"/>
    </row>
    <row r="103" spans="1:6" ht="15.75" x14ac:dyDescent="0.25">
      <c r="A103" s="97" t="s">
        <v>130</v>
      </c>
      <c r="B103" s="97"/>
      <c r="C103" s="97"/>
      <c r="D103" s="97"/>
      <c r="E103" s="97"/>
      <c r="F103" s="97"/>
    </row>
    <row r="104" spans="1:6" x14ac:dyDescent="0.25">
      <c r="A104" t="s">
        <v>22</v>
      </c>
    </row>
    <row r="105" spans="1:6" x14ac:dyDescent="0.25">
      <c r="C105" t="s">
        <v>23</v>
      </c>
    </row>
    <row r="106" spans="1:6" x14ac:dyDescent="0.25">
      <c r="C106" t="s">
        <v>24</v>
      </c>
    </row>
    <row r="107" spans="1:6" x14ac:dyDescent="0.25">
      <c r="C107" t="s">
        <v>28</v>
      </c>
    </row>
    <row r="108" spans="1:6" x14ac:dyDescent="0.25">
      <c r="C108" t="s">
        <v>25</v>
      </c>
    </row>
    <row r="109" spans="1:6" x14ac:dyDescent="0.25">
      <c r="C109" t="s">
        <v>26</v>
      </c>
    </row>
    <row r="111" spans="1:6" x14ac:dyDescent="0.25">
      <c r="B111" t="s">
        <v>27</v>
      </c>
      <c r="C111" s="22">
        <f>'CUADRO DE CARGAS'!L11</f>
        <v>1.3611804076665655</v>
      </c>
      <c r="D111" t="s">
        <v>29</v>
      </c>
      <c r="E111" t="s">
        <v>30</v>
      </c>
    </row>
    <row r="112" spans="1:6" x14ac:dyDescent="0.25">
      <c r="B112" s="23" t="s">
        <v>44</v>
      </c>
      <c r="C112" s="33">
        <f>1.25*C111</f>
        <v>1.7014755095832068</v>
      </c>
      <c r="D112" s="23" t="s">
        <v>29</v>
      </c>
      <c r="E112" t="s">
        <v>51</v>
      </c>
    </row>
    <row r="113" spans="1:6" x14ac:dyDescent="0.25">
      <c r="B113" s="24" t="s">
        <v>31</v>
      </c>
      <c r="C113" s="24">
        <v>6</v>
      </c>
      <c r="D113" s="24" t="s">
        <v>32</v>
      </c>
    </row>
    <row r="114" spans="1:6" x14ac:dyDescent="0.25">
      <c r="A114" t="s">
        <v>52</v>
      </c>
      <c r="E114" t="s">
        <v>114</v>
      </c>
    </row>
    <row r="115" spans="1:6" x14ac:dyDescent="0.25">
      <c r="B115" s="23" t="s">
        <v>36</v>
      </c>
      <c r="C115" s="23">
        <v>20</v>
      </c>
      <c r="D115" s="23" t="s">
        <v>37</v>
      </c>
      <c r="E115" s="32"/>
    </row>
    <row r="116" spans="1:6" x14ac:dyDescent="0.25">
      <c r="A116" t="s">
        <v>53</v>
      </c>
    </row>
    <row r="119" spans="1:6" x14ac:dyDescent="0.25">
      <c r="A119" t="s">
        <v>23</v>
      </c>
    </row>
    <row r="120" spans="1:6" x14ac:dyDescent="0.25">
      <c r="C120" t="s">
        <v>35</v>
      </c>
      <c r="E120">
        <v>1.7999999999999999E-2</v>
      </c>
    </row>
    <row r="121" spans="1:6" x14ac:dyDescent="0.25">
      <c r="C121" t="s">
        <v>34</v>
      </c>
      <c r="D121">
        <f>E120*C115/C113</f>
        <v>0.06</v>
      </c>
    </row>
    <row r="123" spans="1:6" x14ac:dyDescent="0.25">
      <c r="A123" t="s">
        <v>33</v>
      </c>
    </row>
    <row r="125" spans="1:6" x14ac:dyDescent="0.25">
      <c r="B125" s="38">
        <f>1.732*C112*D121*0.9</f>
        <v>0.15913560146029815</v>
      </c>
      <c r="C125" t="s">
        <v>38</v>
      </c>
      <c r="D125" s="24" t="s">
        <v>39</v>
      </c>
    </row>
    <row r="127" spans="1:6" ht="15.75" x14ac:dyDescent="0.25">
      <c r="A127" s="96" t="s">
        <v>108</v>
      </c>
      <c r="B127" s="96"/>
      <c r="C127" s="96"/>
      <c r="D127" s="96"/>
      <c r="E127" s="96"/>
      <c r="F127" s="96"/>
    </row>
    <row r="128" spans="1:6" ht="15.75" x14ac:dyDescent="0.25">
      <c r="A128" s="97" t="s">
        <v>212</v>
      </c>
      <c r="B128" s="97"/>
      <c r="C128" s="97"/>
      <c r="D128" s="97"/>
      <c r="E128" s="97"/>
      <c r="F128" s="97"/>
    </row>
    <row r="129" spans="1:5" x14ac:dyDescent="0.25">
      <c r="A129" t="s">
        <v>22</v>
      </c>
    </row>
    <row r="130" spans="1:5" x14ac:dyDescent="0.25">
      <c r="C130" t="s">
        <v>23</v>
      </c>
    </row>
    <row r="131" spans="1:5" x14ac:dyDescent="0.25">
      <c r="C131" t="s">
        <v>24</v>
      </c>
    </row>
    <row r="132" spans="1:5" x14ac:dyDescent="0.25">
      <c r="C132" t="s">
        <v>28</v>
      </c>
    </row>
    <row r="133" spans="1:5" x14ac:dyDescent="0.25">
      <c r="C133" t="s">
        <v>25</v>
      </c>
    </row>
    <row r="134" spans="1:5" x14ac:dyDescent="0.25">
      <c r="C134" t="s">
        <v>26</v>
      </c>
    </row>
    <row r="136" spans="1:5" x14ac:dyDescent="0.25">
      <c r="B136" t="s">
        <v>27</v>
      </c>
      <c r="C136" s="22">
        <f>'CUADRO DE CARGAS'!L12</f>
        <v>22.686340127776088</v>
      </c>
      <c r="D136" t="s">
        <v>29</v>
      </c>
      <c r="E136" t="s">
        <v>30</v>
      </c>
    </row>
    <row r="137" spans="1:5" x14ac:dyDescent="0.25">
      <c r="B137" s="23" t="s">
        <v>44</v>
      </c>
      <c r="C137" s="33">
        <f>1.25*C136</f>
        <v>28.357925159720111</v>
      </c>
      <c r="D137" s="23" t="s">
        <v>29</v>
      </c>
      <c r="E137" t="s">
        <v>51</v>
      </c>
    </row>
    <row r="138" spans="1:5" x14ac:dyDescent="0.25">
      <c r="B138" s="24" t="s">
        <v>31</v>
      </c>
      <c r="C138" s="24">
        <v>10</v>
      </c>
      <c r="D138" s="24" t="s">
        <v>32</v>
      </c>
    </row>
    <row r="139" spans="1:5" x14ac:dyDescent="0.25">
      <c r="A139" t="s">
        <v>52</v>
      </c>
      <c r="E139" t="s">
        <v>114</v>
      </c>
    </row>
    <row r="140" spans="1:5" x14ac:dyDescent="0.25">
      <c r="B140" s="23" t="s">
        <v>36</v>
      </c>
      <c r="C140" s="23">
        <v>20</v>
      </c>
      <c r="D140" s="23" t="s">
        <v>37</v>
      </c>
      <c r="E140" s="32"/>
    </row>
    <row r="141" spans="1:5" x14ac:dyDescent="0.25">
      <c r="A141" t="s">
        <v>53</v>
      </c>
    </row>
    <row r="144" spans="1:5" x14ac:dyDescent="0.25">
      <c r="A144" t="s">
        <v>23</v>
      </c>
    </row>
    <row r="145" spans="1:6" x14ac:dyDescent="0.25">
      <c r="C145" t="s">
        <v>35</v>
      </c>
      <c r="E145">
        <v>1.7999999999999999E-2</v>
      </c>
    </row>
    <row r="146" spans="1:6" x14ac:dyDescent="0.25">
      <c r="C146" t="s">
        <v>34</v>
      </c>
      <c r="D146">
        <f>E145*C140/C138</f>
        <v>3.5999999999999997E-2</v>
      </c>
    </row>
    <row r="148" spans="1:6" x14ac:dyDescent="0.25">
      <c r="A148" t="s">
        <v>33</v>
      </c>
    </row>
    <row r="150" spans="1:6" x14ac:dyDescent="0.25">
      <c r="B150" s="38">
        <f>1.732*C137*D146*0.9</f>
        <v>1.5913560146029813</v>
      </c>
      <c r="C150" t="s">
        <v>38</v>
      </c>
      <c r="D150" s="24" t="s">
        <v>39</v>
      </c>
    </row>
    <row r="152" spans="1:6" ht="15.75" x14ac:dyDescent="0.25">
      <c r="A152" s="96" t="s">
        <v>109</v>
      </c>
      <c r="B152" s="96"/>
      <c r="C152" s="96"/>
      <c r="D152" s="96"/>
      <c r="E152" s="96"/>
      <c r="F152" s="96"/>
    </row>
    <row r="153" spans="1:6" ht="15.75" x14ac:dyDescent="0.25">
      <c r="A153" s="97" t="s">
        <v>216</v>
      </c>
      <c r="B153" s="97"/>
      <c r="C153" s="97"/>
      <c r="D153" s="97"/>
      <c r="E153" s="97"/>
      <c r="F153" s="97"/>
    </row>
    <row r="154" spans="1:6" x14ac:dyDescent="0.25">
      <c r="A154" t="s">
        <v>22</v>
      </c>
    </row>
    <row r="155" spans="1:6" x14ac:dyDescent="0.25">
      <c r="C155" t="s">
        <v>23</v>
      </c>
    </row>
    <row r="156" spans="1:6" x14ac:dyDescent="0.25">
      <c r="C156" t="s">
        <v>24</v>
      </c>
    </row>
    <row r="157" spans="1:6" x14ac:dyDescent="0.25">
      <c r="C157" t="s">
        <v>28</v>
      </c>
    </row>
    <row r="158" spans="1:6" x14ac:dyDescent="0.25">
      <c r="C158" t="s">
        <v>25</v>
      </c>
    </row>
    <row r="159" spans="1:6" x14ac:dyDescent="0.25">
      <c r="C159" t="s">
        <v>26</v>
      </c>
    </row>
    <row r="161" spans="1:5" x14ac:dyDescent="0.25">
      <c r="B161" t="s">
        <v>27</v>
      </c>
      <c r="C161" s="22">
        <f>'CUADRO DE CARGAS'!L13</f>
        <v>1.1636363636363636</v>
      </c>
      <c r="D161" t="s">
        <v>29</v>
      </c>
      <c r="E161" t="s">
        <v>30</v>
      </c>
    </row>
    <row r="162" spans="1:5" x14ac:dyDescent="0.25">
      <c r="B162" s="23" t="s">
        <v>44</v>
      </c>
      <c r="C162" s="33">
        <f>1.25*C161</f>
        <v>1.4545454545454546</v>
      </c>
      <c r="D162" s="23" t="s">
        <v>29</v>
      </c>
      <c r="E162" t="s">
        <v>51</v>
      </c>
    </row>
    <row r="163" spans="1:5" x14ac:dyDescent="0.25">
      <c r="B163" s="24" t="s">
        <v>31</v>
      </c>
      <c r="C163" s="24">
        <v>4</v>
      </c>
      <c r="D163" s="24" t="s">
        <v>32</v>
      </c>
    </row>
    <row r="164" spans="1:5" x14ac:dyDescent="0.25">
      <c r="A164" t="s">
        <v>52</v>
      </c>
    </row>
    <row r="165" spans="1:5" x14ac:dyDescent="0.25">
      <c r="B165" s="23" t="s">
        <v>36</v>
      </c>
      <c r="C165" s="23">
        <v>113</v>
      </c>
      <c r="D165" s="23" t="s">
        <v>37</v>
      </c>
      <c r="E165" s="32"/>
    </row>
    <row r="166" spans="1:5" x14ac:dyDescent="0.25">
      <c r="A166" t="s">
        <v>53</v>
      </c>
    </row>
    <row r="169" spans="1:5" x14ac:dyDescent="0.25">
      <c r="A169" t="s">
        <v>23</v>
      </c>
    </row>
    <row r="170" spans="1:5" x14ac:dyDescent="0.25">
      <c r="C170" t="s">
        <v>35</v>
      </c>
      <c r="E170">
        <v>1.7999999999999999E-2</v>
      </c>
    </row>
    <row r="171" spans="1:5" x14ac:dyDescent="0.25">
      <c r="C171" t="s">
        <v>34</v>
      </c>
      <c r="D171">
        <f>E170*C165/C163</f>
        <v>0.50849999999999995</v>
      </c>
    </row>
    <row r="173" spans="1:5" x14ac:dyDescent="0.25">
      <c r="A173" t="s">
        <v>33</v>
      </c>
    </row>
    <row r="175" spans="1:5" x14ac:dyDescent="0.25">
      <c r="B175" s="38">
        <f>1*C162*D171</f>
        <v>0.73963636363636354</v>
      </c>
      <c r="C175" t="s">
        <v>38</v>
      </c>
      <c r="D175" s="24" t="s">
        <v>39</v>
      </c>
    </row>
    <row r="177" spans="1:6" ht="15.75" x14ac:dyDescent="0.25">
      <c r="A177" s="96" t="s">
        <v>110</v>
      </c>
      <c r="B177" s="96"/>
      <c r="C177" s="96"/>
      <c r="D177" s="96"/>
      <c r="E177" s="96"/>
      <c r="F177" s="96"/>
    </row>
    <row r="178" spans="1:6" ht="15.75" x14ac:dyDescent="0.25">
      <c r="A178" s="97" t="s">
        <v>214</v>
      </c>
      <c r="B178" s="97"/>
      <c r="C178" s="97"/>
      <c r="D178" s="97"/>
      <c r="E178" s="97"/>
      <c r="F178" s="97"/>
    </row>
    <row r="179" spans="1:6" x14ac:dyDescent="0.25">
      <c r="A179" t="s">
        <v>22</v>
      </c>
    </row>
    <row r="180" spans="1:6" x14ac:dyDescent="0.25">
      <c r="C180" t="s">
        <v>23</v>
      </c>
    </row>
    <row r="181" spans="1:6" x14ac:dyDescent="0.25">
      <c r="C181" t="s">
        <v>24</v>
      </c>
    </row>
    <row r="182" spans="1:6" x14ac:dyDescent="0.25">
      <c r="C182" t="s">
        <v>28</v>
      </c>
    </row>
    <row r="183" spans="1:6" x14ac:dyDescent="0.25">
      <c r="C183" t="s">
        <v>25</v>
      </c>
    </row>
    <row r="184" spans="1:6" x14ac:dyDescent="0.25">
      <c r="C184" t="s">
        <v>26</v>
      </c>
    </row>
    <row r="186" spans="1:6" x14ac:dyDescent="0.25">
      <c r="B186" t="s">
        <v>27</v>
      </c>
      <c r="C186" s="22">
        <f>'CUADRO DE CARGAS'!L14</f>
        <v>2.0363636363636362</v>
      </c>
      <c r="D186" t="s">
        <v>29</v>
      </c>
      <c r="E186" t="s">
        <v>30</v>
      </c>
    </row>
    <row r="187" spans="1:6" x14ac:dyDescent="0.25">
      <c r="B187" s="23" t="s">
        <v>44</v>
      </c>
      <c r="C187" s="33">
        <f>1.25*C186</f>
        <v>2.545454545454545</v>
      </c>
      <c r="D187" s="23" t="s">
        <v>29</v>
      </c>
      <c r="E187" t="s">
        <v>51</v>
      </c>
    </row>
    <row r="188" spans="1:6" x14ac:dyDescent="0.25">
      <c r="B188" s="24" t="s">
        <v>31</v>
      </c>
      <c r="C188" s="24">
        <v>4</v>
      </c>
      <c r="D188" s="24" t="s">
        <v>32</v>
      </c>
    </row>
    <row r="189" spans="1:6" x14ac:dyDescent="0.25">
      <c r="A189" t="s">
        <v>52</v>
      </c>
    </row>
    <row r="190" spans="1:6" x14ac:dyDescent="0.25">
      <c r="B190" s="23" t="s">
        <v>36</v>
      </c>
      <c r="C190" s="23">
        <v>95</v>
      </c>
      <c r="D190" s="23" t="s">
        <v>37</v>
      </c>
      <c r="E190" s="32"/>
    </row>
    <row r="191" spans="1:6" x14ac:dyDescent="0.25">
      <c r="A191" t="s">
        <v>53</v>
      </c>
    </row>
    <row r="194" spans="1:6" x14ac:dyDescent="0.25">
      <c r="A194" t="s">
        <v>23</v>
      </c>
    </row>
    <row r="195" spans="1:6" x14ac:dyDescent="0.25">
      <c r="C195" t="s">
        <v>35</v>
      </c>
      <c r="E195">
        <v>1.7999999999999999E-2</v>
      </c>
    </row>
    <row r="196" spans="1:6" x14ac:dyDescent="0.25">
      <c r="C196" t="s">
        <v>34</v>
      </c>
      <c r="D196">
        <f>E195*C190/C188</f>
        <v>0.42749999999999999</v>
      </c>
    </row>
    <row r="198" spans="1:6" x14ac:dyDescent="0.25">
      <c r="A198" t="s">
        <v>33</v>
      </c>
    </row>
    <row r="200" spans="1:6" x14ac:dyDescent="0.25">
      <c r="B200" s="38">
        <f>1*C187*D196</f>
        <v>1.0881818181818179</v>
      </c>
      <c r="C200" t="s">
        <v>38</v>
      </c>
      <c r="D200" s="24" t="s">
        <v>39</v>
      </c>
    </row>
    <row r="202" spans="1:6" ht="15.75" x14ac:dyDescent="0.25">
      <c r="A202" s="95" t="s">
        <v>213</v>
      </c>
      <c r="B202" s="96"/>
      <c r="C202" s="96"/>
      <c r="D202" s="96"/>
      <c r="E202" s="96"/>
      <c r="F202" s="96"/>
    </row>
    <row r="203" spans="1:6" ht="15.75" x14ac:dyDescent="0.25">
      <c r="A203" s="97" t="s">
        <v>214</v>
      </c>
      <c r="B203" s="97"/>
      <c r="C203" s="97"/>
      <c r="D203" s="97"/>
      <c r="E203" s="97"/>
      <c r="F203" s="97"/>
    </row>
    <row r="204" spans="1:6" x14ac:dyDescent="0.25">
      <c r="A204" t="s">
        <v>22</v>
      </c>
    </row>
    <row r="205" spans="1:6" x14ac:dyDescent="0.25">
      <c r="C205" t="s">
        <v>23</v>
      </c>
    </row>
    <row r="206" spans="1:6" x14ac:dyDescent="0.25">
      <c r="C206" t="s">
        <v>24</v>
      </c>
    </row>
    <row r="207" spans="1:6" x14ac:dyDescent="0.25">
      <c r="C207" t="s">
        <v>28</v>
      </c>
    </row>
    <row r="208" spans="1:6" x14ac:dyDescent="0.25">
      <c r="C208" t="s">
        <v>25</v>
      </c>
    </row>
    <row r="209" spans="1:5" x14ac:dyDescent="0.25">
      <c r="C209" t="s">
        <v>26</v>
      </c>
    </row>
    <row r="211" spans="1:5" x14ac:dyDescent="0.25">
      <c r="B211" t="s">
        <v>27</v>
      </c>
      <c r="C211" s="22">
        <f>'CUADRO DE CARGAS'!L15</f>
        <v>2.1818181818181817</v>
      </c>
      <c r="D211" t="s">
        <v>29</v>
      </c>
      <c r="E211" t="s">
        <v>30</v>
      </c>
    </row>
    <row r="212" spans="1:5" x14ac:dyDescent="0.25">
      <c r="B212" s="23" t="s">
        <v>44</v>
      </c>
      <c r="C212" s="33">
        <f>1.25*C211</f>
        <v>2.7272727272727271</v>
      </c>
      <c r="D212" s="23" t="s">
        <v>29</v>
      </c>
      <c r="E212" t="s">
        <v>51</v>
      </c>
    </row>
    <row r="213" spans="1:5" x14ac:dyDescent="0.25">
      <c r="B213" s="24" t="s">
        <v>31</v>
      </c>
      <c r="C213" s="24">
        <v>4</v>
      </c>
      <c r="D213" s="24" t="s">
        <v>32</v>
      </c>
    </row>
    <row r="214" spans="1:5" x14ac:dyDescent="0.25">
      <c r="A214" t="s">
        <v>52</v>
      </c>
    </row>
    <row r="215" spans="1:5" x14ac:dyDescent="0.25">
      <c r="B215" s="23" t="s">
        <v>36</v>
      </c>
      <c r="C215" s="23">
        <v>98</v>
      </c>
      <c r="D215" s="23" t="s">
        <v>37</v>
      </c>
      <c r="E215" s="32"/>
    </row>
    <row r="216" spans="1:5" x14ac:dyDescent="0.25">
      <c r="A216" t="s">
        <v>53</v>
      </c>
    </row>
    <row r="219" spans="1:5" x14ac:dyDescent="0.25">
      <c r="A219" t="s">
        <v>23</v>
      </c>
    </row>
    <row r="220" spans="1:5" x14ac:dyDescent="0.25">
      <c r="C220" t="s">
        <v>35</v>
      </c>
      <c r="E220">
        <v>1.7999999999999999E-2</v>
      </c>
    </row>
    <row r="221" spans="1:5" x14ac:dyDescent="0.25">
      <c r="C221" t="s">
        <v>34</v>
      </c>
      <c r="D221">
        <f>E220*C215/C213</f>
        <v>0.44099999999999995</v>
      </c>
    </row>
    <row r="223" spans="1:5" x14ac:dyDescent="0.25">
      <c r="A223" t="s">
        <v>33</v>
      </c>
    </row>
    <row r="225" spans="1:6" x14ac:dyDescent="0.25">
      <c r="B225" s="38">
        <f>1*C212*D221</f>
        <v>1.2027272727272724</v>
      </c>
      <c r="C225" t="s">
        <v>38</v>
      </c>
      <c r="D225" s="24" t="s">
        <v>39</v>
      </c>
    </row>
    <row r="227" spans="1:6" ht="15.75" x14ac:dyDescent="0.25">
      <c r="A227" s="95" t="s">
        <v>55</v>
      </c>
      <c r="B227" s="96"/>
      <c r="C227" s="96"/>
      <c r="D227" s="96"/>
      <c r="E227" s="96"/>
      <c r="F227" s="96"/>
    </row>
    <row r="228" spans="1:6" ht="15.75" x14ac:dyDescent="0.25">
      <c r="A228" s="96" t="s">
        <v>99</v>
      </c>
      <c r="B228" s="96"/>
      <c r="C228" s="96"/>
      <c r="D228" s="96"/>
      <c r="E228" s="96"/>
      <c r="F228" s="96"/>
    </row>
    <row r="229" spans="1:6" ht="15.75" x14ac:dyDescent="0.25">
      <c r="A229" s="97" t="s">
        <v>136</v>
      </c>
      <c r="B229" s="97"/>
      <c r="C229" s="97"/>
      <c r="D229" s="97"/>
      <c r="E229" s="97"/>
      <c r="F229" s="97"/>
    </row>
    <row r="230" spans="1:6" x14ac:dyDescent="0.25">
      <c r="A230" t="s">
        <v>22</v>
      </c>
    </row>
    <row r="231" spans="1:6" x14ac:dyDescent="0.25">
      <c r="C231" t="s">
        <v>23</v>
      </c>
    </row>
    <row r="232" spans="1:6" x14ac:dyDescent="0.25">
      <c r="C232" t="s">
        <v>24</v>
      </c>
    </row>
    <row r="233" spans="1:6" x14ac:dyDescent="0.25">
      <c r="C233" t="s">
        <v>28</v>
      </c>
    </row>
    <row r="234" spans="1:6" x14ac:dyDescent="0.25">
      <c r="C234" t="s">
        <v>25</v>
      </c>
    </row>
    <row r="235" spans="1:6" x14ac:dyDescent="0.25">
      <c r="C235" t="s">
        <v>26</v>
      </c>
    </row>
    <row r="237" spans="1:6" x14ac:dyDescent="0.25">
      <c r="B237" t="s">
        <v>27</v>
      </c>
      <c r="C237" s="22">
        <f>'CUADRO DE CARGAS'!L17</f>
        <v>11.454545454545455</v>
      </c>
      <c r="D237" t="s">
        <v>29</v>
      </c>
      <c r="E237" t="s">
        <v>30</v>
      </c>
    </row>
    <row r="238" spans="1:6" x14ac:dyDescent="0.25">
      <c r="B238" s="23" t="s">
        <v>44</v>
      </c>
      <c r="C238" s="33">
        <f>1.25*C237</f>
        <v>14.318181818181818</v>
      </c>
      <c r="D238" s="23" t="s">
        <v>29</v>
      </c>
      <c r="E238" t="s">
        <v>51</v>
      </c>
    </row>
    <row r="239" spans="1:6" x14ac:dyDescent="0.25">
      <c r="B239" s="24" t="s">
        <v>31</v>
      </c>
      <c r="C239" s="24">
        <v>4</v>
      </c>
      <c r="D239" s="24" t="s">
        <v>32</v>
      </c>
    </row>
    <row r="240" spans="1:6" x14ac:dyDescent="0.25">
      <c r="A240" t="s">
        <v>52</v>
      </c>
    </row>
    <row r="241" spans="1:6" x14ac:dyDescent="0.25">
      <c r="B241" s="23" t="s">
        <v>36</v>
      </c>
      <c r="C241" s="23">
        <v>50</v>
      </c>
      <c r="D241" s="23" t="s">
        <v>37</v>
      </c>
      <c r="E241" s="32"/>
    </row>
    <row r="242" spans="1:6" x14ac:dyDescent="0.25">
      <c r="A242" t="s">
        <v>53</v>
      </c>
    </row>
    <row r="245" spans="1:6" x14ac:dyDescent="0.25">
      <c r="A245" t="s">
        <v>23</v>
      </c>
    </row>
    <row r="246" spans="1:6" x14ac:dyDescent="0.25">
      <c r="C246" t="s">
        <v>35</v>
      </c>
      <c r="E246">
        <v>1.7999999999999999E-2</v>
      </c>
    </row>
    <row r="247" spans="1:6" x14ac:dyDescent="0.25">
      <c r="C247" t="s">
        <v>34</v>
      </c>
      <c r="D247">
        <f>E246*C241/C239</f>
        <v>0.22499999999999998</v>
      </c>
    </row>
    <row r="249" spans="1:6" x14ac:dyDescent="0.25">
      <c r="A249" t="s">
        <v>33</v>
      </c>
    </row>
    <row r="251" spans="1:6" x14ac:dyDescent="0.25">
      <c r="B251" s="38">
        <f>1*C238*D247</f>
        <v>3.2215909090909087</v>
      </c>
      <c r="C251" t="s">
        <v>38</v>
      </c>
      <c r="D251" s="24" t="s">
        <v>39</v>
      </c>
    </row>
    <row r="253" spans="1:6" ht="15.75" x14ac:dyDescent="0.25">
      <c r="A253" s="96" t="s">
        <v>100</v>
      </c>
      <c r="B253" s="96"/>
      <c r="C253" s="96"/>
      <c r="D253" s="96"/>
      <c r="E253" s="96"/>
      <c r="F253" s="96"/>
    </row>
    <row r="254" spans="1:6" ht="15.75" x14ac:dyDescent="0.25">
      <c r="A254" s="97" t="s">
        <v>137</v>
      </c>
      <c r="B254" s="97"/>
      <c r="C254" s="97"/>
      <c r="D254" s="97"/>
      <c r="E254" s="97"/>
      <c r="F254" s="97"/>
    </row>
    <row r="255" spans="1:6" x14ac:dyDescent="0.25">
      <c r="A255" t="s">
        <v>22</v>
      </c>
    </row>
    <row r="256" spans="1:6" x14ac:dyDescent="0.25">
      <c r="C256" t="s">
        <v>23</v>
      </c>
    </row>
    <row r="257" spans="1:5" x14ac:dyDescent="0.25">
      <c r="C257" t="s">
        <v>24</v>
      </c>
    </row>
    <row r="258" spans="1:5" x14ac:dyDescent="0.25">
      <c r="C258" t="s">
        <v>28</v>
      </c>
    </row>
    <row r="259" spans="1:5" x14ac:dyDescent="0.25">
      <c r="C259" t="s">
        <v>25</v>
      </c>
    </row>
    <row r="260" spans="1:5" x14ac:dyDescent="0.25">
      <c r="C260" t="s">
        <v>26</v>
      </c>
    </row>
    <row r="262" spans="1:5" x14ac:dyDescent="0.25">
      <c r="B262" t="s">
        <v>27</v>
      </c>
      <c r="C262" s="22">
        <f>'CUADRO DE CARGAS'!L18</f>
        <v>11.454545454545455</v>
      </c>
      <c r="D262" t="s">
        <v>29</v>
      </c>
      <c r="E262" t="s">
        <v>30</v>
      </c>
    </row>
    <row r="263" spans="1:5" x14ac:dyDescent="0.25">
      <c r="B263" s="23" t="s">
        <v>44</v>
      </c>
      <c r="C263" s="33">
        <f>1.25*C262</f>
        <v>14.318181818181818</v>
      </c>
      <c r="D263" s="23" t="s">
        <v>29</v>
      </c>
      <c r="E263" t="s">
        <v>51</v>
      </c>
    </row>
    <row r="264" spans="1:5" x14ac:dyDescent="0.25">
      <c r="B264" s="24" t="s">
        <v>31</v>
      </c>
      <c r="C264" s="24">
        <v>4</v>
      </c>
      <c r="D264" s="24" t="s">
        <v>32</v>
      </c>
    </row>
    <row r="265" spans="1:5" x14ac:dyDescent="0.25">
      <c r="A265" t="s">
        <v>52</v>
      </c>
    </row>
    <row r="266" spans="1:5" x14ac:dyDescent="0.25">
      <c r="B266" s="23" t="s">
        <v>36</v>
      </c>
      <c r="C266" s="23">
        <v>69</v>
      </c>
      <c r="D266" s="23" t="s">
        <v>37</v>
      </c>
      <c r="E266" s="32"/>
    </row>
    <row r="267" spans="1:5" x14ac:dyDescent="0.25">
      <c r="A267" t="s">
        <v>53</v>
      </c>
    </row>
    <row r="270" spans="1:5" x14ac:dyDescent="0.25">
      <c r="A270" t="s">
        <v>23</v>
      </c>
    </row>
    <row r="271" spans="1:5" x14ac:dyDescent="0.25">
      <c r="C271" t="s">
        <v>35</v>
      </c>
      <c r="E271">
        <v>1.7999999999999999E-2</v>
      </c>
    </row>
    <row r="272" spans="1:5" x14ac:dyDescent="0.25">
      <c r="C272" t="s">
        <v>34</v>
      </c>
      <c r="D272">
        <f>E271*C266/C264</f>
        <v>0.3105</v>
      </c>
    </row>
    <row r="274" spans="1:6" x14ac:dyDescent="0.25">
      <c r="A274" t="s">
        <v>33</v>
      </c>
    </row>
    <row r="276" spans="1:6" x14ac:dyDescent="0.25">
      <c r="B276" s="38">
        <f>1*C263*D272</f>
        <v>4.445795454545455</v>
      </c>
      <c r="C276" t="s">
        <v>38</v>
      </c>
      <c r="D276" s="24" t="s">
        <v>39</v>
      </c>
    </row>
    <row r="278" spans="1:6" ht="15.75" x14ac:dyDescent="0.25">
      <c r="A278" s="95" t="s">
        <v>104</v>
      </c>
      <c r="B278" s="96"/>
      <c r="C278" s="96"/>
      <c r="D278" s="96"/>
      <c r="E278" s="96"/>
      <c r="F278" s="96"/>
    </row>
    <row r="279" spans="1:6" ht="15.75" x14ac:dyDescent="0.25">
      <c r="A279" s="97" t="s">
        <v>138</v>
      </c>
      <c r="B279" s="97"/>
      <c r="C279" s="97"/>
      <c r="D279" s="97"/>
      <c r="E279" s="97"/>
      <c r="F279" s="97"/>
    </row>
    <row r="280" spans="1:6" x14ac:dyDescent="0.25">
      <c r="A280" t="s">
        <v>22</v>
      </c>
    </row>
    <row r="281" spans="1:6" x14ac:dyDescent="0.25">
      <c r="C281" t="s">
        <v>23</v>
      </c>
    </row>
    <row r="282" spans="1:6" x14ac:dyDescent="0.25">
      <c r="C282" t="s">
        <v>24</v>
      </c>
    </row>
    <row r="283" spans="1:6" x14ac:dyDescent="0.25">
      <c r="C283" t="s">
        <v>28</v>
      </c>
    </row>
    <row r="284" spans="1:6" x14ac:dyDescent="0.25">
      <c r="C284" t="s">
        <v>25</v>
      </c>
    </row>
    <row r="285" spans="1:6" x14ac:dyDescent="0.25">
      <c r="C285" t="s">
        <v>26</v>
      </c>
    </row>
    <row r="287" spans="1:6" x14ac:dyDescent="0.25">
      <c r="B287" t="s">
        <v>27</v>
      </c>
      <c r="C287" s="22">
        <f>'CUADRO DE CARGAS'!L19</f>
        <v>11.454545454545455</v>
      </c>
      <c r="D287" t="s">
        <v>29</v>
      </c>
      <c r="E287" t="s">
        <v>30</v>
      </c>
    </row>
    <row r="288" spans="1:6" x14ac:dyDescent="0.25">
      <c r="B288" s="23" t="s">
        <v>44</v>
      </c>
      <c r="C288" s="33">
        <f>1.25*C287</f>
        <v>14.318181818181818</v>
      </c>
      <c r="D288" s="23" t="s">
        <v>29</v>
      </c>
      <c r="E288" t="s">
        <v>51</v>
      </c>
    </row>
    <row r="289" spans="1:6" x14ac:dyDescent="0.25">
      <c r="B289" s="24" t="s">
        <v>31</v>
      </c>
      <c r="C289" s="24">
        <v>4</v>
      </c>
      <c r="D289" s="24" t="s">
        <v>32</v>
      </c>
    </row>
    <row r="290" spans="1:6" x14ac:dyDescent="0.25">
      <c r="A290" t="s">
        <v>52</v>
      </c>
    </row>
    <row r="291" spans="1:6" x14ac:dyDescent="0.25">
      <c r="B291" s="23" t="s">
        <v>36</v>
      </c>
      <c r="C291" s="23">
        <v>60</v>
      </c>
      <c r="D291" s="23" t="s">
        <v>37</v>
      </c>
      <c r="E291" s="32"/>
    </row>
    <row r="292" spans="1:6" x14ac:dyDescent="0.25">
      <c r="A292" t="s">
        <v>53</v>
      </c>
    </row>
    <row r="295" spans="1:6" x14ac:dyDescent="0.25">
      <c r="A295" t="s">
        <v>23</v>
      </c>
    </row>
    <row r="296" spans="1:6" x14ac:dyDescent="0.25">
      <c r="C296" t="s">
        <v>35</v>
      </c>
      <c r="E296">
        <v>1.7999999999999999E-2</v>
      </c>
    </row>
    <row r="297" spans="1:6" x14ac:dyDescent="0.25">
      <c r="C297" t="s">
        <v>34</v>
      </c>
      <c r="D297">
        <f>E296*C291/C289</f>
        <v>0.26999999999999996</v>
      </c>
    </row>
    <row r="299" spans="1:6" x14ac:dyDescent="0.25">
      <c r="A299" t="s">
        <v>33</v>
      </c>
    </row>
    <row r="301" spans="1:6" x14ac:dyDescent="0.25">
      <c r="B301" s="38">
        <f>1*C288*D297</f>
        <v>3.8659090909090903</v>
      </c>
      <c r="C301" t="s">
        <v>38</v>
      </c>
      <c r="D301" s="24" t="s">
        <v>39</v>
      </c>
    </row>
    <row r="303" spans="1:6" ht="15.75" x14ac:dyDescent="0.25">
      <c r="A303" s="95" t="s">
        <v>105</v>
      </c>
      <c r="B303" s="96"/>
      <c r="C303" s="96"/>
      <c r="D303" s="96"/>
      <c r="E303" s="96"/>
      <c r="F303" s="96"/>
    </row>
    <row r="304" spans="1:6" ht="15.75" x14ac:dyDescent="0.25">
      <c r="A304" s="97" t="s">
        <v>139</v>
      </c>
      <c r="B304" s="97"/>
      <c r="C304" s="97"/>
      <c r="D304" s="97"/>
      <c r="E304" s="97"/>
      <c r="F304" s="97"/>
    </row>
    <row r="305" spans="1:5" x14ac:dyDescent="0.25">
      <c r="A305" t="s">
        <v>22</v>
      </c>
    </row>
    <row r="306" spans="1:5" x14ac:dyDescent="0.25">
      <c r="C306" t="s">
        <v>23</v>
      </c>
    </row>
    <row r="307" spans="1:5" x14ac:dyDescent="0.25">
      <c r="C307" t="s">
        <v>24</v>
      </c>
    </row>
    <row r="308" spans="1:5" x14ac:dyDescent="0.25">
      <c r="C308" t="s">
        <v>28</v>
      </c>
    </row>
    <row r="309" spans="1:5" x14ac:dyDescent="0.25">
      <c r="C309" t="s">
        <v>25</v>
      </c>
    </row>
    <row r="310" spans="1:5" x14ac:dyDescent="0.25">
      <c r="C310" t="s">
        <v>26</v>
      </c>
    </row>
    <row r="312" spans="1:5" x14ac:dyDescent="0.25">
      <c r="B312" t="s">
        <v>27</v>
      </c>
      <c r="C312" s="22">
        <f>'CUADRO DE CARGAS'!L20</f>
        <v>8.9090909090909083</v>
      </c>
      <c r="D312" t="s">
        <v>29</v>
      </c>
      <c r="E312" t="s">
        <v>30</v>
      </c>
    </row>
    <row r="313" spans="1:5" x14ac:dyDescent="0.25">
      <c r="B313" s="23" t="s">
        <v>44</v>
      </c>
      <c r="C313" s="33">
        <f>1.25*C312</f>
        <v>11.136363636363635</v>
      </c>
      <c r="D313" s="23" t="s">
        <v>29</v>
      </c>
      <c r="E313" t="s">
        <v>51</v>
      </c>
    </row>
    <row r="314" spans="1:5" x14ac:dyDescent="0.25">
      <c r="B314" s="24" t="s">
        <v>31</v>
      </c>
      <c r="C314" s="24">
        <v>4</v>
      </c>
      <c r="D314" s="24" t="s">
        <v>32</v>
      </c>
    </row>
    <row r="315" spans="1:5" x14ac:dyDescent="0.25">
      <c r="A315" t="s">
        <v>52</v>
      </c>
    </row>
    <row r="316" spans="1:5" x14ac:dyDescent="0.25">
      <c r="B316" s="23" t="s">
        <v>36</v>
      </c>
      <c r="C316" s="23">
        <v>78</v>
      </c>
      <c r="D316" s="23" t="s">
        <v>37</v>
      </c>
      <c r="E316" s="32"/>
    </row>
    <row r="317" spans="1:5" x14ac:dyDescent="0.25">
      <c r="A317" t="s">
        <v>53</v>
      </c>
    </row>
    <row r="320" spans="1:5" x14ac:dyDescent="0.25">
      <c r="A320" t="s">
        <v>23</v>
      </c>
    </row>
    <row r="321" spans="1:6" x14ac:dyDescent="0.25">
      <c r="C321" t="s">
        <v>35</v>
      </c>
      <c r="E321">
        <v>1.7999999999999999E-2</v>
      </c>
    </row>
    <row r="322" spans="1:6" x14ac:dyDescent="0.25">
      <c r="C322" t="s">
        <v>34</v>
      </c>
      <c r="D322">
        <f>E321*C316/C314</f>
        <v>0.35099999999999998</v>
      </c>
    </row>
    <row r="324" spans="1:6" x14ac:dyDescent="0.25">
      <c r="A324" t="s">
        <v>33</v>
      </c>
    </row>
    <row r="326" spans="1:6" x14ac:dyDescent="0.25">
      <c r="B326" s="38">
        <f>1*C313*D322</f>
        <v>3.9088636363636358</v>
      </c>
      <c r="C326" t="s">
        <v>38</v>
      </c>
      <c r="D326" s="24" t="s">
        <v>39</v>
      </c>
    </row>
    <row r="328" spans="1:6" ht="15.75" x14ac:dyDescent="0.25">
      <c r="A328" s="95" t="s">
        <v>106</v>
      </c>
      <c r="B328" s="96"/>
      <c r="C328" s="96"/>
      <c r="D328" s="96"/>
      <c r="E328" s="96"/>
      <c r="F328" s="96"/>
    </row>
    <row r="329" spans="1:6" ht="15.75" x14ac:dyDescent="0.25">
      <c r="A329" s="97" t="s">
        <v>221</v>
      </c>
      <c r="B329" s="97"/>
      <c r="C329" s="97"/>
      <c r="D329" s="97"/>
      <c r="E329" s="97"/>
      <c r="F329" s="97"/>
    </row>
    <row r="330" spans="1:6" x14ac:dyDescent="0.25">
      <c r="A330" t="s">
        <v>22</v>
      </c>
    </row>
    <row r="331" spans="1:6" x14ac:dyDescent="0.25">
      <c r="C331" t="s">
        <v>23</v>
      </c>
    </row>
    <row r="332" spans="1:6" x14ac:dyDescent="0.25">
      <c r="C332" t="s">
        <v>24</v>
      </c>
    </row>
    <row r="333" spans="1:6" x14ac:dyDescent="0.25">
      <c r="C333" t="s">
        <v>28</v>
      </c>
    </row>
    <row r="334" spans="1:6" x14ac:dyDescent="0.25">
      <c r="C334" t="s">
        <v>25</v>
      </c>
    </row>
    <row r="335" spans="1:6" x14ac:dyDescent="0.25">
      <c r="C335" t="s">
        <v>26</v>
      </c>
    </row>
    <row r="337" spans="1:5" x14ac:dyDescent="0.25">
      <c r="B337" t="s">
        <v>27</v>
      </c>
      <c r="C337" s="22">
        <f>'CUADRO DE CARGAS'!L21</f>
        <v>2.3636363636363638</v>
      </c>
      <c r="D337" t="s">
        <v>29</v>
      </c>
      <c r="E337" t="s">
        <v>30</v>
      </c>
    </row>
    <row r="338" spans="1:5" x14ac:dyDescent="0.25">
      <c r="B338" s="23" t="s">
        <v>44</v>
      </c>
      <c r="C338" s="33">
        <f>1.25*C337</f>
        <v>2.9545454545454546</v>
      </c>
      <c r="D338" s="23" t="s">
        <v>29</v>
      </c>
      <c r="E338" t="s">
        <v>51</v>
      </c>
    </row>
    <row r="339" spans="1:5" x14ac:dyDescent="0.25">
      <c r="B339" s="24" t="s">
        <v>31</v>
      </c>
      <c r="C339" s="24">
        <v>4</v>
      </c>
      <c r="D339" s="24" t="s">
        <v>32</v>
      </c>
    </row>
    <row r="340" spans="1:5" x14ac:dyDescent="0.25">
      <c r="A340" t="s">
        <v>52</v>
      </c>
    </row>
    <row r="341" spans="1:5" x14ac:dyDescent="0.25">
      <c r="B341" s="23" t="s">
        <v>36</v>
      </c>
      <c r="C341" s="23">
        <v>50</v>
      </c>
      <c r="D341" s="23" t="s">
        <v>37</v>
      </c>
      <c r="E341" s="32"/>
    </row>
    <row r="342" spans="1:5" x14ac:dyDescent="0.25">
      <c r="A342" t="s">
        <v>53</v>
      </c>
    </row>
    <row r="345" spans="1:5" x14ac:dyDescent="0.25">
      <c r="A345" t="s">
        <v>23</v>
      </c>
    </row>
    <row r="346" spans="1:5" x14ac:dyDescent="0.25">
      <c r="C346" t="s">
        <v>35</v>
      </c>
      <c r="E346">
        <v>1.7999999999999999E-2</v>
      </c>
    </row>
    <row r="347" spans="1:5" x14ac:dyDescent="0.25">
      <c r="C347" t="s">
        <v>34</v>
      </c>
      <c r="D347">
        <f>E346*C341/C339</f>
        <v>0.22499999999999998</v>
      </c>
    </row>
    <row r="349" spans="1:5" x14ac:dyDescent="0.25">
      <c r="A349" t="s">
        <v>33</v>
      </c>
    </row>
    <row r="351" spans="1:5" x14ac:dyDescent="0.25">
      <c r="B351" s="38">
        <f>1*C338*D347</f>
        <v>0.66477272727272718</v>
      </c>
      <c r="C351" t="s">
        <v>38</v>
      </c>
      <c r="D351" s="24" t="s">
        <v>39</v>
      </c>
    </row>
    <row r="353" spans="1:6" ht="15.75" x14ac:dyDescent="0.25">
      <c r="A353" s="95" t="s">
        <v>222</v>
      </c>
      <c r="B353" s="96"/>
      <c r="C353" s="96"/>
      <c r="D353" s="96"/>
      <c r="E353" s="96"/>
      <c r="F353" s="96"/>
    </row>
    <row r="354" spans="1:6" ht="15.75" x14ac:dyDescent="0.25">
      <c r="A354" s="97" t="s">
        <v>171</v>
      </c>
      <c r="B354" s="97"/>
      <c r="C354" s="97"/>
      <c r="D354" s="97"/>
      <c r="E354" s="97"/>
      <c r="F354" s="97"/>
    </row>
    <row r="355" spans="1:6" x14ac:dyDescent="0.25">
      <c r="A355" t="s">
        <v>22</v>
      </c>
    </row>
    <row r="356" spans="1:6" x14ac:dyDescent="0.25">
      <c r="C356" t="s">
        <v>23</v>
      </c>
    </row>
    <row r="357" spans="1:6" x14ac:dyDescent="0.25">
      <c r="C357" t="s">
        <v>24</v>
      </c>
    </row>
    <row r="358" spans="1:6" x14ac:dyDescent="0.25">
      <c r="C358" t="s">
        <v>28</v>
      </c>
    </row>
    <row r="359" spans="1:6" x14ac:dyDescent="0.25">
      <c r="C359" t="s">
        <v>25</v>
      </c>
    </row>
    <row r="360" spans="1:6" x14ac:dyDescent="0.25">
      <c r="C360" t="s">
        <v>26</v>
      </c>
    </row>
    <row r="362" spans="1:6" x14ac:dyDescent="0.25">
      <c r="B362" t="s">
        <v>27</v>
      </c>
      <c r="C362" s="22">
        <f>'CUADRO DE CARGAS'!L22</f>
        <v>2.8636363636363638</v>
      </c>
      <c r="D362" t="s">
        <v>29</v>
      </c>
      <c r="E362" t="s">
        <v>30</v>
      </c>
    </row>
    <row r="363" spans="1:6" x14ac:dyDescent="0.25">
      <c r="B363" s="23" t="s">
        <v>44</v>
      </c>
      <c r="C363" s="33">
        <f>1.25*C362</f>
        <v>3.5795454545454546</v>
      </c>
      <c r="D363" s="23" t="s">
        <v>29</v>
      </c>
      <c r="E363" t="s">
        <v>51</v>
      </c>
    </row>
    <row r="364" spans="1:6" x14ac:dyDescent="0.25">
      <c r="B364" s="24" t="s">
        <v>31</v>
      </c>
      <c r="C364" s="24">
        <v>2.5</v>
      </c>
      <c r="D364" s="24" t="s">
        <v>32</v>
      </c>
    </row>
    <row r="365" spans="1:6" x14ac:dyDescent="0.25">
      <c r="A365" t="s">
        <v>52</v>
      </c>
    </row>
    <row r="366" spans="1:6" x14ac:dyDescent="0.25">
      <c r="B366" s="23" t="s">
        <v>36</v>
      </c>
      <c r="C366" s="23">
        <v>70</v>
      </c>
      <c r="D366" s="23" t="s">
        <v>37</v>
      </c>
      <c r="E366" s="32"/>
    </row>
    <row r="367" spans="1:6" x14ac:dyDescent="0.25">
      <c r="A367" t="s">
        <v>53</v>
      </c>
    </row>
    <row r="370" spans="1:6" x14ac:dyDescent="0.25">
      <c r="A370" t="s">
        <v>23</v>
      </c>
    </row>
    <row r="371" spans="1:6" x14ac:dyDescent="0.25">
      <c r="C371" t="s">
        <v>35</v>
      </c>
      <c r="E371">
        <v>1.7999999999999999E-2</v>
      </c>
    </row>
    <row r="372" spans="1:6" x14ac:dyDescent="0.25">
      <c r="C372" t="s">
        <v>34</v>
      </c>
      <c r="D372">
        <f>E371*C366/C364</f>
        <v>0.504</v>
      </c>
    </row>
    <row r="374" spans="1:6" x14ac:dyDescent="0.25">
      <c r="A374" t="s">
        <v>33</v>
      </c>
    </row>
    <row r="376" spans="1:6" x14ac:dyDescent="0.25">
      <c r="B376" s="38">
        <f>1*C363*D372</f>
        <v>1.8040909090909092</v>
      </c>
      <c r="C376" t="s">
        <v>38</v>
      </c>
      <c r="D376" s="24" t="s">
        <v>39</v>
      </c>
    </row>
    <row r="378" spans="1:6" ht="15.75" x14ac:dyDescent="0.25">
      <c r="A378" s="95"/>
      <c r="B378" s="96"/>
      <c r="C378" s="96"/>
      <c r="D378" s="96"/>
      <c r="E378" s="96"/>
      <c r="F378" s="96"/>
    </row>
    <row r="379" spans="1:6" ht="15.75" x14ac:dyDescent="0.25">
      <c r="A379" s="96" t="s">
        <v>109</v>
      </c>
      <c r="B379" s="96"/>
      <c r="C379" s="96"/>
      <c r="D379" s="96"/>
      <c r="E379" s="96"/>
      <c r="F379" s="96"/>
    </row>
    <row r="380" spans="1:6" ht="15.75" x14ac:dyDescent="0.25">
      <c r="A380" s="97" t="s">
        <v>172</v>
      </c>
      <c r="B380" s="97"/>
      <c r="C380" s="97"/>
      <c r="D380" s="97"/>
      <c r="E380" s="97"/>
      <c r="F380" s="97"/>
    </row>
    <row r="381" spans="1:6" x14ac:dyDescent="0.25">
      <c r="A381" t="s">
        <v>22</v>
      </c>
    </row>
    <row r="382" spans="1:6" x14ac:dyDescent="0.25">
      <c r="C382" t="s">
        <v>23</v>
      </c>
    </row>
    <row r="383" spans="1:6" x14ac:dyDescent="0.25">
      <c r="C383" t="s">
        <v>24</v>
      </c>
    </row>
    <row r="384" spans="1:6" x14ac:dyDescent="0.25">
      <c r="C384" t="s">
        <v>28</v>
      </c>
    </row>
    <row r="385" spans="1:5" x14ac:dyDescent="0.25">
      <c r="C385" t="s">
        <v>25</v>
      </c>
    </row>
    <row r="386" spans="1:5" x14ac:dyDescent="0.25">
      <c r="C386" t="s">
        <v>26</v>
      </c>
    </row>
    <row r="388" spans="1:5" x14ac:dyDescent="0.25">
      <c r="B388" t="s">
        <v>27</v>
      </c>
      <c r="C388" s="22">
        <f>'CUADRO DE CARGAS'!L23</f>
        <v>3.418181818181818</v>
      </c>
      <c r="D388" t="s">
        <v>29</v>
      </c>
      <c r="E388" t="s">
        <v>30</v>
      </c>
    </row>
    <row r="389" spans="1:5" x14ac:dyDescent="0.25">
      <c r="B389" s="23" t="s">
        <v>44</v>
      </c>
      <c r="C389" s="33">
        <f>1.25*C388</f>
        <v>4.2727272727272725</v>
      </c>
      <c r="D389" s="23" t="s">
        <v>29</v>
      </c>
      <c r="E389" t="s">
        <v>51</v>
      </c>
    </row>
    <row r="390" spans="1:5" x14ac:dyDescent="0.25">
      <c r="B390" s="24" t="s">
        <v>31</v>
      </c>
      <c r="C390" s="24">
        <v>2.5</v>
      </c>
      <c r="D390" s="24" t="s">
        <v>32</v>
      </c>
    </row>
    <row r="391" spans="1:5" x14ac:dyDescent="0.25">
      <c r="A391" t="s">
        <v>52</v>
      </c>
    </row>
    <row r="392" spans="1:5" x14ac:dyDescent="0.25">
      <c r="B392" s="23" t="s">
        <v>36</v>
      </c>
      <c r="C392" s="23">
        <v>70</v>
      </c>
      <c r="D392" s="23" t="s">
        <v>37</v>
      </c>
      <c r="E392" s="32"/>
    </row>
    <row r="393" spans="1:5" x14ac:dyDescent="0.25">
      <c r="A393" t="s">
        <v>53</v>
      </c>
    </row>
    <row r="396" spans="1:5" x14ac:dyDescent="0.25">
      <c r="A396" t="s">
        <v>23</v>
      </c>
    </row>
    <row r="397" spans="1:5" x14ac:dyDescent="0.25">
      <c r="C397" t="s">
        <v>35</v>
      </c>
      <c r="E397">
        <v>1.7999999999999999E-2</v>
      </c>
    </row>
    <row r="398" spans="1:5" x14ac:dyDescent="0.25">
      <c r="C398" t="s">
        <v>34</v>
      </c>
      <c r="D398">
        <f>E397*C392/C390</f>
        <v>0.504</v>
      </c>
    </row>
    <row r="400" spans="1:5" x14ac:dyDescent="0.25">
      <c r="A400" t="s">
        <v>33</v>
      </c>
    </row>
    <row r="402" spans="1:6" x14ac:dyDescent="0.25">
      <c r="B402" s="38">
        <f>1*C389*D398</f>
        <v>2.1534545454545455</v>
      </c>
      <c r="C402" t="s">
        <v>38</v>
      </c>
      <c r="D402" s="24" t="s">
        <v>39</v>
      </c>
    </row>
    <row r="404" spans="1:6" ht="15.75" x14ac:dyDescent="0.25">
      <c r="A404" s="96" t="s">
        <v>110</v>
      </c>
      <c r="B404" s="96"/>
      <c r="C404" s="96"/>
      <c r="D404" s="96"/>
      <c r="E404" s="96"/>
      <c r="F404" s="96"/>
    </row>
    <row r="405" spans="1:6" ht="15.75" x14ac:dyDescent="0.25">
      <c r="A405" s="97" t="s">
        <v>178</v>
      </c>
      <c r="B405" s="97"/>
      <c r="C405" s="97"/>
      <c r="D405" s="97"/>
      <c r="E405" s="97"/>
      <c r="F405" s="97"/>
    </row>
    <row r="406" spans="1:6" x14ac:dyDescent="0.25">
      <c r="A406" t="s">
        <v>22</v>
      </c>
    </row>
    <row r="407" spans="1:6" x14ac:dyDescent="0.25">
      <c r="C407" t="s">
        <v>23</v>
      </c>
    </row>
    <row r="408" spans="1:6" x14ac:dyDescent="0.25">
      <c r="C408" t="s">
        <v>24</v>
      </c>
    </row>
    <row r="409" spans="1:6" x14ac:dyDescent="0.25">
      <c r="C409" t="s">
        <v>28</v>
      </c>
    </row>
    <row r="410" spans="1:6" x14ac:dyDescent="0.25">
      <c r="C410" t="s">
        <v>25</v>
      </c>
    </row>
    <row r="411" spans="1:6" x14ac:dyDescent="0.25">
      <c r="C411" t="s">
        <v>26</v>
      </c>
    </row>
    <row r="413" spans="1:6" x14ac:dyDescent="0.25">
      <c r="B413" t="s">
        <v>27</v>
      </c>
      <c r="C413" s="22">
        <f>'CUADRO DE CARGAS'!L24</f>
        <v>2.1</v>
      </c>
      <c r="D413" t="s">
        <v>29</v>
      </c>
      <c r="E413" t="s">
        <v>30</v>
      </c>
    </row>
    <row r="414" spans="1:6" x14ac:dyDescent="0.25">
      <c r="B414" s="23" t="s">
        <v>44</v>
      </c>
      <c r="C414" s="33">
        <f>1.25*C413</f>
        <v>2.625</v>
      </c>
      <c r="D414" s="23" t="s">
        <v>29</v>
      </c>
      <c r="E414" t="s">
        <v>51</v>
      </c>
    </row>
    <row r="415" spans="1:6" x14ac:dyDescent="0.25">
      <c r="B415" s="24" t="s">
        <v>31</v>
      </c>
      <c r="C415" s="24">
        <v>2.5</v>
      </c>
      <c r="D415" s="24" t="s">
        <v>32</v>
      </c>
    </row>
    <row r="416" spans="1:6" x14ac:dyDescent="0.25">
      <c r="A416" t="s">
        <v>52</v>
      </c>
    </row>
    <row r="417" spans="1:6" x14ac:dyDescent="0.25">
      <c r="B417" s="23" t="s">
        <v>36</v>
      </c>
      <c r="C417" s="23">
        <v>45</v>
      </c>
      <c r="D417" s="23" t="s">
        <v>37</v>
      </c>
      <c r="E417" s="32"/>
    </row>
    <row r="418" spans="1:6" x14ac:dyDescent="0.25">
      <c r="A418" t="s">
        <v>53</v>
      </c>
    </row>
    <row r="421" spans="1:6" x14ac:dyDescent="0.25">
      <c r="A421" t="s">
        <v>23</v>
      </c>
    </row>
    <row r="422" spans="1:6" x14ac:dyDescent="0.25">
      <c r="C422" t="s">
        <v>35</v>
      </c>
      <c r="E422">
        <v>1.7999999999999999E-2</v>
      </c>
    </row>
    <row r="423" spans="1:6" x14ac:dyDescent="0.25">
      <c r="C423" t="s">
        <v>34</v>
      </c>
      <c r="D423">
        <f>E422*C417/C415</f>
        <v>0.32399999999999995</v>
      </c>
    </row>
    <row r="425" spans="1:6" x14ac:dyDescent="0.25">
      <c r="A425" t="s">
        <v>33</v>
      </c>
    </row>
    <row r="427" spans="1:6" x14ac:dyDescent="0.25">
      <c r="B427" s="38">
        <f>1*C414*D423</f>
        <v>0.85049999999999992</v>
      </c>
      <c r="C427" t="s">
        <v>38</v>
      </c>
      <c r="D427" s="24" t="s">
        <v>39</v>
      </c>
    </row>
    <row r="429" spans="1:6" ht="15.75" x14ac:dyDescent="0.25">
      <c r="A429" s="96" t="s">
        <v>111</v>
      </c>
      <c r="B429" s="96"/>
      <c r="C429" s="96"/>
      <c r="D429" s="96"/>
      <c r="E429" s="96"/>
      <c r="F429" s="96"/>
    </row>
    <row r="430" spans="1:6" ht="15.75" x14ac:dyDescent="0.25">
      <c r="A430" s="97" t="s">
        <v>173</v>
      </c>
      <c r="B430" s="97"/>
      <c r="C430" s="97"/>
      <c r="D430" s="97"/>
      <c r="E430" s="97"/>
      <c r="F430" s="97"/>
    </row>
    <row r="431" spans="1:6" x14ac:dyDescent="0.25">
      <c r="A431" t="s">
        <v>22</v>
      </c>
    </row>
    <row r="432" spans="1:6" x14ac:dyDescent="0.25">
      <c r="C432" t="s">
        <v>23</v>
      </c>
    </row>
    <row r="433" spans="1:5" x14ac:dyDescent="0.25">
      <c r="C433" t="s">
        <v>24</v>
      </c>
    </row>
    <row r="434" spans="1:5" x14ac:dyDescent="0.25">
      <c r="C434" t="s">
        <v>28</v>
      </c>
    </row>
    <row r="435" spans="1:5" x14ac:dyDescent="0.25">
      <c r="C435" t="s">
        <v>25</v>
      </c>
    </row>
    <row r="436" spans="1:5" x14ac:dyDescent="0.25">
      <c r="C436" t="s">
        <v>26</v>
      </c>
    </row>
    <row r="438" spans="1:5" x14ac:dyDescent="0.25">
      <c r="B438" t="s">
        <v>27</v>
      </c>
      <c r="C438" s="22">
        <f>'CUADRO DE CARGAS'!L25</f>
        <v>0.70909090909090911</v>
      </c>
      <c r="D438" t="s">
        <v>29</v>
      </c>
      <c r="E438" t="s">
        <v>30</v>
      </c>
    </row>
    <row r="439" spans="1:5" x14ac:dyDescent="0.25">
      <c r="B439" s="23" t="s">
        <v>44</v>
      </c>
      <c r="C439" s="33">
        <f>1.25*C438</f>
        <v>0.88636363636363635</v>
      </c>
      <c r="D439" s="23" t="s">
        <v>29</v>
      </c>
      <c r="E439" t="s">
        <v>51</v>
      </c>
    </row>
    <row r="440" spans="1:5" x14ac:dyDescent="0.25">
      <c r="B440" s="24" t="s">
        <v>31</v>
      </c>
      <c r="C440" s="24">
        <v>2.5</v>
      </c>
      <c r="D440" s="24" t="s">
        <v>32</v>
      </c>
    </row>
    <row r="441" spans="1:5" x14ac:dyDescent="0.25">
      <c r="A441" t="s">
        <v>52</v>
      </c>
    </row>
    <row r="442" spans="1:5" x14ac:dyDescent="0.25">
      <c r="B442" s="23" t="s">
        <v>36</v>
      </c>
      <c r="C442" s="23">
        <v>25</v>
      </c>
      <c r="D442" s="23" t="s">
        <v>37</v>
      </c>
      <c r="E442" s="32"/>
    </row>
    <row r="443" spans="1:5" x14ac:dyDescent="0.25">
      <c r="A443" t="s">
        <v>53</v>
      </c>
    </row>
    <row r="446" spans="1:5" x14ac:dyDescent="0.25">
      <c r="A446" t="s">
        <v>23</v>
      </c>
    </row>
    <row r="447" spans="1:5" x14ac:dyDescent="0.25">
      <c r="C447" t="s">
        <v>35</v>
      </c>
      <c r="E447">
        <v>1.7999999999999999E-2</v>
      </c>
    </row>
    <row r="448" spans="1:5" x14ac:dyDescent="0.25">
      <c r="C448" t="s">
        <v>34</v>
      </c>
      <c r="D448">
        <f>E447*C442/C440</f>
        <v>0.18</v>
      </c>
    </row>
    <row r="450" spans="1:6" x14ac:dyDescent="0.25">
      <c r="A450" t="s">
        <v>33</v>
      </c>
    </row>
    <row r="452" spans="1:6" x14ac:dyDescent="0.25">
      <c r="B452" s="38">
        <f>1*C439*D448</f>
        <v>0.15954545454545455</v>
      </c>
      <c r="C452" t="s">
        <v>38</v>
      </c>
      <c r="D452" s="24" t="s">
        <v>39</v>
      </c>
    </row>
    <row r="454" spans="1:6" ht="15.75" x14ac:dyDescent="0.25">
      <c r="A454" s="96" t="s">
        <v>112</v>
      </c>
      <c r="B454" s="96"/>
      <c r="C454" s="96"/>
      <c r="D454" s="96"/>
      <c r="E454" s="96"/>
      <c r="F454" s="96"/>
    </row>
    <row r="455" spans="1:6" ht="15.75" x14ac:dyDescent="0.25">
      <c r="A455" s="97" t="s">
        <v>174</v>
      </c>
      <c r="B455" s="97"/>
      <c r="C455" s="97"/>
      <c r="D455" s="97"/>
      <c r="E455" s="97"/>
      <c r="F455" s="97"/>
    </row>
    <row r="456" spans="1:6" x14ac:dyDescent="0.25">
      <c r="A456" t="s">
        <v>22</v>
      </c>
    </row>
    <row r="457" spans="1:6" x14ac:dyDescent="0.25">
      <c r="C457" t="s">
        <v>23</v>
      </c>
    </row>
    <row r="458" spans="1:6" x14ac:dyDescent="0.25">
      <c r="C458" t="s">
        <v>24</v>
      </c>
    </row>
    <row r="459" spans="1:6" x14ac:dyDescent="0.25">
      <c r="C459" t="s">
        <v>28</v>
      </c>
    </row>
    <row r="460" spans="1:6" x14ac:dyDescent="0.25">
      <c r="C460" t="s">
        <v>25</v>
      </c>
    </row>
    <row r="461" spans="1:6" x14ac:dyDescent="0.25">
      <c r="C461" t="s">
        <v>26</v>
      </c>
    </row>
    <row r="463" spans="1:6" x14ac:dyDescent="0.25">
      <c r="B463" t="s">
        <v>27</v>
      </c>
      <c r="C463" s="22">
        <f>'CUADRO DE CARGAS'!L26</f>
        <v>2.25</v>
      </c>
      <c r="D463" t="s">
        <v>29</v>
      </c>
      <c r="E463" t="s">
        <v>30</v>
      </c>
    </row>
    <row r="464" spans="1:6" x14ac:dyDescent="0.25">
      <c r="B464" s="23" t="s">
        <v>44</v>
      </c>
      <c r="C464" s="33">
        <f>1.25*C463</f>
        <v>2.8125</v>
      </c>
      <c r="D464" s="23" t="s">
        <v>29</v>
      </c>
      <c r="E464" t="s">
        <v>51</v>
      </c>
    </row>
    <row r="465" spans="1:6" x14ac:dyDescent="0.25">
      <c r="B465" s="24" t="s">
        <v>31</v>
      </c>
      <c r="C465" s="24">
        <v>2.5</v>
      </c>
      <c r="D465" s="24" t="s">
        <v>32</v>
      </c>
    </row>
    <row r="466" spans="1:6" x14ac:dyDescent="0.25">
      <c r="A466" t="s">
        <v>52</v>
      </c>
    </row>
    <row r="467" spans="1:6" x14ac:dyDescent="0.25">
      <c r="B467" s="23" t="s">
        <v>36</v>
      </c>
      <c r="C467" s="23">
        <v>90</v>
      </c>
      <c r="D467" s="23" t="s">
        <v>37</v>
      </c>
      <c r="E467" s="32"/>
    </row>
    <row r="468" spans="1:6" x14ac:dyDescent="0.25">
      <c r="A468" t="s">
        <v>53</v>
      </c>
    </row>
    <row r="471" spans="1:6" x14ac:dyDescent="0.25">
      <c r="A471" t="s">
        <v>23</v>
      </c>
    </row>
    <row r="472" spans="1:6" x14ac:dyDescent="0.25">
      <c r="C472" t="s">
        <v>35</v>
      </c>
      <c r="E472">
        <v>1.7999999999999999E-2</v>
      </c>
    </row>
    <row r="473" spans="1:6" x14ac:dyDescent="0.25">
      <c r="C473" t="s">
        <v>34</v>
      </c>
      <c r="D473">
        <f>E472*C467/C465</f>
        <v>0.64799999999999991</v>
      </c>
    </row>
    <row r="475" spans="1:6" x14ac:dyDescent="0.25">
      <c r="A475" t="s">
        <v>33</v>
      </c>
    </row>
    <row r="477" spans="1:6" x14ac:dyDescent="0.25">
      <c r="B477" s="38">
        <f>1*C464*D473</f>
        <v>1.8224999999999998</v>
      </c>
      <c r="C477" t="s">
        <v>38</v>
      </c>
      <c r="D477" s="24" t="s">
        <v>39</v>
      </c>
    </row>
    <row r="479" spans="1:6" ht="15.75" x14ac:dyDescent="0.25">
      <c r="A479" s="96" t="s">
        <v>167</v>
      </c>
      <c r="B479" s="96"/>
      <c r="C479" s="96"/>
      <c r="D479" s="96"/>
      <c r="E479" s="96"/>
      <c r="F479" s="96"/>
    </row>
    <row r="480" spans="1:6" ht="15.75" x14ac:dyDescent="0.25">
      <c r="A480" s="97" t="s">
        <v>175</v>
      </c>
      <c r="B480" s="97"/>
      <c r="C480" s="97"/>
      <c r="D480" s="97"/>
      <c r="E480" s="97"/>
      <c r="F480" s="97"/>
    </row>
    <row r="481" spans="1:5" x14ac:dyDescent="0.25">
      <c r="A481" t="s">
        <v>22</v>
      </c>
    </row>
    <row r="482" spans="1:5" x14ac:dyDescent="0.25">
      <c r="C482" t="s">
        <v>23</v>
      </c>
    </row>
    <row r="483" spans="1:5" x14ac:dyDescent="0.25">
      <c r="C483" t="s">
        <v>24</v>
      </c>
    </row>
    <row r="484" spans="1:5" x14ac:dyDescent="0.25">
      <c r="C484" t="s">
        <v>28</v>
      </c>
    </row>
    <row r="485" spans="1:5" x14ac:dyDescent="0.25">
      <c r="C485" t="s">
        <v>25</v>
      </c>
    </row>
    <row r="486" spans="1:5" x14ac:dyDescent="0.25">
      <c r="C486" t="s">
        <v>26</v>
      </c>
    </row>
    <row r="488" spans="1:5" x14ac:dyDescent="0.25">
      <c r="B488" t="s">
        <v>27</v>
      </c>
      <c r="C488" s="22">
        <f>'CUADRO DE CARGAS'!L27</f>
        <v>1.8409090909090908</v>
      </c>
      <c r="D488" t="s">
        <v>29</v>
      </c>
      <c r="E488" t="s">
        <v>30</v>
      </c>
    </row>
    <row r="489" spans="1:5" x14ac:dyDescent="0.25">
      <c r="B489" s="23" t="s">
        <v>44</v>
      </c>
      <c r="C489" s="33">
        <f>1.25*C488</f>
        <v>2.3011363636363633</v>
      </c>
      <c r="D489" s="23" t="s">
        <v>29</v>
      </c>
      <c r="E489" t="s">
        <v>51</v>
      </c>
    </row>
    <row r="490" spans="1:5" x14ac:dyDescent="0.25">
      <c r="B490" s="24" t="s">
        <v>31</v>
      </c>
      <c r="C490" s="24">
        <v>2.5</v>
      </c>
      <c r="D490" s="24" t="s">
        <v>32</v>
      </c>
    </row>
    <row r="491" spans="1:5" x14ac:dyDescent="0.25">
      <c r="A491" t="s">
        <v>52</v>
      </c>
    </row>
    <row r="492" spans="1:5" x14ac:dyDescent="0.25">
      <c r="B492" s="23" t="s">
        <v>36</v>
      </c>
      <c r="C492" s="23">
        <v>77</v>
      </c>
      <c r="D492" s="23" t="s">
        <v>37</v>
      </c>
      <c r="E492" s="32"/>
    </row>
    <row r="493" spans="1:5" x14ac:dyDescent="0.25">
      <c r="A493" t="s">
        <v>53</v>
      </c>
    </row>
    <row r="496" spans="1:5" x14ac:dyDescent="0.25">
      <c r="A496" t="s">
        <v>23</v>
      </c>
    </row>
    <row r="497" spans="1:6" x14ac:dyDescent="0.25">
      <c r="C497" t="s">
        <v>35</v>
      </c>
      <c r="E497">
        <v>1.7999999999999999E-2</v>
      </c>
    </row>
    <row r="498" spans="1:6" x14ac:dyDescent="0.25">
      <c r="C498" t="s">
        <v>34</v>
      </c>
      <c r="D498">
        <f>E497*C492/C490</f>
        <v>0.5544</v>
      </c>
    </row>
    <row r="500" spans="1:6" x14ac:dyDescent="0.25">
      <c r="A500" t="s">
        <v>33</v>
      </c>
    </row>
    <row r="502" spans="1:6" x14ac:dyDescent="0.25">
      <c r="B502" s="38">
        <f>1*C489*D498</f>
        <v>1.2757499999999999</v>
      </c>
      <c r="C502" t="s">
        <v>38</v>
      </c>
      <c r="D502" s="24" t="s">
        <v>39</v>
      </c>
    </row>
    <row r="504" spans="1:6" ht="15.75" x14ac:dyDescent="0.25">
      <c r="A504" s="96" t="s">
        <v>168</v>
      </c>
      <c r="B504" s="96"/>
      <c r="C504" s="96"/>
      <c r="D504" s="96"/>
      <c r="E504" s="96"/>
      <c r="F504" s="96"/>
    </row>
    <row r="505" spans="1:6" ht="15.75" x14ac:dyDescent="0.25">
      <c r="A505" s="97" t="s">
        <v>176</v>
      </c>
      <c r="B505" s="97"/>
      <c r="C505" s="97"/>
      <c r="D505" s="97"/>
      <c r="E505" s="97"/>
      <c r="F505" s="97"/>
    </row>
    <row r="506" spans="1:6" x14ac:dyDescent="0.25">
      <c r="A506" t="s">
        <v>22</v>
      </c>
    </row>
    <row r="507" spans="1:6" x14ac:dyDescent="0.25">
      <c r="C507" t="s">
        <v>23</v>
      </c>
    </row>
    <row r="508" spans="1:6" x14ac:dyDescent="0.25">
      <c r="C508" t="s">
        <v>24</v>
      </c>
    </row>
    <row r="509" spans="1:6" x14ac:dyDescent="0.25">
      <c r="C509" t="s">
        <v>28</v>
      </c>
    </row>
    <row r="510" spans="1:6" x14ac:dyDescent="0.25">
      <c r="C510" t="s">
        <v>25</v>
      </c>
    </row>
    <row r="511" spans="1:6" x14ac:dyDescent="0.25">
      <c r="C511" t="s">
        <v>26</v>
      </c>
    </row>
    <row r="513" spans="1:5" x14ac:dyDescent="0.25">
      <c r="B513" t="s">
        <v>27</v>
      </c>
      <c r="C513" s="22">
        <f>'CUADRO DE CARGAS'!L28</f>
        <v>2.290909090909091</v>
      </c>
      <c r="D513" t="s">
        <v>29</v>
      </c>
      <c r="E513" t="s">
        <v>30</v>
      </c>
    </row>
    <row r="514" spans="1:5" x14ac:dyDescent="0.25">
      <c r="B514" s="23" t="s">
        <v>44</v>
      </c>
      <c r="C514" s="33">
        <f>1.25*C513</f>
        <v>2.8636363636363638</v>
      </c>
      <c r="D514" s="23" t="s">
        <v>29</v>
      </c>
      <c r="E514" t="s">
        <v>51</v>
      </c>
    </row>
    <row r="515" spans="1:5" x14ac:dyDescent="0.25">
      <c r="B515" s="24" t="s">
        <v>31</v>
      </c>
      <c r="C515" s="24">
        <v>2.5</v>
      </c>
      <c r="D515" s="24" t="s">
        <v>32</v>
      </c>
    </row>
    <row r="516" spans="1:5" x14ac:dyDescent="0.25">
      <c r="A516" t="s">
        <v>52</v>
      </c>
    </row>
    <row r="517" spans="1:5" x14ac:dyDescent="0.25">
      <c r="B517" s="23" t="s">
        <v>36</v>
      </c>
      <c r="C517" s="23">
        <v>55</v>
      </c>
      <c r="D517" s="23" t="s">
        <v>37</v>
      </c>
      <c r="E517" s="32"/>
    </row>
    <row r="518" spans="1:5" x14ac:dyDescent="0.25">
      <c r="A518" t="s">
        <v>53</v>
      </c>
    </row>
    <row r="521" spans="1:5" x14ac:dyDescent="0.25">
      <c r="A521" t="s">
        <v>23</v>
      </c>
    </row>
    <row r="522" spans="1:5" x14ac:dyDescent="0.25">
      <c r="C522" t="s">
        <v>35</v>
      </c>
      <c r="E522">
        <v>1.7999999999999999E-2</v>
      </c>
    </row>
    <row r="523" spans="1:5" x14ac:dyDescent="0.25">
      <c r="C523" t="s">
        <v>34</v>
      </c>
      <c r="D523">
        <f>E522*C517/C515</f>
        <v>0.39599999999999996</v>
      </c>
    </row>
    <row r="525" spans="1:5" x14ac:dyDescent="0.25">
      <c r="A525" t="s">
        <v>33</v>
      </c>
    </row>
    <row r="527" spans="1:5" x14ac:dyDescent="0.25">
      <c r="B527" s="38">
        <f>1*C514*D523</f>
        <v>1.1339999999999999</v>
      </c>
      <c r="C527" t="s">
        <v>38</v>
      </c>
      <c r="D527" s="24" t="s">
        <v>39</v>
      </c>
    </row>
    <row r="529" spans="1:6" ht="15.75" x14ac:dyDescent="0.25">
      <c r="A529" s="96" t="s">
        <v>169</v>
      </c>
      <c r="B529" s="96"/>
      <c r="C529" s="96"/>
      <c r="D529" s="96"/>
      <c r="E529" s="96"/>
      <c r="F529" s="96"/>
    </row>
    <row r="530" spans="1:6" ht="15.75" x14ac:dyDescent="0.25">
      <c r="A530" s="97" t="s">
        <v>177</v>
      </c>
      <c r="B530" s="97"/>
      <c r="C530" s="97"/>
      <c r="D530" s="97"/>
      <c r="E530" s="97"/>
      <c r="F530" s="97"/>
    </row>
    <row r="531" spans="1:6" x14ac:dyDescent="0.25">
      <c r="A531" t="s">
        <v>22</v>
      </c>
    </row>
    <row r="532" spans="1:6" x14ac:dyDescent="0.25">
      <c r="C532" t="s">
        <v>23</v>
      </c>
    </row>
    <row r="533" spans="1:6" x14ac:dyDescent="0.25">
      <c r="C533" t="s">
        <v>24</v>
      </c>
    </row>
    <row r="534" spans="1:6" x14ac:dyDescent="0.25">
      <c r="C534" t="s">
        <v>28</v>
      </c>
    </row>
    <row r="535" spans="1:6" x14ac:dyDescent="0.25">
      <c r="C535" t="s">
        <v>25</v>
      </c>
    </row>
    <row r="536" spans="1:6" x14ac:dyDescent="0.25">
      <c r="C536" t="s">
        <v>26</v>
      </c>
    </row>
    <row r="538" spans="1:6" x14ac:dyDescent="0.25">
      <c r="B538" t="s">
        <v>27</v>
      </c>
      <c r="C538" s="22">
        <f>'CUADRO DE CARGAS'!L29</f>
        <v>3.2045454545454546</v>
      </c>
      <c r="D538" t="s">
        <v>29</v>
      </c>
      <c r="E538" t="s">
        <v>30</v>
      </c>
    </row>
    <row r="539" spans="1:6" x14ac:dyDescent="0.25">
      <c r="B539" s="23" t="s">
        <v>44</v>
      </c>
      <c r="C539" s="33">
        <f>1.25*C538</f>
        <v>4.0056818181818183</v>
      </c>
      <c r="D539" s="23" t="s">
        <v>29</v>
      </c>
      <c r="E539" t="s">
        <v>51</v>
      </c>
    </row>
    <row r="540" spans="1:6" x14ac:dyDescent="0.25">
      <c r="B540" s="24" t="s">
        <v>31</v>
      </c>
      <c r="C540" s="24">
        <v>2.5</v>
      </c>
      <c r="D540" s="24" t="s">
        <v>32</v>
      </c>
    </row>
    <row r="541" spans="1:6" x14ac:dyDescent="0.25">
      <c r="A541" t="s">
        <v>52</v>
      </c>
    </row>
    <row r="542" spans="1:6" x14ac:dyDescent="0.25">
      <c r="B542" s="23" t="s">
        <v>36</v>
      </c>
      <c r="C542" s="23">
        <v>97</v>
      </c>
      <c r="D542" s="23" t="s">
        <v>37</v>
      </c>
      <c r="E542" s="32"/>
    </row>
    <row r="543" spans="1:6" x14ac:dyDescent="0.25">
      <c r="A543" t="s">
        <v>53</v>
      </c>
    </row>
    <row r="546" spans="1:6" x14ac:dyDescent="0.25">
      <c r="A546" t="s">
        <v>23</v>
      </c>
    </row>
    <row r="547" spans="1:6" x14ac:dyDescent="0.25">
      <c r="C547" t="s">
        <v>35</v>
      </c>
      <c r="E547">
        <v>1.7999999999999999E-2</v>
      </c>
    </row>
    <row r="548" spans="1:6" x14ac:dyDescent="0.25">
      <c r="C548" t="s">
        <v>34</v>
      </c>
      <c r="D548">
        <f>E547*C542/C540</f>
        <v>0.69839999999999991</v>
      </c>
    </row>
    <row r="550" spans="1:6" x14ac:dyDescent="0.25">
      <c r="A550" t="s">
        <v>33</v>
      </c>
    </row>
    <row r="552" spans="1:6" x14ac:dyDescent="0.25">
      <c r="B552" s="38">
        <f>1*C539*D548</f>
        <v>2.7975681818181815</v>
      </c>
      <c r="C552" t="s">
        <v>38</v>
      </c>
      <c r="D552" s="24" t="s">
        <v>39</v>
      </c>
    </row>
    <row r="554" spans="1:6" ht="15.75" x14ac:dyDescent="0.25">
      <c r="A554" s="96" t="s">
        <v>223</v>
      </c>
      <c r="B554" s="96"/>
      <c r="C554" s="96"/>
      <c r="D554" s="96"/>
      <c r="E554" s="96"/>
      <c r="F554" s="96"/>
    </row>
    <row r="555" spans="1:6" ht="15.75" x14ac:dyDescent="0.25">
      <c r="A555" s="97" t="s">
        <v>171</v>
      </c>
      <c r="B555" s="97"/>
      <c r="C555" s="97"/>
      <c r="D555" s="97"/>
      <c r="E555" s="97"/>
      <c r="F555" s="97"/>
    </row>
    <row r="556" spans="1:6" x14ac:dyDescent="0.25">
      <c r="A556" t="s">
        <v>22</v>
      </c>
    </row>
    <row r="557" spans="1:6" x14ac:dyDescent="0.25">
      <c r="C557" t="s">
        <v>23</v>
      </c>
    </row>
    <row r="558" spans="1:6" x14ac:dyDescent="0.25">
      <c r="C558" t="s">
        <v>24</v>
      </c>
    </row>
    <row r="559" spans="1:6" x14ac:dyDescent="0.25">
      <c r="C559" t="s">
        <v>28</v>
      </c>
    </row>
    <row r="560" spans="1:6" x14ac:dyDescent="0.25">
      <c r="C560" t="s">
        <v>25</v>
      </c>
    </row>
    <row r="561" spans="1:5" x14ac:dyDescent="0.25">
      <c r="C561" t="s">
        <v>26</v>
      </c>
    </row>
    <row r="563" spans="1:5" x14ac:dyDescent="0.25">
      <c r="B563" t="s">
        <v>27</v>
      </c>
      <c r="C563" s="22">
        <f>'CUADRO DE CARGAS'!L30</f>
        <v>2.8636363636363638</v>
      </c>
      <c r="D563" t="s">
        <v>29</v>
      </c>
      <c r="E563" t="s">
        <v>30</v>
      </c>
    </row>
    <row r="564" spans="1:5" x14ac:dyDescent="0.25">
      <c r="B564" s="23" t="s">
        <v>44</v>
      </c>
      <c r="C564" s="33">
        <f>1.25*C563</f>
        <v>3.5795454545454546</v>
      </c>
      <c r="D564" s="23" t="s">
        <v>29</v>
      </c>
      <c r="E564" t="s">
        <v>51</v>
      </c>
    </row>
    <row r="565" spans="1:5" x14ac:dyDescent="0.25">
      <c r="B565" s="24" t="s">
        <v>31</v>
      </c>
      <c r="C565" s="24">
        <v>2.5</v>
      </c>
      <c r="D565" s="24" t="s">
        <v>32</v>
      </c>
    </row>
    <row r="566" spans="1:5" x14ac:dyDescent="0.25">
      <c r="A566" t="s">
        <v>52</v>
      </c>
    </row>
    <row r="567" spans="1:5" x14ac:dyDescent="0.25">
      <c r="B567" s="23" t="s">
        <v>36</v>
      </c>
      <c r="C567" s="23">
        <v>82</v>
      </c>
      <c r="D567" s="23" t="s">
        <v>37</v>
      </c>
      <c r="E567" s="32"/>
    </row>
    <row r="568" spans="1:5" x14ac:dyDescent="0.25">
      <c r="A568" t="s">
        <v>53</v>
      </c>
    </row>
    <row r="571" spans="1:5" x14ac:dyDescent="0.25">
      <c r="A571" t="s">
        <v>23</v>
      </c>
    </row>
    <row r="572" spans="1:5" x14ac:dyDescent="0.25">
      <c r="C572" t="s">
        <v>35</v>
      </c>
      <c r="E572">
        <v>1.7999999999999999E-2</v>
      </c>
    </row>
    <row r="573" spans="1:5" x14ac:dyDescent="0.25">
      <c r="C573" t="s">
        <v>34</v>
      </c>
      <c r="D573">
        <f>E572*C567/C565</f>
        <v>0.59040000000000004</v>
      </c>
    </row>
    <row r="575" spans="1:5" x14ac:dyDescent="0.25">
      <c r="A575" t="s">
        <v>33</v>
      </c>
    </row>
    <row r="577" spans="1:6" x14ac:dyDescent="0.25">
      <c r="B577" s="38">
        <f>1*C564*D573</f>
        <v>2.1133636363636366</v>
      </c>
      <c r="C577" t="s">
        <v>38</v>
      </c>
      <c r="D577" s="24" t="s">
        <v>39</v>
      </c>
    </row>
    <row r="580" spans="1:6" ht="15.75" x14ac:dyDescent="0.25">
      <c r="A580" s="95" t="s">
        <v>54</v>
      </c>
      <c r="B580" s="96"/>
      <c r="C580" s="96"/>
      <c r="D580" s="96"/>
      <c r="E580" s="96"/>
      <c r="F580" s="96"/>
    </row>
    <row r="581" spans="1:6" ht="15.75" x14ac:dyDescent="0.25">
      <c r="A581" s="96" t="s">
        <v>99</v>
      </c>
      <c r="B581" s="96"/>
      <c r="C581" s="96"/>
      <c r="D581" s="96"/>
      <c r="E581" s="96"/>
      <c r="F581" s="96"/>
    </row>
    <row r="582" spans="1:6" ht="15.75" x14ac:dyDescent="0.25">
      <c r="A582" s="97" t="s">
        <v>140</v>
      </c>
      <c r="B582" s="97"/>
      <c r="C582" s="97"/>
      <c r="D582" s="97"/>
      <c r="E582" s="97"/>
      <c r="F582" s="97"/>
    </row>
    <row r="583" spans="1:6" x14ac:dyDescent="0.25">
      <c r="A583" t="s">
        <v>22</v>
      </c>
    </row>
    <row r="584" spans="1:6" x14ac:dyDescent="0.25">
      <c r="C584" t="s">
        <v>23</v>
      </c>
    </row>
    <row r="585" spans="1:6" x14ac:dyDescent="0.25">
      <c r="C585" t="s">
        <v>24</v>
      </c>
    </row>
    <row r="586" spans="1:6" x14ac:dyDescent="0.25">
      <c r="C586" t="s">
        <v>28</v>
      </c>
    </row>
    <row r="587" spans="1:6" x14ac:dyDescent="0.25">
      <c r="C587" t="s">
        <v>25</v>
      </c>
    </row>
    <row r="588" spans="1:6" x14ac:dyDescent="0.25">
      <c r="C588" t="s">
        <v>26</v>
      </c>
    </row>
    <row r="590" spans="1:6" x14ac:dyDescent="0.25">
      <c r="B590" t="s">
        <v>27</v>
      </c>
      <c r="C590" s="22">
        <f>'CUADRO DE CARGAS'!L32</f>
        <v>10.181818181818182</v>
      </c>
      <c r="D590" t="s">
        <v>29</v>
      </c>
      <c r="E590" t="s">
        <v>30</v>
      </c>
    </row>
    <row r="591" spans="1:6" x14ac:dyDescent="0.25">
      <c r="B591" s="23" t="s">
        <v>44</v>
      </c>
      <c r="C591" s="33">
        <f>1.25*C590</f>
        <v>12.727272727272727</v>
      </c>
      <c r="D591" s="23" t="s">
        <v>29</v>
      </c>
      <c r="E591" t="s">
        <v>51</v>
      </c>
    </row>
    <row r="592" spans="1:6" x14ac:dyDescent="0.25">
      <c r="B592" s="24" t="s">
        <v>31</v>
      </c>
      <c r="C592" s="24">
        <v>4</v>
      </c>
      <c r="D592" s="24" t="s">
        <v>32</v>
      </c>
    </row>
    <row r="593" spans="1:6" x14ac:dyDescent="0.25">
      <c r="A593" t="s">
        <v>52</v>
      </c>
    </row>
    <row r="594" spans="1:6" x14ac:dyDescent="0.25">
      <c r="B594" s="23" t="s">
        <v>36</v>
      </c>
      <c r="C594" s="23">
        <v>31</v>
      </c>
      <c r="D594" s="23" t="s">
        <v>37</v>
      </c>
      <c r="E594" s="32"/>
    </row>
    <row r="595" spans="1:6" x14ac:dyDescent="0.25">
      <c r="A595" t="s">
        <v>53</v>
      </c>
    </row>
    <row r="598" spans="1:6" x14ac:dyDescent="0.25">
      <c r="A598" t="s">
        <v>23</v>
      </c>
    </row>
    <row r="599" spans="1:6" x14ac:dyDescent="0.25">
      <c r="C599" t="s">
        <v>35</v>
      </c>
      <c r="E599">
        <v>1.7999999999999999E-2</v>
      </c>
    </row>
    <row r="600" spans="1:6" x14ac:dyDescent="0.25">
      <c r="C600" t="s">
        <v>34</v>
      </c>
      <c r="D600">
        <f>E599*C594/C592</f>
        <v>0.13949999999999999</v>
      </c>
    </row>
    <row r="602" spans="1:6" x14ac:dyDescent="0.25">
      <c r="A602" t="s">
        <v>33</v>
      </c>
    </row>
    <row r="604" spans="1:6" x14ac:dyDescent="0.25">
      <c r="B604" s="38">
        <f>1*C591*D600</f>
        <v>1.7754545454545452</v>
      </c>
      <c r="C604" t="s">
        <v>38</v>
      </c>
      <c r="D604" s="24" t="s">
        <v>39</v>
      </c>
    </row>
    <row r="606" spans="1:6" ht="15.75" x14ac:dyDescent="0.25">
      <c r="A606" s="96" t="s">
        <v>100</v>
      </c>
      <c r="B606" s="96"/>
      <c r="C606" s="96"/>
      <c r="D606" s="96"/>
      <c r="E606" s="96"/>
      <c r="F606" s="96"/>
    </row>
    <row r="607" spans="1:6" ht="15.75" x14ac:dyDescent="0.25">
      <c r="A607" s="97" t="s">
        <v>141</v>
      </c>
      <c r="B607" s="97"/>
      <c r="C607" s="97"/>
      <c r="D607" s="97"/>
      <c r="E607" s="97"/>
      <c r="F607" s="97"/>
    </row>
    <row r="608" spans="1:6" x14ac:dyDescent="0.25">
      <c r="A608" t="s">
        <v>22</v>
      </c>
    </row>
    <row r="609" spans="1:5" x14ac:dyDescent="0.25">
      <c r="C609" t="s">
        <v>23</v>
      </c>
    </row>
    <row r="610" spans="1:5" x14ac:dyDescent="0.25">
      <c r="C610" t="s">
        <v>24</v>
      </c>
    </row>
    <row r="611" spans="1:5" x14ac:dyDescent="0.25">
      <c r="C611" t="s">
        <v>28</v>
      </c>
    </row>
    <row r="612" spans="1:5" x14ac:dyDescent="0.25">
      <c r="C612" t="s">
        <v>25</v>
      </c>
    </row>
    <row r="613" spans="1:5" x14ac:dyDescent="0.25">
      <c r="C613" t="s">
        <v>26</v>
      </c>
    </row>
    <row r="615" spans="1:5" x14ac:dyDescent="0.25">
      <c r="B615" t="s">
        <v>27</v>
      </c>
      <c r="C615" s="22">
        <f>'CUADRO DE CARGAS'!L33</f>
        <v>12.727272727272727</v>
      </c>
      <c r="D615" t="s">
        <v>29</v>
      </c>
      <c r="E615" t="s">
        <v>30</v>
      </c>
    </row>
    <row r="616" spans="1:5" x14ac:dyDescent="0.25">
      <c r="B616" s="23" t="s">
        <v>44</v>
      </c>
      <c r="C616" s="33">
        <f>1.25*C615</f>
        <v>15.909090909090908</v>
      </c>
      <c r="D616" s="23" t="s">
        <v>29</v>
      </c>
      <c r="E616" t="s">
        <v>51</v>
      </c>
    </row>
    <row r="617" spans="1:5" x14ac:dyDescent="0.25">
      <c r="B617" s="24" t="s">
        <v>31</v>
      </c>
      <c r="C617" s="24">
        <v>4</v>
      </c>
      <c r="D617" s="24" t="s">
        <v>32</v>
      </c>
    </row>
    <row r="618" spans="1:5" x14ac:dyDescent="0.25">
      <c r="A618" t="s">
        <v>52</v>
      </c>
    </row>
    <row r="619" spans="1:5" x14ac:dyDescent="0.25">
      <c r="B619" s="23" t="s">
        <v>36</v>
      </c>
      <c r="C619" s="23">
        <v>40</v>
      </c>
      <c r="D619" s="23" t="s">
        <v>37</v>
      </c>
      <c r="E619" s="32"/>
    </row>
    <row r="620" spans="1:5" x14ac:dyDescent="0.25">
      <c r="A620" t="s">
        <v>53</v>
      </c>
    </row>
    <row r="623" spans="1:5" x14ac:dyDescent="0.25">
      <c r="A623" t="s">
        <v>23</v>
      </c>
    </row>
    <row r="624" spans="1:5" x14ac:dyDescent="0.25">
      <c r="C624" t="s">
        <v>35</v>
      </c>
      <c r="E624">
        <v>1.7999999999999999E-2</v>
      </c>
    </row>
    <row r="625" spans="1:6" x14ac:dyDescent="0.25">
      <c r="C625" t="s">
        <v>34</v>
      </c>
      <c r="D625">
        <f>E624*C619/C617</f>
        <v>0.18</v>
      </c>
    </row>
    <row r="627" spans="1:6" x14ac:dyDescent="0.25">
      <c r="A627" t="s">
        <v>33</v>
      </c>
    </row>
    <row r="629" spans="1:6" x14ac:dyDescent="0.25">
      <c r="B629" s="38">
        <f>1*C616*D625</f>
        <v>2.8636363636363633</v>
      </c>
      <c r="C629" t="s">
        <v>38</v>
      </c>
      <c r="D629" s="24" t="s">
        <v>39</v>
      </c>
    </row>
    <row r="631" spans="1:6" ht="15.75" x14ac:dyDescent="0.25">
      <c r="A631" s="95" t="s">
        <v>104</v>
      </c>
      <c r="B631" s="96"/>
      <c r="C631" s="96"/>
      <c r="D631" s="96"/>
      <c r="E631" s="96"/>
      <c r="F631" s="96"/>
    </row>
    <row r="632" spans="1:6" ht="15.75" x14ac:dyDescent="0.25">
      <c r="A632" s="97" t="s">
        <v>142</v>
      </c>
      <c r="B632" s="97"/>
      <c r="C632" s="97"/>
      <c r="D632" s="97"/>
      <c r="E632" s="97"/>
      <c r="F632" s="97"/>
    </row>
    <row r="633" spans="1:6" x14ac:dyDescent="0.25">
      <c r="A633" t="s">
        <v>22</v>
      </c>
    </row>
    <row r="634" spans="1:6" x14ac:dyDescent="0.25">
      <c r="C634" t="s">
        <v>23</v>
      </c>
    </row>
    <row r="635" spans="1:6" x14ac:dyDescent="0.25">
      <c r="C635" t="s">
        <v>24</v>
      </c>
    </row>
    <row r="636" spans="1:6" x14ac:dyDescent="0.25">
      <c r="C636" t="s">
        <v>28</v>
      </c>
    </row>
    <row r="637" spans="1:6" x14ac:dyDescent="0.25">
      <c r="C637" t="s">
        <v>25</v>
      </c>
    </row>
    <row r="638" spans="1:6" x14ac:dyDescent="0.25">
      <c r="C638" t="s">
        <v>26</v>
      </c>
    </row>
    <row r="640" spans="1:6" x14ac:dyDescent="0.25">
      <c r="B640" t="s">
        <v>27</v>
      </c>
      <c r="C640" s="22">
        <f>'CUADRO DE CARGAS'!L34</f>
        <v>12.727272727272727</v>
      </c>
      <c r="D640" t="s">
        <v>29</v>
      </c>
      <c r="E640" t="s">
        <v>30</v>
      </c>
    </row>
    <row r="641" spans="1:6" x14ac:dyDescent="0.25">
      <c r="B641" s="23" t="s">
        <v>44</v>
      </c>
      <c r="C641" s="33">
        <f>1.25*C640</f>
        <v>15.909090909090908</v>
      </c>
      <c r="D641" s="23" t="s">
        <v>29</v>
      </c>
      <c r="E641" t="s">
        <v>51</v>
      </c>
    </row>
    <row r="642" spans="1:6" x14ac:dyDescent="0.25">
      <c r="B642" s="24" t="s">
        <v>31</v>
      </c>
      <c r="C642" s="24">
        <v>4</v>
      </c>
      <c r="D642" s="24" t="s">
        <v>32</v>
      </c>
    </row>
    <row r="643" spans="1:6" x14ac:dyDescent="0.25">
      <c r="A643" t="s">
        <v>52</v>
      </c>
    </row>
    <row r="644" spans="1:6" x14ac:dyDescent="0.25">
      <c r="B644" s="23" t="s">
        <v>36</v>
      </c>
      <c r="C644" s="23">
        <v>39</v>
      </c>
      <c r="D644" s="23" t="s">
        <v>37</v>
      </c>
      <c r="E644" s="32"/>
    </row>
    <row r="645" spans="1:6" x14ac:dyDescent="0.25">
      <c r="A645" t="s">
        <v>53</v>
      </c>
    </row>
    <row r="648" spans="1:6" x14ac:dyDescent="0.25">
      <c r="A648" t="s">
        <v>23</v>
      </c>
    </row>
    <row r="649" spans="1:6" x14ac:dyDescent="0.25">
      <c r="C649" t="s">
        <v>35</v>
      </c>
      <c r="E649">
        <v>1.7999999999999999E-2</v>
      </c>
    </row>
    <row r="650" spans="1:6" x14ac:dyDescent="0.25">
      <c r="C650" t="s">
        <v>34</v>
      </c>
      <c r="D650">
        <f>E649*C644/C642</f>
        <v>0.17549999999999999</v>
      </c>
    </row>
    <row r="652" spans="1:6" x14ac:dyDescent="0.25">
      <c r="A652" t="s">
        <v>33</v>
      </c>
    </row>
    <row r="654" spans="1:6" x14ac:dyDescent="0.25">
      <c r="B654" s="38">
        <f>1*C641*D650</f>
        <v>2.7920454545454541</v>
      </c>
      <c r="C654" t="s">
        <v>38</v>
      </c>
      <c r="D654" s="24" t="s">
        <v>39</v>
      </c>
    </row>
    <row r="656" spans="1:6" ht="15.75" x14ac:dyDescent="0.25">
      <c r="A656" s="95" t="s">
        <v>105</v>
      </c>
      <c r="B656" s="96"/>
      <c r="C656" s="96"/>
      <c r="D656" s="96"/>
      <c r="E656" s="96"/>
      <c r="F656" s="96"/>
    </row>
    <row r="657" spans="1:6" ht="15.75" x14ac:dyDescent="0.25">
      <c r="A657" s="97" t="s">
        <v>143</v>
      </c>
      <c r="B657" s="97"/>
      <c r="C657" s="97"/>
      <c r="D657" s="97"/>
      <c r="E657" s="97"/>
      <c r="F657" s="97"/>
    </row>
    <row r="658" spans="1:6" x14ac:dyDescent="0.25">
      <c r="A658" t="s">
        <v>22</v>
      </c>
    </row>
    <row r="659" spans="1:6" x14ac:dyDescent="0.25">
      <c r="C659" t="s">
        <v>23</v>
      </c>
    </row>
    <row r="660" spans="1:6" x14ac:dyDescent="0.25">
      <c r="C660" t="s">
        <v>24</v>
      </c>
    </row>
    <row r="661" spans="1:6" x14ac:dyDescent="0.25">
      <c r="C661" t="s">
        <v>28</v>
      </c>
    </row>
    <row r="662" spans="1:6" x14ac:dyDescent="0.25">
      <c r="C662" t="s">
        <v>25</v>
      </c>
    </row>
    <row r="663" spans="1:6" x14ac:dyDescent="0.25">
      <c r="C663" t="s">
        <v>26</v>
      </c>
    </row>
    <row r="665" spans="1:6" x14ac:dyDescent="0.25">
      <c r="B665" t="s">
        <v>27</v>
      </c>
      <c r="C665" s="22">
        <f>'CUADRO DE CARGAS'!L35</f>
        <v>15.272727272727273</v>
      </c>
      <c r="D665" t="s">
        <v>29</v>
      </c>
      <c r="E665" t="s">
        <v>30</v>
      </c>
    </row>
    <row r="666" spans="1:6" x14ac:dyDescent="0.25">
      <c r="B666" s="23" t="s">
        <v>44</v>
      </c>
      <c r="C666" s="33">
        <f>1.25*C665</f>
        <v>19.090909090909093</v>
      </c>
      <c r="D666" s="23" t="s">
        <v>29</v>
      </c>
      <c r="E666" t="s">
        <v>51</v>
      </c>
    </row>
    <row r="667" spans="1:6" x14ac:dyDescent="0.25">
      <c r="B667" s="24" t="s">
        <v>31</v>
      </c>
      <c r="C667" s="24">
        <v>6</v>
      </c>
      <c r="D667" s="24" t="s">
        <v>32</v>
      </c>
    </row>
    <row r="668" spans="1:6" x14ac:dyDescent="0.25">
      <c r="A668" t="s">
        <v>52</v>
      </c>
    </row>
    <row r="669" spans="1:6" x14ac:dyDescent="0.25">
      <c r="B669" s="23" t="s">
        <v>36</v>
      </c>
      <c r="C669" s="23">
        <v>57</v>
      </c>
      <c r="D669" s="23" t="s">
        <v>37</v>
      </c>
      <c r="E669" s="32"/>
    </row>
    <row r="670" spans="1:6" x14ac:dyDescent="0.25">
      <c r="A670" t="s">
        <v>53</v>
      </c>
    </row>
    <row r="673" spans="1:6" x14ac:dyDescent="0.25">
      <c r="A673" t="s">
        <v>23</v>
      </c>
    </row>
    <row r="674" spans="1:6" x14ac:dyDescent="0.25">
      <c r="C674" t="s">
        <v>35</v>
      </c>
      <c r="E674">
        <v>1.7999999999999999E-2</v>
      </c>
    </row>
    <row r="675" spans="1:6" x14ac:dyDescent="0.25">
      <c r="C675" t="s">
        <v>34</v>
      </c>
      <c r="D675">
        <f>E674*C669/C667</f>
        <v>0.17100000000000001</v>
      </c>
    </row>
    <row r="677" spans="1:6" x14ac:dyDescent="0.25">
      <c r="A677" t="s">
        <v>33</v>
      </c>
    </row>
    <row r="679" spans="1:6" x14ac:dyDescent="0.25">
      <c r="B679" s="38">
        <f>1*C666*D675</f>
        <v>3.2645454545454551</v>
      </c>
      <c r="C679" t="s">
        <v>38</v>
      </c>
      <c r="D679" s="24" t="s">
        <v>39</v>
      </c>
    </row>
    <row r="681" spans="1:6" ht="15.75" x14ac:dyDescent="0.25">
      <c r="A681" s="95" t="s">
        <v>106</v>
      </c>
      <c r="B681" s="96"/>
      <c r="C681" s="96"/>
      <c r="D681" s="96"/>
      <c r="E681" s="96"/>
      <c r="F681" s="96"/>
    </row>
    <row r="682" spans="1:6" ht="15.75" x14ac:dyDescent="0.25">
      <c r="A682" s="97" t="s">
        <v>144</v>
      </c>
      <c r="B682" s="97"/>
      <c r="C682" s="97"/>
      <c r="D682" s="97"/>
      <c r="E682" s="97"/>
      <c r="F682" s="97"/>
    </row>
    <row r="683" spans="1:6" x14ac:dyDescent="0.25">
      <c r="A683" t="s">
        <v>22</v>
      </c>
    </row>
    <row r="684" spans="1:6" x14ac:dyDescent="0.25">
      <c r="C684" t="s">
        <v>23</v>
      </c>
    </row>
    <row r="685" spans="1:6" x14ac:dyDescent="0.25">
      <c r="C685" t="s">
        <v>24</v>
      </c>
    </row>
    <row r="686" spans="1:6" x14ac:dyDescent="0.25">
      <c r="C686" t="s">
        <v>28</v>
      </c>
    </row>
    <row r="687" spans="1:6" x14ac:dyDescent="0.25">
      <c r="C687" t="s">
        <v>25</v>
      </c>
    </row>
    <row r="688" spans="1:6" x14ac:dyDescent="0.25">
      <c r="C688" t="s">
        <v>26</v>
      </c>
    </row>
    <row r="690" spans="1:5" x14ac:dyDescent="0.25">
      <c r="B690" t="s">
        <v>27</v>
      </c>
      <c r="C690" s="22">
        <f>'CUADRO DE CARGAS'!L36</f>
        <v>15.272727272727273</v>
      </c>
      <c r="D690" t="s">
        <v>29</v>
      </c>
      <c r="E690" t="s">
        <v>30</v>
      </c>
    </row>
    <row r="691" spans="1:5" x14ac:dyDescent="0.25">
      <c r="B691" s="23" t="s">
        <v>44</v>
      </c>
      <c r="C691" s="33">
        <f>1.25*C690</f>
        <v>19.090909090909093</v>
      </c>
      <c r="D691" s="23" t="s">
        <v>29</v>
      </c>
      <c r="E691" t="s">
        <v>51</v>
      </c>
    </row>
    <row r="692" spans="1:5" x14ac:dyDescent="0.25">
      <c r="B692" s="24" t="s">
        <v>31</v>
      </c>
      <c r="C692" s="24">
        <v>6</v>
      </c>
      <c r="D692" s="24" t="s">
        <v>32</v>
      </c>
    </row>
    <row r="693" spans="1:5" x14ac:dyDescent="0.25">
      <c r="A693" t="s">
        <v>52</v>
      </c>
    </row>
    <row r="694" spans="1:5" x14ac:dyDescent="0.25">
      <c r="B694" s="23" t="s">
        <v>36</v>
      </c>
      <c r="C694" s="23">
        <v>58</v>
      </c>
      <c r="D694" s="23" t="s">
        <v>37</v>
      </c>
      <c r="E694" s="32"/>
    </row>
    <row r="695" spans="1:5" x14ac:dyDescent="0.25">
      <c r="A695" t="s">
        <v>53</v>
      </c>
    </row>
    <row r="698" spans="1:5" x14ac:dyDescent="0.25">
      <c r="A698" t="s">
        <v>23</v>
      </c>
    </row>
    <row r="699" spans="1:5" x14ac:dyDescent="0.25">
      <c r="C699" t="s">
        <v>35</v>
      </c>
      <c r="E699">
        <v>1.7999999999999999E-2</v>
      </c>
    </row>
    <row r="700" spans="1:5" x14ac:dyDescent="0.25">
      <c r="C700" t="s">
        <v>34</v>
      </c>
      <c r="D700">
        <f>E699*C694/C692</f>
        <v>0.17399999999999996</v>
      </c>
    </row>
    <row r="702" spans="1:5" x14ac:dyDescent="0.25">
      <c r="A702" t="s">
        <v>33</v>
      </c>
    </row>
    <row r="704" spans="1:5" x14ac:dyDescent="0.25">
      <c r="B704" s="38">
        <f>1*C691*D700</f>
        <v>3.3218181818181813</v>
      </c>
      <c r="C704" t="s">
        <v>38</v>
      </c>
      <c r="D704" s="24" t="s">
        <v>39</v>
      </c>
    </row>
    <row r="706" spans="1:6" ht="15.75" x14ac:dyDescent="0.25">
      <c r="A706" s="95"/>
      <c r="B706" s="96"/>
      <c r="C706" s="96"/>
      <c r="D706" s="96"/>
      <c r="E706" s="96"/>
      <c r="F706" s="96"/>
    </row>
    <row r="707" spans="1:6" ht="15.75" x14ac:dyDescent="0.25">
      <c r="A707" s="96" t="s">
        <v>108</v>
      </c>
      <c r="B707" s="96"/>
      <c r="C707" s="96"/>
      <c r="D707" s="96"/>
      <c r="E707" s="96"/>
      <c r="F707" s="96"/>
    </row>
    <row r="708" spans="1:6" ht="15.75" x14ac:dyDescent="0.25">
      <c r="A708" s="97" t="s">
        <v>180</v>
      </c>
      <c r="B708" s="97"/>
      <c r="C708" s="97"/>
      <c r="D708" s="97"/>
      <c r="E708" s="97"/>
      <c r="F708" s="97"/>
    </row>
    <row r="709" spans="1:6" x14ac:dyDescent="0.25">
      <c r="A709" t="s">
        <v>22</v>
      </c>
    </row>
    <row r="710" spans="1:6" x14ac:dyDescent="0.25">
      <c r="C710" t="s">
        <v>23</v>
      </c>
    </row>
    <row r="711" spans="1:6" x14ac:dyDescent="0.25">
      <c r="C711" t="s">
        <v>24</v>
      </c>
    </row>
    <row r="712" spans="1:6" x14ac:dyDescent="0.25">
      <c r="C712" t="s">
        <v>28</v>
      </c>
    </row>
    <row r="713" spans="1:6" x14ac:dyDescent="0.25">
      <c r="C713" t="s">
        <v>25</v>
      </c>
    </row>
    <row r="714" spans="1:6" x14ac:dyDescent="0.25">
      <c r="C714" t="s">
        <v>26</v>
      </c>
    </row>
    <row r="716" spans="1:6" x14ac:dyDescent="0.25">
      <c r="B716" t="s">
        <v>27</v>
      </c>
      <c r="C716" s="22">
        <f>'CUADRO DE CARGAS'!L37</f>
        <v>4.4863636363636363</v>
      </c>
      <c r="D716" t="s">
        <v>29</v>
      </c>
      <c r="E716" t="s">
        <v>30</v>
      </c>
    </row>
    <row r="717" spans="1:6" x14ac:dyDescent="0.25">
      <c r="B717" s="23" t="s">
        <v>44</v>
      </c>
      <c r="C717" s="33">
        <f>1.25*C716</f>
        <v>5.607954545454545</v>
      </c>
      <c r="D717" s="23" t="s">
        <v>29</v>
      </c>
      <c r="E717" t="s">
        <v>51</v>
      </c>
    </row>
    <row r="718" spans="1:6" x14ac:dyDescent="0.25">
      <c r="B718" s="24" t="s">
        <v>31</v>
      </c>
      <c r="C718" s="24">
        <v>2.5</v>
      </c>
      <c r="D718" s="24" t="s">
        <v>32</v>
      </c>
    </row>
    <row r="719" spans="1:6" x14ac:dyDescent="0.25">
      <c r="A719" t="s">
        <v>52</v>
      </c>
    </row>
    <row r="720" spans="1:6" x14ac:dyDescent="0.25">
      <c r="B720" s="23" t="s">
        <v>36</v>
      </c>
      <c r="C720" s="23">
        <v>84</v>
      </c>
      <c r="D720" s="23" t="s">
        <v>37</v>
      </c>
      <c r="E720" s="32"/>
    </row>
    <row r="721" spans="1:6" x14ac:dyDescent="0.25">
      <c r="A721" t="s">
        <v>53</v>
      </c>
    </row>
    <row r="724" spans="1:6" x14ac:dyDescent="0.25">
      <c r="A724" t="s">
        <v>23</v>
      </c>
    </row>
    <row r="725" spans="1:6" x14ac:dyDescent="0.25">
      <c r="C725" t="s">
        <v>35</v>
      </c>
      <c r="E725">
        <v>1.7999999999999999E-2</v>
      </c>
    </row>
    <row r="726" spans="1:6" x14ac:dyDescent="0.25">
      <c r="C726" t="s">
        <v>34</v>
      </c>
      <c r="D726">
        <f>E725*C720/C718</f>
        <v>0.60479999999999989</v>
      </c>
    </row>
    <row r="728" spans="1:6" x14ac:dyDescent="0.25">
      <c r="A728" t="s">
        <v>33</v>
      </c>
    </row>
    <row r="730" spans="1:6" x14ac:dyDescent="0.25">
      <c r="B730" s="38">
        <f>1*C717*D726</f>
        <v>3.391690909090908</v>
      </c>
      <c r="C730" t="s">
        <v>38</v>
      </c>
      <c r="D730" s="24" t="s">
        <v>39</v>
      </c>
    </row>
    <row r="732" spans="1:6" ht="15.75" x14ac:dyDescent="0.25">
      <c r="A732" s="96" t="s">
        <v>109</v>
      </c>
      <c r="B732" s="96"/>
      <c r="C732" s="96"/>
      <c r="D732" s="96"/>
      <c r="E732" s="96"/>
      <c r="F732" s="96"/>
    </row>
    <row r="733" spans="1:6" ht="15.75" x14ac:dyDescent="0.25">
      <c r="A733" s="97" t="s">
        <v>181</v>
      </c>
      <c r="B733" s="97"/>
      <c r="C733" s="97"/>
      <c r="D733" s="97"/>
      <c r="E733" s="97"/>
      <c r="F733" s="97"/>
    </row>
    <row r="734" spans="1:6" x14ac:dyDescent="0.25">
      <c r="A734" t="s">
        <v>22</v>
      </c>
    </row>
    <row r="735" spans="1:6" x14ac:dyDescent="0.25">
      <c r="C735" t="s">
        <v>23</v>
      </c>
    </row>
    <row r="736" spans="1:6" x14ac:dyDescent="0.25">
      <c r="C736" t="s">
        <v>24</v>
      </c>
    </row>
    <row r="737" spans="1:5" x14ac:dyDescent="0.25">
      <c r="C737" t="s">
        <v>28</v>
      </c>
    </row>
    <row r="738" spans="1:5" x14ac:dyDescent="0.25">
      <c r="C738" t="s">
        <v>25</v>
      </c>
    </row>
    <row r="739" spans="1:5" x14ac:dyDescent="0.25">
      <c r="C739" t="s">
        <v>26</v>
      </c>
    </row>
    <row r="741" spans="1:5" x14ac:dyDescent="0.25">
      <c r="B741" t="s">
        <v>27</v>
      </c>
      <c r="C741" s="22">
        <f>'CUADRO DE CARGAS'!L38</f>
        <v>4.0590909090909095</v>
      </c>
      <c r="D741" t="s">
        <v>29</v>
      </c>
      <c r="E741" t="s">
        <v>30</v>
      </c>
    </row>
    <row r="742" spans="1:5" x14ac:dyDescent="0.25">
      <c r="B742" s="23" t="s">
        <v>44</v>
      </c>
      <c r="C742" s="33">
        <f>1.25*C741</f>
        <v>5.0738636363636367</v>
      </c>
      <c r="D742" s="23" t="s">
        <v>29</v>
      </c>
      <c r="E742" t="s">
        <v>51</v>
      </c>
    </row>
    <row r="743" spans="1:5" x14ac:dyDescent="0.25">
      <c r="B743" s="24" t="s">
        <v>31</v>
      </c>
      <c r="C743" s="24">
        <v>2.5</v>
      </c>
      <c r="D743" s="24" t="s">
        <v>32</v>
      </c>
    </row>
    <row r="744" spans="1:5" x14ac:dyDescent="0.25">
      <c r="A744" t="s">
        <v>52</v>
      </c>
    </row>
    <row r="745" spans="1:5" x14ac:dyDescent="0.25">
      <c r="B745" s="23" t="s">
        <v>36</v>
      </c>
      <c r="C745" s="23">
        <v>69</v>
      </c>
      <c r="D745" s="23" t="s">
        <v>37</v>
      </c>
      <c r="E745" s="32"/>
    </row>
    <row r="746" spans="1:5" x14ac:dyDescent="0.25">
      <c r="A746" t="s">
        <v>53</v>
      </c>
    </row>
    <row r="749" spans="1:5" x14ac:dyDescent="0.25">
      <c r="A749" t="s">
        <v>23</v>
      </c>
    </row>
    <row r="750" spans="1:5" x14ac:dyDescent="0.25">
      <c r="C750" t="s">
        <v>35</v>
      </c>
      <c r="E750">
        <v>1.7999999999999999E-2</v>
      </c>
    </row>
    <row r="751" spans="1:5" x14ac:dyDescent="0.25">
      <c r="C751" t="s">
        <v>34</v>
      </c>
      <c r="D751">
        <f>E750*C745/C743</f>
        <v>0.49680000000000002</v>
      </c>
    </row>
    <row r="753" spans="1:6" x14ac:dyDescent="0.25">
      <c r="A753" t="s">
        <v>33</v>
      </c>
    </row>
    <row r="755" spans="1:6" x14ac:dyDescent="0.25">
      <c r="B755" s="38">
        <f>1*C742*D751</f>
        <v>2.520695454545455</v>
      </c>
      <c r="C755" t="s">
        <v>38</v>
      </c>
      <c r="D755" s="24" t="s">
        <v>39</v>
      </c>
    </row>
    <row r="757" spans="1:6" ht="15.75" x14ac:dyDescent="0.25">
      <c r="A757" s="96" t="s">
        <v>110</v>
      </c>
      <c r="B757" s="96"/>
      <c r="C757" s="96"/>
      <c r="D757" s="96"/>
      <c r="E757" s="96"/>
      <c r="F757" s="96"/>
    </row>
    <row r="758" spans="1:6" ht="15.75" x14ac:dyDescent="0.25">
      <c r="A758" s="97" t="s">
        <v>182</v>
      </c>
      <c r="B758" s="97"/>
      <c r="C758" s="97"/>
      <c r="D758" s="97"/>
      <c r="E758" s="97"/>
      <c r="F758" s="97"/>
    </row>
    <row r="759" spans="1:6" x14ac:dyDescent="0.25">
      <c r="A759" t="s">
        <v>22</v>
      </c>
    </row>
    <row r="760" spans="1:6" x14ac:dyDescent="0.25">
      <c r="C760" t="s">
        <v>23</v>
      </c>
    </row>
    <row r="761" spans="1:6" x14ac:dyDescent="0.25">
      <c r="C761" t="s">
        <v>24</v>
      </c>
    </row>
    <row r="762" spans="1:6" x14ac:dyDescent="0.25">
      <c r="C762" t="s">
        <v>28</v>
      </c>
    </row>
    <row r="763" spans="1:6" x14ac:dyDescent="0.25">
      <c r="C763" t="s">
        <v>25</v>
      </c>
    </row>
    <row r="764" spans="1:6" x14ac:dyDescent="0.25">
      <c r="C764" t="s">
        <v>26</v>
      </c>
    </row>
    <row r="766" spans="1:6" x14ac:dyDescent="0.25">
      <c r="B766" t="s">
        <v>27</v>
      </c>
      <c r="C766" s="22">
        <f>'CUADRO DE CARGAS'!L39</f>
        <v>5.7681818181818185</v>
      </c>
      <c r="D766" t="s">
        <v>29</v>
      </c>
      <c r="E766" t="s">
        <v>30</v>
      </c>
    </row>
    <row r="767" spans="1:6" x14ac:dyDescent="0.25">
      <c r="B767" s="23" t="s">
        <v>44</v>
      </c>
      <c r="C767" s="33">
        <f>1.25*C766</f>
        <v>7.2102272727272734</v>
      </c>
      <c r="D767" s="23" t="s">
        <v>29</v>
      </c>
      <c r="E767" t="s">
        <v>51</v>
      </c>
    </row>
    <row r="768" spans="1:6" x14ac:dyDescent="0.25">
      <c r="B768" s="24" t="s">
        <v>31</v>
      </c>
      <c r="C768" s="24">
        <v>4</v>
      </c>
      <c r="D768" s="24" t="s">
        <v>32</v>
      </c>
    </row>
    <row r="769" spans="1:6" x14ac:dyDescent="0.25">
      <c r="A769" t="s">
        <v>52</v>
      </c>
    </row>
    <row r="770" spans="1:6" x14ac:dyDescent="0.25">
      <c r="B770" s="23" t="s">
        <v>36</v>
      </c>
      <c r="C770" s="23">
        <v>120</v>
      </c>
      <c r="D770" s="23" t="s">
        <v>37</v>
      </c>
      <c r="E770" s="32"/>
    </row>
    <row r="771" spans="1:6" x14ac:dyDescent="0.25">
      <c r="A771" t="s">
        <v>53</v>
      </c>
    </row>
    <row r="774" spans="1:6" x14ac:dyDescent="0.25">
      <c r="A774" t="s">
        <v>23</v>
      </c>
    </row>
    <row r="775" spans="1:6" x14ac:dyDescent="0.25">
      <c r="C775" t="s">
        <v>35</v>
      </c>
      <c r="E775">
        <v>1.7999999999999999E-2</v>
      </c>
    </row>
    <row r="776" spans="1:6" x14ac:dyDescent="0.25">
      <c r="C776" t="s">
        <v>34</v>
      </c>
      <c r="D776">
        <f>E775*C770/C768</f>
        <v>0.53999999999999992</v>
      </c>
    </row>
    <row r="778" spans="1:6" x14ac:dyDescent="0.25">
      <c r="A778" t="s">
        <v>33</v>
      </c>
    </row>
    <row r="780" spans="1:6" x14ac:dyDescent="0.25">
      <c r="B780" s="38">
        <f>1*C767*D776</f>
        <v>3.8935227272727269</v>
      </c>
      <c r="C780" t="s">
        <v>38</v>
      </c>
      <c r="D780" s="24" t="s">
        <v>39</v>
      </c>
    </row>
    <row r="782" spans="1:6" ht="15.75" x14ac:dyDescent="0.25">
      <c r="A782" s="95" t="s">
        <v>56</v>
      </c>
      <c r="B782" s="96"/>
      <c r="C782" s="96"/>
      <c r="D782" s="96"/>
      <c r="E782" s="96"/>
      <c r="F782" s="96"/>
    </row>
    <row r="783" spans="1:6" ht="15.75" x14ac:dyDescent="0.25">
      <c r="A783" s="96" t="s">
        <v>99</v>
      </c>
      <c r="B783" s="96"/>
      <c r="C783" s="96"/>
      <c r="D783" s="96"/>
      <c r="E783" s="96"/>
      <c r="F783" s="96"/>
    </row>
    <row r="784" spans="1:6" ht="15.75" x14ac:dyDescent="0.25">
      <c r="A784" s="97" t="s">
        <v>147</v>
      </c>
      <c r="B784" s="97"/>
      <c r="C784" s="97"/>
      <c r="D784" s="97"/>
      <c r="E784" s="97"/>
      <c r="F784" s="97"/>
    </row>
    <row r="785" spans="1:5" x14ac:dyDescent="0.25">
      <c r="A785" t="s">
        <v>22</v>
      </c>
    </row>
    <row r="786" spans="1:5" x14ac:dyDescent="0.25">
      <c r="C786" t="s">
        <v>23</v>
      </c>
    </row>
    <row r="787" spans="1:5" x14ac:dyDescent="0.25">
      <c r="C787" t="s">
        <v>24</v>
      </c>
    </row>
    <row r="788" spans="1:5" x14ac:dyDescent="0.25">
      <c r="C788" t="s">
        <v>28</v>
      </c>
    </row>
    <row r="789" spans="1:5" x14ac:dyDescent="0.25">
      <c r="C789" t="s">
        <v>25</v>
      </c>
    </row>
    <row r="790" spans="1:5" x14ac:dyDescent="0.25">
      <c r="C790" t="s">
        <v>26</v>
      </c>
    </row>
    <row r="792" spans="1:5" x14ac:dyDescent="0.25">
      <c r="B792" t="s">
        <v>27</v>
      </c>
      <c r="C792" s="22">
        <f>'CUADRO DE CARGAS'!L41</f>
        <v>15.272727272727273</v>
      </c>
      <c r="D792" t="s">
        <v>29</v>
      </c>
      <c r="E792" t="s">
        <v>30</v>
      </c>
    </row>
    <row r="793" spans="1:5" x14ac:dyDescent="0.25">
      <c r="B793" s="23" t="s">
        <v>44</v>
      </c>
      <c r="C793" s="33">
        <f>1.25*C792</f>
        <v>19.090909090909093</v>
      </c>
      <c r="D793" s="23" t="s">
        <v>29</v>
      </c>
      <c r="E793" t="s">
        <v>51</v>
      </c>
    </row>
    <row r="794" spans="1:5" x14ac:dyDescent="0.25">
      <c r="B794" s="24" t="s">
        <v>31</v>
      </c>
      <c r="C794" s="24">
        <v>4</v>
      </c>
      <c r="D794" s="24" t="s">
        <v>32</v>
      </c>
    </row>
    <row r="795" spans="1:5" x14ac:dyDescent="0.25">
      <c r="A795" t="s">
        <v>52</v>
      </c>
    </row>
    <row r="796" spans="1:5" x14ac:dyDescent="0.25">
      <c r="B796" s="23" t="s">
        <v>36</v>
      </c>
      <c r="C796" s="23">
        <v>56</v>
      </c>
      <c r="D796" s="23" t="s">
        <v>37</v>
      </c>
      <c r="E796" s="32"/>
    </row>
    <row r="797" spans="1:5" x14ac:dyDescent="0.25">
      <c r="A797" t="s">
        <v>53</v>
      </c>
    </row>
    <row r="800" spans="1:5" x14ac:dyDescent="0.25">
      <c r="A800" t="s">
        <v>23</v>
      </c>
    </row>
    <row r="801" spans="1:6" x14ac:dyDescent="0.25">
      <c r="C801" t="s">
        <v>35</v>
      </c>
      <c r="E801">
        <v>1.7999999999999999E-2</v>
      </c>
    </row>
    <row r="802" spans="1:6" x14ac:dyDescent="0.25">
      <c r="C802" t="s">
        <v>34</v>
      </c>
      <c r="D802">
        <f>E801*C796/C794</f>
        <v>0.252</v>
      </c>
    </row>
    <row r="804" spans="1:6" x14ac:dyDescent="0.25">
      <c r="A804" t="s">
        <v>33</v>
      </c>
    </row>
    <row r="806" spans="1:6" x14ac:dyDescent="0.25">
      <c r="B806" s="38">
        <f>1*C793*D802</f>
        <v>4.8109090909090915</v>
      </c>
      <c r="C806" t="s">
        <v>38</v>
      </c>
      <c r="D806" s="24" t="s">
        <v>39</v>
      </c>
    </row>
    <row r="808" spans="1:6" ht="15.75" x14ac:dyDescent="0.25">
      <c r="A808" s="96" t="s">
        <v>100</v>
      </c>
      <c r="B808" s="96"/>
      <c r="C808" s="96"/>
      <c r="D808" s="96"/>
      <c r="E808" s="96"/>
      <c r="F808" s="96"/>
    </row>
    <row r="809" spans="1:6" ht="15.75" x14ac:dyDescent="0.25">
      <c r="A809" s="97" t="s">
        <v>146</v>
      </c>
      <c r="B809" s="97"/>
      <c r="C809" s="97"/>
      <c r="D809" s="97"/>
      <c r="E809" s="97"/>
      <c r="F809" s="97"/>
    </row>
    <row r="810" spans="1:6" x14ac:dyDescent="0.25">
      <c r="A810" t="s">
        <v>22</v>
      </c>
    </row>
    <row r="811" spans="1:6" x14ac:dyDescent="0.25">
      <c r="C811" t="s">
        <v>23</v>
      </c>
    </row>
    <row r="812" spans="1:6" x14ac:dyDescent="0.25">
      <c r="C812" t="s">
        <v>24</v>
      </c>
    </row>
    <row r="813" spans="1:6" x14ac:dyDescent="0.25">
      <c r="C813" t="s">
        <v>28</v>
      </c>
    </row>
    <row r="814" spans="1:6" x14ac:dyDescent="0.25">
      <c r="C814" t="s">
        <v>25</v>
      </c>
    </row>
    <row r="815" spans="1:6" x14ac:dyDescent="0.25">
      <c r="C815" t="s">
        <v>26</v>
      </c>
    </row>
    <row r="817" spans="1:5" x14ac:dyDescent="0.25">
      <c r="B817" t="s">
        <v>27</v>
      </c>
      <c r="C817" s="22">
        <f>'CUADRO DE CARGAS'!L42</f>
        <v>14</v>
      </c>
      <c r="D817" t="s">
        <v>29</v>
      </c>
      <c r="E817" t="s">
        <v>30</v>
      </c>
    </row>
    <row r="818" spans="1:5" x14ac:dyDescent="0.25">
      <c r="B818" s="23" t="s">
        <v>44</v>
      </c>
      <c r="C818" s="33">
        <f>1.25*C817</f>
        <v>17.5</v>
      </c>
      <c r="D818" s="23" t="s">
        <v>29</v>
      </c>
      <c r="E818" t="s">
        <v>51</v>
      </c>
    </row>
    <row r="819" spans="1:5" x14ac:dyDescent="0.25">
      <c r="B819" s="24" t="s">
        <v>31</v>
      </c>
      <c r="C819" s="24">
        <v>4</v>
      </c>
      <c r="D819" s="24" t="s">
        <v>32</v>
      </c>
    </row>
    <row r="820" spans="1:5" x14ac:dyDescent="0.25">
      <c r="A820" t="s">
        <v>52</v>
      </c>
    </row>
    <row r="821" spans="1:5" x14ac:dyDescent="0.25">
      <c r="B821" s="23" t="s">
        <v>36</v>
      </c>
      <c r="C821" s="23">
        <v>63</v>
      </c>
      <c r="D821" s="23" t="s">
        <v>37</v>
      </c>
      <c r="E821" s="32"/>
    </row>
    <row r="822" spans="1:5" x14ac:dyDescent="0.25">
      <c r="A822" t="s">
        <v>53</v>
      </c>
    </row>
    <row r="825" spans="1:5" x14ac:dyDescent="0.25">
      <c r="A825" t="s">
        <v>23</v>
      </c>
    </row>
    <row r="826" spans="1:5" x14ac:dyDescent="0.25">
      <c r="C826" t="s">
        <v>35</v>
      </c>
      <c r="E826">
        <v>1.7999999999999999E-2</v>
      </c>
    </row>
    <row r="827" spans="1:5" x14ac:dyDescent="0.25">
      <c r="C827" t="s">
        <v>34</v>
      </c>
      <c r="D827">
        <f>E826*C821/C819</f>
        <v>0.28349999999999997</v>
      </c>
    </row>
    <row r="829" spans="1:5" x14ac:dyDescent="0.25">
      <c r="A829" t="s">
        <v>33</v>
      </c>
    </row>
    <row r="831" spans="1:5" x14ac:dyDescent="0.25">
      <c r="B831" s="38">
        <f>1*C818*D827</f>
        <v>4.9612499999999997</v>
      </c>
      <c r="C831" t="s">
        <v>38</v>
      </c>
      <c r="D831" s="24" t="s">
        <v>39</v>
      </c>
    </row>
    <row r="833" spans="1:6" ht="15.75" x14ac:dyDescent="0.25">
      <c r="A833" s="95" t="s">
        <v>104</v>
      </c>
      <c r="B833" s="96"/>
      <c r="C833" s="96"/>
      <c r="D833" s="96"/>
      <c r="E833" s="96"/>
      <c r="F833" s="96"/>
    </row>
    <row r="834" spans="1:6" ht="15.75" x14ac:dyDescent="0.25">
      <c r="A834" s="97" t="s">
        <v>145</v>
      </c>
      <c r="B834" s="97"/>
      <c r="C834" s="97"/>
      <c r="D834" s="97"/>
      <c r="E834" s="97"/>
      <c r="F834" s="97"/>
    </row>
    <row r="835" spans="1:6" x14ac:dyDescent="0.25">
      <c r="A835" t="s">
        <v>22</v>
      </c>
    </row>
    <row r="836" spans="1:6" x14ac:dyDescent="0.25">
      <c r="C836" t="s">
        <v>23</v>
      </c>
    </row>
    <row r="837" spans="1:6" x14ac:dyDescent="0.25">
      <c r="C837" t="s">
        <v>24</v>
      </c>
    </row>
    <row r="838" spans="1:6" x14ac:dyDescent="0.25">
      <c r="C838" t="s">
        <v>28</v>
      </c>
    </row>
    <row r="839" spans="1:6" x14ac:dyDescent="0.25">
      <c r="C839" t="s">
        <v>25</v>
      </c>
    </row>
    <row r="840" spans="1:6" x14ac:dyDescent="0.25">
      <c r="C840" t="s">
        <v>26</v>
      </c>
    </row>
    <row r="842" spans="1:6" x14ac:dyDescent="0.25">
      <c r="B842" t="s">
        <v>27</v>
      </c>
      <c r="C842" s="22">
        <f>'CUADRO DE CARGAS'!L43</f>
        <v>7.6363636363636367</v>
      </c>
      <c r="D842" t="s">
        <v>29</v>
      </c>
      <c r="E842" t="s">
        <v>30</v>
      </c>
    </row>
    <row r="843" spans="1:6" x14ac:dyDescent="0.25">
      <c r="B843" s="23" t="s">
        <v>44</v>
      </c>
      <c r="C843" s="33">
        <f>1.25*C842</f>
        <v>9.5454545454545467</v>
      </c>
      <c r="D843" s="23" t="s">
        <v>29</v>
      </c>
      <c r="E843" t="s">
        <v>51</v>
      </c>
    </row>
    <row r="844" spans="1:6" x14ac:dyDescent="0.25">
      <c r="B844" s="24" t="s">
        <v>31</v>
      </c>
      <c r="C844" s="24">
        <v>4</v>
      </c>
      <c r="D844" s="24" t="s">
        <v>32</v>
      </c>
    </row>
    <row r="845" spans="1:6" x14ac:dyDescent="0.25">
      <c r="A845" t="s">
        <v>52</v>
      </c>
    </row>
    <row r="846" spans="1:6" x14ac:dyDescent="0.25">
      <c r="B846" s="23" t="s">
        <v>36</v>
      </c>
      <c r="C846" s="23">
        <v>25</v>
      </c>
      <c r="D846" s="23" t="s">
        <v>37</v>
      </c>
      <c r="E846" s="32"/>
    </row>
    <row r="847" spans="1:6" x14ac:dyDescent="0.25">
      <c r="A847" t="s">
        <v>53</v>
      </c>
    </row>
    <row r="850" spans="1:6" x14ac:dyDescent="0.25">
      <c r="A850" t="s">
        <v>23</v>
      </c>
    </row>
    <row r="851" spans="1:6" x14ac:dyDescent="0.25">
      <c r="C851" t="s">
        <v>35</v>
      </c>
      <c r="E851">
        <v>1.7999999999999999E-2</v>
      </c>
    </row>
    <row r="852" spans="1:6" x14ac:dyDescent="0.25">
      <c r="C852" t="s">
        <v>34</v>
      </c>
      <c r="D852">
        <f>E851*C846/C844</f>
        <v>0.11249999999999999</v>
      </c>
    </row>
    <row r="854" spans="1:6" x14ac:dyDescent="0.25">
      <c r="A854" t="s">
        <v>33</v>
      </c>
    </row>
    <row r="856" spans="1:6" x14ac:dyDescent="0.25">
      <c r="B856" s="38">
        <f>1*C843*D852</f>
        <v>1.0738636363636365</v>
      </c>
      <c r="C856" t="s">
        <v>38</v>
      </c>
      <c r="D856" s="24" t="s">
        <v>39</v>
      </c>
    </row>
    <row r="858" spans="1:6" ht="15.75" x14ac:dyDescent="0.25">
      <c r="A858" s="95" t="s">
        <v>105</v>
      </c>
      <c r="B858" s="96"/>
      <c r="C858" s="96"/>
      <c r="D858" s="96"/>
      <c r="E858" s="96"/>
      <c r="F858" s="96"/>
    </row>
    <row r="859" spans="1:6" ht="15.75" x14ac:dyDescent="0.25">
      <c r="A859" s="97" t="s">
        <v>173</v>
      </c>
      <c r="B859" s="97"/>
      <c r="C859" s="97"/>
      <c r="D859" s="97"/>
      <c r="E859" s="97"/>
      <c r="F859" s="97"/>
    </row>
    <row r="860" spans="1:6" x14ac:dyDescent="0.25">
      <c r="A860" t="s">
        <v>22</v>
      </c>
    </row>
    <row r="861" spans="1:6" x14ac:dyDescent="0.25">
      <c r="C861" t="s">
        <v>23</v>
      </c>
    </row>
    <row r="862" spans="1:6" x14ac:dyDescent="0.25">
      <c r="C862" t="s">
        <v>24</v>
      </c>
    </row>
    <row r="863" spans="1:6" x14ac:dyDescent="0.25">
      <c r="C863" t="s">
        <v>28</v>
      </c>
    </row>
    <row r="864" spans="1:6" x14ac:dyDescent="0.25">
      <c r="C864" t="s">
        <v>25</v>
      </c>
    </row>
    <row r="865" spans="1:5" x14ac:dyDescent="0.25">
      <c r="C865" t="s">
        <v>26</v>
      </c>
    </row>
    <row r="867" spans="1:5" x14ac:dyDescent="0.25">
      <c r="B867" t="s">
        <v>27</v>
      </c>
      <c r="C867" s="22">
        <f>'CUADRO DE CARGAS'!L44</f>
        <v>1.4772727272727273</v>
      </c>
      <c r="D867" t="s">
        <v>29</v>
      </c>
      <c r="E867" t="s">
        <v>30</v>
      </c>
    </row>
    <row r="868" spans="1:5" x14ac:dyDescent="0.25">
      <c r="B868" s="23" t="s">
        <v>44</v>
      </c>
      <c r="C868" s="33">
        <f>1.25*C867</f>
        <v>1.8465909090909092</v>
      </c>
      <c r="D868" s="23" t="s">
        <v>29</v>
      </c>
      <c r="E868" t="s">
        <v>51</v>
      </c>
    </row>
    <row r="869" spans="1:5" x14ac:dyDescent="0.25">
      <c r="B869" s="24" t="s">
        <v>31</v>
      </c>
      <c r="C869" s="24">
        <v>2.5</v>
      </c>
      <c r="D869" s="24" t="s">
        <v>32</v>
      </c>
    </row>
    <row r="870" spans="1:5" x14ac:dyDescent="0.25">
      <c r="A870" t="s">
        <v>52</v>
      </c>
    </row>
    <row r="871" spans="1:5" x14ac:dyDescent="0.25">
      <c r="B871" s="23" t="s">
        <v>36</v>
      </c>
      <c r="C871" s="23">
        <v>50</v>
      </c>
      <c r="D871" s="23" t="s">
        <v>37</v>
      </c>
      <c r="E871" s="32"/>
    </row>
    <row r="872" spans="1:5" x14ac:dyDescent="0.25">
      <c r="A872" t="s">
        <v>53</v>
      </c>
    </row>
    <row r="875" spans="1:5" x14ac:dyDescent="0.25">
      <c r="A875" t="s">
        <v>23</v>
      </c>
    </row>
    <row r="876" spans="1:5" x14ac:dyDescent="0.25">
      <c r="C876" t="s">
        <v>35</v>
      </c>
      <c r="E876">
        <v>1.7999999999999999E-2</v>
      </c>
    </row>
    <row r="877" spans="1:5" x14ac:dyDescent="0.25">
      <c r="C877" t="s">
        <v>34</v>
      </c>
      <c r="D877">
        <f>E876*C871/C869</f>
        <v>0.36</v>
      </c>
    </row>
    <row r="879" spans="1:5" x14ac:dyDescent="0.25">
      <c r="A879" t="s">
        <v>33</v>
      </c>
    </row>
    <row r="881" spans="1:6" x14ac:dyDescent="0.25">
      <c r="B881" s="38">
        <f>1*C868*D877</f>
        <v>0.66477272727272729</v>
      </c>
      <c r="C881" t="s">
        <v>38</v>
      </c>
      <c r="D881" s="24" t="s">
        <v>39</v>
      </c>
    </row>
    <row r="883" spans="1:6" ht="15.75" x14ac:dyDescent="0.25">
      <c r="A883" s="95" t="s">
        <v>106</v>
      </c>
      <c r="B883" s="96"/>
      <c r="C883" s="96"/>
      <c r="D883" s="96"/>
      <c r="E883" s="96"/>
      <c r="F883" s="96"/>
    </row>
    <row r="884" spans="1:6" ht="15.75" x14ac:dyDescent="0.25">
      <c r="A884" s="97" t="s">
        <v>183</v>
      </c>
      <c r="B884" s="97"/>
      <c r="C884" s="97"/>
      <c r="D884" s="97"/>
      <c r="E884" s="97"/>
      <c r="F884" s="97"/>
    </row>
    <row r="885" spans="1:6" x14ac:dyDescent="0.25">
      <c r="A885" t="s">
        <v>22</v>
      </c>
    </row>
    <row r="886" spans="1:6" x14ac:dyDescent="0.25">
      <c r="C886" t="s">
        <v>23</v>
      </c>
    </row>
    <row r="887" spans="1:6" x14ac:dyDescent="0.25">
      <c r="C887" t="s">
        <v>24</v>
      </c>
    </row>
    <row r="888" spans="1:6" x14ac:dyDescent="0.25">
      <c r="C888" t="s">
        <v>28</v>
      </c>
    </row>
    <row r="889" spans="1:6" x14ac:dyDescent="0.25">
      <c r="C889" t="s">
        <v>25</v>
      </c>
    </row>
    <row r="890" spans="1:6" x14ac:dyDescent="0.25">
      <c r="C890" t="s">
        <v>26</v>
      </c>
    </row>
    <row r="892" spans="1:6" x14ac:dyDescent="0.25">
      <c r="B892" t="s">
        <v>27</v>
      </c>
      <c r="C892" s="22">
        <f>'CUADRO DE CARGAS'!L45</f>
        <v>5.5545454545454547</v>
      </c>
      <c r="D892" t="s">
        <v>29</v>
      </c>
      <c r="E892" t="s">
        <v>30</v>
      </c>
    </row>
    <row r="893" spans="1:6" x14ac:dyDescent="0.25">
      <c r="B893" s="23" t="s">
        <v>44</v>
      </c>
      <c r="C893" s="33">
        <f>1.25*C892</f>
        <v>6.9431818181818183</v>
      </c>
      <c r="D893" s="23" t="s">
        <v>29</v>
      </c>
      <c r="E893" t="s">
        <v>51</v>
      </c>
    </row>
    <row r="894" spans="1:6" x14ac:dyDescent="0.25">
      <c r="B894" s="24" t="s">
        <v>31</v>
      </c>
      <c r="C894" s="24">
        <v>2.5</v>
      </c>
      <c r="D894" s="24" t="s">
        <v>32</v>
      </c>
    </row>
    <row r="895" spans="1:6" x14ac:dyDescent="0.25">
      <c r="A895" t="s">
        <v>52</v>
      </c>
    </row>
    <row r="896" spans="1:6" x14ac:dyDescent="0.25">
      <c r="B896" s="23" t="s">
        <v>36</v>
      </c>
      <c r="C896" s="23">
        <v>104</v>
      </c>
      <c r="D896" s="23" t="s">
        <v>37</v>
      </c>
      <c r="E896" s="32"/>
    </row>
    <row r="897" spans="1:6" x14ac:dyDescent="0.25">
      <c r="A897" t="s">
        <v>53</v>
      </c>
    </row>
    <row r="900" spans="1:6" x14ac:dyDescent="0.25">
      <c r="A900" t="s">
        <v>23</v>
      </c>
    </row>
    <row r="901" spans="1:6" x14ac:dyDescent="0.25">
      <c r="C901" t="s">
        <v>35</v>
      </c>
      <c r="E901">
        <v>1.7999999999999999E-2</v>
      </c>
    </row>
    <row r="902" spans="1:6" x14ac:dyDescent="0.25">
      <c r="C902" t="s">
        <v>34</v>
      </c>
      <c r="D902">
        <f>E901*C896/C894</f>
        <v>0.74879999999999991</v>
      </c>
    </row>
    <row r="904" spans="1:6" x14ac:dyDescent="0.25">
      <c r="A904" t="s">
        <v>33</v>
      </c>
    </row>
    <row r="906" spans="1:6" x14ac:dyDescent="0.25">
      <c r="B906" s="38">
        <f>1*C893*D902</f>
        <v>5.1990545454545449</v>
      </c>
      <c r="C906" t="s">
        <v>38</v>
      </c>
      <c r="D906" s="24" t="s">
        <v>39</v>
      </c>
    </row>
    <row r="908" spans="1:6" ht="15.75" x14ac:dyDescent="0.25">
      <c r="A908" s="95"/>
      <c r="B908" s="96"/>
      <c r="C908" s="96"/>
      <c r="D908" s="96"/>
      <c r="E908" s="96"/>
      <c r="F908" s="96"/>
    </row>
    <row r="909" spans="1:6" ht="15.75" x14ac:dyDescent="0.25">
      <c r="A909" s="96" t="s">
        <v>108</v>
      </c>
      <c r="B909" s="96"/>
      <c r="C909" s="96"/>
      <c r="D909" s="96"/>
      <c r="E909" s="96"/>
      <c r="F909" s="96"/>
    </row>
    <row r="910" spans="1:6" ht="15.75" x14ac:dyDescent="0.25">
      <c r="A910" s="97" t="s">
        <v>184</v>
      </c>
      <c r="B910" s="97"/>
      <c r="C910" s="97"/>
      <c r="D910" s="97"/>
      <c r="E910" s="97"/>
      <c r="F910" s="97"/>
    </row>
    <row r="911" spans="1:6" x14ac:dyDescent="0.25">
      <c r="A911" t="s">
        <v>22</v>
      </c>
    </row>
    <row r="912" spans="1:6" x14ac:dyDescent="0.25">
      <c r="C912" t="s">
        <v>23</v>
      </c>
    </row>
    <row r="913" spans="1:5" x14ac:dyDescent="0.25">
      <c r="C913" t="s">
        <v>24</v>
      </c>
    </row>
    <row r="914" spans="1:5" x14ac:dyDescent="0.25">
      <c r="C914" t="s">
        <v>28</v>
      </c>
    </row>
    <row r="915" spans="1:5" x14ac:dyDescent="0.25">
      <c r="C915" t="s">
        <v>25</v>
      </c>
    </row>
    <row r="916" spans="1:5" x14ac:dyDescent="0.25">
      <c r="C916" t="s">
        <v>26</v>
      </c>
    </row>
    <row r="918" spans="1:5" x14ac:dyDescent="0.25">
      <c r="B918" t="s">
        <v>27</v>
      </c>
      <c r="C918" s="22">
        <f>'CUADRO DE CARGAS'!L46</f>
        <v>2.6590909090909092</v>
      </c>
      <c r="D918" t="s">
        <v>29</v>
      </c>
      <c r="E918" t="s">
        <v>30</v>
      </c>
    </row>
    <row r="919" spans="1:5" x14ac:dyDescent="0.25">
      <c r="B919" s="23" t="s">
        <v>44</v>
      </c>
      <c r="C919" s="33">
        <f>1.25*C918</f>
        <v>3.3238636363636367</v>
      </c>
      <c r="D919" s="23" t="s">
        <v>29</v>
      </c>
      <c r="E919" t="s">
        <v>51</v>
      </c>
    </row>
    <row r="920" spans="1:5" x14ac:dyDescent="0.25">
      <c r="B920" s="24" t="s">
        <v>31</v>
      </c>
      <c r="C920" s="24">
        <v>2.5</v>
      </c>
      <c r="D920" s="24" t="s">
        <v>32</v>
      </c>
    </row>
    <row r="921" spans="1:5" x14ac:dyDescent="0.25">
      <c r="A921" t="s">
        <v>52</v>
      </c>
    </row>
    <row r="922" spans="1:5" x14ac:dyDescent="0.25">
      <c r="B922" s="23" t="s">
        <v>36</v>
      </c>
      <c r="C922" s="23">
        <v>94</v>
      </c>
      <c r="D922" s="23" t="s">
        <v>37</v>
      </c>
      <c r="E922" s="32"/>
    </row>
    <row r="923" spans="1:5" x14ac:dyDescent="0.25">
      <c r="A923" t="s">
        <v>53</v>
      </c>
    </row>
    <row r="926" spans="1:5" x14ac:dyDescent="0.25">
      <c r="A926" t="s">
        <v>23</v>
      </c>
    </row>
    <row r="927" spans="1:5" x14ac:dyDescent="0.25">
      <c r="C927" t="s">
        <v>35</v>
      </c>
      <c r="E927">
        <v>1.7999999999999999E-2</v>
      </c>
    </row>
    <row r="928" spans="1:5" x14ac:dyDescent="0.25">
      <c r="C928" t="s">
        <v>34</v>
      </c>
      <c r="D928">
        <f>E927*C922/C920</f>
        <v>0.67679999999999996</v>
      </c>
    </row>
    <row r="930" spans="1:6" x14ac:dyDescent="0.25">
      <c r="A930" t="s">
        <v>33</v>
      </c>
    </row>
    <row r="932" spans="1:6" x14ac:dyDescent="0.25">
      <c r="B932" s="38">
        <f>1*C919*D928</f>
        <v>2.2495909090909092</v>
      </c>
      <c r="C932" t="s">
        <v>38</v>
      </c>
      <c r="D932" s="24" t="s">
        <v>39</v>
      </c>
    </row>
    <row r="934" spans="1:6" ht="15.75" x14ac:dyDescent="0.25">
      <c r="A934" s="96" t="s">
        <v>109</v>
      </c>
      <c r="B934" s="96"/>
      <c r="C934" s="96"/>
      <c r="D934" s="96"/>
      <c r="E934" s="96"/>
      <c r="F934" s="96"/>
    </row>
    <row r="935" spans="1:6" ht="15.75" x14ac:dyDescent="0.25">
      <c r="A935" s="97" t="s">
        <v>185</v>
      </c>
      <c r="B935" s="97"/>
      <c r="C935" s="97"/>
      <c r="D935" s="97"/>
      <c r="E935" s="97"/>
      <c r="F935" s="97"/>
    </row>
    <row r="936" spans="1:6" x14ac:dyDescent="0.25">
      <c r="A936" t="s">
        <v>22</v>
      </c>
    </row>
    <row r="937" spans="1:6" x14ac:dyDescent="0.25">
      <c r="C937" t="s">
        <v>23</v>
      </c>
    </row>
    <row r="938" spans="1:6" x14ac:dyDescent="0.25">
      <c r="C938" t="s">
        <v>24</v>
      </c>
    </row>
    <row r="939" spans="1:6" x14ac:dyDescent="0.25">
      <c r="C939" t="s">
        <v>28</v>
      </c>
    </row>
    <row r="940" spans="1:6" x14ac:dyDescent="0.25">
      <c r="C940" t="s">
        <v>25</v>
      </c>
    </row>
    <row r="941" spans="1:6" x14ac:dyDescent="0.25">
      <c r="C941" t="s">
        <v>26</v>
      </c>
    </row>
    <row r="943" spans="1:6" x14ac:dyDescent="0.25">
      <c r="B943" t="s">
        <v>27</v>
      </c>
      <c r="C943" s="22">
        <f>'CUADRO DE CARGAS'!L47</f>
        <v>2.5636363636363635</v>
      </c>
      <c r="D943" t="s">
        <v>29</v>
      </c>
      <c r="E943" t="s">
        <v>30</v>
      </c>
    </row>
    <row r="944" spans="1:6" x14ac:dyDescent="0.25">
      <c r="B944" s="23" t="s">
        <v>44</v>
      </c>
      <c r="C944" s="33">
        <f>1.25*C943</f>
        <v>3.2045454545454541</v>
      </c>
      <c r="D944" s="23" t="s">
        <v>29</v>
      </c>
      <c r="E944" t="s">
        <v>51</v>
      </c>
    </row>
    <row r="945" spans="1:6" x14ac:dyDescent="0.25">
      <c r="B945" s="24" t="s">
        <v>31</v>
      </c>
      <c r="C945" s="24">
        <v>2.5</v>
      </c>
      <c r="D945" s="24" t="s">
        <v>32</v>
      </c>
    </row>
    <row r="946" spans="1:6" x14ac:dyDescent="0.25">
      <c r="A946" t="s">
        <v>52</v>
      </c>
    </row>
    <row r="947" spans="1:6" x14ac:dyDescent="0.25">
      <c r="B947" s="23" t="s">
        <v>36</v>
      </c>
      <c r="C947" s="23">
        <v>70</v>
      </c>
      <c r="D947" s="23" t="s">
        <v>37</v>
      </c>
      <c r="E947" s="32"/>
    </row>
    <row r="948" spans="1:6" x14ac:dyDescent="0.25">
      <c r="A948" t="s">
        <v>53</v>
      </c>
    </row>
    <row r="951" spans="1:6" x14ac:dyDescent="0.25">
      <c r="A951" t="s">
        <v>23</v>
      </c>
    </row>
    <row r="952" spans="1:6" x14ac:dyDescent="0.25">
      <c r="C952" t="s">
        <v>35</v>
      </c>
      <c r="E952">
        <v>1.7999999999999999E-2</v>
      </c>
    </row>
    <row r="953" spans="1:6" x14ac:dyDescent="0.25">
      <c r="C953" t="s">
        <v>34</v>
      </c>
      <c r="D953">
        <f>E952*C947/C945</f>
        <v>0.504</v>
      </c>
    </row>
    <row r="955" spans="1:6" x14ac:dyDescent="0.25">
      <c r="A955" t="s">
        <v>33</v>
      </c>
    </row>
    <row r="957" spans="1:6" x14ac:dyDescent="0.25">
      <c r="B957" s="38">
        <f>1*C944*D953</f>
        <v>1.6150909090909089</v>
      </c>
      <c r="C957" t="s">
        <v>38</v>
      </c>
      <c r="D957" s="24" t="s">
        <v>39</v>
      </c>
    </row>
    <row r="960" spans="1:6" ht="15.75" x14ac:dyDescent="0.25">
      <c r="A960" s="95" t="s">
        <v>57</v>
      </c>
      <c r="B960" s="96"/>
      <c r="C960" s="96"/>
      <c r="D960" s="96"/>
      <c r="E960" s="96"/>
      <c r="F960" s="96"/>
    </row>
    <row r="961" spans="1:6" ht="15.75" x14ac:dyDescent="0.25">
      <c r="A961" s="96" t="s">
        <v>99</v>
      </c>
      <c r="B961" s="96"/>
      <c r="C961" s="96"/>
      <c r="D961" s="96"/>
      <c r="E961" s="96"/>
      <c r="F961" s="96"/>
    </row>
    <row r="962" spans="1:6" ht="15.75" x14ac:dyDescent="0.25">
      <c r="A962" s="97" t="s">
        <v>148</v>
      </c>
      <c r="B962" s="97"/>
      <c r="C962" s="97"/>
      <c r="D962" s="97"/>
      <c r="E962" s="97"/>
      <c r="F962" s="97"/>
    </row>
    <row r="963" spans="1:6" x14ac:dyDescent="0.25">
      <c r="A963" t="s">
        <v>22</v>
      </c>
    </row>
    <row r="964" spans="1:6" x14ac:dyDescent="0.25">
      <c r="C964" t="s">
        <v>23</v>
      </c>
    </row>
    <row r="965" spans="1:6" x14ac:dyDescent="0.25">
      <c r="C965" t="s">
        <v>24</v>
      </c>
    </row>
    <row r="966" spans="1:6" x14ac:dyDescent="0.25">
      <c r="C966" t="s">
        <v>28</v>
      </c>
    </row>
    <row r="967" spans="1:6" x14ac:dyDescent="0.25">
      <c r="C967" t="s">
        <v>25</v>
      </c>
    </row>
    <row r="968" spans="1:6" x14ac:dyDescent="0.25">
      <c r="C968" t="s">
        <v>26</v>
      </c>
    </row>
    <row r="970" spans="1:6" x14ac:dyDescent="0.25">
      <c r="B970" t="s">
        <v>27</v>
      </c>
      <c r="C970" s="22">
        <f>'CUADRO DE CARGAS'!L49</f>
        <v>12.727272727272727</v>
      </c>
      <c r="D970" t="s">
        <v>29</v>
      </c>
      <c r="E970" t="s">
        <v>30</v>
      </c>
    </row>
    <row r="971" spans="1:6" x14ac:dyDescent="0.25">
      <c r="B971" s="23" t="s">
        <v>44</v>
      </c>
      <c r="C971" s="33">
        <f>1.25*C970</f>
        <v>15.909090909090908</v>
      </c>
      <c r="D971" s="23" t="s">
        <v>29</v>
      </c>
      <c r="E971" t="s">
        <v>51</v>
      </c>
    </row>
    <row r="972" spans="1:6" x14ac:dyDescent="0.25">
      <c r="B972" s="24" t="s">
        <v>31</v>
      </c>
      <c r="C972" s="24">
        <v>4</v>
      </c>
      <c r="D972" s="24" t="s">
        <v>32</v>
      </c>
    </row>
    <row r="973" spans="1:6" x14ac:dyDescent="0.25">
      <c r="A973" t="s">
        <v>52</v>
      </c>
    </row>
    <row r="974" spans="1:6" x14ac:dyDescent="0.25">
      <c r="B974" s="23" t="s">
        <v>36</v>
      </c>
      <c r="C974" s="23">
        <v>36</v>
      </c>
      <c r="D974" s="23" t="s">
        <v>37</v>
      </c>
      <c r="E974" s="32"/>
    </row>
    <row r="975" spans="1:6" x14ac:dyDescent="0.25">
      <c r="A975" t="s">
        <v>53</v>
      </c>
    </row>
    <row r="978" spans="1:6" x14ac:dyDescent="0.25">
      <c r="A978" t="s">
        <v>23</v>
      </c>
    </row>
    <row r="979" spans="1:6" x14ac:dyDescent="0.25">
      <c r="C979" t="s">
        <v>35</v>
      </c>
      <c r="E979">
        <v>1.7999999999999999E-2</v>
      </c>
    </row>
    <row r="980" spans="1:6" x14ac:dyDescent="0.25">
      <c r="C980" t="s">
        <v>34</v>
      </c>
      <c r="D980">
        <f>E979*C974/C972</f>
        <v>0.16199999999999998</v>
      </c>
    </row>
    <row r="982" spans="1:6" x14ac:dyDescent="0.25">
      <c r="A982" t="s">
        <v>33</v>
      </c>
    </row>
    <row r="984" spans="1:6" x14ac:dyDescent="0.25">
      <c r="B984" s="38">
        <f>1*C971*D980</f>
        <v>2.5772727272727267</v>
      </c>
      <c r="C984" t="s">
        <v>38</v>
      </c>
      <c r="D984" s="24" t="s">
        <v>39</v>
      </c>
    </row>
    <row r="986" spans="1:6" ht="15.75" x14ac:dyDescent="0.25">
      <c r="A986" s="96" t="s">
        <v>100</v>
      </c>
      <c r="B986" s="96"/>
      <c r="C986" s="96"/>
      <c r="D986" s="96"/>
      <c r="E986" s="96"/>
      <c r="F986" s="96"/>
    </row>
    <row r="987" spans="1:6" ht="15.75" x14ac:dyDescent="0.25">
      <c r="A987" s="97" t="s">
        <v>149</v>
      </c>
      <c r="B987" s="97"/>
      <c r="C987" s="97"/>
      <c r="D987" s="97"/>
      <c r="E987" s="97"/>
      <c r="F987" s="97"/>
    </row>
    <row r="988" spans="1:6" x14ac:dyDescent="0.25">
      <c r="A988" t="s">
        <v>22</v>
      </c>
    </row>
    <row r="989" spans="1:6" x14ac:dyDescent="0.25">
      <c r="C989" t="s">
        <v>23</v>
      </c>
    </row>
    <row r="990" spans="1:6" x14ac:dyDescent="0.25">
      <c r="C990" t="s">
        <v>24</v>
      </c>
    </row>
    <row r="991" spans="1:6" x14ac:dyDescent="0.25">
      <c r="C991" t="s">
        <v>28</v>
      </c>
    </row>
    <row r="992" spans="1:6" x14ac:dyDescent="0.25">
      <c r="C992" t="s">
        <v>25</v>
      </c>
    </row>
    <row r="993" spans="1:5" x14ac:dyDescent="0.25">
      <c r="C993" t="s">
        <v>26</v>
      </c>
    </row>
    <row r="995" spans="1:5" x14ac:dyDescent="0.25">
      <c r="B995" t="s">
        <v>27</v>
      </c>
      <c r="C995" s="22">
        <f>'CUADRO DE CARGAS'!L50</f>
        <v>14</v>
      </c>
      <c r="D995" t="s">
        <v>29</v>
      </c>
      <c r="E995" t="s">
        <v>30</v>
      </c>
    </row>
    <row r="996" spans="1:5" x14ac:dyDescent="0.25">
      <c r="B996" s="23" t="s">
        <v>44</v>
      </c>
      <c r="C996" s="33">
        <f>1.25*C995</f>
        <v>17.5</v>
      </c>
      <c r="D996" s="23" t="s">
        <v>29</v>
      </c>
      <c r="E996" t="s">
        <v>51</v>
      </c>
    </row>
    <row r="997" spans="1:5" x14ac:dyDescent="0.25">
      <c r="B997" s="24" t="s">
        <v>31</v>
      </c>
      <c r="C997" s="24">
        <v>4</v>
      </c>
      <c r="D997" s="24" t="s">
        <v>32</v>
      </c>
    </row>
    <row r="998" spans="1:5" x14ac:dyDescent="0.25">
      <c r="A998" t="s">
        <v>52</v>
      </c>
    </row>
    <row r="999" spans="1:5" x14ac:dyDescent="0.25">
      <c r="B999" s="23" t="s">
        <v>36</v>
      </c>
      <c r="C999" s="23">
        <v>53.8</v>
      </c>
      <c r="D999" s="23" t="s">
        <v>37</v>
      </c>
      <c r="E999" s="32"/>
    </row>
    <row r="1000" spans="1:5" x14ac:dyDescent="0.25">
      <c r="A1000" t="s">
        <v>53</v>
      </c>
    </row>
    <row r="1003" spans="1:5" x14ac:dyDescent="0.25">
      <c r="A1003" t="s">
        <v>23</v>
      </c>
    </row>
    <row r="1004" spans="1:5" x14ac:dyDescent="0.25">
      <c r="C1004" t="s">
        <v>35</v>
      </c>
      <c r="E1004">
        <v>1.7999999999999999E-2</v>
      </c>
    </row>
    <row r="1005" spans="1:5" x14ac:dyDescent="0.25">
      <c r="C1005" t="s">
        <v>34</v>
      </c>
      <c r="D1005">
        <f>E1004*C999/C997</f>
        <v>0.24209999999999998</v>
      </c>
    </row>
    <row r="1007" spans="1:5" x14ac:dyDescent="0.25">
      <c r="A1007" t="s">
        <v>33</v>
      </c>
    </row>
    <row r="1009" spans="1:6" x14ac:dyDescent="0.25">
      <c r="B1009" s="38">
        <f>1*C996*D1005</f>
        <v>4.2367499999999998</v>
      </c>
      <c r="C1009" t="s">
        <v>38</v>
      </c>
      <c r="D1009" s="24" t="s">
        <v>39</v>
      </c>
    </row>
    <row r="1011" spans="1:6" ht="15.75" x14ac:dyDescent="0.25">
      <c r="A1011" s="95" t="s">
        <v>104</v>
      </c>
      <c r="B1011" s="96"/>
      <c r="C1011" s="96"/>
      <c r="D1011" s="96"/>
      <c r="E1011" s="96"/>
      <c r="F1011" s="96"/>
    </row>
    <row r="1012" spans="1:6" ht="15.75" x14ac:dyDescent="0.25">
      <c r="A1012" s="97" t="s">
        <v>150</v>
      </c>
      <c r="B1012" s="97"/>
      <c r="C1012" s="97"/>
      <c r="D1012" s="97"/>
      <c r="E1012" s="97"/>
      <c r="F1012" s="97"/>
    </row>
    <row r="1013" spans="1:6" x14ac:dyDescent="0.25">
      <c r="A1013" t="s">
        <v>22</v>
      </c>
    </row>
    <row r="1014" spans="1:6" x14ac:dyDescent="0.25">
      <c r="C1014" t="s">
        <v>23</v>
      </c>
    </row>
    <row r="1015" spans="1:6" x14ac:dyDescent="0.25">
      <c r="C1015" t="s">
        <v>24</v>
      </c>
    </row>
    <row r="1016" spans="1:6" x14ac:dyDescent="0.25">
      <c r="C1016" t="s">
        <v>28</v>
      </c>
    </row>
    <row r="1017" spans="1:6" x14ac:dyDescent="0.25">
      <c r="C1017" t="s">
        <v>25</v>
      </c>
    </row>
    <row r="1018" spans="1:6" x14ac:dyDescent="0.25">
      <c r="C1018" t="s">
        <v>26</v>
      </c>
    </row>
    <row r="1020" spans="1:6" x14ac:dyDescent="0.25">
      <c r="B1020" t="s">
        <v>27</v>
      </c>
      <c r="C1020" s="22">
        <f>'CUADRO DE CARGAS'!L51</f>
        <v>12.727272727272727</v>
      </c>
      <c r="D1020" t="s">
        <v>29</v>
      </c>
      <c r="E1020" t="s">
        <v>30</v>
      </c>
    </row>
    <row r="1021" spans="1:6" x14ac:dyDescent="0.25">
      <c r="B1021" s="23" t="s">
        <v>44</v>
      </c>
      <c r="C1021" s="33">
        <f>1.25*C1020</f>
        <v>15.909090909090908</v>
      </c>
      <c r="D1021" s="23" t="s">
        <v>29</v>
      </c>
      <c r="E1021" t="s">
        <v>51</v>
      </c>
    </row>
    <row r="1022" spans="1:6" x14ac:dyDescent="0.25">
      <c r="B1022" s="24" t="s">
        <v>31</v>
      </c>
      <c r="C1022" s="24">
        <v>4</v>
      </c>
      <c r="D1022" s="24" t="s">
        <v>32</v>
      </c>
    </row>
    <row r="1023" spans="1:6" x14ac:dyDescent="0.25">
      <c r="A1023" t="s">
        <v>52</v>
      </c>
    </row>
    <row r="1024" spans="1:6" x14ac:dyDescent="0.25">
      <c r="B1024" s="23" t="s">
        <v>36</v>
      </c>
      <c r="C1024" s="23">
        <v>54.5</v>
      </c>
      <c r="D1024" s="23" t="s">
        <v>37</v>
      </c>
      <c r="E1024" s="32"/>
    </row>
    <row r="1025" spans="1:6" x14ac:dyDescent="0.25">
      <c r="A1025" t="s">
        <v>53</v>
      </c>
    </row>
    <row r="1028" spans="1:6" x14ac:dyDescent="0.25">
      <c r="A1028" t="s">
        <v>23</v>
      </c>
    </row>
    <row r="1029" spans="1:6" x14ac:dyDescent="0.25">
      <c r="C1029" t="s">
        <v>35</v>
      </c>
      <c r="E1029">
        <v>1.7999999999999999E-2</v>
      </c>
    </row>
    <row r="1030" spans="1:6" x14ac:dyDescent="0.25">
      <c r="C1030" t="s">
        <v>34</v>
      </c>
      <c r="D1030">
        <f>E1029*C1024/C1022</f>
        <v>0.24524999999999997</v>
      </c>
    </row>
    <row r="1032" spans="1:6" x14ac:dyDescent="0.25">
      <c r="A1032" t="s">
        <v>33</v>
      </c>
    </row>
    <row r="1034" spans="1:6" x14ac:dyDescent="0.25">
      <c r="B1034" s="38">
        <f>1*C1021*D1030</f>
        <v>3.9017045454545447</v>
      </c>
      <c r="C1034" t="s">
        <v>38</v>
      </c>
      <c r="D1034" s="24" t="s">
        <v>39</v>
      </c>
    </row>
    <row r="1036" spans="1:6" ht="15.75" x14ac:dyDescent="0.25">
      <c r="A1036" s="95" t="s">
        <v>105</v>
      </c>
      <c r="B1036" s="96"/>
      <c r="C1036" s="96"/>
      <c r="D1036" s="96"/>
      <c r="E1036" s="96"/>
      <c r="F1036" s="96"/>
    </row>
    <row r="1037" spans="1:6" ht="15.75" x14ac:dyDescent="0.25">
      <c r="A1037" s="97" t="s">
        <v>186</v>
      </c>
      <c r="B1037" s="97"/>
      <c r="C1037" s="97"/>
      <c r="D1037" s="97"/>
      <c r="E1037" s="97"/>
      <c r="F1037" s="97"/>
    </row>
    <row r="1038" spans="1:6" x14ac:dyDescent="0.25">
      <c r="A1038" t="s">
        <v>22</v>
      </c>
    </row>
    <row r="1039" spans="1:6" x14ac:dyDescent="0.25">
      <c r="C1039" t="s">
        <v>23</v>
      </c>
    </row>
    <row r="1040" spans="1:6" x14ac:dyDescent="0.25">
      <c r="C1040" t="s">
        <v>24</v>
      </c>
    </row>
    <row r="1041" spans="1:5" x14ac:dyDescent="0.25">
      <c r="C1041" t="s">
        <v>28</v>
      </c>
    </row>
    <row r="1042" spans="1:5" x14ac:dyDescent="0.25">
      <c r="C1042" t="s">
        <v>25</v>
      </c>
    </row>
    <row r="1043" spans="1:5" x14ac:dyDescent="0.25">
      <c r="C1043" t="s">
        <v>26</v>
      </c>
    </row>
    <row r="1045" spans="1:5" x14ac:dyDescent="0.25">
      <c r="B1045" t="s">
        <v>27</v>
      </c>
      <c r="C1045" s="22">
        <f>'CUADRO DE CARGAS'!L52</f>
        <v>3.418181818181818</v>
      </c>
      <c r="D1045" t="s">
        <v>29</v>
      </c>
      <c r="E1045" t="s">
        <v>30</v>
      </c>
    </row>
    <row r="1046" spans="1:5" x14ac:dyDescent="0.25">
      <c r="B1046" s="23" t="s">
        <v>44</v>
      </c>
      <c r="C1046" s="33">
        <f>1.25*C1045</f>
        <v>4.2727272727272725</v>
      </c>
      <c r="D1046" s="23" t="s">
        <v>29</v>
      </c>
      <c r="E1046" t="s">
        <v>51</v>
      </c>
    </row>
    <row r="1047" spans="1:5" x14ac:dyDescent="0.25">
      <c r="B1047" s="24" t="s">
        <v>31</v>
      </c>
      <c r="C1047" s="24">
        <v>2.5</v>
      </c>
      <c r="D1047" s="24" t="s">
        <v>32</v>
      </c>
    </row>
    <row r="1048" spans="1:5" x14ac:dyDescent="0.25">
      <c r="A1048" t="s">
        <v>52</v>
      </c>
    </row>
    <row r="1049" spans="1:5" x14ac:dyDescent="0.25">
      <c r="B1049" s="23" t="s">
        <v>36</v>
      </c>
      <c r="C1049" s="23">
        <v>70</v>
      </c>
      <c r="D1049" s="23" t="s">
        <v>37</v>
      </c>
      <c r="E1049" s="32"/>
    </row>
    <row r="1050" spans="1:5" x14ac:dyDescent="0.25">
      <c r="A1050" t="s">
        <v>53</v>
      </c>
    </row>
    <row r="1053" spans="1:5" x14ac:dyDescent="0.25">
      <c r="A1053" t="s">
        <v>23</v>
      </c>
    </row>
    <row r="1054" spans="1:5" x14ac:dyDescent="0.25">
      <c r="C1054" t="s">
        <v>35</v>
      </c>
      <c r="E1054">
        <v>1.7999999999999999E-2</v>
      </c>
    </row>
    <row r="1055" spans="1:5" x14ac:dyDescent="0.25">
      <c r="C1055" t="s">
        <v>34</v>
      </c>
      <c r="D1055">
        <f>E1054*C1049/C1047</f>
        <v>0.504</v>
      </c>
    </row>
    <row r="1057" spans="1:6" x14ac:dyDescent="0.25">
      <c r="A1057" t="s">
        <v>33</v>
      </c>
    </row>
    <row r="1059" spans="1:6" x14ac:dyDescent="0.25">
      <c r="B1059" s="38">
        <f>1*C1046*D1055</f>
        <v>2.1534545454545455</v>
      </c>
      <c r="C1059" t="s">
        <v>38</v>
      </c>
      <c r="D1059" s="24" t="s">
        <v>39</v>
      </c>
    </row>
    <row r="1061" spans="1:6" ht="15.75" x14ac:dyDescent="0.25">
      <c r="A1061" s="95" t="s">
        <v>106</v>
      </c>
      <c r="B1061" s="96"/>
      <c r="C1061" s="96"/>
      <c r="D1061" s="96"/>
      <c r="E1061" s="96"/>
      <c r="F1061" s="96"/>
    </row>
    <row r="1062" spans="1:6" ht="15.75" x14ac:dyDescent="0.25">
      <c r="A1062" s="97" t="s">
        <v>187</v>
      </c>
      <c r="B1062" s="97"/>
      <c r="C1062" s="97"/>
      <c r="D1062" s="97"/>
      <c r="E1062" s="97"/>
      <c r="F1062" s="97"/>
    </row>
    <row r="1063" spans="1:6" x14ac:dyDescent="0.25">
      <c r="A1063" t="s">
        <v>22</v>
      </c>
    </row>
    <row r="1064" spans="1:6" x14ac:dyDescent="0.25">
      <c r="C1064" t="s">
        <v>23</v>
      </c>
    </row>
    <row r="1065" spans="1:6" x14ac:dyDescent="0.25">
      <c r="C1065" t="s">
        <v>24</v>
      </c>
    </row>
    <row r="1066" spans="1:6" x14ac:dyDescent="0.25">
      <c r="C1066" t="s">
        <v>28</v>
      </c>
    </row>
    <row r="1067" spans="1:6" x14ac:dyDescent="0.25">
      <c r="C1067" t="s">
        <v>25</v>
      </c>
    </row>
    <row r="1068" spans="1:6" x14ac:dyDescent="0.25">
      <c r="C1068" t="s">
        <v>26</v>
      </c>
    </row>
    <row r="1070" spans="1:6" x14ac:dyDescent="0.25">
      <c r="B1070" t="s">
        <v>27</v>
      </c>
      <c r="C1070" s="22">
        <f>'CUADRO DE CARGAS'!L53</f>
        <v>4.4863636363636363</v>
      </c>
      <c r="D1070" t="s">
        <v>29</v>
      </c>
      <c r="E1070" t="s">
        <v>30</v>
      </c>
    </row>
    <row r="1071" spans="1:6" x14ac:dyDescent="0.25">
      <c r="B1071" s="23" t="s">
        <v>44</v>
      </c>
      <c r="C1071" s="33">
        <f>1.25*C1070</f>
        <v>5.607954545454545</v>
      </c>
      <c r="D1071" s="23" t="s">
        <v>29</v>
      </c>
      <c r="E1071" t="s">
        <v>51</v>
      </c>
    </row>
    <row r="1072" spans="1:6" x14ac:dyDescent="0.25">
      <c r="B1072" s="24" t="s">
        <v>31</v>
      </c>
      <c r="C1072" s="24">
        <v>2.5</v>
      </c>
      <c r="D1072" s="24" t="s">
        <v>32</v>
      </c>
    </row>
    <row r="1073" spans="1:6" x14ac:dyDescent="0.25">
      <c r="A1073" t="s">
        <v>52</v>
      </c>
    </row>
    <row r="1074" spans="1:6" x14ac:dyDescent="0.25">
      <c r="B1074" s="23" t="s">
        <v>36</v>
      </c>
      <c r="C1074" s="23">
        <v>72</v>
      </c>
      <c r="D1074" s="23" t="s">
        <v>37</v>
      </c>
      <c r="E1074" s="32"/>
    </row>
    <row r="1075" spans="1:6" x14ac:dyDescent="0.25">
      <c r="A1075" t="s">
        <v>53</v>
      </c>
    </row>
    <row r="1078" spans="1:6" x14ac:dyDescent="0.25">
      <c r="A1078" t="s">
        <v>23</v>
      </c>
    </row>
    <row r="1079" spans="1:6" x14ac:dyDescent="0.25">
      <c r="C1079" t="s">
        <v>35</v>
      </c>
      <c r="E1079">
        <v>1.7999999999999999E-2</v>
      </c>
    </row>
    <row r="1080" spans="1:6" x14ac:dyDescent="0.25">
      <c r="C1080" t="s">
        <v>34</v>
      </c>
      <c r="D1080">
        <f>E1079*C1074/C1072</f>
        <v>0.51839999999999997</v>
      </c>
    </row>
    <row r="1082" spans="1:6" x14ac:dyDescent="0.25">
      <c r="A1082" t="s">
        <v>33</v>
      </c>
    </row>
    <row r="1084" spans="1:6" x14ac:dyDescent="0.25">
      <c r="B1084" s="38">
        <f>1*C1071*D1080</f>
        <v>2.9071636363636362</v>
      </c>
      <c r="C1084" t="s">
        <v>38</v>
      </c>
      <c r="D1084" s="24" t="s">
        <v>39</v>
      </c>
    </row>
    <row r="1086" spans="1:6" ht="15.75" x14ac:dyDescent="0.25">
      <c r="A1086" s="95"/>
      <c r="B1086" s="96"/>
      <c r="C1086" s="96"/>
      <c r="D1086" s="96"/>
      <c r="E1086" s="96"/>
      <c r="F1086" s="96"/>
    </row>
    <row r="1087" spans="1:6" ht="15.75" x14ac:dyDescent="0.25">
      <c r="A1087" s="96" t="s">
        <v>108</v>
      </c>
      <c r="B1087" s="96"/>
      <c r="C1087" s="96"/>
      <c r="D1087" s="96"/>
      <c r="E1087" s="96"/>
      <c r="F1087" s="96"/>
    </row>
    <row r="1088" spans="1:6" ht="15.75" x14ac:dyDescent="0.25">
      <c r="A1088" s="97" t="s">
        <v>188</v>
      </c>
      <c r="B1088" s="97"/>
      <c r="C1088" s="97"/>
      <c r="D1088" s="97"/>
      <c r="E1088" s="97"/>
      <c r="F1088" s="97"/>
    </row>
    <row r="1089" spans="1:5" x14ac:dyDescent="0.25">
      <c r="A1089" t="s">
        <v>22</v>
      </c>
    </row>
    <row r="1090" spans="1:5" x14ac:dyDescent="0.25">
      <c r="C1090" t="s">
        <v>23</v>
      </c>
    </row>
    <row r="1091" spans="1:5" x14ac:dyDescent="0.25">
      <c r="C1091" t="s">
        <v>24</v>
      </c>
    </row>
    <row r="1092" spans="1:5" x14ac:dyDescent="0.25">
      <c r="C1092" t="s">
        <v>28</v>
      </c>
    </row>
    <row r="1093" spans="1:5" x14ac:dyDescent="0.25">
      <c r="C1093" t="s">
        <v>25</v>
      </c>
    </row>
    <row r="1094" spans="1:5" x14ac:dyDescent="0.25">
      <c r="C1094" t="s">
        <v>26</v>
      </c>
    </row>
    <row r="1096" spans="1:5" x14ac:dyDescent="0.25">
      <c r="B1096" t="s">
        <v>27</v>
      </c>
      <c r="C1096" s="22">
        <f>'CUADRO DE CARGAS'!L54</f>
        <v>2.9909090909090907</v>
      </c>
      <c r="D1096" t="s">
        <v>29</v>
      </c>
      <c r="E1096" t="s">
        <v>30</v>
      </c>
    </row>
    <row r="1097" spans="1:5" x14ac:dyDescent="0.25">
      <c r="B1097" s="23" t="s">
        <v>44</v>
      </c>
      <c r="C1097" s="33">
        <f>1.25*C1096</f>
        <v>3.7386363636363633</v>
      </c>
      <c r="D1097" s="23" t="s">
        <v>29</v>
      </c>
      <c r="E1097" t="s">
        <v>51</v>
      </c>
    </row>
    <row r="1098" spans="1:5" x14ac:dyDescent="0.25">
      <c r="B1098" s="24" t="s">
        <v>31</v>
      </c>
      <c r="C1098" s="24">
        <v>2.5</v>
      </c>
      <c r="D1098" s="24" t="s">
        <v>32</v>
      </c>
    </row>
    <row r="1099" spans="1:5" x14ac:dyDescent="0.25">
      <c r="A1099" t="s">
        <v>52</v>
      </c>
    </row>
    <row r="1100" spans="1:5" x14ac:dyDescent="0.25">
      <c r="B1100" s="23" t="s">
        <v>36</v>
      </c>
      <c r="C1100" s="23">
        <v>65</v>
      </c>
      <c r="D1100" s="23" t="s">
        <v>37</v>
      </c>
      <c r="E1100" s="32"/>
    </row>
    <row r="1101" spans="1:5" x14ac:dyDescent="0.25">
      <c r="A1101" t="s">
        <v>53</v>
      </c>
    </row>
    <row r="1104" spans="1:5" x14ac:dyDescent="0.25">
      <c r="A1104" t="s">
        <v>23</v>
      </c>
    </row>
    <row r="1105" spans="1:6" x14ac:dyDescent="0.25">
      <c r="C1105" t="s">
        <v>35</v>
      </c>
      <c r="E1105">
        <v>1.7999999999999999E-2</v>
      </c>
    </row>
    <row r="1106" spans="1:6" x14ac:dyDescent="0.25">
      <c r="C1106" t="s">
        <v>34</v>
      </c>
      <c r="D1106">
        <f>E1105*C1100/C1098</f>
        <v>0.46799999999999997</v>
      </c>
    </row>
    <row r="1108" spans="1:6" x14ac:dyDescent="0.25">
      <c r="A1108" t="s">
        <v>33</v>
      </c>
    </row>
    <row r="1110" spans="1:6" x14ac:dyDescent="0.25">
      <c r="B1110" s="38">
        <f>1*C1097*D1106</f>
        <v>1.7496818181818179</v>
      </c>
      <c r="C1110" t="s">
        <v>38</v>
      </c>
      <c r="D1110" s="24" t="s">
        <v>39</v>
      </c>
    </row>
    <row r="1112" spans="1:6" ht="15.75" x14ac:dyDescent="0.25">
      <c r="A1112" s="96" t="s">
        <v>109</v>
      </c>
      <c r="B1112" s="96"/>
      <c r="C1112" s="96"/>
      <c r="D1112" s="96"/>
      <c r="E1112" s="96"/>
      <c r="F1112" s="96"/>
    </row>
    <row r="1113" spans="1:6" ht="15.75" x14ac:dyDescent="0.25">
      <c r="A1113" s="97" t="s">
        <v>189</v>
      </c>
      <c r="B1113" s="97"/>
      <c r="C1113" s="97"/>
      <c r="D1113" s="97"/>
      <c r="E1113" s="97"/>
      <c r="F1113" s="97"/>
    </row>
    <row r="1114" spans="1:6" x14ac:dyDescent="0.25">
      <c r="A1114" t="s">
        <v>22</v>
      </c>
    </row>
    <row r="1115" spans="1:6" x14ac:dyDescent="0.25">
      <c r="C1115" t="s">
        <v>23</v>
      </c>
    </row>
    <row r="1116" spans="1:6" x14ac:dyDescent="0.25">
      <c r="C1116" t="s">
        <v>24</v>
      </c>
    </row>
    <row r="1117" spans="1:6" x14ac:dyDescent="0.25">
      <c r="C1117" t="s">
        <v>28</v>
      </c>
    </row>
    <row r="1118" spans="1:6" x14ac:dyDescent="0.25">
      <c r="C1118" t="s">
        <v>25</v>
      </c>
    </row>
    <row r="1119" spans="1:6" x14ac:dyDescent="0.25">
      <c r="C1119" t="s">
        <v>26</v>
      </c>
    </row>
    <row r="1121" spans="1:5" x14ac:dyDescent="0.25">
      <c r="B1121" t="s">
        <v>27</v>
      </c>
      <c r="C1121" s="22">
        <f>'CUADRO DE CARGAS'!L55</f>
        <v>4.4863636363636363</v>
      </c>
      <c r="D1121" t="s">
        <v>29</v>
      </c>
      <c r="E1121" t="s">
        <v>30</v>
      </c>
    </row>
    <row r="1122" spans="1:5" x14ac:dyDescent="0.25">
      <c r="B1122" s="23" t="s">
        <v>44</v>
      </c>
      <c r="C1122" s="33">
        <f>1.25*C1121</f>
        <v>5.607954545454545</v>
      </c>
      <c r="D1122" s="23" t="s">
        <v>29</v>
      </c>
      <c r="E1122" t="s">
        <v>51</v>
      </c>
    </row>
    <row r="1123" spans="1:5" x14ac:dyDescent="0.25">
      <c r="B1123" s="24" t="s">
        <v>31</v>
      </c>
      <c r="C1123" s="24">
        <v>2.5</v>
      </c>
      <c r="D1123" s="24" t="s">
        <v>32</v>
      </c>
    </row>
    <row r="1124" spans="1:5" x14ac:dyDescent="0.25">
      <c r="A1124" t="s">
        <v>52</v>
      </c>
    </row>
    <row r="1125" spans="1:5" x14ac:dyDescent="0.25">
      <c r="B1125" s="23" t="s">
        <v>36</v>
      </c>
      <c r="C1125" s="23">
        <v>85</v>
      </c>
      <c r="D1125" s="23" t="s">
        <v>37</v>
      </c>
      <c r="E1125" s="32"/>
    </row>
    <row r="1126" spans="1:5" x14ac:dyDescent="0.25">
      <c r="A1126" t="s">
        <v>53</v>
      </c>
    </row>
    <row r="1129" spans="1:5" x14ac:dyDescent="0.25">
      <c r="A1129" t="s">
        <v>23</v>
      </c>
    </row>
    <row r="1130" spans="1:5" x14ac:dyDescent="0.25">
      <c r="C1130" t="s">
        <v>35</v>
      </c>
      <c r="E1130">
        <v>1.7999999999999999E-2</v>
      </c>
    </row>
    <row r="1131" spans="1:5" x14ac:dyDescent="0.25">
      <c r="C1131" t="s">
        <v>34</v>
      </c>
      <c r="D1131">
        <f>E1130*C1125/C1123</f>
        <v>0.61199999999999988</v>
      </c>
    </row>
    <row r="1133" spans="1:5" x14ac:dyDescent="0.25">
      <c r="A1133" t="s">
        <v>33</v>
      </c>
    </row>
    <row r="1135" spans="1:5" x14ac:dyDescent="0.25">
      <c r="B1135" s="38">
        <f>1*C1122*D1131</f>
        <v>3.4320681818181806</v>
      </c>
      <c r="C1135" t="s">
        <v>38</v>
      </c>
      <c r="D1135" s="24" t="s">
        <v>39</v>
      </c>
    </row>
    <row r="1137" spans="1:6" ht="15.75" x14ac:dyDescent="0.25">
      <c r="A1137" s="95" t="s">
        <v>58</v>
      </c>
      <c r="B1137" s="96"/>
      <c r="C1137" s="96"/>
      <c r="D1137" s="96"/>
      <c r="E1137" s="96"/>
      <c r="F1137" s="96"/>
    </row>
    <row r="1138" spans="1:6" ht="15.75" x14ac:dyDescent="0.25">
      <c r="A1138" s="96" t="s">
        <v>99</v>
      </c>
      <c r="B1138" s="96"/>
      <c r="C1138" s="96"/>
      <c r="D1138" s="96"/>
      <c r="E1138" s="96"/>
      <c r="F1138" s="96"/>
    </row>
    <row r="1139" spans="1:6" ht="15.75" x14ac:dyDescent="0.25">
      <c r="A1139" s="97" t="s">
        <v>151</v>
      </c>
      <c r="B1139" s="97"/>
      <c r="C1139" s="97"/>
      <c r="D1139" s="97"/>
      <c r="E1139" s="97"/>
      <c r="F1139" s="97"/>
    </row>
    <row r="1140" spans="1:6" x14ac:dyDescent="0.25">
      <c r="A1140" t="s">
        <v>22</v>
      </c>
    </row>
    <row r="1141" spans="1:6" x14ac:dyDescent="0.25">
      <c r="C1141" t="s">
        <v>23</v>
      </c>
    </row>
    <row r="1142" spans="1:6" x14ac:dyDescent="0.25">
      <c r="C1142" t="s">
        <v>24</v>
      </c>
    </row>
    <row r="1143" spans="1:6" x14ac:dyDescent="0.25">
      <c r="C1143" t="s">
        <v>28</v>
      </c>
    </row>
    <row r="1144" spans="1:6" x14ac:dyDescent="0.25">
      <c r="C1144" t="s">
        <v>25</v>
      </c>
    </row>
    <row r="1145" spans="1:6" x14ac:dyDescent="0.25">
      <c r="C1145" t="s">
        <v>26</v>
      </c>
    </row>
    <row r="1147" spans="1:6" x14ac:dyDescent="0.25">
      <c r="B1147" t="s">
        <v>27</v>
      </c>
      <c r="C1147" s="22">
        <f>'CUADRO DE CARGAS'!L57</f>
        <v>14</v>
      </c>
      <c r="D1147" t="s">
        <v>29</v>
      </c>
      <c r="E1147" t="s">
        <v>30</v>
      </c>
    </row>
    <row r="1148" spans="1:6" x14ac:dyDescent="0.25">
      <c r="B1148" s="23" t="s">
        <v>44</v>
      </c>
      <c r="C1148" s="33">
        <f>1.25*C1147</f>
        <v>17.5</v>
      </c>
      <c r="D1148" s="23" t="s">
        <v>29</v>
      </c>
      <c r="E1148" t="s">
        <v>51</v>
      </c>
    </row>
    <row r="1149" spans="1:6" x14ac:dyDescent="0.25">
      <c r="B1149" s="24" t="s">
        <v>31</v>
      </c>
      <c r="C1149" s="24">
        <v>4</v>
      </c>
      <c r="D1149" s="24" t="s">
        <v>32</v>
      </c>
    </row>
    <row r="1150" spans="1:6" x14ac:dyDescent="0.25">
      <c r="A1150" t="s">
        <v>52</v>
      </c>
    </row>
    <row r="1151" spans="1:6" x14ac:dyDescent="0.25">
      <c r="B1151" s="23" t="s">
        <v>36</v>
      </c>
      <c r="C1151" s="23">
        <v>39</v>
      </c>
      <c r="D1151" s="23" t="s">
        <v>37</v>
      </c>
      <c r="E1151" s="32"/>
    </row>
    <row r="1152" spans="1:6" x14ac:dyDescent="0.25">
      <c r="A1152" t="s">
        <v>53</v>
      </c>
    </row>
    <row r="1155" spans="1:6" x14ac:dyDescent="0.25">
      <c r="A1155" t="s">
        <v>23</v>
      </c>
    </row>
    <row r="1156" spans="1:6" x14ac:dyDescent="0.25">
      <c r="C1156" t="s">
        <v>35</v>
      </c>
      <c r="E1156">
        <v>1.7999999999999999E-2</v>
      </c>
    </row>
    <row r="1157" spans="1:6" x14ac:dyDescent="0.25">
      <c r="C1157" t="s">
        <v>34</v>
      </c>
      <c r="D1157">
        <f>E1156*C1151/C1149</f>
        <v>0.17549999999999999</v>
      </c>
    </row>
    <row r="1159" spans="1:6" x14ac:dyDescent="0.25">
      <c r="A1159" t="s">
        <v>33</v>
      </c>
    </row>
    <row r="1161" spans="1:6" x14ac:dyDescent="0.25">
      <c r="B1161" s="38">
        <f>1*C1148*D1157</f>
        <v>3.07125</v>
      </c>
      <c r="C1161" t="s">
        <v>38</v>
      </c>
      <c r="D1161" s="24" t="s">
        <v>39</v>
      </c>
    </row>
    <row r="1163" spans="1:6" ht="15.75" x14ac:dyDescent="0.25">
      <c r="A1163" s="96" t="s">
        <v>100</v>
      </c>
      <c r="B1163" s="96"/>
      <c r="C1163" s="96"/>
      <c r="D1163" s="96"/>
      <c r="E1163" s="96"/>
      <c r="F1163" s="96"/>
    </row>
    <row r="1164" spans="1:6" ht="15.75" x14ac:dyDescent="0.25">
      <c r="A1164" s="97" t="s">
        <v>152</v>
      </c>
      <c r="B1164" s="97"/>
      <c r="C1164" s="97"/>
      <c r="D1164" s="97"/>
      <c r="E1164" s="97"/>
      <c r="F1164" s="97"/>
    </row>
    <row r="1165" spans="1:6" x14ac:dyDescent="0.25">
      <c r="A1165" t="s">
        <v>22</v>
      </c>
    </row>
    <row r="1166" spans="1:6" x14ac:dyDescent="0.25">
      <c r="C1166" t="s">
        <v>23</v>
      </c>
    </row>
    <row r="1167" spans="1:6" x14ac:dyDescent="0.25">
      <c r="C1167" t="s">
        <v>24</v>
      </c>
    </row>
    <row r="1168" spans="1:6" x14ac:dyDescent="0.25">
      <c r="C1168" t="s">
        <v>28</v>
      </c>
    </row>
    <row r="1169" spans="1:5" x14ac:dyDescent="0.25">
      <c r="C1169" t="s">
        <v>25</v>
      </c>
    </row>
    <row r="1170" spans="1:5" x14ac:dyDescent="0.25">
      <c r="C1170" t="s">
        <v>26</v>
      </c>
    </row>
    <row r="1172" spans="1:5" x14ac:dyDescent="0.25">
      <c r="B1172" t="s">
        <v>27</v>
      </c>
      <c r="C1172" s="22">
        <f>'CUADRO DE CARGAS'!L58</f>
        <v>15.272727272727273</v>
      </c>
      <c r="D1172" t="s">
        <v>29</v>
      </c>
      <c r="E1172" t="s">
        <v>30</v>
      </c>
    </row>
    <row r="1173" spans="1:5" x14ac:dyDescent="0.25">
      <c r="B1173" s="23" t="s">
        <v>44</v>
      </c>
      <c r="C1173" s="33">
        <f>1.25*C1172</f>
        <v>19.090909090909093</v>
      </c>
      <c r="D1173" s="23" t="s">
        <v>29</v>
      </c>
      <c r="E1173" t="s">
        <v>51</v>
      </c>
    </row>
    <row r="1174" spans="1:5" x14ac:dyDescent="0.25">
      <c r="B1174" s="24" t="s">
        <v>31</v>
      </c>
      <c r="C1174" s="24">
        <v>6</v>
      </c>
      <c r="D1174" s="24" t="s">
        <v>32</v>
      </c>
    </row>
    <row r="1175" spans="1:5" x14ac:dyDescent="0.25">
      <c r="A1175" t="s">
        <v>52</v>
      </c>
    </row>
    <row r="1176" spans="1:5" x14ac:dyDescent="0.25">
      <c r="B1176" s="23" t="s">
        <v>36</v>
      </c>
      <c r="C1176" s="23">
        <v>65</v>
      </c>
      <c r="D1176" s="23" t="s">
        <v>37</v>
      </c>
      <c r="E1176" s="32"/>
    </row>
    <row r="1177" spans="1:5" x14ac:dyDescent="0.25">
      <c r="A1177" t="s">
        <v>53</v>
      </c>
    </row>
    <row r="1180" spans="1:5" x14ac:dyDescent="0.25">
      <c r="A1180" t="s">
        <v>23</v>
      </c>
    </row>
    <row r="1181" spans="1:5" x14ac:dyDescent="0.25">
      <c r="C1181" t="s">
        <v>35</v>
      </c>
      <c r="E1181">
        <v>1.7999999999999999E-2</v>
      </c>
    </row>
    <row r="1182" spans="1:5" x14ac:dyDescent="0.25">
      <c r="C1182" t="s">
        <v>34</v>
      </c>
      <c r="D1182">
        <f>E1181*C1176/C1174</f>
        <v>0.19499999999999998</v>
      </c>
    </row>
    <row r="1184" spans="1:5" x14ac:dyDescent="0.25">
      <c r="A1184" t="s">
        <v>33</v>
      </c>
    </row>
    <row r="1186" spans="1:6" x14ac:dyDescent="0.25">
      <c r="B1186" s="38">
        <f>1*C1173*D1182</f>
        <v>3.7227272727272727</v>
      </c>
      <c r="C1186" t="s">
        <v>38</v>
      </c>
      <c r="D1186" s="24" t="s">
        <v>39</v>
      </c>
    </row>
    <row r="1188" spans="1:6" ht="15.75" x14ac:dyDescent="0.25">
      <c r="A1188" s="95" t="s">
        <v>104</v>
      </c>
      <c r="B1188" s="96"/>
      <c r="C1188" s="96"/>
      <c r="D1188" s="96"/>
      <c r="E1188" s="96"/>
      <c r="F1188" s="96"/>
    </row>
    <row r="1189" spans="1:6" ht="15.75" x14ac:dyDescent="0.25">
      <c r="A1189" s="97" t="s">
        <v>152</v>
      </c>
      <c r="B1189" s="97"/>
      <c r="C1189" s="97"/>
      <c r="D1189" s="97"/>
      <c r="E1189" s="97"/>
      <c r="F1189" s="97"/>
    </row>
    <row r="1190" spans="1:6" x14ac:dyDescent="0.25">
      <c r="A1190" t="s">
        <v>22</v>
      </c>
    </row>
    <row r="1191" spans="1:6" x14ac:dyDescent="0.25">
      <c r="C1191" t="s">
        <v>23</v>
      </c>
    </row>
    <row r="1192" spans="1:6" x14ac:dyDescent="0.25">
      <c r="C1192" t="s">
        <v>24</v>
      </c>
    </row>
    <row r="1193" spans="1:6" x14ac:dyDescent="0.25">
      <c r="C1193" t="s">
        <v>28</v>
      </c>
    </row>
    <row r="1194" spans="1:6" x14ac:dyDescent="0.25">
      <c r="C1194" t="s">
        <v>25</v>
      </c>
    </row>
    <row r="1195" spans="1:6" x14ac:dyDescent="0.25">
      <c r="C1195" t="s">
        <v>26</v>
      </c>
    </row>
    <row r="1197" spans="1:6" x14ac:dyDescent="0.25">
      <c r="B1197" t="s">
        <v>27</v>
      </c>
      <c r="C1197" s="22">
        <f>'CUADRO DE CARGAS'!L59</f>
        <v>15.272727272727273</v>
      </c>
      <c r="D1197" t="s">
        <v>29</v>
      </c>
      <c r="E1197" t="s">
        <v>30</v>
      </c>
    </row>
    <row r="1198" spans="1:6" x14ac:dyDescent="0.25">
      <c r="B1198" s="23" t="s">
        <v>44</v>
      </c>
      <c r="C1198" s="33">
        <f>1.25*C1197</f>
        <v>19.090909090909093</v>
      </c>
      <c r="D1198" s="23" t="s">
        <v>29</v>
      </c>
      <c r="E1198" t="s">
        <v>51</v>
      </c>
    </row>
    <row r="1199" spans="1:6" x14ac:dyDescent="0.25">
      <c r="B1199" s="24" t="s">
        <v>31</v>
      </c>
      <c r="C1199" s="24">
        <v>4</v>
      </c>
      <c r="D1199" s="24" t="s">
        <v>32</v>
      </c>
    </row>
    <row r="1200" spans="1:6" x14ac:dyDescent="0.25">
      <c r="A1200" t="s">
        <v>52</v>
      </c>
    </row>
    <row r="1201" spans="1:6" x14ac:dyDescent="0.25">
      <c r="B1201" s="23" t="s">
        <v>36</v>
      </c>
      <c r="C1201" s="23">
        <v>61</v>
      </c>
      <c r="D1201" s="23" t="s">
        <v>37</v>
      </c>
      <c r="E1201" s="32"/>
    </row>
    <row r="1202" spans="1:6" x14ac:dyDescent="0.25">
      <c r="A1202" t="s">
        <v>53</v>
      </c>
    </row>
    <row r="1205" spans="1:6" x14ac:dyDescent="0.25">
      <c r="A1205" t="s">
        <v>23</v>
      </c>
    </row>
    <row r="1206" spans="1:6" x14ac:dyDescent="0.25">
      <c r="C1206" t="s">
        <v>35</v>
      </c>
      <c r="E1206">
        <v>1.7999999999999999E-2</v>
      </c>
    </row>
    <row r="1207" spans="1:6" x14ac:dyDescent="0.25">
      <c r="C1207" t="s">
        <v>34</v>
      </c>
      <c r="D1207">
        <f>E1206*C1201/C1199</f>
        <v>0.27449999999999997</v>
      </c>
    </row>
    <row r="1209" spans="1:6" x14ac:dyDescent="0.25">
      <c r="A1209" t="s">
        <v>33</v>
      </c>
    </row>
    <row r="1211" spans="1:6" x14ac:dyDescent="0.25">
      <c r="B1211" s="38">
        <f>1*C1198*D1207</f>
        <v>5.2404545454545453</v>
      </c>
      <c r="C1211" t="s">
        <v>38</v>
      </c>
      <c r="D1211" s="24" t="s">
        <v>39</v>
      </c>
    </row>
    <row r="1213" spans="1:6" ht="15.75" x14ac:dyDescent="0.25">
      <c r="A1213" s="95" t="s">
        <v>105</v>
      </c>
      <c r="B1213" s="96"/>
      <c r="C1213" s="96"/>
      <c r="D1213" s="96"/>
      <c r="E1213" s="96"/>
      <c r="F1213" s="96"/>
    </row>
    <row r="1214" spans="1:6" ht="15.75" x14ac:dyDescent="0.25">
      <c r="A1214" s="97" t="s">
        <v>190</v>
      </c>
      <c r="B1214" s="97"/>
      <c r="C1214" s="97"/>
      <c r="D1214" s="97"/>
      <c r="E1214" s="97"/>
      <c r="F1214" s="97"/>
    </row>
    <row r="1215" spans="1:6" x14ac:dyDescent="0.25">
      <c r="A1215" t="s">
        <v>22</v>
      </c>
    </row>
    <row r="1216" spans="1:6" x14ac:dyDescent="0.25">
      <c r="C1216" t="s">
        <v>23</v>
      </c>
    </row>
    <row r="1217" spans="1:5" x14ac:dyDescent="0.25">
      <c r="C1217" t="s">
        <v>24</v>
      </c>
    </row>
    <row r="1218" spans="1:5" x14ac:dyDescent="0.25">
      <c r="C1218" t="s">
        <v>28</v>
      </c>
    </row>
    <row r="1219" spans="1:5" x14ac:dyDescent="0.25">
      <c r="C1219" t="s">
        <v>25</v>
      </c>
    </row>
    <row r="1220" spans="1:5" x14ac:dyDescent="0.25">
      <c r="C1220" t="s">
        <v>26</v>
      </c>
    </row>
    <row r="1222" spans="1:5" x14ac:dyDescent="0.25">
      <c r="B1222" t="s">
        <v>27</v>
      </c>
      <c r="C1222" s="22">
        <f>'CUADRO DE CARGAS'!L60</f>
        <v>4.2727272727272725</v>
      </c>
      <c r="D1222" t="s">
        <v>29</v>
      </c>
      <c r="E1222" t="s">
        <v>30</v>
      </c>
    </row>
    <row r="1223" spans="1:5" x14ac:dyDescent="0.25">
      <c r="B1223" s="23" t="s">
        <v>44</v>
      </c>
      <c r="C1223" s="33">
        <f>1.25*C1222</f>
        <v>5.3409090909090908</v>
      </c>
      <c r="D1223" s="23" t="s">
        <v>29</v>
      </c>
      <c r="E1223" t="s">
        <v>51</v>
      </c>
    </row>
    <row r="1224" spans="1:5" x14ac:dyDescent="0.25">
      <c r="B1224" s="24" t="s">
        <v>31</v>
      </c>
      <c r="C1224" s="24">
        <v>2.5</v>
      </c>
      <c r="D1224" s="24" t="s">
        <v>32</v>
      </c>
    </row>
    <row r="1225" spans="1:5" x14ac:dyDescent="0.25">
      <c r="A1225" t="s">
        <v>52</v>
      </c>
    </row>
    <row r="1226" spans="1:5" x14ac:dyDescent="0.25">
      <c r="B1226" s="23" t="s">
        <v>36</v>
      </c>
      <c r="C1226" s="23">
        <v>75</v>
      </c>
      <c r="D1226" s="23" t="s">
        <v>37</v>
      </c>
      <c r="E1226" s="32"/>
    </row>
    <row r="1227" spans="1:5" x14ac:dyDescent="0.25">
      <c r="A1227" t="s">
        <v>53</v>
      </c>
    </row>
    <row r="1230" spans="1:5" x14ac:dyDescent="0.25">
      <c r="A1230" t="s">
        <v>23</v>
      </c>
    </row>
    <row r="1231" spans="1:5" x14ac:dyDescent="0.25">
      <c r="C1231" t="s">
        <v>35</v>
      </c>
      <c r="E1231">
        <v>1.7999999999999999E-2</v>
      </c>
    </row>
    <row r="1232" spans="1:5" x14ac:dyDescent="0.25">
      <c r="C1232" t="s">
        <v>34</v>
      </c>
      <c r="D1232">
        <f>E1231*C1226/C1224</f>
        <v>0.53999999999999992</v>
      </c>
    </row>
    <row r="1234" spans="1:6" x14ac:dyDescent="0.25">
      <c r="A1234" t="s">
        <v>33</v>
      </c>
    </row>
    <row r="1236" spans="1:6" x14ac:dyDescent="0.25">
      <c r="B1236" s="38">
        <f>1*C1223*D1232</f>
        <v>2.8840909090909088</v>
      </c>
      <c r="C1236" t="s">
        <v>38</v>
      </c>
      <c r="D1236" s="24" t="s">
        <v>39</v>
      </c>
    </row>
    <row r="1238" spans="1:6" ht="15.75" x14ac:dyDescent="0.25">
      <c r="A1238" s="95" t="s">
        <v>106</v>
      </c>
      <c r="B1238" s="96"/>
      <c r="C1238" s="96"/>
      <c r="D1238" s="96"/>
      <c r="E1238" s="96"/>
      <c r="F1238" s="96"/>
    </row>
    <row r="1239" spans="1:6" ht="15.75" x14ac:dyDescent="0.25">
      <c r="A1239" s="97" t="s">
        <v>173</v>
      </c>
      <c r="B1239" s="97"/>
      <c r="C1239" s="97"/>
      <c r="D1239" s="97"/>
      <c r="E1239" s="97"/>
      <c r="F1239" s="97"/>
    </row>
    <row r="1240" spans="1:6" x14ac:dyDescent="0.25">
      <c r="A1240" t="s">
        <v>22</v>
      </c>
    </row>
    <row r="1241" spans="1:6" x14ac:dyDescent="0.25">
      <c r="C1241" t="s">
        <v>23</v>
      </c>
    </row>
    <row r="1242" spans="1:6" x14ac:dyDescent="0.25">
      <c r="C1242" t="s">
        <v>24</v>
      </c>
    </row>
    <row r="1243" spans="1:6" x14ac:dyDescent="0.25">
      <c r="C1243" t="s">
        <v>28</v>
      </c>
    </row>
    <row r="1244" spans="1:6" x14ac:dyDescent="0.25">
      <c r="C1244" t="s">
        <v>25</v>
      </c>
    </row>
    <row r="1245" spans="1:6" x14ac:dyDescent="0.25">
      <c r="C1245" t="s">
        <v>26</v>
      </c>
    </row>
    <row r="1247" spans="1:6" x14ac:dyDescent="0.25">
      <c r="B1247" t="s">
        <v>27</v>
      </c>
      <c r="C1247" s="22">
        <f>'CUADRO DE CARGAS'!L61</f>
        <v>1.5363636363636364</v>
      </c>
      <c r="D1247" t="s">
        <v>29</v>
      </c>
      <c r="E1247" t="s">
        <v>30</v>
      </c>
    </row>
    <row r="1248" spans="1:6" x14ac:dyDescent="0.25">
      <c r="B1248" s="23" t="s">
        <v>44</v>
      </c>
      <c r="C1248" s="33">
        <f>1.25*C1247</f>
        <v>1.9204545454545454</v>
      </c>
      <c r="D1248" s="23" t="s">
        <v>29</v>
      </c>
      <c r="E1248" t="s">
        <v>51</v>
      </c>
    </row>
    <row r="1249" spans="1:6" x14ac:dyDescent="0.25">
      <c r="B1249" s="24" t="s">
        <v>31</v>
      </c>
      <c r="C1249" s="24">
        <v>2.5</v>
      </c>
      <c r="D1249" s="24" t="s">
        <v>32</v>
      </c>
    </row>
    <row r="1250" spans="1:6" x14ac:dyDescent="0.25">
      <c r="A1250" t="s">
        <v>52</v>
      </c>
    </row>
    <row r="1251" spans="1:6" x14ac:dyDescent="0.25">
      <c r="B1251" s="23" t="s">
        <v>36</v>
      </c>
      <c r="C1251" s="23">
        <v>55</v>
      </c>
      <c r="D1251" s="23" t="s">
        <v>37</v>
      </c>
      <c r="E1251" s="32"/>
    </row>
    <row r="1252" spans="1:6" x14ac:dyDescent="0.25">
      <c r="A1252" t="s">
        <v>53</v>
      </c>
    </row>
    <row r="1255" spans="1:6" x14ac:dyDescent="0.25">
      <c r="A1255" t="s">
        <v>23</v>
      </c>
    </row>
    <row r="1256" spans="1:6" x14ac:dyDescent="0.25">
      <c r="C1256" t="s">
        <v>35</v>
      </c>
      <c r="E1256">
        <v>1.7999999999999999E-2</v>
      </c>
    </row>
    <row r="1257" spans="1:6" x14ac:dyDescent="0.25">
      <c r="C1257" t="s">
        <v>34</v>
      </c>
      <c r="D1257">
        <f>E1256*C1251/C1249</f>
        <v>0.39599999999999996</v>
      </c>
    </row>
    <row r="1259" spans="1:6" x14ac:dyDescent="0.25">
      <c r="A1259" t="s">
        <v>33</v>
      </c>
    </row>
    <row r="1261" spans="1:6" x14ac:dyDescent="0.25">
      <c r="B1261" s="38">
        <f>1*C1248*D1257</f>
        <v>0.76049999999999995</v>
      </c>
      <c r="C1261" t="s">
        <v>38</v>
      </c>
      <c r="D1261" s="24" t="s">
        <v>39</v>
      </c>
    </row>
    <row r="1263" spans="1:6" ht="15.75" x14ac:dyDescent="0.25">
      <c r="A1263" s="95"/>
      <c r="B1263" s="96"/>
      <c r="C1263" s="96"/>
      <c r="D1263" s="96"/>
      <c r="E1263" s="96"/>
      <c r="F1263" s="96"/>
    </row>
    <row r="1264" spans="1:6" ht="15.75" x14ac:dyDescent="0.25">
      <c r="A1264" s="96" t="s">
        <v>108</v>
      </c>
      <c r="B1264" s="96"/>
      <c r="C1264" s="96"/>
      <c r="D1264" s="96"/>
      <c r="E1264" s="96"/>
      <c r="F1264" s="96"/>
    </row>
    <row r="1265" spans="1:6" ht="15.75" x14ac:dyDescent="0.25">
      <c r="A1265" s="97" t="s">
        <v>191</v>
      </c>
      <c r="B1265" s="97"/>
      <c r="C1265" s="97"/>
      <c r="D1265" s="97"/>
      <c r="E1265" s="97"/>
      <c r="F1265" s="97"/>
    </row>
    <row r="1266" spans="1:6" x14ac:dyDescent="0.25">
      <c r="A1266" t="s">
        <v>22</v>
      </c>
    </row>
    <row r="1267" spans="1:6" x14ac:dyDescent="0.25">
      <c r="C1267" t="s">
        <v>23</v>
      </c>
    </row>
    <row r="1268" spans="1:6" x14ac:dyDescent="0.25">
      <c r="C1268" t="s">
        <v>24</v>
      </c>
    </row>
    <row r="1269" spans="1:6" x14ac:dyDescent="0.25">
      <c r="C1269" t="s">
        <v>28</v>
      </c>
    </row>
    <row r="1270" spans="1:6" x14ac:dyDescent="0.25">
      <c r="C1270" t="s">
        <v>25</v>
      </c>
    </row>
    <row r="1271" spans="1:6" x14ac:dyDescent="0.25">
      <c r="C1271" t="s">
        <v>26</v>
      </c>
    </row>
    <row r="1273" spans="1:6" x14ac:dyDescent="0.25">
      <c r="B1273" t="s">
        <v>27</v>
      </c>
      <c r="C1273" s="22">
        <f>'CUADRO DE CARGAS'!L62</f>
        <v>4.0590909090909095</v>
      </c>
      <c r="D1273" t="s">
        <v>29</v>
      </c>
      <c r="E1273" t="s">
        <v>30</v>
      </c>
    </row>
    <row r="1274" spans="1:6" x14ac:dyDescent="0.25">
      <c r="B1274" s="23" t="s">
        <v>44</v>
      </c>
      <c r="C1274" s="33">
        <f>1.25*C1273</f>
        <v>5.0738636363636367</v>
      </c>
      <c r="D1274" s="23" t="s">
        <v>29</v>
      </c>
      <c r="E1274" t="s">
        <v>51</v>
      </c>
    </row>
    <row r="1275" spans="1:6" x14ac:dyDescent="0.25">
      <c r="B1275" s="24" t="s">
        <v>31</v>
      </c>
      <c r="C1275" s="24">
        <v>2.5</v>
      </c>
      <c r="D1275" s="24" t="s">
        <v>32</v>
      </c>
    </row>
    <row r="1276" spans="1:6" x14ac:dyDescent="0.25">
      <c r="A1276" t="s">
        <v>52</v>
      </c>
    </row>
    <row r="1277" spans="1:6" x14ac:dyDescent="0.25">
      <c r="B1277" s="23" t="s">
        <v>36</v>
      </c>
      <c r="C1277" s="23">
        <v>78</v>
      </c>
      <c r="D1277" s="23" t="s">
        <v>37</v>
      </c>
      <c r="E1277" s="32"/>
    </row>
    <row r="1278" spans="1:6" x14ac:dyDescent="0.25">
      <c r="A1278" t="s">
        <v>53</v>
      </c>
    </row>
    <row r="1281" spans="1:6" x14ac:dyDescent="0.25">
      <c r="A1281" t="s">
        <v>23</v>
      </c>
    </row>
    <row r="1282" spans="1:6" x14ac:dyDescent="0.25">
      <c r="C1282" t="s">
        <v>35</v>
      </c>
      <c r="E1282">
        <v>1.7999999999999999E-2</v>
      </c>
    </row>
    <row r="1283" spans="1:6" x14ac:dyDescent="0.25">
      <c r="C1283" t="s">
        <v>34</v>
      </c>
      <c r="D1283">
        <f>E1282*C1277/C1275</f>
        <v>0.56159999999999999</v>
      </c>
    </row>
    <row r="1285" spans="1:6" x14ac:dyDescent="0.25">
      <c r="A1285" t="s">
        <v>33</v>
      </c>
    </row>
    <row r="1287" spans="1:6" x14ac:dyDescent="0.25">
      <c r="B1287" s="38">
        <f>1*C1274*D1283</f>
        <v>2.8494818181818182</v>
      </c>
      <c r="C1287" t="s">
        <v>38</v>
      </c>
      <c r="D1287" s="24" t="s">
        <v>39</v>
      </c>
    </row>
    <row r="1289" spans="1:6" ht="15.75" x14ac:dyDescent="0.25">
      <c r="A1289" s="96" t="s">
        <v>109</v>
      </c>
      <c r="B1289" s="96"/>
      <c r="C1289" s="96"/>
      <c r="D1289" s="96"/>
      <c r="E1289" s="96"/>
      <c r="F1289" s="96"/>
    </row>
    <row r="1290" spans="1:6" ht="15.75" x14ac:dyDescent="0.25">
      <c r="A1290" s="97" t="s">
        <v>191</v>
      </c>
      <c r="B1290" s="97"/>
      <c r="C1290" s="97"/>
      <c r="D1290" s="97"/>
      <c r="E1290" s="97"/>
      <c r="F1290" s="97"/>
    </row>
    <row r="1291" spans="1:6" x14ac:dyDescent="0.25">
      <c r="A1291" t="s">
        <v>22</v>
      </c>
    </row>
    <row r="1292" spans="1:6" x14ac:dyDescent="0.25">
      <c r="C1292" t="s">
        <v>23</v>
      </c>
    </row>
    <row r="1293" spans="1:6" x14ac:dyDescent="0.25">
      <c r="C1293" t="s">
        <v>24</v>
      </c>
    </row>
    <row r="1294" spans="1:6" x14ac:dyDescent="0.25">
      <c r="C1294" t="s">
        <v>28</v>
      </c>
    </row>
    <row r="1295" spans="1:6" x14ac:dyDescent="0.25">
      <c r="C1295" t="s">
        <v>25</v>
      </c>
    </row>
    <row r="1296" spans="1:6" x14ac:dyDescent="0.25">
      <c r="C1296" t="s">
        <v>26</v>
      </c>
    </row>
    <row r="1298" spans="1:5" x14ac:dyDescent="0.25">
      <c r="B1298" t="s">
        <v>27</v>
      </c>
      <c r="C1298" s="22">
        <f>'CUADRO DE CARGAS'!L63</f>
        <v>3.2045454545454546</v>
      </c>
      <c r="D1298" t="s">
        <v>29</v>
      </c>
      <c r="E1298" t="s">
        <v>30</v>
      </c>
    </row>
    <row r="1299" spans="1:5" x14ac:dyDescent="0.25">
      <c r="B1299" s="23" t="s">
        <v>44</v>
      </c>
      <c r="C1299" s="33">
        <f>1.25*C1298</f>
        <v>4.0056818181818183</v>
      </c>
      <c r="D1299" s="23" t="s">
        <v>29</v>
      </c>
      <c r="E1299" t="s">
        <v>51</v>
      </c>
    </row>
    <row r="1300" spans="1:5" x14ac:dyDescent="0.25">
      <c r="B1300" s="24" t="s">
        <v>31</v>
      </c>
      <c r="C1300" s="24">
        <v>2.5</v>
      </c>
      <c r="D1300" s="24" t="s">
        <v>32</v>
      </c>
    </row>
    <row r="1301" spans="1:5" x14ac:dyDescent="0.25">
      <c r="A1301" t="s">
        <v>52</v>
      </c>
    </row>
    <row r="1302" spans="1:5" x14ac:dyDescent="0.25">
      <c r="B1302" s="23" t="s">
        <v>36</v>
      </c>
      <c r="C1302" s="23">
        <v>85</v>
      </c>
      <c r="D1302" s="23" t="s">
        <v>37</v>
      </c>
      <c r="E1302" s="32"/>
    </row>
    <row r="1303" spans="1:5" x14ac:dyDescent="0.25">
      <c r="A1303" t="s">
        <v>53</v>
      </c>
    </row>
    <row r="1306" spans="1:5" x14ac:dyDescent="0.25">
      <c r="A1306" t="s">
        <v>23</v>
      </c>
    </row>
    <row r="1307" spans="1:5" x14ac:dyDescent="0.25">
      <c r="C1307" t="s">
        <v>35</v>
      </c>
      <c r="E1307">
        <v>1.7999999999999999E-2</v>
      </c>
    </row>
    <row r="1308" spans="1:5" x14ac:dyDescent="0.25">
      <c r="C1308" t="s">
        <v>34</v>
      </c>
      <c r="D1308">
        <f>E1307*C1302/C1300</f>
        <v>0.61199999999999988</v>
      </c>
    </row>
    <row r="1310" spans="1:5" x14ac:dyDescent="0.25">
      <c r="A1310" t="s">
        <v>33</v>
      </c>
    </row>
    <row r="1312" spans="1:5" x14ac:dyDescent="0.25">
      <c r="B1312" s="38">
        <f>1*C1299*D1308</f>
        <v>2.4514772727272724</v>
      </c>
      <c r="C1312" t="s">
        <v>38</v>
      </c>
      <c r="D1312" s="24" t="s">
        <v>39</v>
      </c>
    </row>
    <row r="1314" spans="1:6" ht="15.75" x14ac:dyDescent="0.25">
      <c r="A1314" s="96" t="s">
        <v>110</v>
      </c>
      <c r="B1314" s="96"/>
      <c r="C1314" s="96"/>
      <c r="D1314" s="96"/>
      <c r="E1314" s="96"/>
      <c r="F1314" s="96"/>
    </row>
    <row r="1315" spans="1:6" ht="15.75" x14ac:dyDescent="0.25">
      <c r="A1315" s="97" t="s">
        <v>192</v>
      </c>
      <c r="B1315" s="97"/>
      <c r="C1315" s="97"/>
      <c r="D1315" s="97"/>
      <c r="E1315" s="97"/>
      <c r="F1315" s="97"/>
    </row>
    <row r="1316" spans="1:6" x14ac:dyDescent="0.25">
      <c r="A1316" t="s">
        <v>22</v>
      </c>
    </row>
    <row r="1317" spans="1:6" x14ac:dyDescent="0.25">
      <c r="C1317" t="s">
        <v>23</v>
      </c>
    </row>
    <row r="1318" spans="1:6" x14ac:dyDescent="0.25">
      <c r="C1318" t="s">
        <v>24</v>
      </c>
    </row>
    <row r="1319" spans="1:6" x14ac:dyDescent="0.25">
      <c r="C1319" t="s">
        <v>28</v>
      </c>
    </row>
    <row r="1320" spans="1:6" x14ac:dyDescent="0.25">
      <c r="C1320" t="s">
        <v>25</v>
      </c>
    </row>
    <row r="1321" spans="1:6" x14ac:dyDescent="0.25">
      <c r="C1321" t="s">
        <v>26</v>
      </c>
    </row>
    <row r="1323" spans="1:6" x14ac:dyDescent="0.25">
      <c r="B1323" t="s">
        <v>27</v>
      </c>
      <c r="C1323" s="22">
        <f>'CUADRO DE CARGAS'!L64</f>
        <v>3.0681818181818183</v>
      </c>
      <c r="D1323" t="s">
        <v>29</v>
      </c>
      <c r="E1323" t="s">
        <v>30</v>
      </c>
    </row>
    <row r="1324" spans="1:6" x14ac:dyDescent="0.25">
      <c r="B1324" s="23" t="s">
        <v>44</v>
      </c>
      <c r="C1324" s="33">
        <f>1.25*C1323</f>
        <v>3.8352272727272729</v>
      </c>
      <c r="D1324" s="23" t="s">
        <v>29</v>
      </c>
      <c r="E1324" t="s">
        <v>51</v>
      </c>
    </row>
    <row r="1325" spans="1:6" x14ac:dyDescent="0.25">
      <c r="B1325" s="24" t="s">
        <v>31</v>
      </c>
      <c r="C1325" s="24">
        <v>2.5</v>
      </c>
      <c r="D1325" s="24" t="s">
        <v>32</v>
      </c>
    </row>
    <row r="1326" spans="1:6" x14ac:dyDescent="0.25">
      <c r="A1326" t="s">
        <v>52</v>
      </c>
    </row>
    <row r="1327" spans="1:6" x14ac:dyDescent="0.25">
      <c r="B1327" s="23" t="s">
        <v>36</v>
      </c>
      <c r="C1327" s="23">
        <v>110</v>
      </c>
      <c r="D1327" s="23" t="s">
        <v>37</v>
      </c>
      <c r="E1327" s="32"/>
    </row>
    <row r="1328" spans="1:6" x14ac:dyDescent="0.25">
      <c r="A1328" t="s">
        <v>53</v>
      </c>
    </row>
    <row r="1331" spans="1:6" x14ac:dyDescent="0.25">
      <c r="A1331" t="s">
        <v>23</v>
      </c>
    </row>
    <row r="1332" spans="1:6" x14ac:dyDescent="0.25">
      <c r="C1332" t="s">
        <v>35</v>
      </c>
      <c r="E1332">
        <v>1.7999999999999999E-2</v>
      </c>
    </row>
    <row r="1333" spans="1:6" x14ac:dyDescent="0.25">
      <c r="C1333" t="s">
        <v>34</v>
      </c>
      <c r="D1333">
        <f>E1332*C1327/C1325</f>
        <v>0.79199999999999993</v>
      </c>
    </row>
    <row r="1335" spans="1:6" x14ac:dyDescent="0.25">
      <c r="A1335" t="s">
        <v>33</v>
      </c>
    </row>
    <row r="1337" spans="1:6" x14ac:dyDescent="0.25">
      <c r="B1337" s="38">
        <f>1*C1324*D1333</f>
        <v>3.0375000000000001</v>
      </c>
      <c r="C1337" t="s">
        <v>38</v>
      </c>
      <c r="D1337" s="24" t="s">
        <v>39</v>
      </c>
    </row>
    <row r="1339" spans="1:6" ht="15.75" x14ac:dyDescent="0.25">
      <c r="A1339" s="95" t="s">
        <v>59</v>
      </c>
      <c r="B1339" s="96"/>
      <c r="C1339" s="96"/>
      <c r="D1339" s="96"/>
      <c r="E1339" s="96"/>
      <c r="F1339" s="96"/>
    </row>
    <row r="1340" spans="1:6" ht="15.75" x14ac:dyDescent="0.25">
      <c r="A1340" s="96" t="s">
        <v>99</v>
      </c>
      <c r="B1340" s="96"/>
      <c r="C1340" s="96"/>
      <c r="D1340" s="96"/>
      <c r="E1340" s="96"/>
      <c r="F1340" s="96"/>
    </row>
    <row r="1341" spans="1:6" ht="15.75" x14ac:dyDescent="0.25">
      <c r="A1341" s="97" t="s">
        <v>153</v>
      </c>
      <c r="B1341" s="97"/>
      <c r="C1341" s="97"/>
      <c r="D1341" s="97"/>
      <c r="E1341" s="97"/>
      <c r="F1341" s="97"/>
    </row>
    <row r="1342" spans="1:6" x14ac:dyDescent="0.25">
      <c r="A1342" t="s">
        <v>22</v>
      </c>
    </row>
    <row r="1343" spans="1:6" x14ac:dyDescent="0.25">
      <c r="C1343" t="s">
        <v>23</v>
      </c>
    </row>
    <row r="1344" spans="1:6" x14ac:dyDescent="0.25">
      <c r="C1344" t="s">
        <v>24</v>
      </c>
    </row>
    <row r="1345" spans="1:5" x14ac:dyDescent="0.25">
      <c r="C1345" t="s">
        <v>28</v>
      </c>
    </row>
    <row r="1346" spans="1:5" x14ac:dyDescent="0.25">
      <c r="C1346" t="s">
        <v>25</v>
      </c>
    </row>
    <row r="1347" spans="1:5" x14ac:dyDescent="0.25">
      <c r="C1347" t="s">
        <v>26</v>
      </c>
    </row>
    <row r="1349" spans="1:5" x14ac:dyDescent="0.25">
      <c r="B1349" t="s">
        <v>27</v>
      </c>
      <c r="C1349" s="22">
        <f>'CUADRO DE CARGAS'!L66</f>
        <v>32.727272727272727</v>
      </c>
      <c r="D1349" t="s">
        <v>29</v>
      </c>
      <c r="E1349" t="s">
        <v>30</v>
      </c>
    </row>
    <row r="1350" spans="1:5" x14ac:dyDescent="0.25">
      <c r="B1350" s="23" t="s">
        <v>44</v>
      </c>
      <c r="C1350" s="33">
        <f>1.25*C1349</f>
        <v>40.909090909090907</v>
      </c>
      <c r="D1350" s="23" t="s">
        <v>29</v>
      </c>
      <c r="E1350" t="s">
        <v>51</v>
      </c>
    </row>
    <row r="1351" spans="1:5" x14ac:dyDescent="0.25">
      <c r="B1351" s="24" t="s">
        <v>31</v>
      </c>
      <c r="C1351" s="24">
        <v>6</v>
      </c>
      <c r="D1351" s="24" t="s">
        <v>32</v>
      </c>
    </row>
    <row r="1352" spans="1:5" x14ac:dyDescent="0.25">
      <c r="A1352" t="s">
        <v>52</v>
      </c>
    </row>
    <row r="1353" spans="1:5" x14ac:dyDescent="0.25">
      <c r="B1353" s="23" t="s">
        <v>36</v>
      </c>
      <c r="C1353" s="23">
        <v>12</v>
      </c>
      <c r="D1353" s="23" t="s">
        <v>37</v>
      </c>
      <c r="E1353" s="32"/>
    </row>
    <row r="1354" spans="1:5" x14ac:dyDescent="0.25">
      <c r="A1354" t="s">
        <v>53</v>
      </c>
    </row>
    <row r="1357" spans="1:5" x14ac:dyDescent="0.25">
      <c r="A1357" t="s">
        <v>23</v>
      </c>
    </row>
    <row r="1358" spans="1:5" x14ac:dyDescent="0.25">
      <c r="C1358" t="s">
        <v>35</v>
      </c>
      <c r="E1358">
        <v>1.7999999999999999E-2</v>
      </c>
    </row>
    <row r="1359" spans="1:5" x14ac:dyDescent="0.25">
      <c r="C1359" t="s">
        <v>34</v>
      </c>
      <c r="D1359">
        <f>E1358*C1353/C1351</f>
        <v>3.5999999999999997E-2</v>
      </c>
    </row>
    <row r="1361" spans="1:6" x14ac:dyDescent="0.25">
      <c r="A1361" t="s">
        <v>33</v>
      </c>
    </row>
    <row r="1363" spans="1:6" x14ac:dyDescent="0.25">
      <c r="B1363" s="38">
        <f>1*C1350*D1359</f>
        <v>1.4727272727272724</v>
      </c>
      <c r="C1363" t="s">
        <v>38</v>
      </c>
      <c r="D1363" s="24" t="s">
        <v>39</v>
      </c>
    </row>
    <row r="1365" spans="1:6" ht="15.75" x14ac:dyDescent="0.25">
      <c r="A1365" s="95" t="s">
        <v>60</v>
      </c>
      <c r="B1365" s="96"/>
      <c r="C1365" s="96"/>
      <c r="D1365" s="96"/>
      <c r="E1365" s="96"/>
      <c r="F1365" s="96"/>
    </row>
    <row r="1366" spans="1:6" ht="15.75" x14ac:dyDescent="0.25">
      <c r="A1366" s="96" t="s">
        <v>99</v>
      </c>
      <c r="B1366" s="96"/>
      <c r="C1366" s="96"/>
      <c r="D1366" s="96"/>
      <c r="E1366" s="96"/>
      <c r="F1366" s="96"/>
    </row>
    <row r="1367" spans="1:6" ht="15.75" x14ac:dyDescent="0.25">
      <c r="A1367" s="97" t="s">
        <v>154</v>
      </c>
      <c r="B1367" s="97"/>
      <c r="C1367" s="97"/>
      <c r="D1367" s="97"/>
      <c r="E1367" s="97"/>
      <c r="F1367" s="97"/>
    </row>
    <row r="1368" spans="1:6" x14ac:dyDescent="0.25">
      <c r="A1368" t="s">
        <v>22</v>
      </c>
    </row>
    <row r="1369" spans="1:6" x14ac:dyDescent="0.25">
      <c r="C1369" t="s">
        <v>23</v>
      </c>
    </row>
    <row r="1370" spans="1:6" x14ac:dyDescent="0.25">
      <c r="C1370" t="s">
        <v>24</v>
      </c>
    </row>
    <row r="1371" spans="1:6" x14ac:dyDescent="0.25">
      <c r="C1371" t="s">
        <v>28</v>
      </c>
    </row>
    <row r="1372" spans="1:6" x14ac:dyDescent="0.25">
      <c r="C1372" t="s">
        <v>25</v>
      </c>
    </row>
    <row r="1373" spans="1:6" x14ac:dyDescent="0.25">
      <c r="C1373" t="s">
        <v>26</v>
      </c>
    </row>
    <row r="1375" spans="1:6" x14ac:dyDescent="0.25">
      <c r="B1375" t="s">
        <v>27</v>
      </c>
      <c r="C1375" s="22">
        <f>'CUADRO DE CARGAS'!L68</f>
        <v>10.181818181818182</v>
      </c>
      <c r="D1375" t="s">
        <v>29</v>
      </c>
      <c r="E1375" t="s">
        <v>30</v>
      </c>
    </row>
    <row r="1376" spans="1:6" x14ac:dyDescent="0.25">
      <c r="B1376" s="23" t="s">
        <v>44</v>
      </c>
      <c r="C1376" s="33">
        <f>1.25*C1375</f>
        <v>12.727272727272727</v>
      </c>
      <c r="D1376" s="23" t="s">
        <v>29</v>
      </c>
      <c r="E1376" t="s">
        <v>51</v>
      </c>
    </row>
    <row r="1377" spans="1:6" x14ac:dyDescent="0.25">
      <c r="B1377" s="24" t="s">
        <v>31</v>
      </c>
      <c r="C1377" s="24">
        <v>4</v>
      </c>
      <c r="D1377" s="24" t="s">
        <v>32</v>
      </c>
    </row>
    <row r="1378" spans="1:6" x14ac:dyDescent="0.25">
      <c r="A1378" t="s">
        <v>52</v>
      </c>
    </row>
    <row r="1379" spans="1:6" x14ac:dyDescent="0.25">
      <c r="B1379" s="23" t="s">
        <v>36</v>
      </c>
      <c r="C1379" s="23">
        <v>32</v>
      </c>
      <c r="D1379" s="23" t="s">
        <v>37</v>
      </c>
      <c r="E1379" s="32"/>
    </row>
    <row r="1380" spans="1:6" x14ac:dyDescent="0.25">
      <c r="A1380" t="s">
        <v>53</v>
      </c>
    </row>
    <row r="1383" spans="1:6" x14ac:dyDescent="0.25">
      <c r="A1383" t="s">
        <v>23</v>
      </c>
    </row>
    <row r="1384" spans="1:6" x14ac:dyDescent="0.25">
      <c r="C1384" t="s">
        <v>35</v>
      </c>
      <c r="E1384">
        <v>1.7999999999999999E-2</v>
      </c>
    </row>
    <row r="1385" spans="1:6" x14ac:dyDescent="0.25">
      <c r="C1385" t="s">
        <v>34</v>
      </c>
      <c r="D1385">
        <f>E1384*C1379/C1377</f>
        <v>0.14399999999999999</v>
      </c>
    </row>
    <row r="1387" spans="1:6" x14ac:dyDescent="0.25">
      <c r="A1387" t="s">
        <v>33</v>
      </c>
    </row>
    <row r="1389" spans="1:6" x14ac:dyDescent="0.25">
      <c r="B1389" s="38">
        <f>1*C1376*D1385</f>
        <v>1.8327272727272725</v>
      </c>
      <c r="C1389" t="s">
        <v>38</v>
      </c>
      <c r="D1389" s="24" t="s">
        <v>39</v>
      </c>
    </row>
    <row r="1391" spans="1:6" ht="15.75" x14ac:dyDescent="0.25">
      <c r="A1391" s="96" t="s">
        <v>100</v>
      </c>
      <c r="B1391" s="96"/>
      <c r="C1391" s="96"/>
      <c r="D1391" s="96"/>
      <c r="E1391" s="96"/>
      <c r="F1391" s="96"/>
    </row>
    <row r="1392" spans="1:6" ht="15.75" x14ac:dyDescent="0.25">
      <c r="A1392" s="97" t="s">
        <v>154</v>
      </c>
      <c r="B1392" s="97"/>
      <c r="C1392" s="97"/>
      <c r="D1392" s="97"/>
      <c r="E1392" s="97"/>
      <c r="F1392" s="97"/>
    </row>
    <row r="1393" spans="1:5" x14ac:dyDescent="0.25">
      <c r="A1393" t="s">
        <v>22</v>
      </c>
    </row>
    <row r="1394" spans="1:5" x14ac:dyDescent="0.25">
      <c r="C1394" t="s">
        <v>23</v>
      </c>
    </row>
    <row r="1395" spans="1:5" x14ac:dyDescent="0.25">
      <c r="C1395" t="s">
        <v>24</v>
      </c>
    </row>
    <row r="1396" spans="1:5" x14ac:dyDescent="0.25">
      <c r="C1396" t="s">
        <v>28</v>
      </c>
    </row>
    <row r="1397" spans="1:5" x14ac:dyDescent="0.25">
      <c r="C1397" t="s">
        <v>25</v>
      </c>
    </row>
    <row r="1398" spans="1:5" x14ac:dyDescent="0.25">
      <c r="C1398" t="s">
        <v>26</v>
      </c>
    </row>
    <row r="1400" spans="1:5" x14ac:dyDescent="0.25">
      <c r="B1400" t="s">
        <v>27</v>
      </c>
      <c r="C1400" s="22">
        <f>'CUADRO DE CARGAS'!L69</f>
        <v>10.181818181818182</v>
      </c>
      <c r="D1400" t="s">
        <v>29</v>
      </c>
      <c r="E1400" t="s">
        <v>30</v>
      </c>
    </row>
    <row r="1401" spans="1:5" x14ac:dyDescent="0.25">
      <c r="B1401" s="23" t="s">
        <v>44</v>
      </c>
      <c r="C1401" s="33">
        <f>1.25*C1400</f>
        <v>12.727272727272727</v>
      </c>
      <c r="D1401" s="23" t="s">
        <v>29</v>
      </c>
      <c r="E1401" t="s">
        <v>51</v>
      </c>
    </row>
    <row r="1402" spans="1:5" x14ac:dyDescent="0.25">
      <c r="B1402" s="24" t="s">
        <v>31</v>
      </c>
      <c r="C1402" s="24">
        <v>4</v>
      </c>
      <c r="D1402" s="24" t="s">
        <v>32</v>
      </c>
    </row>
    <row r="1403" spans="1:5" x14ac:dyDescent="0.25">
      <c r="A1403" t="s">
        <v>52</v>
      </c>
    </row>
    <row r="1404" spans="1:5" x14ac:dyDescent="0.25">
      <c r="B1404" s="23" t="s">
        <v>36</v>
      </c>
      <c r="C1404" s="23">
        <v>31</v>
      </c>
      <c r="D1404" s="23" t="s">
        <v>37</v>
      </c>
      <c r="E1404" s="32"/>
    </row>
    <row r="1405" spans="1:5" x14ac:dyDescent="0.25">
      <c r="A1405" t="s">
        <v>53</v>
      </c>
    </row>
    <row r="1408" spans="1:5" x14ac:dyDescent="0.25">
      <c r="A1408" t="s">
        <v>23</v>
      </c>
    </row>
    <row r="1409" spans="1:6" x14ac:dyDescent="0.25">
      <c r="C1409" t="s">
        <v>35</v>
      </c>
      <c r="E1409">
        <v>1.7999999999999999E-2</v>
      </c>
    </row>
    <row r="1410" spans="1:6" x14ac:dyDescent="0.25">
      <c r="C1410" t="s">
        <v>34</v>
      </c>
      <c r="D1410">
        <f>E1409*C1404/C1402</f>
        <v>0.13949999999999999</v>
      </c>
    </row>
    <row r="1412" spans="1:6" x14ac:dyDescent="0.25">
      <c r="A1412" t="s">
        <v>33</v>
      </c>
    </row>
    <row r="1414" spans="1:6" x14ac:dyDescent="0.25">
      <c r="B1414" s="38">
        <f>1*C1401*D1410</f>
        <v>1.7754545454545452</v>
      </c>
      <c r="C1414" t="s">
        <v>38</v>
      </c>
      <c r="D1414" s="24" t="s">
        <v>39</v>
      </c>
    </row>
    <row r="1416" spans="1:6" ht="15.75" x14ac:dyDescent="0.25">
      <c r="A1416" s="95" t="s">
        <v>104</v>
      </c>
      <c r="B1416" s="96"/>
      <c r="C1416" s="96"/>
      <c r="D1416" s="96"/>
      <c r="E1416" s="96"/>
      <c r="F1416" s="96"/>
    </row>
    <row r="1417" spans="1:6" ht="15.75" x14ac:dyDescent="0.25">
      <c r="A1417" s="97" t="s">
        <v>155</v>
      </c>
      <c r="B1417" s="97"/>
      <c r="C1417" s="97"/>
      <c r="D1417" s="97"/>
      <c r="E1417" s="97"/>
      <c r="F1417" s="97"/>
    </row>
    <row r="1418" spans="1:6" x14ac:dyDescent="0.25">
      <c r="A1418" t="s">
        <v>22</v>
      </c>
    </row>
    <row r="1419" spans="1:6" x14ac:dyDescent="0.25">
      <c r="C1419" t="s">
        <v>23</v>
      </c>
    </row>
    <row r="1420" spans="1:6" x14ac:dyDescent="0.25">
      <c r="C1420" t="s">
        <v>24</v>
      </c>
    </row>
    <row r="1421" spans="1:6" x14ac:dyDescent="0.25">
      <c r="C1421" t="s">
        <v>28</v>
      </c>
    </row>
    <row r="1422" spans="1:6" x14ac:dyDescent="0.25">
      <c r="C1422" t="s">
        <v>25</v>
      </c>
    </row>
    <row r="1423" spans="1:6" x14ac:dyDescent="0.25">
      <c r="C1423" t="s">
        <v>26</v>
      </c>
    </row>
    <row r="1425" spans="1:5" x14ac:dyDescent="0.25">
      <c r="B1425" t="s">
        <v>27</v>
      </c>
      <c r="C1425" s="22">
        <f>'CUADRO DE CARGAS'!L70</f>
        <v>15.272727272727273</v>
      </c>
      <c r="D1425" t="s">
        <v>29</v>
      </c>
      <c r="E1425" t="s">
        <v>30</v>
      </c>
    </row>
    <row r="1426" spans="1:5" x14ac:dyDescent="0.25">
      <c r="B1426" s="23" t="s">
        <v>44</v>
      </c>
      <c r="C1426" s="33">
        <f>1.25*C1425</f>
        <v>19.090909090909093</v>
      </c>
      <c r="D1426" s="23" t="s">
        <v>29</v>
      </c>
      <c r="E1426" t="s">
        <v>51</v>
      </c>
    </row>
    <row r="1427" spans="1:5" x14ac:dyDescent="0.25">
      <c r="B1427" s="24" t="s">
        <v>31</v>
      </c>
      <c r="C1427" s="24">
        <v>4</v>
      </c>
      <c r="D1427" s="24" t="s">
        <v>32</v>
      </c>
    </row>
    <row r="1428" spans="1:5" x14ac:dyDescent="0.25">
      <c r="A1428" t="s">
        <v>52</v>
      </c>
    </row>
    <row r="1429" spans="1:5" x14ac:dyDescent="0.25">
      <c r="B1429" s="23" t="s">
        <v>36</v>
      </c>
      <c r="C1429" s="23">
        <v>45</v>
      </c>
      <c r="D1429" s="23" t="s">
        <v>37</v>
      </c>
      <c r="E1429" s="32"/>
    </row>
    <row r="1430" spans="1:5" x14ac:dyDescent="0.25">
      <c r="A1430" t="s">
        <v>53</v>
      </c>
    </row>
    <row r="1433" spans="1:5" x14ac:dyDescent="0.25">
      <c r="A1433" t="s">
        <v>23</v>
      </c>
    </row>
    <row r="1434" spans="1:5" x14ac:dyDescent="0.25">
      <c r="C1434" t="s">
        <v>35</v>
      </c>
      <c r="E1434">
        <v>1.7999999999999999E-2</v>
      </c>
    </row>
    <row r="1435" spans="1:5" x14ac:dyDescent="0.25">
      <c r="C1435" t="s">
        <v>34</v>
      </c>
      <c r="D1435">
        <f>E1434*C1429/C1427</f>
        <v>0.20249999999999999</v>
      </c>
    </row>
    <row r="1437" spans="1:5" x14ac:dyDescent="0.25">
      <c r="A1437" t="s">
        <v>33</v>
      </c>
    </row>
    <row r="1439" spans="1:5" x14ac:dyDescent="0.25">
      <c r="B1439" s="38">
        <f>1*C1426*D1435</f>
        <v>3.8659090909090912</v>
      </c>
      <c r="C1439" t="s">
        <v>38</v>
      </c>
      <c r="D1439" s="24" t="s">
        <v>39</v>
      </c>
    </row>
    <row r="1441" spans="1:6" ht="15.75" x14ac:dyDescent="0.25">
      <c r="A1441" s="95" t="s">
        <v>105</v>
      </c>
      <c r="B1441" s="96"/>
      <c r="C1441" s="96"/>
      <c r="D1441" s="96"/>
      <c r="E1441" s="96"/>
      <c r="F1441" s="96"/>
    </row>
    <row r="1442" spans="1:6" ht="15.75" x14ac:dyDescent="0.25">
      <c r="A1442" s="97" t="s">
        <v>156</v>
      </c>
      <c r="B1442" s="97"/>
      <c r="C1442" s="97"/>
      <c r="D1442" s="97"/>
      <c r="E1442" s="97"/>
      <c r="F1442" s="97"/>
    </row>
    <row r="1443" spans="1:6" x14ac:dyDescent="0.25">
      <c r="A1443" t="s">
        <v>22</v>
      </c>
    </row>
    <row r="1444" spans="1:6" x14ac:dyDescent="0.25">
      <c r="C1444" t="s">
        <v>23</v>
      </c>
    </row>
    <row r="1445" spans="1:6" x14ac:dyDescent="0.25">
      <c r="C1445" t="s">
        <v>24</v>
      </c>
    </row>
    <row r="1446" spans="1:6" x14ac:dyDescent="0.25">
      <c r="C1446" t="s">
        <v>28</v>
      </c>
    </row>
    <row r="1447" spans="1:6" x14ac:dyDescent="0.25">
      <c r="C1447" t="s">
        <v>25</v>
      </c>
    </row>
    <row r="1448" spans="1:6" x14ac:dyDescent="0.25">
      <c r="C1448" t="s">
        <v>26</v>
      </c>
    </row>
    <row r="1450" spans="1:6" x14ac:dyDescent="0.25">
      <c r="B1450" t="s">
        <v>27</v>
      </c>
      <c r="C1450" s="22">
        <f>'CUADRO DE CARGAS'!L71</f>
        <v>11.454545454545455</v>
      </c>
      <c r="D1450" t="s">
        <v>29</v>
      </c>
      <c r="E1450" t="s">
        <v>30</v>
      </c>
    </row>
    <row r="1451" spans="1:6" x14ac:dyDescent="0.25">
      <c r="B1451" s="23" t="s">
        <v>44</v>
      </c>
      <c r="C1451" s="33">
        <f>1.25*C1450</f>
        <v>14.318181818181818</v>
      </c>
      <c r="D1451" s="23" t="s">
        <v>29</v>
      </c>
      <c r="E1451" t="s">
        <v>51</v>
      </c>
    </row>
    <row r="1452" spans="1:6" x14ac:dyDescent="0.25">
      <c r="B1452" s="24" t="s">
        <v>31</v>
      </c>
      <c r="C1452" s="24">
        <v>4</v>
      </c>
      <c r="D1452" s="24" t="s">
        <v>32</v>
      </c>
    </row>
    <row r="1453" spans="1:6" x14ac:dyDescent="0.25">
      <c r="A1453" t="s">
        <v>52</v>
      </c>
    </row>
    <row r="1454" spans="1:6" x14ac:dyDescent="0.25">
      <c r="B1454" s="23" t="s">
        <v>36</v>
      </c>
      <c r="C1454" s="23">
        <v>41</v>
      </c>
      <c r="D1454" s="23" t="s">
        <v>37</v>
      </c>
      <c r="E1454" s="32"/>
    </row>
    <row r="1455" spans="1:6" x14ac:dyDescent="0.25">
      <c r="A1455" t="s">
        <v>53</v>
      </c>
    </row>
    <row r="1458" spans="1:6" x14ac:dyDescent="0.25">
      <c r="A1458" t="s">
        <v>23</v>
      </c>
    </row>
    <row r="1459" spans="1:6" x14ac:dyDescent="0.25">
      <c r="C1459" t="s">
        <v>35</v>
      </c>
      <c r="E1459">
        <v>1.7999999999999999E-2</v>
      </c>
    </row>
    <row r="1460" spans="1:6" x14ac:dyDescent="0.25">
      <c r="C1460" t="s">
        <v>34</v>
      </c>
      <c r="D1460">
        <f>E1459*C1454/C1452</f>
        <v>0.1845</v>
      </c>
    </row>
    <row r="1462" spans="1:6" x14ac:dyDescent="0.25">
      <c r="A1462" t="s">
        <v>33</v>
      </c>
    </row>
    <row r="1464" spans="1:6" x14ac:dyDescent="0.25">
      <c r="B1464" s="38">
        <f>1*C1451*D1460</f>
        <v>2.6417045454545454</v>
      </c>
      <c r="C1464" t="s">
        <v>38</v>
      </c>
      <c r="D1464" s="24" t="s">
        <v>39</v>
      </c>
    </row>
    <row r="1466" spans="1:6" ht="15.75" x14ac:dyDescent="0.25">
      <c r="A1466" s="95" t="s">
        <v>106</v>
      </c>
      <c r="B1466" s="96"/>
      <c r="C1466" s="96"/>
      <c r="D1466" s="96"/>
      <c r="E1466" s="96"/>
      <c r="F1466" s="96"/>
    </row>
    <row r="1467" spans="1:6" ht="15.75" x14ac:dyDescent="0.25">
      <c r="A1467" s="97" t="s">
        <v>107</v>
      </c>
      <c r="B1467" s="97"/>
      <c r="C1467" s="97"/>
      <c r="D1467" s="97"/>
      <c r="E1467" s="97"/>
      <c r="F1467" s="97"/>
    </row>
    <row r="1468" spans="1:6" x14ac:dyDescent="0.25">
      <c r="A1468" t="s">
        <v>22</v>
      </c>
    </row>
    <row r="1469" spans="1:6" x14ac:dyDescent="0.25">
      <c r="C1469" t="s">
        <v>23</v>
      </c>
    </row>
    <row r="1470" spans="1:6" x14ac:dyDescent="0.25">
      <c r="C1470" t="s">
        <v>24</v>
      </c>
    </row>
    <row r="1471" spans="1:6" x14ac:dyDescent="0.25">
      <c r="C1471" t="s">
        <v>28</v>
      </c>
    </row>
    <row r="1472" spans="1:6" x14ac:dyDescent="0.25">
      <c r="C1472" t="s">
        <v>25</v>
      </c>
    </row>
    <row r="1473" spans="1:5" x14ac:dyDescent="0.25">
      <c r="C1473" t="s">
        <v>26</v>
      </c>
    </row>
    <row r="1475" spans="1:5" x14ac:dyDescent="0.25">
      <c r="B1475" t="s">
        <v>27</v>
      </c>
      <c r="C1475" s="22">
        <f>'CUADRO DE CARGAS'!L72</f>
        <v>10.181818181818182</v>
      </c>
      <c r="D1475" t="s">
        <v>29</v>
      </c>
      <c r="E1475" t="s">
        <v>30</v>
      </c>
    </row>
    <row r="1476" spans="1:5" x14ac:dyDescent="0.25">
      <c r="B1476" s="23" t="s">
        <v>44</v>
      </c>
      <c r="C1476" s="33">
        <f>1.25*C1475</f>
        <v>12.727272727272727</v>
      </c>
      <c r="D1476" s="23" t="s">
        <v>29</v>
      </c>
      <c r="E1476" t="s">
        <v>51</v>
      </c>
    </row>
    <row r="1477" spans="1:5" x14ac:dyDescent="0.25">
      <c r="B1477" s="24" t="s">
        <v>31</v>
      </c>
      <c r="C1477" s="24">
        <v>4</v>
      </c>
      <c r="D1477" s="24" t="s">
        <v>32</v>
      </c>
    </row>
    <row r="1478" spans="1:5" x14ac:dyDescent="0.25">
      <c r="A1478" t="s">
        <v>52</v>
      </c>
    </row>
    <row r="1479" spans="1:5" x14ac:dyDescent="0.25">
      <c r="B1479" s="23" t="s">
        <v>36</v>
      </c>
      <c r="C1479" s="23">
        <v>62</v>
      </c>
      <c r="D1479" s="23" t="s">
        <v>37</v>
      </c>
      <c r="E1479" s="32"/>
    </row>
    <row r="1480" spans="1:5" x14ac:dyDescent="0.25">
      <c r="A1480" t="s">
        <v>53</v>
      </c>
    </row>
    <row r="1483" spans="1:5" x14ac:dyDescent="0.25">
      <c r="A1483" t="s">
        <v>23</v>
      </c>
    </row>
    <row r="1484" spans="1:5" x14ac:dyDescent="0.25">
      <c r="C1484" t="s">
        <v>35</v>
      </c>
      <c r="E1484">
        <v>1.7999999999999999E-2</v>
      </c>
    </row>
    <row r="1485" spans="1:5" x14ac:dyDescent="0.25">
      <c r="C1485" t="s">
        <v>34</v>
      </c>
      <c r="D1485">
        <f>E1484*C1479/C1477</f>
        <v>0.27899999999999997</v>
      </c>
    </row>
    <row r="1487" spans="1:5" x14ac:dyDescent="0.25">
      <c r="A1487" t="s">
        <v>33</v>
      </c>
    </row>
    <row r="1489" spans="1:6" x14ac:dyDescent="0.25">
      <c r="B1489" s="38">
        <f>1*C1476*D1485</f>
        <v>3.5509090909090903</v>
      </c>
      <c r="C1489" t="s">
        <v>38</v>
      </c>
      <c r="D1489" s="24" t="s">
        <v>39</v>
      </c>
    </row>
    <row r="1491" spans="1:6" ht="15.75" x14ac:dyDescent="0.25">
      <c r="A1491" s="95"/>
      <c r="B1491" s="96"/>
      <c r="C1491" s="96"/>
      <c r="D1491" s="96"/>
      <c r="E1491" s="96"/>
      <c r="F1491" s="96"/>
    </row>
    <row r="1492" spans="1:6" ht="15.75" x14ac:dyDescent="0.25">
      <c r="A1492" s="96" t="s">
        <v>108</v>
      </c>
      <c r="B1492" s="96"/>
      <c r="C1492" s="96"/>
      <c r="D1492" s="96"/>
      <c r="E1492" s="96"/>
      <c r="F1492" s="96"/>
    </row>
    <row r="1493" spans="1:6" ht="15.75" x14ac:dyDescent="0.25">
      <c r="A1493" s="97" t="s">
        <v>193</v>
      </c>
      <c r="B1493" s="97"/>
      <c r="C1493" s="97"/>
      <c r="D1493" s="97"/>
      <c r="E1493" s="97"/>
      <c r="F1493" s="97"/>
    </row>
    <row r="1494" spans="1:6" x14ac:dyDescent="0.25">
      <c r="A1494" t="s">
        <v>22</v>
      </c>
    </row>
    <row r="1495" spans="1:6" x14ac:dyDescent="0.25">
      <c r="C1495" t="s">
        <v>23</v>
      </c>
    </row>
    <row r="1496" spans="1:6" x14ac:dyDescent="0.25">
      <c r="C1496" t="s">
        <v>24</v>
      </c>
    </row>
    <row r="1497" spans="1:6" x14ac:dyDescent="0.25">
      <c r="C1497" t="s">
        <v>28</v>
      </c>
    </row>
    <row r="1498" spans="1:6" x14ac:dyDescent="0.25">
      <c r="C1498" t="s">
        <v>25</v>
      </c>
    </row>
    <row r="1499" spans="1:6" x14ac:dyDescent="0.25">
      <c r="C1499" t="s">
        <v>26</v>
      </c>
    </row>
    <row r="1501" spans="1:6" x14ac:dyDescent="0.25">
      <c r="B1501" t="s">
        <v>27</v>
      </c>
      <c r="C1501" s="22">
        <f>'CUADRO DE CARGAS'!L73</f>
        <v>4.913636363636364</v>
      </c>
      <c r="D1501" t="s">
        <v>29</v>
      </c>
      <c r="E1501" t="s">
        <v>30</v>
      </c>
    </row>
    <row r="1502" spans="1:6" x14ac:dyDescent="0.25">
      <c r="B1502" s="23" t="s">
        <v>44</v>
      </c>
      <c r="C1502" s="33">
        <f>1.25*C1501</f>
        <v>6.142045454545455</v>
      </c>
      <c r="D1502" s="23" t="s">
        <v>29</v>
      </c>
      <c r="E1502" t="s">
        <v>51</v>
      </c>
    </row>
    <row r="1503" spans="1:6" x14ac:dyDescent="0.25">
      <c r="B1503" s="24" t="s">
        <v>31</v>
      </c>
      <c r="C1503" s="24">
        <v>2.5</v>
      </c>
      <c r="D1503" s="24" t="s">
        <v>32</v>
      </c>
    </row>
    <row r="1504" spans="1:6" x14ac:dyDescent="0.25">
      <c r="A1504" t="s">
        <v>52</v>
      </c>
    </row>
    <row r="1505" spans="1:6" x14ac:dyDescent="0.25">
      <c r="B1505" s="23" t="s">
        <v>36</v>
      </c>
      <c r="C1505" s="23">
        <v>90</v>
      </c>
      <c r="D1505" s="23" t="s">
        <v>37</v>
      </c>
      <c r="E1505" s="32"/>
    </row>
    <row r="1506" spans="1:6" x14ac:dyDescent="0.25">
      <c r="A1506" t="s">
        <v>53</v>
      </c>
    </row>
    <row r="1509" spans="1:6" x14ac:dyDescent="0.25">
      <c r="A1509" t="s">
        <v>23</v>
      </c>
    </row>
    <row r="1510" spans="1:6" x14ac:dyDescent="0.25">
      <c r="C1510" t="s">
        <v>35</v>
      </c>
      <c r="E1510">
        <v>1.7999999999999999E-2</v>
      </c>
    </row>
    <row r="1511" spans="1:6" x14ac:dyDescent="0.25">
      <c r="C1511" t="s">
        <v>34</v>
      </c>
      <c r="D1511">
        <f>E1510*C1505/C1503</f>
        <v>0.64799999999999991</v>
      </c>
    </row>
    <row r="1513" spans="1:6" x14ac:dyDescent="0.25">
      <c r="A1513" t="s">
        <v>33</v>
      </c>
    </row>
    <row r="1515" spans="1:6" x14ac:dyDescent="0.25">
      <c r="B1515" s="38">
        <f>1*C1502*D1511</f>
        <v>3.9800454545454542</v>
      </c>
      <c r="C1515" t="s">
        <v>38</v>
      </c>
      <c r="D1515" s="24" t="s">
        <v>39</v>
      </c>
    </row>
    <row r="1517" spans="1:6" ht="15.75" x14ac:dyDescent="0.25">
      <c r="A1517" s="96" t="s">
        <v>109</v>
      </c>
      <c r="B1517" s="96"/>
      <c r="C1517" s="96"/>
      <c r="D1517" s="96"/>
      <c r="E1517" s="96"/>
      <c r="F1517" s="96"/>
    </row>
    <row r="1518" spans="1:6" ht="15.75" x14ac:dyDescent="0.25">
      <c r="A1518" s="97" t="s">
        <v>194</v>
      </c>
      <c r="B1518" s="97"/>
      <c r="C1518" s="97"/>
      <c r="D1518" s="97"/>
      <c r="E1518" s="97"/>
      <c r="F1518" s="97"/>
    </row>
    <row r="1519" spans="1:6" x14ac:dyDescent="0.25">
      <c r="A1519" t="s">
        <v>22</v>
      </c>
    </row>
    <row r="1520" spans="1:6" x14ac:dyDescent="0.25">
      <c r="C1520" t="s">
        <v>23</v>
      </c>
    </row>
    <row r="1521" spans="1:5" x14ac:dyDescent="0.25">
      <c r="C1521" t="s">
        <v>24</v>
      </c>
    </row>
    <row r="1522" spans="1:5" x14ac:dyDescent="0.25">
      <c r="C1522" t="s">
        <v>28</v>
      </c>
    </row>
    <row r="1523" spans="1:5" x14ac:dyDescent="0.25">
      <c r="C1523" t="s">
        <v>25</v>
      </c>
    </row>
    <row r="1524" spans="1:5" x14ac:dyDescent="0.25">
      <c r="C1524" t="s">
        <v>26</v>
      </c>
    </row>
    <row r="1526" spans="1:5" x14ac:dyDescent="0.25">
      <c r="B1526" t="s">
        <v>27</v>
      </c>
      <c r="C1526" s="22">
        <f>'CUADRO DE CARGAS'!L74</f>
        <v>3.8454545454545452</v>
      </c>
      <c r="D1526" t="s">
        <v>29</v>
      </c>
      <c r="E1526" t="s">
        <v>30</v>
      </c>
    </row>
    <row r="1527" spans="1:5" x14ac:dyDescent="0.25">
      <c r="B1527" s="23" t="s">
        <v>44</v>
      </c>
      <c r="C1527" s="33">
        <f>1.25*C1526</f>
        <v>4.8068181818181817</v>
      </c>
      <c r="D1527" s="23" t="s">
        <v>29</v>
      </c>
      <c r="E1527" t="s">
        <v>51</v>
      </c>
    </row>
    <row r="1528" spans="1:5" x14ac:dyDescent="0.25">
      <c r="B1528" s="24" t="s">
        <v>31</v>
      </c>
      <c r="C1528" s="24">
        <v>2.5</v>
      </c>
      <c r="D1528" s="24" t="s">
        <v>32</v>
      </c>
    </row>
    <row r="1529" spans="1:5" x14ac:dyDescent="0.25">
      <c r="A1529" t="s">
        <v>52</v>
      </c>
    </row>
    <row r="1530" spans="1:5" x14ac:dyDescent="0.25">
      <c r="B1530" s="23" t="s">
        <v>36</v>
      </c>
      <c r="C1530" s="23">
        <v>75</v>
      </c>
      <c r="D1530" s="23" t="s">
        <v>37</v>
      </c>
      <c r="E1530" s="32"/>
    </row>
    <row r="1531" spans="1:5" x14ac:dyDescent="0.25">
      <c r="A1531" t="s">
        <v>53</v>
      </c>
    </row>
    <row r="1534" spans="1:5" x14ac:dyDescent="0.25">
      <c r="A1534" t="s">
        <v>23</v>
      </c>
    </row>
    <row r="1535" spans="1:5" x14ac:dyDescent="0.25">
      <c r="C1535" t="s">
        <v>35</v>
      </c>
      <c r="E1535">
        <v>1.7999999999999999E-2</v>
      </c>
    </row>
    <row r="1536" spans="1:5" x14ac:dyDescent="0.25">
      <c r="C1536" t="s">
        <v>34</v>
      </c>
      <c r="D1536">
        <f>E1535*C1530/C1528</f>
        <v>0.53999999999999992</v>
      </c>
    </row>
    <row r="1538" spans="1:6" x14ac:dyDescent="0.25">
      <c r="A1538" t="s">
        <v>33</v>
      </c>
    </row>
    <row r="1540" spans="1:6" x14ac:dyDescent="0.25">
      <c r="B1540" s="38">
        <f>1*C1527*D1536</f>
        <v>2.5956818181818178</v>
      </c>
      <c r="C1540" t="s">
        <v>38</v>
      </c>
      <c r="D1540" s="24" t="s">
        <v>39</v>
      </c>
    </row>
    <row r="1542" spans="1:6" ht="15.75" x14ac:dyDescent="0.25">
      <c r="A1542" s="96" t="s">
        <v>110</v>
      </c>
      <c r="B1542" s="96"/>
      <c r="C1542" s="96"/>
      <c r="D1542" s="96"/>
      <c r="E1542" s="96"/>
      <c r="F1542" s="96"/>
    </row>
    <row r="1543" spans="1:6" ht="15.75" x14ac:dyDescent="0.25">
      <c r="A1543" s="97" t="s">
        <v>195</v>
      </c>
      <c r="B1543" s="97"/>
      <c r="C1543" s="97"/>
      <c r="D1543" s="97"/>
      <c r="E1543" s="97"/>
      <c r="F1543" s="97"/>
    </row>
    <row r="1544" spans="1:6" x14ac:dyDescent="0.25">
      <c r="A1544" t="s">
        <v>22</v>
      </c>
    </row>
    <row r="1545" spans="1:6" x14ac:dyDescent="0.25">
      <c r="C1545" t="s">
        <v>23</v>
      </c>
    </row>
    <row r="1546" spans="1:6" x14ac:dyDescent="0.25">
      <c r="C1546" t="s">
        <v>24</v>
      </c>
    </row>
    <row r="1547" spans="1:6" x14ac:dyDescent="0.25">
      <c r="C1547" t="s">
        <v>28</v>
      </c>
    </row>
    <row r="1548" spans="1:6" x14ac:dyDescent="0.25">
      <c r="C1548" t="s">
        <v>25</v>
      </c>
    </row>
    <row r="1549" spans="1:6" x14ac:dyDescent="0.25">
      <c r="C1549" t="s">
        <v>26</v>
      </c>
    </row>
    <row r="1551" spans="1:6" x14ac:dyDescent="0.25">
      <c r="B1551" t="s">
        <v>27</v>
      </c>
      <c r="C1551" s="22">
        <f>'CUADRO DE CARGAS'!L75</f>
        <v>3.6318181818181818</v>
      </c>
      <c r="D1551" t="s">
        <v>29</v>
      </c>
      <c r="E1551" t="s">
        <v>30</v>
      </c>
    </row>
    <row r="1552" spans="1:6" x14ac:dyDescent="0.25">
      <c r="B1552" s="23" t="s">
        <v>44</v>
      </c>
      <c r="C1552" s="33">
        <f>1.25*C1551</f>
        <v>4.5397727272727275</v>
      </c>
      <c r="D1552" s="23" t="s">
        <v>29</v>
      </c>
      <c r="E1552" t="s">
        <v>51</v>
      </c>
    </row>
    <row r="1553" spans="1:6" x14ac:dyDescent="0.25">
      <c r="B1553" s="24" t="s">
        <v>31</v>
      </c>
      <c r="C1553" s="24">
        <v>2.5</v>
      </c>
      <c r="D1553" s="24" t="s">
        <v>32</v>
      </c>
    </row>
    <row r="1554" spans="1:6" x14ac:dyDescent="0.25">
      <c r="A1554" t="s">
        <v>52</v>
      </c>
    </row>
    <row r="1555" spans="1:6" x14ac:dyDescent="0.25">
      <c r="B1555" s="23" t="s">
        <v>36</v>
      </c>
      <c r="C1555" s="23">
        <v>80</v>
      </c>
      <c r="D1555" s="23" t="s">
        <v>37</v>
      </c>
      <c r="E1555" s="32"/>
    </row>
    <row r="1556" spans="1:6" x14ac:dyDescent="0.25">
      <c r="A1556" t="s">
        <v>53</v>
      </c>
    </row>
    <row r="1559" spans="1:6" x14ac:dyDescent="0.25">
      <c r="A1559" t="s">
        <v>23</v>
      </c>
    </row>
    <row r="1560" spans="1:6" x14ac:dyDescent="0.25">
      <c r="C1560" t="s">
        <v>35</v>
      </c>
      <c r="E1560">
        <v>1.7999999999999999E-2</v>
      </c>
    </row>
    <row r="1561" spans="1:6" x14ac:dyDescent="0.25">
      <c r="C1561" t="s">
        <v>34</v>
      </c>
      <c r="D1561">
        <f>E1560*C1555/C1553</f>
        <v>0.57599999999999996</v>
      </c>
    </row>
    <row r="1563" spans="1:6" x14ac:dyDescent="0.25">
      <c r="A1563" t="s">
        <v>33</v>
      </c>
    </row>
    <row r="1565" spans="1:6" x14ac:dyDescent="0.25">
      <c r="B1565" s="38">
        <f>1*C1552*D1561</f>
        <v>2.6149090909090908</v>
      </c>
      <c r="C1565" t="s">
        <v>38</v>
      </c>
      <c r="D1565" s="24" t="s">
        <v>39</v>
      </c>
    </row>
    <row r="1567" spans="1:6" ht="15.75" x14ac:dyDescent="0.25">
      <c r="A1567" s="96" t="s">
        <v>111</v>
      </c>
      <c r="B1567" s="96"/>
      <c r="C1567" s="96"/>
      <c r="D1567" s="96"/>
      <c r="E1567" s="96"/>
      <c r="F1567" s="96"/>
    </row>
    <row r="1568" spans="1:6" ht="15.75" x14ac:dyDescent="0.25">
      <c r="A1568" s="97" t="s">
        <v>196</v>
      </c>
      <c r="B1568" s="97"/>
      <c r="C1568" s="97"/>
      <c r="D1568" s="97"/>
      <c r="E1568" s="97"/>
      <c r="F1568" s="97"/>
    </row>
    <row r="1569" spans="1:5" x14ac:dyDescent="0.25">
      <c r="A1569" t="s">
        <v>22</v>
      </c>
    </row>
    <row r="1570" spans="1:5" x14ac:dyDescent="0.25">
      <c r="C1570" t="s">
        <v>23</v>
      </c>
    </row>
    <row r="1571" spans="1:5" x14ac:dyDescent="0.25">
      <c r="C1571" t="s">
        <v>24</v>
      </c>
    </row>
    <row r="1572" spans="1:5" x14ac:dyDescent="0.25">
      <c r="C1572" t="s">
        <v>28</v>
      </c>
    </row>
    <row r="1573" spans="1:5" x14ac:dyDescent="0.25">
      <c r="C1573" t="s">
        <v>25</v>
      </c>
    </row>
    <row r="1574" spans="1:5" x14ac:dyDescent="0.25">
      <c r="C1574" t="s">
        <v>26</v>
      </c>
    </row>
    <row r="1576" spans="1:5" x14ac:dyDescent="0.25">
      <c r="B1576" t="s">
        <v>27</v>
      </c>
      <c r="C1576" s="22">
        <f>'CUADRO DE CARGAS'!L76</f>
        <v>5.9818181818181815</v>
      </c>
      <c r="D1576" t="s">
        <v>29</v>
      </c>
      <c r="E1576" t="s">
        <v>30</v>
      </c>
    </row>
    <row r="1577" spans="1:5" x14ac:dyDescent="0.25">
      <c r="B1577" s="23" t="s">
        <v>44</v>
      </c>
      <c r="C1577" s="33">
        <f>1.25*C1576</f>
        <v>7.4772727272727266</v>
      </c>
      <c r="D1577" s="23" t="s">
        <v>29</v>
      </c>
      <c r="E1577" t="s">
        <v>51</v>
      </c>
    </row>
    <row r="1578" spans="1:5" x14ac:dyDescent="0.25">
      <c r="B1578" s="24" t="s">
        <v>31</v>
      </c>
      <c r="C1578" s="24">
        <v>4</v>
      </c>
      <c r="D1578" s="24" t="s">
        <v>32</v>
      </c>
    </row>
    <row r="1579" spans="1:5" x14ac:dyDescent="0.25">
      <c r="A1579" t="s">
        <v>52</v>
      </c>
    </row>
    <row r="1580" spans="1:5" x14ac:dyDescent="0.25">
      <c r="B1580" s="23" t="s">
        <v>36</v>
      </c>
      <c r="C1580" s="23">
        <v>120</v>
      </c>
      <c r="D1580" s="23" t="s">
        <v>37</v>
      </c>
      <c r="E1580" s="32"/>
    </row>
    <row r="1581" spans="1:5" x14ac:dyDescent="0.25">
      <c r="A1581" t="s">
        <v>53</v>
      </c>
    </row>
    <row r="1584" spans="1:5" x14ac:dyDescent="0.25">
      <c r="A1584" t="s">
        <v>23</v>
      </c>
    </row>
    <row r="1585" spans="1:6" x14ac:dyDescent="0.25">
      <c r="C1585" t="s">
        <v>35</v>
      </c>
      <c r="E1585">
        <v>1.7999999999999999E-2</v>
      </c>
    </row>
    <row r="1586" spans="1:6" x14ac:dyDescent="0.25">
      <c r="C1586" t="s">
        <v>34</v>
      </c>
      <c r="D1586">
        <f>E1585*C1580/C1578</f>
        <v>0.53999999999999992</v>
      </c>
    </row>
    <row r="1588" spans="1:6" x14ac:dyDescent="0.25">
      <c r="A1588" t="s">
        <v>33</v>
      </c>
    </row>
    <row r="1590" spans="1:6" x14ac:dyDescent="0.25">
      <c r="B1590" s="38">
        <f>1*C1577*D1586</f>
        <v>4.0377272727272722</v>
      </c>
      <c r="C1590" t="s">
        <v>38</v>
      </c>
      <c r="D1590" s="24" t="s">
        <v>39</v>
      </c>
    </row>
    <row r="1592" spans="1:6" ht="15.75" x14ac:dyDescent="0.25">
      <c r="A1592" s="95" t="s">
        <v>122</v>
      </c>
      <c r="B1592" s="96"/>
      <c r="C1592" s="96"/>
      <c r="D1592" s="96"/>
      <c r="E1592" s="96"/>
      <c r="F1592" s="96"/>
    </row>
    <row r="1593" spans="1:6" ht="15.75" x14ac:dyDescent="0.25">
      <c r="A1593" s="96" t="s">
        <v>99</v>
      </c>
      <c r="B1593" s="96"/>
      <c r="C1593" s="96"/>
      <c r="D1593" s="96"/>
      <c r="E1593" s="96"/>
      <c r="F1593" s="96"/>
    </row>
    <row r="1594" spans="1:6" ht="15.75" x14ac:dyDescent="0.25">
      <c r="A1594" s="97" t="s">
        <v>157</v>
      </c>
      <c r="B1594" s="97"/>
      <c r="C1594" s="97"/>
      <c r="D1594" s="97"/>
      <c r="E1594" s="97"/>
      <c r="F1594" s="97"/>
    </row>
    <row r="1595" spans="1:6" x14ac:dyDescent="0.25">
      <c r="A1595" t="s">
        <v>22</v>
      </c>
    </row>
    <row r="1596" spans="1:6" x14ac:dyDescent="0.25">
      <c r="C1596" t="s">
        <v>23</v>
      </c>
    </row>
    <row r="1597" spans="1:6" x14ac:dyDescent="0.25">
      <c r="C1597" t="s">
        <v>24</v>
      </c>
    </row>
    <row r="1598" spans="1:6" x14ac:dyDescent="0.25">
      <c r="C1598" t="s">
        <v>28</v>
      </c>
    </row>
    <row r="1599" spans="1:6" x14ac:dyDescent="0.25">
      <c r="C1599" t="s">
        <v>25</v>
      </c>
    </row>
    <row r="1600" spans="1:6" x14ac:dyDescent="0.25">
      <c r="C1600" t="s">
        <v>26</v>
      </c>
    </row>
    <row r="1602" spans="1:5" x14ac:dyDescent="0.25">
      <c r="B1602" t="s">
        <v>27</v>
      </c>
      <c r="C1602" s="22">
        <f>'CUADRO DE CARGAS'!L78</f>
        <v>5.0909090909090908</v>
      </c>
      <c r="D1602" t="s">
        <v>29</v>
      </c>
      <c r="E1602" t="s">
        <v>30</v>
      </c>
    </row>
    <row r="1603" spans="1:5" x14ac:dyDescent="0.25">
      <c r="B1603" s="23" t="s">
        <v>44</v>
      </c>
      <c r="C1603" s="33">
        <f>1.25*C1602</f>
        <v>6.3636363636363633</v>
      </c>
      <c r="D1603" s="23" t="s">
        <v>29</v>
      </c>
      <c r="E1603" t="s">
        <v>51</v>
      </c>
    </row>
    <row r="1604" spans="1:5" x14ac:dyDescent="0.25">
      <c r="B1604" s="24" t="s">
        <v>31</v>
      </c>
      <c r="C1604" s="24">
        <v>4</v>
      </c>
      <c r="D1604" s="24" t="s">
        <v>32</v>
      </c>
    </row>
    <row r="1605" spans="1:5" x14ac:dyDescent="0.25">
      <c r="A1605" t="s">
        <v>52</v>
      </c>
    </row>
    <row r="1606" spans="1:5" x14ac:dyDescent="0.25">
      <c r="B1606" s="23" t="s">
        <v>36</v>
      </c>
      <c r="C1606" s="23">
        <v>19</v>
      </c>
      <c r="D1606" s="23" t="s">
        <v>37</v>
      </c>
      <c r="E1606" s="32"/>
    </row>
    <row r="1607" spans="1:5" x14ac:dyDescent="0.25">
      <c r="A1607" t="s">
        <v>53</v>
      </c>
    </row>
    <row r="1610" spans="1:5" x14ac:dyDescent="0.25">
      <c r="A1610" t="s">
        <v>23</v>
      </c>
    </row>
    <row r="1611" spans="1:5" x14ac:dyDescent="0.25">
      <c r="C1611" t="s">
        <v>35</v>
      </c>
      <c r="E1611">
        <v>1.7999999999999999E-2</v>
      </c>
    </row>
    <row r="1612" spans="1:5" x14ac:dyDescent="0.25">
      <c r="C1612" t="s">
        <v>34</v>
      </c>
      <c r="D1612">
        <f>E1611*C1606/C1604</f>
        <v>8.5499999999999993E-2</v>
      </c>
    </row>
    <row r="1614" spans="1:5" x14ac:dyDescent="0.25">
      <c r="A1614" t="s">
        <v>33</v>
      </c>
    </row>
    <row r="1616" spans="1:5" x14ac:dyDescent="0.25">
      <c r="B1616" s="38">
        <f>1*C1603*D1612</f>
        <v>0.54409090909090907</v>
      </c>
      <c r="C1616" t="s">
        <v>38</v>
      </c>
      <c r="D1616" s="24" t="s">
        <v>39</v>
      </c>
    </row>
    <row r="1618" spans="1:6" ht="15.75" x14ac:dyDescent="0.25">
      <c r="A1618" s="96" t="s">
        <v>100</v>
      </c>
      <c r="B1618" s="96"/>
      <c r="C1618" s="96"/>
      <c r="D1618" s="96"/>
      <c r="E1618" s="96"/>
      <c r="F1618" s="96"/>
    </row>
    <row r="1619" spans="1:6" ht="15.75" x14ac:dyDescent="0.25">
      <c r="A1619" s="97" t="s">
        <v>158</v>
      </c>
      <c r="B1619" s="97"/>
      <c r="C1619" s="97"/>
      <c r="D1619" s="97"/>
      <c r="E1619" s="97"/>
      <c r="F1619" s="97"/>
    </row>
    <row r="1620" spans="1:6" x14ac:dyDescent="0.25">
      <c r="A1620" t="s">
        <v>22</v>
      </c>
    </row>
    <row r="1621" spans="1:6" x14ac:dyDescent="0.25">
      <c r="C1621" t="s">
        <v>23</v>
      </c>
    </row>
    <row r="1622" spans="1:6" x14ac:dyDescent="0.25">
      <c r="C1622" t="s">
        <v>24</v>
      </c>
    </row>
    <row r="1623" spans="1:6" x14ac:dyDescent="0.25">
      <c r="C1623" t="s">
        <v>28</v>
      </c>
    </row>
    <row r="1624" spans="1:6" x14ac:dyDescent="0.25">
      <c r="C1624" t="s">
        <v>25</v>
      </c>
    </row>
    <row r="1625" spans="1:6" x14ac:dyDescent="0.25">
      <c r="C1625" t="s">
        <v>26</v>
      </c>
    </row>
    <row r="1627" spans="1:6" x14ac:dyDescent="0.25">
      <c r="B1627" t="s">
        <v>27</v>
      </c>
      <c r="C1627" s="22">
        <f>'CUADRO DE CARGAS'!L79</f>
        <v>14</v>
      </c>
      <c r="D1627" t="s">
        <v>29</v>
      </c>
      <c r="E1627" t="s">
        <v>30</v>
      </c>
    </row>
    <row r="1628" spans="1:6" x14ac:dyDescent="0.25">
      <c r="B1628" s="23" t="s">
        <v>44</v>
      </c>
      <c r="C1628" s="33">
        <f>1.25*C1627</f>
        <v>17.5</v>
      </c>
      <c r="D1628" s="23" t="s">
        <v>29</v>
      </c>
      <c r="E1628" t="s">
        <v>51</v>
      </c>
    </row>
    <row r="1629" spans="1:6" x14ac:dyDescent="0.25">
      <c r="B1629" s="24" t="s">
        <v>31</v>
      </c>
      <c r="C1629" s="24">
        <v>4</v>
      </c>
      <c r="D1629" s="24" t="s">
        <v>32</v>
      </c>
    </row>
    <row r="1630" spans="1:6" x14ac:dyDescent="0.25">
      <c r="A1630" t="s">
        <v>52</v>
      </c>
    </row>
    <row r="1631" spans="1:6" x14ac:dyDescent="0.25">
      <c r="B1631" s="23" t="s">
        <v>36</v>
      </c>
      <c r="C1631" s="23">
        <v>57</v>
      </c>
      <c r="D1631" s="23" t="s">
        <v>37</v>
      </c>
      <c r="E1631" s="32"/>
    </row>
    <row r="1632" spans="1:6" x14ac:dyDescent="0.25">
      <c r="A1632" t="s">
        <v>53</v>
      </c>
    </row>
    <row r="1635" spans="1:6" x14ac:dyDescent="0.25">
      <c r="A1635" t="s">
        <v>23</v>
      </c>
    </row>
    <row r="1636" spans="1:6" x14ac:dyDescent="0.25">
      <c r="C1636" t="s">
        <v>35</v>
      </c>
      <c r="E1636">
        <v>1.7999999999999999E-2</v>
      </c>
    </row>
    <row r="1637" spans="1:6" x14ac:dyDescent="0.25">
      <c r="C1637" t="s">
        <v>34</v>
      </c>
      <c r="D1637">
        <f>E1636*C1631/C1629</f>
        <v>0.25650000000000001</v>
      </c>
    </row>
    <row r="1639" spans="1:6" x14ac:dyDescent="0.25">
      <c r="A1639" t="s">
        <v>33</v>
      </c>
    </row>
    <row r="1641" spans="1:6" x14ac:dyDescent="0.25">
      <c r="B1641" s="38">
        <f>1*C1628*D1637</f>
        <v>4.4887500000000005</v>
      </c>
      <c r="C1641" t="s">
        <v>38</v>
      </c>
      <c r="D1641" s="24" t="s">
        <v>39</v>
      </c>
    </row>
    <row r="1643" spans="1:6" ht="15.75" x14ac:dyDescent="0.25">
      <c r="A1643" s="95" t="s">
        <v>104</v>
      </c>
      <c r="B1643" s="96"/>
      <c r="C1643" s="96"/>
      <c r="D1643" s="96"/>
      <c r="E1643" s="96"/>
      <c r="F1643" s="96"/>
    </row>
    <row r="1644" spans="1:6" ht="15.75" x14ac:dyDescent="0.25">
      <c r="A1644" s="97" t="s">
        <v>107</v>
      </c>
      <c r="B1644" s="97"/>
      <c r="C1644" s="97"/>
      <c r="D1644" s="97"/>
      <c r="E1644" s="97"/>
      <c r="F1644" s="97"/>
    </row>
    <row r="1645" spans="1:6" x14ac:dyDescent="0.25">
      <c r="A1645" t="s">
        <v>22</v>
      </c>
    </row>
    <row r="1646" spans="1:6" x14ac:dyDescent="0.25">
      <c r="C1646" t="s">
        <v>23</v>
      </c>
    </row>
    <row r="1647" spans="1:6" x14ac:dyDescent="0.25">
      <c r="C1647" t="s">
        <v>24</v>
      </c>
    </row>
    <row r="1648" spans="1:6" x14ac:dyDescent="0.25">
      <c r="C1648" t="s">
        <v>28</v>
      </c>
    </row>
    <row r="1649" spans="1:5" x14ac:dyDescent="0.25">
      <c r="C1649" t="s">
        <v>25</v>
      </c>
    </row>
    <row r="1650" spans="1:5" x14ac:dyDescent="0.25">
      <c r="C1650" t="s">
        <v>26</v>
      </c>
    </row>
    <row r="1652" spans="1:5" x14ac:dyDescent="0.25">
      <c r="B1652" t="s">
        <v>27</v>
      </c>
      <c r="C1652" s="22">
        <f>'CUADRO DE CARGAS'!L80</f>
        <v>10.181818181818182</v>
      </c>
      <c r="D1652" t="s">
        <v>29</v>
      </c>
      <c r="E1652" t="s">
        <v>30</v>
      </c>
    </row>
    <row r="1653" spans="1:5" x14ac:dyDescent="0.25">
      <c r="B1653" s="23" t="s">
        <v>44</v>
      </c>
      <c r="C1653" s="33">
        <f>1.25*C1652</f>
        <v>12.727272727272727</v>
      </c>
      <c r="D1653" s="23" t="s">
        <v>29</v>
      </c>
      <c r="E1653" t="s">
        <v>51</v>
      </c>
    </row>
    <row r="1654" spans="1:5" x14ac:dyDescent="0.25">
      <c r="B1654" s="24" t="s">
        <v>31</v>
      </c>
      <c r="C1654" s="24">
        <v>4</v>
      </c>
      <c r="D1654" s="24" t="s">
        <v>32</v>
      </c>
    </row>
    <row r="1655" spans="1:5" x14ac:dyDescent="0.25">
      <c r="A1655" t="s">
        <v>52</v>
      </c>
    </row>
    <row r="1656" spans="1:5" x14ac:dyDescent="0.25">
      <c r="B1656" s="23" t="s">
        <v>36</v>
      </c>
      <c r="C1656" s="23">
        <v>55</v>
      </c>
      <c r="D1656" s="23" t="s">
        <v>37</v>
      </c>
      <c r="E1656" s="32"/>
    </row>
    <row r="1657" spans="1:5" x14ac:dyDescent="0.25">
      <c r="A1657" t="s">
        <v>53</v>
      </c>
    </row>
    <row r="1660" spans="1:5" x14ac:dyDescent="0.25">
      <c r="A1660" t="s">
        <v>23</v>
      </c>
    </row>
    <row r="1661" spans="1:5" x14ac:dyDescent="0.25">
      <c r="C1661" t="s">
        <v>35</v>
      </c>
      <c r="E1661">
        <v>1.7999999999999999E-2</v>
      </c>
    </row>
    <row r="1662" spans="1:5" x14ac:dyDescent="0.25">
      <c r="C1662" t="s">
        <v>34</v>
      </c>
      <c r="D1662">
        <f>E1661*C1656/C1654</f>
        <v>0.24749999999999997</v>
      </c>
    </row>
    <row r="1664" spans="1:5" x14ac:dyDescent="0.25">
      <c r="A1664" t="s">
        <v>33</v>
      </c>
    </row>
    <row r="1666" spans="1:6" x14ac:dyDescent="0.25">
      <c r="B1666" s="38">
        <f>1*C1653*D1662</f>
        <v>3.1499999999999995</v>
      </c>
      <c r="C1666" t="s">
        <v>38</v>
      </c>
      <c r="D1666" s="24" t="s">
        <v>39</v>
      </c>
    </row>
    <row r="1668" spans="1:6" ht="15.75" x14ac:dyDescent="0.25">
      <c r="A1668" s="95" t="s">
        <v>105</v>
      </c>
      <c r="B1668" s="96"/>
      <c r="C1668" s="96"/>
      <c r="D1668" s="96"/>
      <c r="E1668" s="96"/>
      <c r="F1668" s="96"/>
    </row>
    <row r="1669" spans="1:6" ht="15.75" x14ac:dyDescent="0.25">
      <c r="A1669" s="97" t="s">
        <v>159</v>
      </c>
      <c r="B1669" s="97"/>
      <c r="C1669" s="97"/>
      <c r="D1669" s="97"/>
      <c r="E1669" s="97"/>
      <c r="F1669" s="97"/>
    </row>
    <row r="1670" spans="1:6" x14ac:dyDescent="0.25">
      <c r="A1670" t="s">
        <v>22</v>
      </c>
    </row>
    <row r="1671" spans="1:6" x14ac:dyDescent="0.25">
      <c r="C1671" t="s">
        <v>23</v>
      </c>
    </row>
    <row r="1672" spans="1:6" x14ac:dyDescent="0.25">
      <c r="C1672" t="s">
        <v>24</v>
      </c>
    </row>
    <row r="1673" spans="1:6" x14ac:dyDescent="0.25">
      <c r="C1673" t="s">
        <v>28</v>
      </c>
    </row>
    <row r="1674" spans="1:6" x14ac:dyDescent="0.25">
      <c r="C1674" t="s">
        <v>25</v>
      </c>
    </row>
    <row r="1675" spans="1:6" x14ac:dyDescent="0.25">
      <c r="C1675" t="s">
        <v>26</v>
      </c>
    </row>
    <row r="1677" spans="1:6" x14ac:dyDescent="0.25">
      <c r="B1677" t="s">
        <v>27</v>
      </c>
      <c r="C1677" s="22">
        <f>'CUADRO DE CARGAS'!L81</f>
        <v>16.363636363636363</v>
      </c>
      <c r="D1677" t="s">
        <v>29</v>
      </c>
      <c r="E1677" t="s">
        <v>30</v>
      </c>
    </row>
    <row r="1678" spans="1:6" x14ac:dyDescent="0.25">
      <c r="B1678" s="23" t="s">
        <v>44</v>
      </c>
      <c r="C1678" s="33">
        <f>1.25*C1677</f>
        <v>20.454545454545453</v>
      </c>
      <c r="D1678" s="23" t="s">
        <v>29</v>
      </c>
      <c r="E1678" t="s">
        <v>51</v>
      </c>
    </row>
    <row r="1679" spans="1:6" x14ac:dyDescent="0.25">
      <c r="B1679" s="24" t="s">
        <v>31</v>
      </c>
      <c r="C1679" s="24">
        <v>4</v>
      </c>
      <c r="D1679" s="24" t="s">
        <v>32</v>
      </c>
    </row>
    <row r="1680" spans="1:6" x14ac:dyDescent="0.25">
      <c r="A1680" t="s">
        <v>52</v>
      </c>
    </row>
    <row r="1681" spans="1:6" x14ac:dyDescent="0.25">
      <c r="B1681" s="23" t="s">
        <v>36</v>
      </c>
      <c r="C1681" s="23">
        <v>30.29</v>
      </c>
      <c r="D1681" s="23" t="s">
        <v>37</v>
      </c>
      <c r="E1681" s="32"/>
    </row>
    <row r="1682" spans="1:6" x14ac:dyDescent="0.25">
      <c r="A1682" t="s">
        <v>53</v>
      </c>
    </row>
    <row r="1685" spans="1:6" x14ac:dyDescent="0.25">
      <c r="A1685" t="s">
        <v>23</v>
      </c>
    </row>
    <row r="1686" spans="1:6" x14ac:dyDescent="0.25">
      <c r="C1686" t="s">
        <v>35</v>
      </c>
      <c r="E1686">
        <v>1.7999999999999999E-2</v>
      </c>
    </row>
    <row r="1687" spans="1:6" x14ac:dyDescent="0.25">
      <c r="C1687" t="s">
        <v>34</v>
      </c>
      <c r="D1687">
        <f>E1686*C1681/C1679</f>
        <v>0.13630499999999998</v>
      </c>
    </row>
    <row r="1689" spans="1:6" x14ac:dyDescent="0.25">
      <c r="A1689" t="s">
        <v>33</v>
      </c>
    </row>
    <row r="1691" spans="1:6" x14ac:dyDescent="0.25">
      <c r="B1691" s="38">
        <f>1*C1678*D1687</f>
        <v>2.7880568181818175</v>
      </c>
      <c r="C1691" t="s">
        <v>38</v>
      </c>
      <c r="D1691" s="24" t="s">
        <v>39</v>
      </c>
    </row>
    <row r="1693" spans="1:6" ht="15.75" x14ac:dyDescent="0.25">
      <c r="A1693" s="95" t="s">
        <v>106</v>
      </c>
      <c r="B1693" s="96"/>
      <c r="C1693" s="96"/>
      <c r="D1693" s="96"/>
      <c r="E1693" s="96"/>
      <c r="F1693" s="96"/>
    </row>
    <row r="1694" spans="1:6" ht="15.75" x14ac:dyDescent="0.25">
      <c r="A1694" s="97" t="s">
        <v>184</v>
      </c>
      <c r="B1694" s="97"/>
      <c r="C1694" s="97"/>
      <c r="D1694" s="97"/>
      <c r="E1694" s="97"/>
      <c r="F1694" s="97"/>
    </row>
    <row r="1695" spans="1:6" x14ac:dyDescent="0.25">
      <c r="A1695" t="s">
        <v>22</v>
      </c>
    </row>
    <row r="1696" spans="1:6" x14ac:dyDescent="0.25">
      <c r="C1696" t="s">
        <v>23</v>
      </c>
    </row>
    <row r="1697" spans="1:5" x14ac:dyDescent="0.25">
      <c r="C1697" t="s">
        <v>24</v>
      </c>
    </row>
    <row r="1698" spans="1:5" x14ac:dyDescent="0.25">
      <c r="C1698" t="s">
        <v>28</v>
      </c>
    </row>
    <row r="1699" spans="1:5" x14ac:dyDescent="0.25">
      <c r="C1699" t="s">
        <v>25</v>
      </c>
    </row>
    <row r="1700" spans="1:5" x14ac:dyDescent="0.25">
      <c r="C1700" t="s">
        <v>26</v>
      </c>
    </row>
    <row r="1702" spans="1:5" x14ac:dyDescent="0.25">
      <c r="B1702" t="s">
        <v>27</v>
      </c>
      <c r="C1702" s="22">
        <f>'CUADRO DE CARGAS'!L82</f>
        <v>3.0681818181818183</v>
      </c>
      <c r="D1702" t="s">
        <v>29</v>
      </c>
      <c r="E1702" t="s">
        <v>30</v>
      </c>
    </row>
    <row r="1703" spans="1:5" x14ac:dyDescent="0.25">
      <c r="B1703" s="23" t="s">
        <v>44</v>
      </c>
      <c r="C1703" s="33">
        <f>1.25*C1702</f>
        <v>3.8352272727272729</v>
      </c>
      <c r="D1703" s="23" t="s">
        <v>29</v>
      </c>
      <c r="E1703" t="s">
        <v>51</v>
      </c>
    </row>
    <row r="1704" spans="1:5" x14ac:dyDescent="0.25">
      <c r="B1704" s="24" t="s">
        <v>31</v>
      </c>
      <c r="C1704" s="24">
        <v>2.5</v>
      </c>
      <c r="D1704" s="24" t="s">
        <v>32</v>
      </c>
    </row>
    <row r="1705" spans="1:5" x14ac:dyDescent="0.25">
      <c r="A1705" t="s">
        <v>52</v>
      </c>
    </row>
    <row r="1706" spans="1:5" x14ac:dyDescent="0.25">
      <c r="B1706" s="23" t="s">
        <v>36</v>
      </c>
      <c r="C1706" s="23">
        <v>110</v>
      </c>
      <c r="D1706" s="23" t="s">
        <v>37</v>
      </c>
      <c r="E1706" s="32"/>
    </row>
    <row r="1707" spans="1:5" x14ac:dyDescent="0.25">
      <c r="A1707" t="s">
        <v>53</v>
      </c>
    </row>
    <row r="1710" spans="1:5" x14ac:dyDescent="0.25">
      <c r="A1710" t="s">
        <v>23</v>
      </c>
    </row>
    <row r="1711" spans="1:5" x14ac:dyDescent="0.25">
      <c r="C1711" t="s">
        <v>35</v>
      </c>
      <c r="E1711">
        <v>1.7999999999999999E-2</v>
      </c>
    </row>
    <row r="1712" spans="1:5" x14ac:dyDescent="0.25">
      <c r="C1712" t="s">
        <v>34</v>
      </c>
      <c r="D1712">
        <f>E1711*C1706/C1704</f>
        <v>0.79199999999999993</v>
      </c>
    </row>
    <row r="1714" spans="1:6" x14ac:dyDescent="0.25">
      <c r="A1714" t="s">
        <v>33</v>
      </c>
    </row>
    <row r="1716" spans="1:6" x14ac:dyDescent="0.25">
      <c r="B1716" s="38">
        <f>1*C1703*D1712</f>
        <v>3.0375000000000001</v>
      </c>
      <c r="C1716" t="s">
        <v>38</v>
      </c>
      <c r="D1716" s="24" t="s">
        <v>39</v>
      </c>
    </row>
    <row r="1718" spans="1:6" ht="15.75" x14ac:dyDescent="0.25">
      <c r="A1718" s="95"/>
      <c r="B1718" s="96"/>
      <c r="C1718" s="96"/>
      <c r="D1718" s="96"/>
      <c r="E1718" s="96"/>
      <c r="F1718" s="96"/>
    </row>
    <row r="1719" spans="1:6" ht="15.75" x14ac:dyDescent="0.25">
      <c r="A1719" s="96" t="s">
        <v>108</v>
      </c>
      <c r="B1719" s="96"/>
      <c r="C1719" s="96"/>
      <c r="D1719" s="96"/>
      <c r="E1719" s="96"/>
      <c r="F1719" s="96"/>
    </row>
    <row r="1720" spans="1:6" ht="15.75" x14ac:dyDescent="0.25">
      <c r="A1720" s="97" t="s">
        <v>197</v>
      </c>
      <c r="B1720" s="97"/>
      <c r="C1720" s="97"/>
      <c r="D1720" s="97"/>
      <c r="E1720" s="97"/>
      <c r="F1720" s="97"/>
    </row>
    <row r="1721" spans="1:6" x14ac:dyDescent="0.25">
      <c r="A1721" t="s">
        <v>22</v>
      </c>
    </row>
    <row r="1722" spans="1:6" x14ac:dyDescent="0.25">
      <c r="C1722" t="s">
        <v>23</v>
      </c>
    </row>
    <row r="1723" spans="1:6" x14ac:dyDescent="0.25">
      <c r="C1723" t="s">
        <v>24</v>
      </c>
    </row>
    <row r="1724" spans="1:6" x14ac:dyDescent="0.25">
      <c r="C1724" t="s">
        <v>28</v>
      </c>
    </row>
    <row r="1725" spans="1:6" x14ac:dyDescent="0.25">
      <c r="C1725" t="s">
        <v>25</v>
      </c>
    </row>
    <row r="1726" spans="1:6" x14ac:dyDescent="0.25">
      <c r="C1726" t="s">
        <v>26</v>
      </c>
    </row>
    <row r="1728" spans="1:6" x14ac:dyDescent="0.25">
      <c r="B1728" t="s">
        <v>27</v>
      </c>
      <c r="C1728" s="22">
        <f>'CUADRO DE CARGAS'!L83</f>
        <v>2.9909090909090907</v>
      </c>
      <c r="D1728" t="s">
        <v>29</v>
      </c>
      <c r="E1728" t="s">
        <v>30</v>
      </c>
    </row>
    <row r="1729" spans="1:6" x14ac:dyDescent="0.25">
      <c r="B1729" s="23" t="s">
        <v>44</v>
      </c>
      <c r="C1729" s="33">
        <f>1.25*C1728</f>
        <v>3.7386363636363633</v>
      </c>
      <c r="D1729" s="23" t="s">
        <v>29</v>
      </c>
      <c r="E1729" t="s">
        <v>51</v>
      </c>
    </row>
    <row r="1730" spans="1:6" x14ac:dyDescent="0.25">
      <c r="B1730" s="24" t="s">
        <v>31</v>
      </c>
      <c r="C1730" s="24">
        <v>2.5</v>
      </c>
      <c r="D1730" s="24" t="s">
        <v>32</v>
      </c>
    </row>
    <row r="1731" spans="1:6" x14ac:dyDescent="0.25">
      <c r="A1731" t="s">
        <v>52</v>
      </c>
    </row>
    <row r="1732" spans="1:6" x14ac:dyDescent="0.25">
      <c r="B1732" s="23" t="s">
        <v>36</v>
      </c>
      <c r="C1732" s="23">
        <v>45</v>
      </c>
      <c r="D1732" s="23" t="s">
        <v>37</v>
      </c>
      <c r="E1732" s="32"/>
    </row>
    <row r="1733" spans="1:6" x14ac:dyDescent="0.25">
      <c r="A1733" t="s">
        <v>53</v>
      </c>
    </row>
    <row r="1736" spans="1:6" x14ac:dyDescent="0.25">
      <c r="A1736" t="s">
        <v>23</v>
      </c>
    </row>
    <row r="1737" spans="1:6" x14ac:dyDescent="0.25">
      <c r="C1737" t="s">
        <v>35</v>
      </c>
      <c r="E1737">
        <v>1.7999999999999999E-2</v>
      </c>
    </row>
    <row r="1738" spans="1:6" x14ac:dyDescent="0.25">
      <c r="C1738" t="s">
        <v>34</v>
      </c>
      <c r="D1738">
        <f>E1737*C1732/C1730</f>
        <v>0.32399999999999995</v>
      </c>
    </row>
    <row r="1740" spans="1:6" x14ac:dyDescent="0.25">
      <c r="A1740" t="s">
        <v>33</v>
      </c>
    </row>
    <row r="1742" spans="1:6" x14ac:dyDescent="0.25">
      <c r="B1742" s="38">
        <f>1*C1729*D1738</f>
        <v>1.2113181818181815</v>
      </c>
      <c r="C1742" t="s">
        <v>38</v>
      </c>
      <c r="D1742" s="24" t="s">
        <v>39</v>
      </c>
    </row>
    <row r="1744" spans="1:6" ht="15.75" x14ac:dyDescent="0.25">
      <c r="A1744" s="96" t="s">
        <v>109</v>
      </c>
      <c r="B1744" s="96"/>
      <c r="C1744" s="96"/>
      <c r="D1744" s="96"/>
      <c r="E1744" s="96"/>
      <c r="F1744" s="96"/>
    </row>
    <row r="1745" spans="1:6" ht="15.75" x14ac:dyDescent="0.25">
      <c r="A1745" s="97" t="s">
        <v>198</v>
      </c>
      <c r="B1745" s="97"/>
      <c r="C1745" s="97"/>
      <c r="D1745" s="97"/>
      <c r="E1745" s="97"/>
      <c r="F1745" s="97"/>
    </row>
    <row r="1746" spans="1:6" x14ac:dyDescent="0.25">
      <c r="A1746" t="s">
        <v>22</v>
      </c>
    </row>
    <row r="1747" spans="1:6" x14ac:dyDescent="0.25">
      <c r="C1747" t="s">
        <v>23</v>
      </c>
    </row>
    <row r="1748" spans="1:6" x14ac:dyDescent="0.25">
      <c r="C1748" t="s">
        <v>24</v>
      </c>
    </row>
    <row r="1749" spans="1:6" x14ac:dyDescent="0.25">
      <c r="C1749" t="s">
        <v>28</v>
      </c>
    </row>
    <row r="1750" spans="1:6" x14ac:dyDescent="0.25">
      <c r="C1750" t="s">
        <v>25</v>
      </c>
    </row>
    <row r="1751" spans="1:6" x14ac:dyDescent="0.25">
      <c r="C1751" t="s">
        <v>26</v>
      </c>
    </row>
    <row r="1753" spans="1:6" x14ac:dyDescent="0.25">
      <c r="B1753" t="s">
        <v>27</v>
      </c>
      <c r="C1753" s="22">
        <f>'CUADRO DE CARGAS'!L84</f>
        <v>0.76818181818181819</v>
      </c>
      <c r="D1753" t="s">
        <v>29</v>
      </c>
      <c r="E1753" t="s">
        <v>30</v>
      </c>
    </row>
    <row r="1754" spans="1:6" x14ac:dyDescent="0.25">
      <c r="B1754" s="23" t="s">
        <v>44</v>
      </c>
      <c r="C1754" s="33">
        <f>1.25*C1753</f>
        <v>0.96022727272727271</v>
      </c>
      <c r="D1754" s="23" t="s">
        <v>29</v>
      </c>
      <c r="E1754" t="s">
        <v>51</v>
      </c>
    </row>
    <row r="1755" spans="1:6" x14ac:dyDescent="0.25">
      <c r="B1755" s="24" t="s">
        <v>31</v>
      </c>
      <c r="C1755" s="24">
        <v>2.5</v>
      </c>
      <c r="D1755" s="24" t="s">
        <v>32</v>
      </c>
    </row>
    <row r="1756" spans="1:6" x14ac:dyDescent="0.25">
      <c r="A1756" t="s">
        <v>52</v>
      </c>
    </row>
    <row r="1757" spans="1:6" x14ac:dyDescent="0.25">
      <c r="B1757" s="23" t="s">
        <v>36</v>
      </c>
      <c r="C1757" s="23">
        <v>40</v>
      </c>
      <c r="D1757" s="23" t="s">
        <v>37</v>
      </c>
      <c r="E1757" s="32"/>
    </row>
    <row r="1758" spans="1:6" x14ac:dyDescent="0.25">
      <c r="A1758" t="s">
        <v>53</v>
      </c>
    </row>
    <row r="1761" spans="1:6" x14ac:dyDescent="0.25">
      <c r="A1761" t="s">
        <v>23</v>
      </c>
    </row>
    <row r="1762" spans="1:6" x14ac:dyDescent="0.25">
      <c r="C1762" t="s">
        <v>35</v>
      </c>
      <c r="E1762">
        <v>1.7999999999999999E-2</v>
      </c>
    </row>
    <row r="1763" spans="1:6" x14ac:dyDescent="0.25">
      <c r="C1763" t="s">
        <v>34</v>
      </c>
      <c r="D1763">
        <f>E1762*C1757/C1755</f>
        <v>0.28799999999999998</v>
      </c>
    </row>
    <row r="1765" spans="1:6" x14ac:dyDescent="0.25">
      <c r="A1765" t="s">
        <v>33</v>
      </c>
    </row>
    <row r="1767" spans="1:6" x14ac:dyDescent="0.25">
      <c r="B1767" s="38">
        <f>1*C1754*D1763</f>
        <v>0.27654545454545454</v>
      </c>
      <c r="C1767" t="s">
        <v>38</v>
      </c>
      <c r="D1767" s="24" t="s">
        <v>39</v>
      </c>
    </row>
    <row r="1769" spans="1:6" ht="15.75" x14ac:dyDescent="0.25">
      <c r="A1769" s="96" t="s">
        <v>110</v>
      </c>
      <c r="B1769" s="96"/>
      <c r="C1769" s="96"/>
      <c r="D1769" s="96"/>
      <c r="E1769" s="96"/>
      <c r="F1769" s="96"/>
    </row>
    <row r="1770" spans="1:6" ht="15.75" x14ac:dyDescent="0.25">
      <c r="A1770" s="97" t="s">
        <v>199</v>
      </c>
      <c r="B1770" s="97"/>
      <c r="C1770" s="97"/>
      <c r="D1770" s="97"/>
      <c r="E1770" s="97"/>
      <c r="F1770" s="97"/>
    </row>
    <row r="1771" spans="1:6" x14ac:dyDescent="0.25">
      <c r="A1771" t="s">
        <v>22</v>
      </c>
    </row>
    <row r="1772" spans="1:6" x14ac:dyDescent="0.25">
      <c r="C1772" t="s">
        <v>23</v>
      </c>
    </row>
    <row r="1773" spans="1:6" x14ac:dyDescent="0.25">
      <c r="C1773" t="s">
        <v>24</v>
      </c>
    </row>
    <row r="1774" spans="1:6" x14ac:dyDescent="0.25">
      <c r="C1774" t="s">
        <v>28</v>
      </c>
    </row>
    <row r="1775" spans="1:6" x14ac:dyDescent="0.25">
      <c r="C1775" t="s">
        <v>25</v>
      </c>
    </row>
    <row r="1776" spans="1:6" x14ac:dyDescent="0.25">
      <c r="C1776" t="s">
        <v>26</v>
      </c>
    </row>
    <row r="1778" spans="1:5" x14ac:dyDescent="0.25">
      <c r="B1778" t="s">
        <v>27</v>
      </c>
      <c r="C1778" s="22">
        <f>'CUADRO DE CARGAS'!L85</f>
        <v>3.8454545454545452</v>
      </c>
      <c r="D1778" t="s">
        <v>29</v>
      </c>
      <c r="E1778" t="s">
        <v>30</v>
      </c>
    </row>
    <row r="1779" spans="1:5" x14ac:dyDescent="0.25">
      <c r="B1779" s="23" t="s">
        <v>44</v>
      </c>
      <c r="C1779" s="33">
        <f>1.25*C1778</f>
        <v>4.8068181818181817</v>
      </c>
      <c r="D1779" s="23" t="s">
        <v>29</v>
      </c>
      <c r="E1779" t="s">
        <v>51</v>
      </c>
    </row>
    <row r="1780" spans="1:5" x14ac:dyDescent="0.25">
      <c r="B1780" s="24" t="s">
        <v>31</v>
      </c>
      <c r="C1780" s="24">
        <v>2.5</v>
      </c>
      <c r="D1780" s="24" t="s">
        <v>32</v>
      </c>
    </row>
    <row r="1781" spans="1:5" x14ac:dyDescent="0.25">
      <c r="A1781" t="s">
        <v>52</v>
      </c>
    </row>
    <row r="1782" spans="1:5" x14ac:dyDescent="0.25">
      <c r="B1782" s="23" t="s">
        <v>36</v>
      </c>
      <c r="C1782" s="23">
        <v>82</v>
      </c>
      <c r="D1782" s="23" t="s">
        <v>37</v>
      </c>
      <c r="E1782" s="32"/>
    </row>
    <row r="1783" spans="1:5" x14ac:dyDescent="0.25">
      <c r="A1783" t="s">
        <v>53</v>
      </c>
    </row>
    <row r="1786" spans="1:5" x14ac:dyDescent="0.25">
      <c r="A1786" t="s">
        <v>23</v>
      </c>
    </row>
    <row r="1787" spans="1:5" x14ac:dyDescent="0.25">
      <c r="C1787" t="s">
        <v>35</v>
      </c>
      <c r="E1787">
        <v>1.7999999999999999E-2</v>
      </c>
    </row>
    <row r="1788" spans="1:5" x14ac:dyDescent="0.25">
      <c r="C1788" t="s">
        <v>34</v>
      </c>
      <c r="D1788">
        <f>E1787*C1782/C1780</f>
        <v>0.59040000000000004</v>
      </c>
    </row>
    <row r="1790" spans="1:5" x14ac:dyDescent="0.25">
      <c r="A1790" t="s">
        <v>33</v>
      </c>
    </row>
    <row r="1792" spans="1:5" x14ac:dyDescent="0.25">
      <c r="B1792" s="38">
        <f>1*C1779*D1788</f>
        <v>2.8379454545454545</v>
      </c>
      <c r="C1792" t="s">
        <v>38</v>
      </c>
      <c r="D1792" s="24" t="s">
        <v>39</v>
      </c>
    </row>
    <row r="1794" spans="1:6" ht="15.75" x14ac:dyDescent="0.25">
      <c r="A1794" s="96" t="s">
        <v>111</v>
      </c>
      <c r="B1794" s="96"/>
      <c r="C1794" s="96"/>
      <c r="D1794" s="96"/>
      <c r="E1794" s="96"/>
      <c r="F1794" s="96"/>
    </row>
    <row r="1795" spans="1:6" ht="15.75" x14ac:dyDescent="0.25">
      <c r="A1795" s="97" t="s">
        <v>200</v>
      </c>
      <c r="B1795" s="97"/>
      <c r="C1795" s="97"/>
      <c r="D1795" s="97"/>
      <c r="E1795" s="97"/>
      <c r="F1795" s="97"/>
    </row>
    <row r="1796" spans="1:6" x14ac:dyDescent="0.25">
      <c r="A1796" t="s">
        <v>22</v>
      </c>
    </row>
    <row r="1797" spans="1:6" x14ac:dyDescent="0.25">
      <c r="C1797" t="s">
        <v>23</v>
      </c>
    </row>
    <row r="1798" spans="1:6" x14ac:dyDescent="0.25">
      <c r="C1798" t="s">
        <v>24</v>
      </c>
    </row>
    <row r="1799" spans="1:6" x14ac:dyDescent="0.25">
      <c r="C1799" t="s">
        <v>28</v>
      </c>
    </row>
    <row r="1800" spans="1:6" x14ac:dyDescent="0.25">
      <c r="C1800" t="s">
        <v>25</v>
      </c>
    </row>
    <row r="1801" spans="1:6" x14ac:dyDescent="0.25">
      <c r="C1801" t="s">
        <v>26</v>
      </c>
    </row>
    <row r="1803" spans="1:6" x14ac:dyDescent="0.25">
      <c r="B1803" t="s">
        <v>27</v>
      </c>
      <c r="C1803" s="22">
        <f>'CUADRO DE CARGAS'!L86</f>
        <v>3.2045454545454546</v>
      </c>
      <c r="D1803" t="s">
        <v>29</v>
      </c>
      <c r="E1803" t="s">
        <v>30</v>
      </c>
    </row>
    <row r="1804" spans="1:6" x14ac:dyDescent="0.25">
      <c r="B1804" s="23" t="s">
        <v>44</v>
      </c>
      <c r="C1804" s="33">
        <f>1.25*C1803</f>
        <v>4.0056818181818183</v>
      </c>
      <c r="D1804" s="23" t="s">
        <v>29</v>
      </c>
      <c r="E1804" t="s">
        <v>51</v>
      </c>
    </row>
    <row r="1805" spans="1:6" x14ac:dyDescent="0.25">
      <c r="B1805" s="24" t="s">
        <v>31</v>
      </c>
      <c r="C1805" s="24">
        <v>2.5</v>
      </c>
      <c r="D1805" s="24" t="s">
        <v>32</v>
      </c>
    </row>
    <row r="1806" spans="1:6" x14ac:dyDescent="0.25">
      <c r="A1806" t="s">
        <v>52</v>
      </c>
    </row>
    <row r="1807" spans="1:6" x14ac:dyDescent="0.25">
      <c r="B1807" s="23" t="s">
        <v>36</v>
      </c>
      <c r="C1807" s="23">
        <v>82</v>
      </c>
      <c r="D1807" s="23" t="s">
        <v>37</v>
      </c>
      <c r="E1807" s="32"/>
    </row>
    <row r="1808" spans="1:6" x14ac:dyDescent="0.25">
      <c r="A1808" t="s">
        <v>53</v>
      </c>
    </row>
    <row r="1811" spans="1:6" x14ac:dyDescent="0.25">
      <c r="A1811" t="s">
        <v>23</v>
      </c>
    </row>
    <row r="1812" spans="1:6" x14ac:dyDescent="0.25">
      <c r="C1812" t="s">
        <v>35</v>
      </c>
      <c r="E1812">
        <v>1.7999999999999999E-2</v>
      </c>
    </row>
    <row r="1813" spans="1:6" x14ac:dyDescent="0.25">
      <c r="C1813" t="s">
        <v>34</v>
      </c>
      <c r="D1813">
        <f>E1812*C1807/C1805</f>
        <v>0.59040000000000004</v>
      </c>
    </row>
    <row r="1815" spans="1:6" x14ac:dyDescent="0.25">
      <c r="A1815" t="s">
        <v>33</v>
      </c>
    </row>
    <row r="1817" spans="1:6" x14ac:dyDescent="0.25">
      <c r="B1817" s="38">
        <f>1*C1804*D1813</f>
        <v>2.3649545454545455</v>
      </c>
      <c r="C1817" t="s">
        <v>38</v>
      </c>
      <c r="D1817" s="24" t="s">
        <v>39</v>
      </c>
    </row>
    <row r="1819" spans="1:6" ht="15.75" x14ac:dyDescent="0.25">
      <c r="A1819" s="95" t="s">
        <v>123</v>
      </c>
      <c r="B1819" s="96"/>
      <c r="C1819" s="96"/>
      <c r="D1819" s="96"/>
      <c r="E1819" s="96"/>
      <c r="F1819" s="96"/>
    </row>
    <row r="1820" spans="1:6" ht="15.75" x14ac:dyDescent="0.25">
      <c r="A1820" s="96" t="s">
        <v>99</v>
      </c>
      <c r="B1820" s="96"/>
      <c r="C1820" s="96"/>
      <c r="D1820" s="96"/>
      <c r="E1820" s="96"/>
      <c r="F1820" s="96"/>
    </row>
    <row r="1821" spans="1:6" ht="15.75" x14ac:dyDescent="0.25">
      <c r="A1821" s="97" t="s">
        <v>160</v>
      </c>
      <c r="B1821" s="97"/>
      <c r="C1821" s="97"/>
      <c r="D1821" s="97"/>
      <c r="E1821" s="97"/>
      <c r="F1821" s="97"/>
    </row>
    <row r="1822" spans="1:6" x14ac:dyDescent="0.25">
      <c r="A1822" t="s">
        <v>22</v>
      </c>
    </row>
    <row r="1823" spans="1:6" x14ac:dyDescent="0.25">
      <c r="C1823" t="s">
        <v>23</v>
      </c>
    </row>
    <row r="1824" spans="1:6" x14ac:dyDescent="0.25">
      <c r="C1824" t="s">
        <v>24</v>
      </c>
    </row>
    <row r="1825" spans="1:5" x14ac:dyDescent="0.25">
      <c r="C1825" t="s">
        <v>28</v>
      </c>
    </row>
    <row r="1826" spans="1:5" x14ac:dyDescent="0.25">
      <c r="C1826" t="s">
        <v>25</v>
      </c>
    </row>
    <row r="1827" spans="1:5" x14ac:dyDescent="0.25">
      <c r="C1827" t="s">
        <v>26</v>
      </c>
    </row>
    <row r="1829" spans="1:5" x14ac:dyDescent="0.25">
      <c r="B1829" t="s">
        <v>27</v>
      </c>
      <c r="C1829" s="22">
        <f>'CUADRO DE CARGAS'!L88</f>
        <v>12.727272727272727</v>
      </c>
      <c r="D1829" t="s">
        <v>29</v>
      </c>
      <c r="E1829" t="s">
        <v>30</v>
      </c>
    </row>
    <row r="1830" spans="1:5" x14ac:dyDescent="0.25">
      <c r="B1830" s="23" t="s">
        <v>44</v>
      </c>
      <c r="C1830" s="33">
        <f>1.25*C1829</f>
        <v>15.909090909090908</v>
      </c>
      <c r="D1830" s="23" t="s">
        <v>29</v>
      </c>
      <c r="E1830" t="s">
        <v>51</v>
      </c>
    </row>
    <row r="1831" spans="1:5" x14ac:dyDescent="0.25">
      <c r="B1831" s="24" t="s">
        <v>31</v>
      </c>
      <c r="C1831" s="24">
        <v>4</v>
      </c>
      <c r="D1831" s="24" t="s">
        <v>32</v>
      </c>
    </row>
    <row r="1832" spans="1:5" x14ac:dyDescent="0.25">
      <c r="A1832" t="s">
        <v>52</v>
      </c>
    </row>
    <row r="1833" spans="1:5" x14ac:dyDescent="0.25">
      <c r="B1833" s="23" t="s">
        <v>36</v>
      </c>
      <c r="C1833" s="23">
        <v>37</v>
      </c>
      <c r="D1833" s="23" t="s">
        <v>37</v>
      </c>
      <c r="E1833" s="32"/>
    </row>
    <row r="1834" spans="1:5" x14ac:dyDescent="0.25">
      <c r="A1834" t="s">
        <v>53</v>
      </c>
    </row>
    <row r="1837" spans="1:5" x14ac:dyDescent="0.25">
      <c r="A1837" t="s">
        <v>23</v>
      </c>
    </row>
    <row r="1838" spans="1:5" x14ac:dyDescent="0.25">
      <c r="C1838" t="s">
        <v>35</v>
      </c>
      <c r="E1838">
        <v>1.7999999999999999E-2</v>
      </c>
    </row>
    <row r="1839" spans="1:5" x14ac:dyDescent="0.25">
      <c r="C1839" t="s">
        <v>34</v>
      </c>
      <c r="D1839">
        <f>E1838*C1833/C1831</f>
        <v>0.16649999999999998</v>
      </c>
    </row>
    <row r="1841" spans="1:6" x14ac:dyDescent="0.25">
      <c r="A1841" t="s">
        <v>33</v>
      </c>
    </row>
    <row r="1843" spans="1:6" x14ac:dyDescent="0.25">
      <c r="B1843" s="38">
        <f>1*C1830*D1839</f>
        <v>2.648863636363636</v>
      </c>
      <c r="C1843" t="s">
        <v>38</v>
      </c>
      <c r="D1843" s="24" t="s">
        <v>39</v>
      </c>
    </row>
    <row r="1845" spans="1:6" ht="15.75" x14ac:dyDescent="0.25">
      <c r="A1845" s="96" t="s">
        <v>100</v>
      </c>
      <c r="B1845" s="96"/>
      <c r="C1845" s="96"/>
      <c r="D1845" s="96"/>
      <c r="E1845" s="96"/>
      <c r="F1845" s="96"/>
    </row>
    <row r="1846" spans="1:6" ht="15.75" x14ac:dyDescent="0.25">
      <c r="A1846" s="97" t="s">
        <v>161</v>
      </c>
      <c r="B1846" s="97"/>
      <c r="C1846" s="97"/>
      <c r="D1846" s="97"/>
      <c r="E1846" s="97"/>
      <c r="F1846" s="97"/>
    </row>
    <row r="1847" spans="1:6" x14ac:dyDescent="0.25">
      <c r="A1847" t="s">
        <v>22</v>
      </c>
    </row>
    <row r="1848" spans="1:6" x14ac:dyDescent="0.25">
      <c r="C1848" t="s">
        <v>23</v>
      </c>
    </row>
    <row r="1849" spans="1:6" x14ac:dyDescent="0.25">
      <c r="C1849" t="s">
        <v>24</v>
      </c>
    </row>
    <row r="1850" spans="1:6" x14ac:dyDescent="0.25">
      <c r="C1850" t="s">
        <v>28</v>
      </c>
    </row>
    <row r="1851" spans="1:6" x14ac:dyDescent="0.25">
      <c r="C1851" t="s">
        <v>25</v>
      </c>
    </row>
    <row r="1852" spans="1:6" x14ac:dyDescent="0.25">
      <c r="C1852" t="s">
        <v>26</v>
      </c>
    </row>
    <row r="1854" spans="1:6" x14ac:dyDescent="0.25">
      <c r="B1854" t="s">
        <v>27</v>
      </c>
      <c r="C1854" s="22">
        <f>'CUADRO DE CARGAS'!L89</f>
        <v>15.272727272727273</v>
      </c>
      <c r="D1854" t="s">
        <v>29</v>
      </c>
      <c r="E1854" t="s">
        <v>30</v>
      </c>
    </row>
    <row r="1855" spans="1:6" x14ac:dyDescent="0.25">
      <c r="B1855" s="23" t="s">
        <v>44</v>
      </c>
      <c r="C1855" s="33">
        <f>1.25*C1854</f>
        <v>19.090909090909093</v>
      </c>
      <c r="D1855" s="23" t="s">
        <v>29</v>
      </c>
      <c r="E1855" t="s">
        <v>51</v>
      </c>
    </row>
    <row r="1856" spans="1:6" x14ac:dyDescent="0.25">
      <c r="B1856" s="24" t="s">
        <v>31</v>
      </c>
      <c r="C1856" s="24">
        <v>4</v>
      </c>
      <c r="D1856" s="24" t="s">
        <v>32</v>
      </c>
    </row>
    <row r="1857" spans="1:6" x14ac:dyDescent="0.25">
      <c r="A1857" t="s">
        <v>52</v>
      </c>
    </row>
    <row r="1858" spans="1:6" x14ac:dyDescent="0.25">
      <c r="B1858" s="23" t="s">
        <v>36</v>
      </c>
      <c r="C1858" s="23">
        <v>43</v>
      </c>
      <c r="D1858" s="23" t="s">
        <v>37</v>
      </c>
      <c r="E1858" s="32"/>
    </row>
    <row r="1859" spans="1:6" x14ac:dyDescent="0.25">
      <c r="A1859" t="s">
        <v>53</v>
      </c>
    </row>
    <row r="1862" spans="1:6" x14ac:dyDescent="0.25">
      <c r="A1862" t="s">
        <v>23</v>
      </c>
    </row>
    <row r="1863" spans="1:6" x14ac:dyDescent="0.25">
      <c r="C1863" t="s">
        <v>35</v>
      </c>
      <c r="E1863">
        <v>1.7999999999999999E-2</v>
      </c>
    </row>
    <row r="1864" spans="1:6" x14ac:dyDescent="0.25">
      <c r="C1864" t="s">
        <v>34</v>
      </c>
      <c r="D1864">
        <f>E1863*C1858/C1856</f>
        <v>0.19349999999999998</v>
      </c>
    </row>
    <row r="1866" spans="1:6" x14ac:dyDescent="0.25">
      <c r="A1866" t="s">
        <v>33</v>
      </c>
    </row>
    <row r="1868" spans="1:6" x14ac:dyDescent="0.25">
      <c r="B1868" s="38">
        <f>1*C1855*D1864</f>
        <v>3.6940909090909093</v>
      </c>
      <c r="C1868" t="s">
        <v>38</v>
      </c>
      <c r="D1868" s="24" t="s">
        <v>39</v>
      </c>
    </row>
    <row r="1870" spans="1:6" ht="15.75" x14ac:dyDescent="0.25">
      <c r="A1870" s="95" t="s">
        <v>104</v>
      </c>
      <c r="B1870" s="96"/>
      <c r="C1870" s="96"/>
      <c r="D1870" s="96"/>
      <c r="E1870" s="96"/>
      <c r="F1870" s="96"/>
    </row>
    <row r="1871" spans="1:6" ht="15.75" x14ac:dyDescent="0.25">
      <c r="A1871" s="97" t="s">
        <v>162</v>
      </c>
      <c r="B1871" s="97"/>
      <c r="C1871" s="97"/>
      <c r="D1871" s="97"/>
      <c r="E1871" s="97"/>
      <c r="F1871" s="97"/>
    </row>
    <row r="1872" spans="1:6" x14ac:dyDescent="0.25">
      <c r="A1872" t="s">
        <v>22</v>
      </c>
    </row>
    <row r="1873" spans="1:5" x14ac:dyDescent="0.25">
      <c r="C1873" t="s">
        <v>23</v>
      </c>
    </row>
    <row r="1874" spans="1:5" x14ac:dyDescent="0.25">
      <c r="C1874" t="s">
        <v>24</v>
      </c>
    </row>
    <row r="1875" spans="1:5" x14ac:dyDescent="0.25">
      <c r="C1875" t="s">
        <v>28</v>
      </c>
    </row>
    <row r="1876" spans="1:5" x14ac:dyDescent="0.25">
      <c r="C1876" t="s">
        <v>25</v>
      </c>
    </row>
    <row r="1877" spans="1:5" x14ac:dyDescent="0.25">
      <c r="C1877" t="s">
        <v>26</v>
      </c>
    </row>
    <row r="1879" spans="1:5" x14ac:dyDescent="0.25">
      <c r="B1879" t="s">
        <v>27</v>
      </c>
      <c r="C1879" s="22">
        <f>'CUADRO DE CARGAS'!L90</f>
        <v>6.5454545454545459</v>
      </c>
      <c r="D1879" t="s">
        <v>29</v>
      </c>
      <c r="E1879" t="s">
        <v>30</v>
      </c>
    </row>
    <row r="1880" spans="1:5" x14ac:dyDescent="0.25">
      <c r="B1880" s="23" t="s">
        <v>44</v>
      </c>
      <c r="C1880" s="33">
        <f>1.25*C1879</f>
        <v>8.1818181818181817</v>
      </c>
      <c r="D1880" s="23" t="s">
        <v>29</v>
      </c>
      <c r="E1880" t="s">
        <v>51</v>
      </c>
    </row>
    <row r="1881" spans="1:5" x14ac:dyDescent="0.25">
      <c r="B1881" s="24" t="s">
        <v>31</v>
      </c>
      <c r="C1881" s="24">
        <v>4</v>
      </c>
      <c r="D1881" s="24" t="s">
        <v>32</v>
      </c>
    </row>
    <row r="1882" spans="1:5" x14ac:dyDescent="0.25">
      <c r="A1882" t="s">
        <v>52</v>
      </c>
    </row>
    <row r="1883" spans="1:5" x14ac:dyDescent="0.25">
      <c r="B1883" s="23" t="s">
        <v>36</v>
      </c>
      <c r="C1883" s="23">
        <v>21</v>
      </c>
      <c r="D1883" s="23" t="s">
        <v>37</v>
      </c>
      <c r="E1883" s="32"/>
    </row>
    <row r="1884" spans="1:5" x14ac:dyDescent="0.25">
      <c r="A1884" t="s">
        <v>53</v>
      </c>
    </row>
    <row r="1887" spans="1:5" x14ac:dyDescent="0.25">
      <c r="A1887" t="s">
        <v>23</v>
      </c>
    </row>
    <row r="1888" spans="1:5" x14ac:dyDescent="0.25">
      <c r="C1888" t="s">
        <v>35</v>
      </c>
      <c r="E1888">
        <v>1.7999999999999999E-2</v>
      </c>
    </row>
    <row r="1889" spans="1:6" x14ac:dyDescent="0.25">
      <c r="C1889" t="s">
        <v>34</v>
      </c>
      <c r="D1889">
        <f>E1888*C1883/C1881</f>
        <v>9.4499999999999987E-2</v>
      </c>
    </row>
    <row r="1891" spans="1:6" x14ac:dyDescent="0.25">
      <c r="A1891" t="s">
        <v>33</v>
      </c>
    </row>
    <row r="1893" spans="1:6" x14ac:dyDescent="0.25">
      <c r="B1893" s="38">
        <f>1*C1880*D1889</f>
        <v>0.77318181818181808</v>
      </c>
      <c r="C1893" t="s">
        <v>38</v>
      </c>
      <c r="D1893" s="24" t="s">
        <v>39</v>
      </c>
    </row>
    <row r="1895" spans="1:6" ht="15.75" x14ac:dyDescent="0.25">
      <c r="A1895" s="95" t="s">
        <v>105</v>
      </c>
      <c r="B1895" s="96"/>
      <c r="C1895" s="96"/>
      <c r="D1895" s="96"/>
      <c r="E1895" s="96"/>
      <c r="F1895" s="96"/>
    </row>
    <row r="1896" spans="1:6" ht="15.75" x14ac:dyDescent="0.25">
      <c r="A1896" s="97" t="s">
        <v>163</v>
      </c>
      <c r="B1896" s="97"/>
      <c r="C1896" s="97"/>
      <c r="D1896" s="97"/>
      <c r="E1896" s="97"/>
      <c r="F1896" s="97"/>
    </row>
    <row r="1897" spans="1:6" x14ac:dyDescent="0.25">
      <c r="A1897" t="s">
        <v>22</v>
      </c>
    </row>
    <row r="1898" spans="1:6" x14ac:dyDescent="0.25">
      <c r="C1898" t="s">
        <v>23</v>
      </c>
    </row>
    <row r="1899" spans="1:6" x14ac:dyDescent="0.25">
      <c r="C1899" t="s">
        <v>24</v>
      </c>
    </row>
    <row r="1900" spans="1:6" x14ac:dyDescent="0.25">
      <c r="C1900" t="s">
        <v>28</v>
      </c>
    </row>
    <row r="1901" spans="1:6" x14ac:dyDescent="0.25">
      <c r="C1901" t="s">
        <v>25</v>
      </c>
    </row>
    <row r="1902" spans="1:6" x14ac:dyDescent="0.25">
      <c r="C1902" t="s">
        <v>26</v>
      </c>
    </row>
    <row r="1904" spans="1:6" x14ac:dyDescent="0.25">
      <c r="B1904" t="s">
        <v>27</v>
      </c>
      <c r="C1904" s="22">
        <f>'CUADRO DE CARGAS'!L91</f>
        <v>15.272727272727273</v>
      </c>
      <c r="D1904" t="s">
        <v>29</v>
      </c>
      <c r="E1904" t="s">
        <v>30</v>
      </c>
    </row>
    <row r="1905" spans="1:6" x14ac:dyDescent="0.25">
      <c r="B1905" s="23" t="s">
        <v>44</v>
      </c>
      <c r="C1905" s="33">
        <f>1.25*C1904</f>
        <v>19.090909090909093</v>
      </c>
      <c r="D1905" s="23" t="s">
        <v>29</v>
      </c>
      <c r="E1905" t="s">
        <v>51</v>
      </c>
    </row>
    <row r="1906" spans="1:6" x14ac:dyDescent="0.25">
      <c r="B1906" s="24" t="s">
        <v>31</v>
      </c>
      <c r="C1906" s="24">
        <v>6</v>
      </c>
      <c r="D1906" s="24" t="s">
        <v>32</v>
      </c>
    </row>
    <row r="1907" spans="1:6" x14ac:dyDescent="0.25">
      <c r="A1907" t="s">
        <v>52</v>
      </c>
    </row>
    <row r="1908" spans="1:6" x14ac:dyDescent="0.25">
      <c r="B1908" s="23" t="s">
        <v>36</v>
      </c>
      <c r="C1908" s="23">
        <v>74</v>
      </c>
      <c r="D1908" s="23" t="s">
        <v>37</v>
      </c>
      <c r="E1908" s="32"/>
    </row>
    <row r="1909" spans="1:6" x14ac:dyDescent="0.25">
      <c r="A1909" t="s">
        <v>53</v>
      </c>
    </row>
    <row r="1912" spans="1:6" x14ac:dyDescent="0.25">
      <c r="A1912" t="s">
        <v>23</v>
      </c>
    </row>
    <row r="1913" spans="1:6" x14ac:dyDescent="0.25">
      <c r="C1913" t="s">
        <v>35</v>
      </c>
      <c r="E1913">
        <v>1.7999999999999999E-2</v>
      </c>
    </row>
    <row r="1914" spans="1:6" x14ac:dyDescent="0.25">
      <c r="C1914" t="s">
        <v>34</v>
      </c>
      <c r="D1914">
        <f>E1913*C1908/C1906</f>
        <v>0.22199999999999998</v>
      </c>
    </row>
    <row r="1916" spans="1:6" x14ac:dyDescent="0.25">
      <c r="A1916" t="s">
        <v>33</v>
      </c>
    </row>
    <row r="1918" spans="1:6" x14ac:dyDescent="0.25">
      <c r="B1918" s="38">
        <f>1*C1905*D1914</f>
        <v>4.2381818181818183</v>
      </c>
      <c r="C1918" t="s">
        <v>38</v>
      </c>
      <c r="D1918" s="24" t="s">
        <v>39</v>
      </c>
    </row>
    <row r="1920" spans="1:6" ht="15.75" x14ac:dyDescent="0.25">
      <c r="A1920" s="95" t="s">
        <v>106</v>
      </c>
      <c r="B1920" s="96"/>
      <c r="C1920" s="96"/>
      <c r="D1920" s="96"/>
      <c r="E1920" s="96"/>
      <c r="F1920" s="96"/>
    </row>
    <row r="1921" spans="1:6" ht="15.75" x14ac:dyDescent="0.25">
      <c r="A1921" s="97" t="s">
        <v>204</v>
      </c>
      <c r="B1921" s="97"/>
      <c r="C1921" s="97"/>
      <c r="D1921" s="97"/>
      <c r="E1921" s="97"/>
      <c r="F1921" s="97"/>
    </row>
    <row r="1922" spans="1:6" x14ac:dyDescent="0.25">
      <c r="A1922" t="s">
        <v>22</v>
      </c>
    </row>
    <row r="1923" spans="1:6" x14ac:dyDescent="0.25">
      <c r="C1923" t="s">
        <v>23</v>
      </c>
    </row>
    <row r="1924" spans="1:6" x14ac:dyDescent="0.25">
      <c r="C1924" t="s">
        <v>24</v>
      </c>
    </row>
    <row r="1925" spans="1:6" x14ac:dyDescent="0.25">
      <c r="C1925" t="s">
        <v>28</v>
      </c>
    </row>
    <row r="1926" spans="1:6" x14ac:dyDescent="0.25">
      <c r="C1926" t="s">
        <v>25</v>
      </c>
    </row>
    <row r="1927" spans="1:6" x14ac:dyDescent="0.25">
      <c r="C1927" t="s">
        <v>26</v>
      </c>
    </row>
    <row r="1929" spans="1:6" x14ac:dyDescent="0.25">
      <c r="B1929" t="s">
        <v>27</v>
      </c>
      <c r="C1929" s="22">
        <f>'CUADRO DE CARGAS'!L92</f>
        <v>2.5636363636363635</v>
      </c>
      <c r="D1929" t="s">
        <v>29</v>
      </c>
      <c r="E1929" t="s">
        <v>30</v>
      </c>
    </row>
    <row r="1930" spans="1:6" x14ac:dyDescent="0.25">
      <c r="B1930" s="23" t="s">
        <v>44</v>
      </c>
      <c r="C1930" s="33">
        <f>1.25*C1929</f>
        <v>3.2045454545454541</v>
      </c>
      <c r="D1930" s="23" t="s">
        <v>29</v>
      </c>
      <c r="E1930" t="s">
        <v>51</v>
      </c>
    </row>
    <row r="1931" spans="1:6" x14ac:dyDescent="0.25">
      <c r="B1931" s="24" t="s">
        <v>31</v>
      </c>
      <c r="C1931" s="24">
        <v>2.5</v>
      </c>
      <c r="D1931" s="24" t="s">
        <v>32</v>
      </c>
    </row>
    <row r="1932" spans="1:6" x14ac:dyDescent="0.25">
      <c r="A1932" t="s">
        <v>52</v>
      </c>
    </row>
    <row r="1933" spans="1:6" x14ac:dyDescent="0.25">
      <c r="B1933" s="23" t="s">
        <v>36</v>
      </c>
      <c r="C1933" s="23">
        <v>70</v>
      </c>
      <c r="D1933" s="23" t="s">
        <v>37</v>
      </c>
      <c r="E1933" s="32"/>
    </row>
    <row r="1934" spans="1:6" x14ac:dyDescent="0.25">
      <c r="A1934" t="s">
        <v>53</v>
      </c>
    </row>
    <row r="1937" spans="1:6" x14ac:dyDescent="0.25">
      <c r="A1937" t="s">
        <v>23</v>
      </c>
    </row>
    <row r="1938" spans="1:6" x14ac:dyDescent="0.25">
      <c r="C1938" t="s">
        <v>35</v>
      </c>
      <c r="E1938">
        <v>1.7999999999999999E-2</v>
      </c>
    </row>
    <row r="1939" spans="1:6" x14ac:dyDescent="0.25">
      <c r="C1939" t="s">
        <v>34</v>
      </c>
      <c r="D1939">
        <f>E1938*C1933/C1931</f>
        <v>0.504</v>
      </c>
    </row>
    <row r="1941" spans="1:6" x14ac:dyDescent="0.25">
      <c r="A1941" t="s">
        <v>33</v>
      </c>
    </row>
    <row r="1943" spans="1:6" x14ac:dyDescent="0.25">
      <c r="B1943" s="38">
        <f>1*C1930*D1939</f>
        <v>1.6150909090909089</v>
      </c>
      <c r="C1943" t="s">
        <v>38</v>
      </c>
      <c r="D1943" s="24" t="s">
        <v>39</v>
      </c>
    </row>
    <row r="1945" spans="1:6" ht="15.75" x14ac:dyDescent="0.25">
      <c r="A1945" s="95"/>
      <c r="B1945" s="96"/>
      <c r="C1945" s="96"/>
      <c r="D1945" s="96"/>
      <c r="E1945" s="96"/>
      <c r="F1945" s="96"/>
    </row>
    <row r="1946" spans="1:6" ht="15.75" x14ac:dyDescent="0.25">
      <c r="A1946" s="96" t="s">
        <v>108</v>
      </c>
      <c r="B1946" s="96"/>
      <c r="C1946" s="96"/>
      <c r="D1946" s="96"/>
      <c r="E1946" s="96"/>
      <c r="F1946" s="96"/>
    </row>
    <row r="1947" spans="1:6" ht="15.75" x14ac:dyDescent="0.25">
      <c r="A1947" s="97" t="s">
        <v>201</v>
      </c>
      <c r="B1947" s="97"/>
      <c r="C1947" s="97"/>
      <c r="D1947" s="97"/>
      <c r="E1947" s="97"/>
      <c r="F1947" s="97"/>
    </row>
    <row r="1948" spans="1:6" x14ac:dyDescent="0.25">
      <c r="A1948" t="s">
        <v>22</v>
      </c>
    </row>
    <row r="1949" spans="1:6" x14ac:dyDescent="0.25">
      <c r="C1949" t="s">
        <v>23</v>
      </c>
    </row>
    <row r="1950" spans="1:6" x14ac:dyDescent="0.25">
      <c r="C1950" t="s">
        <v>24</v>
      </c>
    </row>
    <row r="1951" spans="1:6" x14ac:dyDescent="0.25">
      <c r="C1951" t="s">
        <v>28</v>
      </c>
    </row>
    <row r="1952" spans="1:6" x14ac:dyDescent="0.25">
      <c r="C1952" t="s">
        <v>25</v>
      </c>
    </row>
    <row r="1953" spans="1:5" x14ac:dyDescent="0.25">
      <c r="C1953" t="s">
        <v>26</v>
      </c>
    </row>
    <row r="1955" spans="1:5" x14ac:dyDescent="0.25">
      <c r="B1955" t="s">
        <v>27</v>
      </c>
      <c r="C1955" s="22">
        <f>'CUADRO DE CARGAS'!L93</f>
        <v>4.2727272727272725</v>
      </c>
      <c r="D1955" t="s">
        <v>29</v>
      </c>
      <c r="E1955" t="s">
        <v>30</v>
      </c>
    </row>
    <row r="1956" spans="1:5" x14ac:dyDescent="0.25">
      <c r="B1956" s="23" t="s">
        <v>44</v>
      </c>
      <c r="C1956" s="33">
        <f>1.25*C1955</f>
        <v>5.3409090909090908</v>
      </c>
      <c r="D1956" s="23" t="s">
        <v>29</v>
      </c>
      <c r="E1956" t="s">
        <v>51</v>
      </c>
    </row>
    <row r="1957" spans="1:5" x14ac:dyDescent="0.25">
      <c r="B1957" s="24" t="s">
        <v>31</v>
      </c>
      <c r="C1957" s="24">
        <v>2.5</v>
      </c>
      <c r="D1957" s="24" t="s">
        <v>32</v>
      </c>
    </row>
    <row r="1958" spans="1:5" x14ac:dyDescent="0.25">
      <c r="A1958" t="s">
        <v>52</v>
      </c>
    </row>
    <row r="1959" spans="1:5" x14ac:dyDescent="0.25">
      <c r="B1959" s="23" t="s">
        <v>36</v>
      </c>
      <c r="C1959" s="23">
        <v>98</v>
      </c>
      <c r="D1959" s="23" t="s">
        <v>37</v>
      </c>
      <c r="E1959" s="32"/>
    </row>
    <row r="1960" spans="1:5" x14ac:dyDescent="0.25">
      <c r="A1960" t="s">
        <v>53</v>
      </c>
    </row>
    <row r="1963" spans="1:5" x14ac:dyDescent="0.25">
      <c r="A1963" t="s">
        <v>23</v>
      </c>
    </row>
    <row r="1964" spans="1:5" x14ac:dyDescent="0.25">
      <c r="C1964" t="s">
        <v>35</v>
      </c>
      <c r="E1964">
        <v>1.7999999999999999E-2</v>
      </c>
    </row>
    <row r="1965" spans="1:5" x14ac:dyDescent="0.25">
      <c r="C1965" t="s">
        <v>34</v>
      </c>
      <c r="D1965">
        <f>E1964*C1959/C1957</f>
        <v>0.70559999999999989</v>
      </c>
    </row>
    <row r="1967" spans="1:5" x14ac:dyDescent="0.25">
      <c r="A1967" t="s">
        <v>33</v>
      </c>
    </row>
    <row r="1969" spans="1:6" x14ac:dyDescent="0.25">
      <c r="B1969" s="38">
        <f>1*C1956*D1965</f>
        <v>3.7685454545454538</v>
      </c>
      <c r="C1969" t="s">
        <v>38</v>
      </c>
      <c r="D1969" s="24" t="s">
        <v>39</v>
      </c>
    </row>
    <row r="1971" spans="1:6" ht="15.75" x14ac:dyDescent="0.25">
      <c r="A1971" s="96" t="s">
        <v>109</v>
      </c>
      <c r="B1971" s="96"/>
      <c r="C1971" s="96"/>
      <c r="D1971" s="96"/>
      <c r="E1971" s="96"/>
      <c r="F1971" s="96"/>
    </row>
    <row r="1972" spans="1:6" ht="15.75" x14ac:dyDescent="0.25">
      <c r="A1972" s="97" t="s">
        <v>202</v>
      </c>
      <c r="B1972" s="97"/>
      <c r="C1972" s="97"/>
      <c r="D1972" s="97"/>
      <c r="E1972" s="97"/>
      <c r="F1972" s="97"/>
    </row>
    <row r="1973" spans="1:6" x14ac:dyDescent="0.25">
      <c r="A1973" t="s">
        <v>22</v>
      </c>
    </row>
    <row r="1974" spans="1:6" x14ac:dyDescent="0.25">
      <c r="C1974" t="s">
        <v>23</v>
      </c>
    </row>
    <row r="1975" spans="1:6" x14ac:dyDescent="0.25">
      <c r="C1975" t="s">
        <v>24</v>
      </c>
    </row>
    <row r="1976" spans="1:6" x14ac:dyDescent="0.25">
      <c r="C1976" t="s">
        <v>28</v>
      </c>
    </row>
    <row r="1977" spans="1:6" x14ac:dyDescent="0.25">
      <c r="C1977" t="s">
        <v>25</v>
      </c>
    </row>
    <row r="1978" spans="1:6" x14ac:dyDescent="0.25">
      <c r="C1978" t="s">
        <v>26</v>
      </c>
    </row>
    <row r="1980" spans="1:6" x14ac:dyDescent="0.25">
      <c r="B1980" t="s">
        <v>27</v>
      </c>
      <c r="C1980" s="22">
        <f>'CUADRO DE CARGAS'!L94</f>
        <v>5.127272727272727</v>
      </c>
      <c r="D1980" t="s">
        <v>29</v>
      </c>
      <c r="E1980" t="s">
        <v>30</v>
      </c>
    </row>
    <row r="1981" spans="1:6" x14ac:dyDescent="0.25">
      <c r="B1981" s="23" t="s">
        <v>44</v>
      </c>
      <c r="C1981" s="33">
        <f>1.25*C1980</f>
        <v>6.4090909090909083</v>
      </c>
      <c r="D1981" s="23" t="s">
        <v>29</v>
      </c>
      <c r="E1981" t="s">
        <v>51</v>
      </c>
    </row>
    <row r="1982" spans="1:6" x14ac:dyDescent="0.25">
      <c r="B1982" s="24" t="s">
        <v>31</v>
      </c>
      <c r="C1982" s="24">
        <v>2.5</v>
      </c>
      <c r="D1982" s="24" t="s">
        <v>32</v>
      </c>
    </row>
    <row r="1983" spans="1:6" x14ac:dyDescent="0.25">
      <c r="A1983" t="s">
        <v>52</v>
      </c>
    </row>
    <row r="1984" spans="1:6" x14ac:dyDescent="0.25">
      <c r="B1984" s="23" t="s">
        <v>36</v>
      </c>
      <c r="C1984" s="23">
        <v>53</v>
      </c>
      <c r="D1984" s="23" t="s">
        <v>37</v>
      </c>
      <c r="E1984" s="32"/>
    </row>
    <row r="1985" spans="1:6" x14ac:dyDescent="0.25">
      <c r="A1985" t="s">
        <v>53</v>
      </c>
    </row>
    <row r="1988" spans="1:6" x14ac:dyDescent="0.25">
      <c r="A1988" t="s">
        <v>23</v>
      </c>
    </row>
    <row r="1989" spans="1:6" x14ac:dyDescent="0.25">
      <c r="C1989" t="s">
        <v>35</v>
      </c>
      <c r="E1989">
        <v>1.7999999999999999E-2</v>
      </c>
    </row>
    <row r="1990" spans="1:6" x14ac:dyDescent="0.25">
      <c r="C1990" t="s">
        <v>34</v>
      </c>
      <c r="D1990">
        <f>E1989*C1984/C1982</f>
        <v>0.38159999999999999</v>
      </c>
    </row>
    <row r="1992" spans="1:6" x14ac:dyDescent="0.25">
      <c r="A1992" t="s">
        <v>33</v>
      </c>
    </row>
    <row r="1994" spans="1:6" x14ac:dyDescent="0.25">
      <c r="B1994" s="38">
        <f>1*C1981*D1990</f>
        <v>2.4457090909090904</v>
      </c>
      <c r="C1994" t="s">
        <v>38</v>
      </c>
      <c r="D1994" s="24" t="s">
        <v>39</v>
      </c>
    </row>
    <row r="1996" spans="1:6" ht="15.75" x14ac:dyDescent="0.25">
      <c r="A1996" s="96" t="s">
        <v>110</v>
      </c>
      <c r="B1996" s="96"/>
      <c r="C1996" s="96"/>
      <c r="D1996" s="96"/>
      <c r="E1996" s="96"/>
      <c r="F1996" s="96"/>
    </row>
    <row r="1997" spans="1:6" ht="15.75" x14ac:dyDescent="0.25">
      <c r="A1997" s="97" t="s">
        <v>203</v>
      </c>
      <c r="B1997" s="97"/>
      <c r="C1997" s="97"/>
      <c r="D1997" s="97"/>
      <c r="E1997" s="97"/>
      <c r="F1997" s="97"/>
    </row>
    <row r="1998" spans="1:6" x14ac:dyDescent="0.25">
      <c r="A1998" t="s">
        <v>22</v>
      </c>
    </row>
    <row r="1999" spans="1:6" x14ac:dyDescent="0.25">
      <c r="C1999" t="s">
        <v>23</v>
      </c>
    </row>
    <row r="2000" spans="1:6" x14ac:dyDescent="0.25">
      <c r="C2000" t="s">
        <v>24</v>
      </c>
    </row>
    <row r="2001" spans="1:5" x14ac:dyDescent="0.25">
      <c r="C2001" t="s">
        <v>28</v>
      </c>
    </row>
    <row r="2002" spans="1:5" x14ac:dyDescent="0.25">
      <c r="C2002" t="s">
        <v>25</v>
      </c>
    </row>
    <row r="2003" spans="1:5" x14ac:dyDescent="0.25">
      <c r="C2003" t="s">
        <v>26</v>
      </c>
    </row>
    <row r="2005" spans="1:5" x14ac:dyDescent="0.25">
      <c r="B2005" t="s">
        <v>27</v>
      </c>
      <c r="C2005" s="22">
        <f>'CUADRO DE CARGAS'!L95</f>
        <v>2.5636363636363635</v>
      </c>
      <c r="D2005" t="s">
        <v>29</v>
      </c>
      <c r="E2005" t="s">
        <v>30</v>
      </c>
    </row>
    <row r="2006" spans="1:5" x14ac:dyDescent="0.25">
      <c r="B2006" s="23" t="s">
        <v>44</v>
      </c>
      <c r="C2006" s="33">
        <f>1.25*C2005</f>
        <v>3.2045454545454541</v>
      </c>
      <c r="D2006" s="23" t="s">
        <v>29</v>
      </c>
      <c r="E2006" t="s">
        <v>51</v>
      </c>
    </row>
    <row r="2007" spans="1:5" x14ac:dyDescent="0.25">
      <c r="B2007" s="24" t="s">
        <v>31</v>
      </c>
      <c r="C2007" s="24">
        <v>2.5</v>
      </c>
      <c r="D2007" s="24" t="s">
        <v>32</v>
      </c>
    </row>
    <row r="2008" spans="1:5" x14ac:dyDescent="0.25">
      <c r="A2008" t="s">
        <v>52</v>
      </c>
    </row>
    <row r="2009" spans="1:5" x14ac:dyDescent="0.25">
      <c r="B2009" s="23" t="s">
        <v>36</v>
      </c>
      <c r="C2009" s="23">
        <v>58</v>
      </c>
      <c r="D2009" s="23" t="s">
        <v>37</v>
      </c>
      <c r="E2009" s="32"/>
    </row>
    <row r="2010" spans="1:5" x14ac:dyDescent="0.25">
      <c r="A2010" t="s">
        <v>53</v>
      </c>
    </row>
    <row r="2013" spans="1:5" x14ac:dyDescent="0.25">
      <c r="A2013" t="s">
        <v>23</v>
      </c>
    </row>
    <row r="2014" spans="1:5" x14ac:dyDescent="0.25">
      <c r="C2014" t="s">
        <v>35</v>
      </c>
      <c r="E2014">
        <v>1.7999999999999999E-2</v>
      </c>
    </row>
    <row r="2015" spans="1:5" x14ac:dyDescent="0.25">
      <c r="C2015" t="s">
        <v>34</v>
      </c>
      <c r="D2015">
        <f>E2014*C2009/C2007</f>
        <v>0.41759999999999992</v>
      </c>
    </row>
    <row r="2017" spans="1:6" x14ac:dyDescent="0.25">
      <c r="A2017" t="s">
        <v>33</v>
      </c>
    </row>
    <row r="2019" spans="1:6" x14ac:dyDescent="0.25">
      <c r="B2019" s="38">
        <f>1*C2006*D2015</f>
        <v>1.3382181818181813</v>
      </c>
      <c r="C2019" t="s">
        <v>38</v>
      </c>
      <c r="D2019" s="24" t="s">
        <v>39</v>
      </c>
    </row>
    <row r="2021" spans="1:6" ht="15.75" x14ac:dyDescent="0.25">
      <c r="A2021" s="96" t="s">
        <v>111</v>
      </c>
      <c r="B2021" s="96"/>
      <c r="C2021" s="96"/>
      <c r="D2021" s="96"/>
      <c r="E2021" s="96"/>
      <c r="F2021" s="96"/>
    </row>
    <row r="2022" spans="1:6" ht="15.75" x14ac:dyDescent="0.25">
      <c r="A2022" s="97" t="s">
        <v>205</v>
      </c>
      <c r="B2022" s="97"/>
      <c r="C2022" s="97"/>
      <c r="D2022" s="97"/>
      <c r="E2022" s="97"/>
      <c r="F2022" s="97"/>
    </row>
    <row r="2023" spans="1:6" x14ac:dyDescent="0.25">
      <c r="A2023" t="s">
        <v>22</v>
      </c>
    </row>
    <row r="2024" spans="1:6" x14ac:dyDescent="0.25">
      <c r="C2024" t="s">
        <v>23</v>
      </c>
    </row>
    <row r="2025" spans="1:6" x14ac:dyDescent="0.25">
      <c r="C2025" t="s">
        <v>24</v>
      </c>
    </row>
    <row r="2026" spans="1:6" x14ac:dyDescent="0.25">
      <c r="C2026" t="s">
        <v>28</v>
      </c>
    </row>
    <row r="2027" spans="1:6" x14ac:dyDescent="0.25">
      <c r="C2027" t="s">
        <v>25</v>
      </c>
    </row>
    <row r="2028" spans="1:6" x14ac:dyDescent="0.25">
      <c r="C2028" t="s">
        <v>26</v>
      </c>
    </row>
    <row r="2030" spans="1:6" x14ac:dyDescent="0.25">
      <c r="B2030" t="s">
        <v>27</v>
      </c>
      <c r="C2030" s="22">
        <f>'CUADRO DE CARGAS'!L96</f>
        <v>3.2045454545454546</v>
      </c>
      <c r="D2030" t="s">
        <v>29</v>
      </c>
      <c r="E2030" t="s">
        <v>30</v>
      </c>
    </row>
    <row r="2031" spans="1:6" x14ac:dyDescent="0.25">
      <c r="B2031" s="23" t="s">
        <v>44</v>
      </c>
      <c r="C2031" s="33">
        <f>1.25*C2030</f>
        <v>4.0056818181818183</v>
      </c>
      <c r="D2031" s="23" t="s">
        <v>29</v>
      </c>
      <c r="E2031" t="s">
        <v>51</v>
      </c>
    </row>
    <row r="2032" spans="1:6" x14ac:dyDescent="0.25">
      <c r="B2032" s="24" t="s">
        <v>31</v>
      </c>
      <c r="C2032" s="24">
        <v>2.5</v>
      </c>
      <c r="D2032" s="24" t="s">
        <v>32</v>
      </c>
    </row>
    <row r="2033" spans="1:6" x14ac:dyDescent="0.25">
      <c r="A2033" t="s">
        <v>52</v>
      </c>
    </row>
    <row r="2034" spans="1:6" x14ac:dyDescent="0.25">
      <c r="B2034" s="23" t="s">
        <v>36</v>
      </c>
      <c r="C2034" s="23">
        <v>75</v>
      </c>
      <c r="D2034" s="23" t="s">
        <v>37</v>
      </c>
      <c r="E2034" s="32"/>
    </row>
    <row r="2035" spans="1:6" x14ac:dyDescent="0.25">
      <c r="A2035" t="s">
        <v>53</v>
      </c>
    </row>
    <row r="2038" spans="1:6" x14ac:dyDescent="0.25">
      <c r="A2038" t="s">
        <v>23</v>
      </c>
    </row>
    <row r="2039" spans="1:6" x14ac:dyDescent="0.25">
      <c r="C2039" t="s">
        <v>35</v>
      </c>
      <c r="E2039">
        <v>1.7999999999999999E-2</v>
      </c>
    </row>
    <row r="2040" spans="1:6" x14ac:dyDescent="0.25">
      <c r="C2040" t="s">
        <v>34</v>
      </c>
      <c r="D2040">
        <f>E2039*C2034/C2032</f>
        <v>0.53999999999999992</v>
      </c>
    </row>
    <row r="2042" spans="1:6" x14ac:dyDescent="0.25">
      <c r="A2042" t="s">
        <v>33</v>
      </c>
    </row>
    <row r="2044" spans="1:6" x14ac:dyDescent="0.25">
      <c r="B2044" s="38">
        <f>1*C2031*D2040</f>
        <v>2.1630681818181814</v>
      </c>
      <c r="C2044" t="s">
        <v>38</v>
      </c>
      <c r="D2044" s="24" t="s">
        <v>39</v>
      </c>
    </row>
    <row r="2047" spans="1:6" ht="15.75" x14ac:dyDescent="0.25">
      <c r="A2047" s="95" t="s">
        <v>124</v>
      </c>
      <c r="B2047" s="96"/>
      <c r="C2047" s="96"/>
      <c r="D2047" s="96"/>
      <c r="E2047" s="96"/>
      <c r="F2047" s="96"/>
    </row>
    <row r="2048" spans="1:6" ht="15.75" x14ac:dyDescent="0.25">
      <c r="A2048" s="96" t="s">
        <v>99</v>
      </c>
      <c r="B2048" s="96"/>
      <c r="C2048" s="96"/>
      <c r="D2048" s="96"/>
      <c r="E2048" s="96"/>
      <c r="F2048" s="96"/>
    </row>
    <row r="2049" spans="1:6" ht="15.75" x14ac:dyDescent="0.25">
      <c r="A2049" s="97" t="s">
        <v>164</v>
      </c>
      <c r="B2049" s="97"/>
      <c r="C2049" s="97"/>
      <c r="D2049" s="97"/>
      <c r="E2049" s="97"/>
      <c r="F2049" s="97"/>
    </row>
    <row r="2050" spans="1:6" x14ac:dyDescent="0.25">
      <c r="A2050" t="s">
        <v>22</v>
      </c>
    </row>
    <row r="2051" spans="1:6" x14ac:dyDescent="0.25">
      <c r="C2051" t="s">
        <v>23</v>
      </c>
    </row>
    <row r="2052" spans="1:6" x14ac:dyDescent="0.25">
      <c r="C2052" t="s">
        <v>24</v>
      </c>
    </row>
    <row r="2053" spans="1:6" x14ac:dyDescent="0.25">
      <c r="C2053" t="s">
        <v>28</v>
      </c>
    </row>
    <row r="2054" spans="1:6" x14ac:dyDescent="0.25">
      <c r="C2054" t="s">
        <v>25</v>
      </c>
    </row>
    <row r="2055" spans="1:6" x14ac:dyDescent="0.25">
      <c r="C2055" t="s">
        <v>26</v>
      </c>
    </row>
    <row r="2057" spans="1:6" x14ac:dyDescent="0.25">
      <c r="B2057" t="s">
        <v>27</v>
      </c>
      <c r="C2057" s="22">
        <f>'CUADRO DE CARGAS'!L98</f>
        <v>12</v>
      </c>
      <c r="D2057" t="s">
        <v>29</v>
      </c>
      <c r="E2057" t="s">
        <v>30</v>
      </c>
    </row>
    <row r="2058" spans="1:6" x14ac:dyDescent="0.25">
      <c r="B2058" s="23" t="s">
        <v>44</v>
      </c>
      <c r="C2058" s="33">
        <f>1.25*C2057</f>
        <v>15</v>
      </c>
      <c r="D2058" s="23" t="s">
        <v>29</v>
      </c>
      <c r="E2058" t="s">
        <v>51</v>
      </c>
    </row>
    <row r="2059" spans="1:6" x14ac:dyDescent="0.25">
      <c r="B2059" s="24" t="s">
        <v>31</v>
      </c>
      <c r="C2059" s="24">
        <v>4</v>
      </c>
      <c r="D2059" s="24" t="s">
        <v>32</v>
      </c>
    </row>
    <row r="2060" spans="1:6" x14ac:dyDescent="0.25">
      <c r="A2060" t="s">
        <v>52</v>
      </c>
    </row>
    <row r="2061" spans="1:6" x14ac:dyDescent="0.25">
      <c r="B2061" s="23" t="s">
        <v>36</v>
      </c>
      <c r="C2061" s="23">
        <v>60.4</v>
      </c>
      <c r="D2061" s="23" t="s">
        <v>37</v>
      </c>
      <c r="E2061" s="32"/>
    </row>
    <row r="2062" spans="1:6" x14ac:dyDescent="0.25">
      <c r="A2062" t="s">
        <v>53</v>
      </c>
    </row>
    <row r="2065" spans="1:6" x14ac:dyDescent="0.25">
      <c r="A2065" t="s">
        <v>23</v>
      </c>
    </row>
    <row r="2066" spans="1:6" x14ac:dyDescent="0.25">
      <c r="C2066" t="s">
        <v>35</v>
      </c>
      <c r="E2066">
        <v>1.7999999999999999E-2</v>
      </c>
    </row>
    <row r="2067" spans="1:6" x14ac:dyDescent="0.25">
      <c r="C2067" t="s">
        <v>34</v>
      </c>
      <c r="D2067">
        <f>E2066*C2061/C2059</f>
        <v>0.27179999999999999</v>
      </c>
    </row>
    <row r="2069" spans="1:6" x14ac:dyDescent="0.25">
      <c r="A2069" t="s">
        <v>33</v>
      </c>
    </row>
    <row r="2071" spans="1:6" x14ac:dyDescent="0.25">
      <c r="B2071" s="38">
        <f>1*C2058*D2067</f>
        <v>4.077</v>
      </c>
      <c r="C2071" t="s">
        <v>38</v>
      </c>
      <c r="D2071" s="24" t="s">
        <v>39</v>
      </c>
    </row>
    <row r="2073" spans="1:6" ht="15.75" x14ac:dyDescent="0.25">
      <c r="A2073" s="96" t="s">
        <v>100</v>
      </c>
      <c r="B2073" s="96"/>
      <c r="C2073" s="96"/>
      <c r="D2073" s="96"/>
      <c r="E2073" s="96"/>
      <c r="F2073" s="96"/>
    </row>
    <row r="2074" spans="1:6" ht="15.75" x14ac:dyDescent="0.25">
      <c r="A2074" s="97" t="s">
        <v>165</v>
      </c>
      <c r="B2074" s="97"/>
      <c r="C2074" s="97"/>
      <c r="D2074" s="97"/>
      <c r="E2074" s="97"/>
      <c r="F2074" s="97"/>
    </row>
    <row r="2075" spans="1:6" x14ac:dyDescent="0.25">
      <c r="A2075" t="s">
        <v>22</v>
      </c>
    </row>
    <row r="2076" spans="1:6" x14ac:dyDescent="0.25">
      <c r="C2076" t="s">
        <v>23</v>
      </c>
    </row>
    <row r="2077" spans="1:6" x14ac:dyDescent="0.25">
      <c r="C2077" t="s">
        <v>24</v>
      </c>
    </row>
    <row r="2078" spans="1:6" x14ac:dyDescent="0.25">
      <c r="C2078" t="s">
        <v>28</v>
      </c>
    </row>
    <row r="2079" spans="1:6" x14ac:dyDescent="0.25">
      <c r="C2079" t="s">
        <v>25</v>
      </c>
    </row>
    <row r="2080" spans="1:6" x14ac:dyDescent="0.25">
      <c r="C2080" t="s">
        <v>26</v>
      </c>
    </row>
    <row r="2082" spans="1:5" x14ac:dyDescent="0.25">
      <c r="B2082" t="s">
        <v>27</v>
      </c>
      <c r="C2082" s="22">
        <f>'CUADRO DE CARGAS'!L99</f>
        <v>13.090909090909092</v>
      </c>
      <c r="D2082" t="s">
        <v>29</v>
      </c>
      <c r="E2082" t="s">
        <v>30</v>
      </c>
    </row>
    <row r="2083" spans="1:5" x14ac:dyDescent="0.25">
      <c r="B2083" s="23" t="s">
        <v>44</v>
      </c>
      <c r="C2083" s="33">
        <f>1.25*C2082</f>
        <v>16.363636363636363</v>
      </c>
      <c r="D2083" s="23" t="s">
        <v>29</v>
      </c>
      <c r="E2083" t="s">
        <v>51</v>
      </c>
    </row>
    <row r="2084" spans="1:5" x14ac:dyDescent="0.25">
      <c r="B2084" s="24" t="s">
        <v>31</v>
      </c>
      <c r="C2084" s="24">
        <v>4</v>
      </c>
      <c r="D2084" s="24" t="s">
        <v>32</v>
      </c>
    </row>
    <row r="2085" spans="1:5" x14ac:dyDescent="0.25">
      <c r="A2085" t="s">
        <v>52</v>
      </c>
    </row>
    <row r="2086" spans="1:5" x14ac:dyDescent="0.25">
      <c r="B2086" s="23" t="s">
        <v>36</v>
      </c>
      <c r="C2086" s="23">
        <v>56</v>
      </c>
      <c r="D2086" s="23" t="s">
        <v>37</v>
      </c>
      <c r="E2086" s="32"/>
    </row>
    <row r="2087" spans="1:5" x14ac:dyDescent="0.25">
      <c r="A2087" t="s">
        <v>53</v>
      </c>
    </row>
    <row r="2090" spans="1:5" x14ac:dyDescent="0.25">
      <c r="A2090" t="s">
        <v>23</v>
      </c>
    </row>
    <row r="2091" spans="1:5" x14ac:dyDescent="0.25">
      <c r="C2091" t="s">
        <v>35</v>
      </c>
      <c r="E2091">
        <v>1.7999999999999999E-2</v>
      </c>
    </row>
    <row r="2092" spans="1:5" x14ac:dyDescent="0.25">
      <c r="C2092" t="s">
        <v>34</v>
      </c>
      <c r="D2092">
        <f>E2091*C2086/C2084</f>
        <v>0.252</v>
      </c>
    </row>
    <row r="2094" spans="1:5" x14ac:dyDescent="0.25">
      <c r="A2094" t="s">
        <v>33</v>
      </c>
    </row>
    <row r="2096" spans="1:5" x14ac:dyDescent="0.25">
      <c r="B2096" s="38">
        <f>1*C2083*D2092</f>
        <v>4.123636363636364</v>
      </c>
      <c r="C2096" t="s">
        <v>38</v>
      </c>
      <c r="D2096" s="24" t="s">
        <v>39</v>
      </c>
    </row>
    <row r="2098" spans="1:6" ht="15.75" x14ac:dyDescent="0.25">
      <c r="A2098" s="95" t="s">
        <v>104</v>
      </c>
      <c r="B2098" s="96"/>
      <c r="C2098" s="96"/>
      <c r="D2098" s="96"/>
      <c r="E2098" s="96"/>
      <c r="F2098" s="96"/>
    </row>
    <row r="2099" spans="1:6" ht="15.75" x14ac:dyDescent="0.25">
      <c r="A2099" s="97" t="s">
        <v>165</v>
      </c>
      <c r="B2099" s="97"/>
      <c r="C2099" s="97"/>
      <c r="D2099" s="97"/>
      <c r="E2099" s="97"/>
      <c r="F2099" s="97"/>
    </row>
    <row r="2100" spans="1:6" x14ac:dyDescent="0.25">
      <c r="A2100" t="s">
        <v>22</v>
      </c>
    </row>
    <row r="2101" spans="1:6" x14ac:dyDescent="0.25">
      <c r="C2101" t="s">
        <v>23</v>
      </c>
    </row>
    <row r="2102" spans="1:6" x14ac:dyDescent="0.25">
      <c r="C2102" t="s">
        <v>24</v>
      </c>
    </row>
    <row r="2103" spans="1:6" x14ac:dyDescent="0.25">
      <c r="C2103" t="s">
        <v>28</v>
      </c>
    </row>
    <row r="2104" spans="1:6" x14ac:dyDescent="0.25">
      <c r="C2104" t="s">
        <v>25</v>
      </c>
    </row>
    <row r="2105" spans="1:6" x14ac:dyDescent="0.25">
      <c r="C2105" t="s">
        <v>26</v>
      </c>
    </row>
    <row r="2107" spans="1:6" x14ac:dyDescent="0.25">
      <c r="B2107" t="s">
        <v>27</v>
      </c>
      <c r="C2107" s="22">
        <f>'CUADRO DE CARGAS'!L100</f>
        <v>10.909090909090908</v>
      </c>
      <c r="D2107" t="s">
        <v>29</v>
      </c>
      <c r="E2107" t="s">
        <v>30</v>
      </c>
    </row>
    <row r="2108" spans="1:6" x14ac:dyDescent="0.25">
      <c r="B2108" s="23" t="s">
        <v>44</v>
      </c>
      <c r="C2108" s="33">
        <f>1.25*C2107</f>
        <v>13.636363636363635</v>
      </c>
      <c r="D2108" s="23" t="s">
        <v>29</v>
      </c>
      <c r="E2108" t="s">
        <v>51</v>
      </c>
    </row>
    <row r="2109" spans="1:6" x14ac:dyDescent="0.25">
      <c r="B2109" s="24" t="s">
        <v>31</v>
      </c>
      <c r="C2109" s="24">
        <v>4</v>
      </c>
      <c r="D2109" s="24" t="s">
        <v>32</v>
      </c>
    </row>
    <row r="2110" spans="1:6" x14ac:dyDescent="0.25">
      <c r="A2110" t="s">
        <v>52</v>
      </c>
    </row>
    <row r="2111" spans="1:6" x14ac:dyDescent="0.25">
      <c r="B2111" s="23" t="s">
        <v>36</v>
      </c>
      <c r="C2111" s="23">
        <v>56</v>
      </c>
      <c r="D2111" s="23" t="s">
        <v>37</v>
      </c>
      <c r="E2111" s="32"/>
    </row>
    <row r="2112" spans="1:6" x14ac:dyDescent="0.25">
      <c r="A2112" t="s">
        <v>53</v>
      </c>
    </row>
    <row r="2115" spans="1:6" x14ac:dyDescent="0.25">
      <c r="A2115" t="s">
        <v>23</v>
      </c>
    </row>
    <row r="2116" spans="1:6" x14ac:dyDescent="0.25">
      <c r="C2116" t="s">
        <v>35</v>
      </c>
      <c r="E2116">
        <v>1.7999999999999999E-2</v>
      </c>
    </row>
    <row r="2117" spans="1:6" x14ac:dyDescent="0.25">
      <c r="C2117" t="s">
        <v>34</v>
      </c>
      <c r="D2117">
        <f>E2116*C2111/C2109</f>
        <v>0.252</v>
      </c>
    </row>
    <row r="2119" spans="1:6" x14ac:dyDescent="0.25">
      <c r="A2119" t="s">
        <v>33</v>
      </c>
    </row>
    <row r="2121" spans="1:6" x14ac:dyDescent="0.25">
      <c r="B2121" s="38">
        <f>1*C2108*D2117</f>
        <v>3.4363636363636361</v>
      </c>
      <c r="C2121" t="s">
        <v>38</v>
      </c>
      <c r="D2121" s="24" t="s">
        <v>39</v>
      </c>
    </row>
    <row r="2123" spans="1:6" ht="15.75" x14ac:dyDescent="0.25">
      <c r="A2123" s="95" t="s">
        <v>105</v>
      </c>
      <c r="B2123" s="96"/>
      <c r="C2123" s="96"/>
      <c r="D2123" s="96"/>
      <c r="E2123" s="96"/>
      <c r="F2123" s="96"/>
    </row>
    <row r="2124" spans="1:6" ht="15.75" x14ac:dyDescent="0.25">
      <c r="A2124" s="97" t="s">
        <v>107</v>
      </c>
      <c r="B2124" s="97"/>
      <c r="C2124" s="97"/>
      <c r="D2124" s="97"/>
      <c r="E2124" s="97"/>
      <c r="F2124" s="97"/>
    </row>
    <row r="2125" spans="1:6" x14ac:dyDescent="0.25">
      <c r="A2125" t="s">
        <v>22</v>
      </c>
    </row>
    <row r="2126" spans="1:6" x14ac:dyDescent="0.25">
      <c r="C2126" t="s">
        <v>23</v>
      </c>
    </row>
    <row r="2127" spans="1:6" x14ac:dyDescent="0.25">
      <c r="C2127" t="s">
        <v>24</v>
      </c>
    </row>
    <row r="2128" spans="1:6" x14ac:dyDescent="0.25">
      <c r="C2128" t="s">
        <v>28</v>
      </c>
    </row>
    <row r="2129" spans="1:5" x14ac:dyDescent="0.25">
      <c r="C2129" t="s">
        <v>25</v>
      </c>
    </row>
    <row r="2130" spans="1:5" x14ac:dyDescent="0.25">
      <c r="C2130" t="s">
        <v>26</v>
      </c>
    </row>
    <row r="2132" spans="1:5" x14ac:dyDescent="0.25">
      <c r="B2132" t="s">
        <v>27</v>
      </c>
      <c r="C2132" s="22">
        <f>'CUADRO DE CARGAS'!L101</f>
        <v>4.3636363636363633</v>
      </c>
      <c r="D2132" t="s">
        <v>29</v>
      </c>
      <c r="E2132" t="s">
        <v>30</v>
      </c>
    </row>
    <row r="2133" spans="1:5" x14ac:dyDescent="0.25">
      <c r="B2133" s="23" t="s">
        <v>44</v>
      </c>
      <c r="C2133" s="33">
        <f>1.25*C2132</f>
        <v>5.4545454545454541</v>
      </c>
      <c r="D2133" s="23" t="s">
        <v>29</v>
      </c>
      <c r="E2133" t="s">
        <v>51</v>
      </c>
    </row>
    <row r="2134" spans="1:5" x14ac:dyDescent="0.25">
      <c r="B2134" s="24" t="s">
        <v>31</v>
      </c>
      <c r="C2134" s="24">
        <v>4</v>
      </c>
      <c r="D2134" s="24" t="s">
        <v>32</v>
      </c>
    </row>
    <row r="2135" spans="1:5" x14ac:dyDescent="0.25">
      <c r="A2135" t="s">
        <v>52</v>
      </c>
    </row>
    <row r="2136" spans="1:5" x14ac:dyDescent="0.25">
      <c r="B2136" s="23" t="s">
        <v>36</v>
      </c>
      <c r="C2136" s="23">
        <v>30.29</v>
      </c>
      <c r="D2136" s="23" t="s">
        <v>37</v>
      </c>
      <c r="E2136" s="32"/>
    </row>
    <row r="2137" spans="1:5" x14ac:dyDescent="0.25">
      <c r="A2137" t="s">
        <v>53</v>
      </c>
    </row>
    <row r="2140" spans="1:5" x14ac:dyDescent="0.25">
      <c r="A2140" t="s">
        <v>23</v>
      </c>
    </row>
    <row r="2141" spans="1:5" x14ac:dyDescent="0.25">
      <c r="C2141" t="s">
        <v>35</v>
      </c>
      <c r="E2141">
        <v>1.7999999999999999E-2</v>
      </c>
    </row>
    <row r="2142" spans="1:5" x14ac:dyDescent="0.25">
      <c r="C2142" t="s">
        <v>34</v>
      </c>
      <c r="D2142">
        <f>E2141*C2136/C2134</f>
        <v>0.13630499999999998</v>
      </c>
    </row>
    <row r="2144" spans="1:5" x14ac:dyDescent="0.25">
      <c r="A2144" t="s">
        <v>33</v>
      </c>
    </row>
    <row r="2146" spans="1:6" x14ac:dyDescent="0.25">
      <c r="B2146" s="38">
        <f>1*C2133*D2142</f>
        <v>0.74348181818181802</v>
      </c>
      <c r="C2146" t="s">
        <v>38</v>
      </c>
      <c r="D2146" s="24" t="s">
        <v>39</v>
      </c>
    </row>
    <row r="2148" spans="1:6" ht="15.75" x14ac:dyDescent="0.25">
      <c r="A2148" s="95" t="s">
        <v>106</v>
      </c>
      <c r="B2148" s="96"/>
      <c r="C2148" s="96"/>
      <c r="D2148" s="96"/>
      <c r="E2148" s="96"/>
      <c r="F2148" s="96"/>
    </row>
    <row r="2149" spans="1:6" ht="15.75" x14ac:dyDescent="0.25">
      <c r="A2149" s="97" t="s">
        <v>184</v>
      </c>
      <c r="B2149" s="97"/>
      <c r="C2149" s="97"/>
      <c r="D2149" s="97"/>
      <c r="E2149" s="97"/>
      <c r="F2149" s="97"/>
    </row>
    <row r="2150" spans="1:6" x14ac:dyDescent="0.25">
      <c r="A2150" t="s">
        <v>22</v>
      </c>
    </row>
    <row r="2151" spans="1:6" x14ac:dyDescent="0.25">
      <c r="C2151" t="s">
        <v>23</v>
      </c>
    </row>
    <row r="2152" spans="1:6" x14ac:dyDescent="0.25">
      <c r="C2152" t="s">
        <v>24</v>
      </c>
    </row>
    <row r="2153" spans="1:6" x14ac:dyDescent="0.25">
      <c r="C2153" t="s">
        <v>28</v>
      </c>
    </row>
    <row r="2154" spans="1:6" x14ac:dyDescent="0.25">
      <c r="C2154" t="s">
        <v>25</v>
      </c>
    </row>
    <row r="2155" spans="1:6" x14ac:dyDescent="0.25">
      <c r="C2155" t="s">
        <v>26</v>
      </c>
    </row>
    <row r="2157" spans="1:6" x14ac:dyDescent="0.25">
      <c r="B2157" t="s">
        <v>27</v>
      </c>
      <c r="C2157" s="22">
        <f>'CUADRO DE CARGAS'!L102</f>
        <v>3.0681818181818183</v>
      </c>
      <c r="D2157" t="s">
        <v>29</v>
      </c>
      <c r="E2157" t="s">
        <v>30</v>
      </c>
    </row>
    <row r="2158" spans="1:6" x14ac:dyDescent="0.25">
      <c r="B2158" s="23" t="s">
        <v>44</v>
      </c>
      <c r="C2158" s="33">
        <f>1.25*C2157</f>
        <v>3.8352272727272729</v>
      </c>
      <c r="D2158" s="23" t="s">
        <v>29</v>
      </c>
      <c r="E2158" t="s">
        <v>51</v>
      </c>
    </row>
    <row r="2159" spans="1:6" x14ac:dyDescent="0.25">
      <c r="B2159" s="24" t="s">
        <v>31</v>
      </c>
      <c r="C2159" s="24">
        <v>2.5</v>
      </c>
      <c r="D2159" s="24" t="s">
        <v>32</v>
      </c>
    </row>
    <row r="2160" spans="1:6" x14ac:dyDescent="0.25">
      <c r="A2160" t="s">
        <v>52</v>
      </c>
    </row>
    <row r="2161" spans="1:6" x14ac:dyDescent="0.25">
      <c r="B2161" s="23" t="s">
        <v>36</v>
      </c>
      <c r="C2161" s="23">
        <v>110</v>
      </c>
      <c r="D2161" s="23" t="s">
        <v>37</v>
      </c>
      <c r="E2161" s="32"/>
    </row>
    <row r="2162" spans="1:6" x14ac:dyDescent="0.25">
      <c r="A2162" t="s">
        <v>53</v>
      </c>
    </row>
    <row r="2165" spans="1:6" x14ac:dyDescent="0.25">
      <c r="A2165" t="s">
        <v>23</v>
      </c>
    </row>
    <row r="2166" spans="1:6" x14ac:dyDescent="0.25">
      <c r="C2166" t="s">
        <v>35</v>
      </c>
      <c r="E2166">
        <v>1.7999999999999999E-2</v>
      </c>
    </row>
    <row r="2167" spans="1:6" x14ac:dyDescent="0.25">
      <c r="C2167" t="s">
        <v>34</v>
      </c>
      <c r="D2167">
        <f>E2166*C2161/C2159</f>
        <v>0.79199999999999993</v>
      </c>
    </row>
    <row r="2169" spans="1:6" x14ac:dyDescent="0.25">
      <c r="A2169" t="s">
        <v>33</v>
      </c>
    </row>
    <row r="2171" spans="1:6" x14ac:dyDescent="0.25">
      <c r="B2171" s="38">
        <f>1*C2158*D2167</f>
        <v>3.0375000000000001</v>
      </c>
      <c r="C2171" t="s">
        <v>38</v>
      </c>
      <c r="D2171" s="24" t="s">
        <v>39</v>
      </c>
    </row>
    <row r="2173" spans="1:6" ht="15.75" x14ac:dyDescent="0.25">
      <c r="A2173" s="95"/>
      <c r="B2173" s="96"/>
      <c r="C2173" s="96"/>
      <c r="D2173" s="96"/>
      <c r="E2173" s="96"/>
      <c r="F2173" s="96"/>
    </row>
    <row r="2174" spans="1:6" ht="15.75" x14ac:dyDescent="0.25">
      <c r="A2174" s="96" t="s">
        <v>108</v>
      </c>
      <c r="B2174" s="96"/>
      <c r="C2174" s="96"/>
      <c r="D2174" s="96"/>
      <c r="E2174" s="96"/>
      <c r="F2174" s="96"/>
    </row>
    <row r="2175" spans="1:6" ht="15.75" x14ac:dyDescent="0.25">
      <c r="A2175" s="97" t="s">
        <v>206</v>
      </c>
      <c r="B2175" s="97"/>
      <c r="C2175" s="97"/>
      <c r="D2175" s="97"/>
      <c r="E2175" s="97"/>
      <c r="F2175" s="97"/>
    </row>
    <row r="2176" spans="1:6" x14ac:dyDescent="0.25">
      <c r="A2176" t="s">
        <v>22</v>
      </c>
    </row>
    <row r="2177" spans="1:5" x14ac:dyDescent="0.25">
      <c r="C2177" t="s">
        <v>23</v>
      </c>
    </row>
    <row r="2178" spans="1:5" x14ac:dyDescent="0.25">
      <c r="C2178" t="s">
        <v>24</v>
      </c>
    </row>
    <row r="2179" spans="1:5" x14ac:dyDescent="0.25">
      <c r="C2179" t="s">
        <v>28</v>
      </c>
    </row>
    <row r="2180" spans="1:5" x14ac:dyDescent="0.25">
      <c r="C2180" t="s">
        <v>25</v>
      </c>
    </row>
    <row r="2181" spans="1:5" x14ac:dyDescent="0.25">
      <c r="C2181" t="s">
        <v>26</v>
      </c>
    </row>
    <row r="2183" spans="1:5" x14ac:dyDescent="0.25">
      <c r="B2183" t="s">
        <v>27</v>
      </c>
      <c r="C2183" s="22">
        <f>'CUADRO DE CARGAS'!L103</f>
        <v>1.5363636363636364</v>
      </c>
      <c r="D2183" t="s">
        <v>29</v>
      </c>
      <c r="E2183" t="s">
        <v>30</v>
      </c>
    </row>
    <row r="2184" spans="1:5" x14ac:dyDescent="0.25">
      <c r="B2184" s="23" t="s">
        <v>44</v>
      </c>
      <c r="C2184" s="33">
        <f>1.25*C2183</f>
        <v>1.9204545454545454</v>
      </c>
      <c r="D2184" s="23" t="s">
        <v>29</v>
      </c>
      <c r="E2184" t="s">
        <v>51</v>
      </c>
    </row>
    <row r="2185" spans="1:5" x14ac:dyDescent="0.25">
      <c r="B2185" s="24" t="s">
        <v>31</v>
      </c>
      <c r="C2185" s="24">
        <v>2.5</v>
      </c>
      <c r="D2185" s="24" t="s">
        <v>32</v>
      </c>
    </row>
    <row r="2186" spans="1:5" x14ac:dyDescent="0.25">
      <c r="A2186" t="s">
        <v>52</v>
      </c>
    </row>
    <row r="2187" spans="1:5" x14ac:dyDescent="0.25">
      <c r="B2187" s="23" t="s">
        <v>36</v>
      </c>
      <c r="C2187" s="23">
        <v>55</v>
      </c>
      <c r="D2187" s="23" t="s">
        <v>37</v>
      </c>
      <c r="E2187" s="32"/>
    </row>
    <row r="2188" spans="1:5" x14ac:dyDescent="0.25">
      <c r="A2188" t="s">
        <v>53</v>
      </c>
    </row>
    <row r="2191" spans="1:5" x14ac:dyDescent="0.25">
      <c r="A2191" t="s">
        <v>23</v>
      </c>
    </row>
    <row r="2192" spans="1:5" x14ac:dyDescent="0.25">
      <c r="C2192" t="s">
        <v>35</v>
      </c>
      <c r="E2192">
        <v>1.7999999999999999E-2</v>
      </c>
    </row>
    <row r="2193" spans="1:6" x14ac:dyDescent="0.25">
      <c r="C2193" t="s">
        <v>34</v>
      </c>
      <c r="D2193">
        <f>E2192*C2187/C2185</f>
        <v>0.39599999999999996</v>
      </c>
    </row>
    <row r="2195" spans="1:6" x14ac:dyDescent="0.25">
      <c r="A2195" t="s">
        <v>33</v>
      </c>
    </row>
    <row r="2197" spans="1:6" x14ac:dyDescent="0.25">
      <c r="B2197" s="38">
        <f>1*C2184*D2193</f>
        <v>0.76049999999999995</v>
      </c>
      <c r="C2197" t="s">
        <v>38</v>
      </c>
      <c r="D2197" s="24" t="s">
        <v>39</v>
      </c>
    </row>
    <row r="2199" spans="1:6" ht="15.75" x14ac:dyDescent="0.25">
      <c r="A2199" s="96" t="s">
        <v>109</v>
      </c>
      <c r="B2199" s="96"/>
      <c r="C2199" s="96"/>
      <c r="D2199" s="96"/>
      <c r="E2199" s="96"/>
      <c r="F2199" s="96"/>
    </row>
    <row r="2200" spans="1:6" ht="15.75" x14ac:dyDescent="0.25">
      <c r="A2200" s="97" t="s">
        <v>207</v>
      </c>
      <c r="B2200" s="97"/>
      <c r="C2200" s="97"/>
      <c r="D2200" s="97"/>
      <c r="E2200" s="97"/>
      <c r="F2200" s="97"/>
    </row>
    <row r="2201" spans="1:6" x14ac:dyDescent="0.25">
      <c r="A2201" t="s">
        <v>22</v>
      </c>
    </row>
    <row r="2202" spans="1:6" x14ac:dyDescent="0.25">
      <c r="C2202" t="s">
        <v>23</v>
      </c>
    </row>
    <row r="2203" spans="1:6" x14ac:dyDescent="0.25">
      <c r="C2203" t="s">
        <v>24</v>
      </c>
    </row>
    <row r="2204" spans="1:6" x14ac:dyDescent="0.25">
      <c r="C2204" t="s">
        <v>28</v>
      </c>
    </row>
    <row r="2205" spans="1:6" x14ac:dyDescent="0.25">
      <c r="C2205" t="s">
        <v>25</v>
      </c>
    </row>
    <row r="2206" spans="1:6" x14ac:dyDescent="0.25">
      <c r="C2206" t="s">
        <v>26</v>
      </c>
    </row>
    <row r="2208" spans="1:6" x14ac:dyDescent="0.25">
      <c r="B2208" t="s">
        <v>27</v>
      </c>
      <c r="C2208" s="22">
        <f>'CUADRO DE CARGAS'!L104</f>
        <v>3.6318181818181818</v>
      </c>
      <c r="D2208" t="s">
        <v>29</v>
      </c>
      <c r="E2208" t="s">
        <v>30</v>
      </c>
    </row>
    <row r="2209" spans="1:6" x14ac:dyDescent="0.25">
      <c r="B2209" s="23" t="s">
        <v>44</v>
      </c>
      <c r="C2209" s="33">
        <f>1.25*C2208</f>
        <v>4.5397727272727275</v>
      </c>
      <c r="D2209" s="23" t="s">
        <v>29</v>
      </c>
      <c r="E2209" t="s">
        <v>51</v>
      </c>
    </row>
    <row r="2210" spans="1:6" x14ac:dyDescent="0.25">
      <c r="B2210" s="24" t="s">
        <v>31</v>
      </c>
      <c r="C2210" s="24">
        <v>2.5</v>
      </c>
      <c r="D2210" s="24" t="s">
        <v>32</v>
      </c>
    </row>
    <row r="2211" spans="1:6" x14ac:dyDescent="0.25">
      <c r="A2211" t="s">
        <v>52</v>
      </c>
    </row>
    <row r="2212" spans="1:6" x14ac:dyDescent="0.25">
      <c r="B2212" s="23" t="s">
        <v>36</v>
      </c>
      <c r="C2212" s="23">
        <v>82</v>
      </c>
      <c r="D2212" s="23" t="s">
        <v>37</v>
      </c>
      <c r="E2212" s="32"/>
    </row>
    <row r="2213" spans="1:6" x14ac:dyDescent="0.25">
      <c r="A2213" t="s">
        <v>53</v>
      </c>
    </row>
    <row r="2216" spans="1:6" x14ac:dyDescent="0.25">
      <c r="A2216" t="s">
        <v>23</v>
      </c>
    </row>
    <row r="2217" spans="1:6" x14ac:dyDescent="0.25">
      <c r="C2217" t="s">
        <v>35</v>
      </c>
      <c r="E2217">
        <v>1.7999999999999999E-2</v>
      </c>
    </row>
    <row r="2218" spans="1:6" x14ac:dyDescent="0.25">
      <c r="C2218" t="s">
        <v>34</v>
      </c>
      <c r="D2218">
        <f>E2217*C2212/C2210</f>
        <v>0.59040000000000004</v>
      </c>
    </row>
    <row r="2220" spans="1:6" x14ac:dyDescent="0.25">
      <c r="A2220" t="s">
        <v>33</v>
      </c>
    </row>
    <row r="2222" spans="1:6" x14ac:dyDescent="0.25">
      <c r="B2222" s="38">
        <f>1*C2209*D2218</f>
        <v>2.6802818181818187</v>
      </c>
      <c r="C2222" t="s">
        <v>38</v>
      </c>
      <c r="D2222" s="24" t="s">
        <v>39</v>
      </c>
    </row>
    <row r="2224" spans="1:6" ht="15.75" x14ac:dyDescent="0.25">
      <c r="A2224" s="96" t="s">
        <v>110</v>
      </c>
      <c r="B2224" s="96"/>
      <c r="C2224" s="96"/>
      <c r="D2224" s="96"/>
      <c r="E2224" s="96"/>
      <c r="F2224" s="96"/>
    </row>
    <row r="2225" spans="1:6" ht="15.75" x14ac:dyDescent="0.25">
      <c r="A2225" s="97" t="s">
        <v>207</v>
      </c>
      <c r="B2225" s="97"/>
      <c r="C2225" s="97"/>
      <c r="D2225" s="97"/>
      <c r="E2225" s="97"/>
      <c r="F2225" s="97"/>
    </row>
    <row r="2226" spans="1:6" x14ac:dyDescent="0.25">
      <c r="A2226" t="s">
        <v>22</v>
      </c>
    </row>
    <row r="2227" spans="1:6" x14ac:dyDescent="0.25">
      <c r="C2227" t="s">
        <v>23</v>
      </c>
    </row>
    <row r="2228" spans="1:6" x14ac:dyDescent="0.25">
      <c r="C2228" t="s">
        <v>24</v>
      </c>
    </row>
    <row r="2229" spans="1:6" x14ac:dyDescent="0.25">
      <c r="C2229" t="s">
        <v>28</v>
      </c>
    </row>
    <row r="2230" spans="1:6" x14ac:dyDescent="0.25">
      <c r="C2230" t="s">
        <v>25</v>
      </c>
    </row>
    <row r="2231" spans="1:6" x14ac:dyDescent="0.25">
      <c r="C2231" t="s">
        <v>26</v>
      </c>
    </row>
    <row r="2233" spans="1:6" x14ac:dyDescent="0.25">
      <c r="B2233" t="s">
        <v>27</v>
      </c>
      <c r="C2233" s="22">
        <f>'CUADRO DE CARGAS'!L105</f>
        <v>4.0590909090909095</v>
      </c>
      <c r="D2233" t="s">
        <v>29</v>
      </c>
      <c r="E2233" t="s">
        <v>30</v>
      </c>
    </row>
    <row r="2234" spans="1:6" x14ac:dyDescent="0.25">
      <c r="B2234" s="23" t="s">
        <v>44</v>
      </c>
      <c r="C2234" s="33">
        <f>1.25*C2233</f>
        <v>5.0738636363636367</v>
      </c>
      <c r="D2234" s="23" t="s">
        <v>29</v>
      </c>
      <c r="E2234" t="s">
        <v>51</v>
      </c>
    </row>
    <row r="2235" spans="1:6" x14ac:dyDescent="0.25">
      <c r="B2235" s="24" t="s">
        <v>31</v>
      </c>
      <c r="C2235" s="24">
        <v>2.5</v>
      </c>
      <c r="D2235" s="24" t="s">
        <v>32</v>
      </c>
    </row>
    <row r="2236" spans="1:6" x14ac:dyDescent="0.25">
      <c r="A2236" t="s">
        <v>52</v>
      </c>
    </row>
    <row r="2237" spans="1:6" x14ac:dyDescent="0.25">
      <c r="B2237" s="23" t="s">
        <v>36</v>
      </c>
      <c r="C2237" s="23">
        <v>90</v>
      </c>
      <c r="D2237" s="23" t="s">
        <v>37</v>
      </c>
      <c r="E2237" s="32"/>
    </row>
    <row r="2238" spans="1:6" x14ac:dyDescent="0.25">
      <c r="A2238" t="s">
        <v>53</v>
      </c>
    </row>
    <row r="2241" spans="1:6" x14ac:dyDescent="0.25">
      <c r="A2241" t="s">
        <v>23</v>
      </c>
    </row>
    <row r="2242" spans="1:6" x14ac:dyDescent="0.25">
      <c r="C2242" t="s">
        <v>35</v>
      </c>
      <c r="E2242">
        <v>1.7999999999999999E-2</v>
      </c>
    </row>
    <row r="2243" spans="1:6" x14ac:dyDescent="0.25">
      <c r="C2243" t="s">
        <v>34</v>
      </c>
      <c r="D2243">
        <f>E2242*C2237/C2235</f>
        <v>0.64799999999999991</v>
      </c>
    </row>
    <row r="2245" spans="1:6" x14ac:dyDescent="0.25">
      <c r="A2245" t="s">
        <v>33</v>
      </c>
    </row>
    <row r="2247" spans="1:6" x14ac:dyDescent="0.25">
      <c r="B2247" s="38">
        <f>1*C2234*D2243</f>
        <v>3.2878636363636362</v>
      </c>
      <c r="C2247" t="s">
        <v>38</v>
      </c>
      <c r="D2247" s="24" t="s">
        <v>39</v>
      </c>
    </row>
    <row r="2249" spans="1:6" ht="15.75" x14ac:dyDescent="0.25">
      <c r="A2249" s="95" t="s">
        <v>125</v>
      </c>
      <c r="B2249" s="96"/>
      <c r="C2249" s="96"/>
      <c r="D2249" s="96"/>
      <c r="E2249" s="96"/>
      <c r="F2249" s="96"/>
    </row>
    <row r="2250" spans="1:6" ht="15.75" x14ac:dyDescent="0.25">
      <c r="A2250" s="96" t="s">
        <v>99</v>
      </c>
      <c r="B2250" s="96"/>
      <c r="C2250" s="96"/>
      <c r="D2250" s="96"/>
      <c r="E2250" s="96"/>
      <c r="F2250" s="96"/>
    </row>
    <row r="2251" spans="1:6" ht="15.75" x14ac:dyDescent="0.25">
      <c r="A2251" s="97" t="s">
        <v>107</v>
      </c>
      <c r="B2251" s="97"/>
      <c r="C2251" s="97"/>
      <c r="D2251" s="97"/>
      <c r="E2251" s="97"/>
      <c r="F2251" s="97"/>
    </row>
    <row r="2252" spans="1:6" x14ac:dyDescent="0.25">
      <c r="A2252" t="s">
        <v>22</v>
      </c>
    </row>
    <row r="2253" spans="1:6" x14ac:dyDescent="0.25">
      <c r="C2253" t="s">
        <v>23</v>
      </c>
    </row>
    <row r="2254" spans="1:6" x14ac:dyDescent="0.25">
      <c r="C2254" t="s">
        <v>24</v>
      </c>
    </row>
    <row r="2255" spans="1:6" x14ac:dyDescent="0.25">
      <c r="C2255" t="s">
        <v>28</v>
      </c>
    </row>
    <row r="2256" spans="1:6" x14ac:dyDescent="0.25">
      <c r="C2256" t="s">
        <v>25</v>
      </c>
    </row>
    <row r="2257" spans="1:5" x14ac:dyDescent="0.25">
      <c r="C2257" t="s">
        <v>26</v>
      </c>
    </row>
    <row r="2259" spans="1:5" x14ac:dyDescent="0.25">
      <c r="B2259" t="s">
        <v>27</v>
      </c>
      <c r="C2259" s="22">
        <f>'CUADRO DE CARGAS'!L107</f>
        <v>8.9090909090909083</v>
      </c>
      <c r="D2259" t="s">
        <v>29</v>
      </c>
      <c r="E2259" t="s">
        <v>30</v>
      </c>
    </row>
    <row r="2260" spans="1:5" x14ac:dyDescent="0.25">
      <c r="B2260" s="23" t="s">
        <v>44</v>
      </c>
      <c r="C2260" s="33">
        <f>1.25*C2259</f>
        <v>11.136363636363635</v>
      </c>
      <c r="D2260" s="23" t="s">
        <v>29</v>
      </c>
      <c r="E2260" t="s">
        <v>51</v>
      </c>
    </row>
    <row r="2261" spans="1:5" x14ac:dyDescent="0.25">
      <c r="B2261" s="24" t="s">
        <v>31</v>
      </c>
      <c r="C2261" s="24">
        <v>4</v>
      </c>
      <c r="D2261" s="24" t="s">
        <v>32</v>
      </c>
    </row>
    <row r="2262" spans="1:5" x14ac:dyDescent="0.25">
      <c r="A2262" t="s">
        <v>52</v>
      </c>
    </row>
    <row r="2263" spans="1:5" x14ac:dyDescent="0.25">
      <c r="B2263" s="23" t="s">
        <v>36</v>
      </c>
      <c r="C2263" s="23">
        <v>50</v>
      </c>
      <c r="D2263" s="23" t="s">
        <v>37</v>
      </c>
      <c r="E2263" s="32"/>
    </row>
    <row r="2264" spans="1:5" x14ac:dyDescent="0.25">
      <c r="A2264" t="s">
        <v>53</v>
      </c>
    </row>
    <row r="2267" spans="1:5" x14ac:dyDescent="0.25">
      <c r="A2267" t="s">
        <v>23</v>
      </c>
    </row>
    <row r="2268" spans="1:5" x14ac:dyDescent="0.25">
      <c r="C2268" t="s">
        <v>35</v>
      </c>
      <c r="E2268">
        <v>1.7999999999999999E-2</v>
      </c>
    </row>
    <row r="2269" spans="1:5" x14ac:dyDescent="0.25">
      <c r="C2269" t="s">
        <v>34</v>
      </c>
      <c r="D2269">
        <f>E2268*C2263/C2261</f>
        <v>0.22499999999999998</v>
      </c>
    </row>
    <row r="2271" spans="1:5" x14ac:dyDescent="0.25">
      <c r="A2271" t="s">
        <v>33</v>
      </c>
    </row>
    <row r="2273" spans="1:6" x14ac:dyDescent="0.25">
      <c r="B2273" s="38">
        <f>1*C2260*D2269</f>
        <v>2.5056818181818175</v>
      </c>
      <c r="C2273" t="s">
        <v>38</v>
      </c>
      <c r="D2273" s="24" t="s">
        <v>39</v>
      </c>
    </row>
    <row r="2275" spans="1:6" ht="15.75" x14ac:dyDescent="0.25">
      <c r="A2275" s="95" t="s">
        <v>132</v>
      </c>
      <c r="B2275" s="96"/>
      <c r="C2275" s="96"/>
      <c r="D2275" s="96"/>
      <c r="E2275" s="96"/>
      <c r="F2275" s="96"/>
    </row>
    <row r="2276" spans="1:6" ht="15.75" x14ac:dyDescent="0.25">
      <c r="A2276" s="96" t="s">
        <v>99</v>
      </c>
      <c r="B2276" s="96"/>
      <c r="C2276" s="96"/>
      <c r="D2276" s="96"/>
      <c r="E2276" s="96"/>
      <c r="F2276" s="96"/>
    </row>
    <row r="2277" spans="1:6" ht="15.75" x14ac:dyDescent="0.25">
      <c r="A2277" s="97" t="s">
        <v>217</v>
      </c>
      <c r="B2277" s="97"/>
      <c r="C2277" s="97"/>
      <c r="D2277" s="97"/>
      <c r="E2277" s="97"/>
      <c r="F2277" s="97"/>
    </row>
    <row r="2278" spans="1:6" x14ac:dyDescent="0.25">
      <c r="A2278" t="s">
        <v>22</v>
      </c>
    </row>
    <row r="2279" spans="1:6" x14ac:dyDescent="0.25">
      <c r="C2279" t="s">
        <v>23</v>
      </c>
    </row>
    <row r="2280" spans="1:6" x14ac:dyDescent="0.25">
      <c r="C2280" t="s">
        <v>24</v>
      </c>
    </row>
    <row r="2281" spans="1:6" x14ac:dyDescent="0.25">
      <c r="C2281" t="s">
        <v>28</v>
      </c>
    </row>
    <row r="2282" spans="1:6" x14ac:dyDescent="0.25">
      <c r="C2282" t="s">
        <v>25</v>
      </c>
    </row>
    <row r="2283" spans="1:6" x14ac:dyDescent="0.25">
      <c r="C2283" t="s">
        <v>26</v>
      </c>
    </row>
    <row r="2285" spans="1:6" x14ac:dyDescent="0.25">
      <c r="B2285" t="s">
        <v>27</v>
      </c>
      <c r="C2285" s="22">
        <f>'CUADRO DE CARGAS'!L109</f>
        <v>12.169151201703682</v>
      </c>
      <c r="D2285" t="s">
        <v>29</v>
      </c>
      <c r="E2285" t="s">
        <v>30</v>
      </c>
    </row>
    <row r="2286" spans="1:6" x14ac:dyDescent="0.25">
      <c r="B2286" s="23" t="s">
        <v>44</v>
      </c>
      <c r="C2286" s="33">
        <f>1.25*C2285</f>
        <v>15.211439002129604</v>
      </c>
      <c r="D2286" s="23" t="s">
        <v>29</v>
      </c>
      <c r="E2286" t="s">
        <v>51</v>
      </c>
    </row>
    <row r="2287" spans="1:6" x14ac:dyDescent="0.25">
      <c r="B2287" s="24" t="s">
        <v>31</v>
      </c>
      <c r="C2287" s="24">
        <v>16</v>
      </c>
      <c r="D2287" s="24" t="s">
        <v>32</v>
      </c>
    </row>
    <row r="2288" spans="1:6" x14ac:dyDescent="0.25">
      <c r="A2288" t="s">
        <v>52</v>
      </c>
    </row>
    <row r="2289" spans="1:6" x14ac:dyDescent="0.25">
      <c r="B2289" s="23" t="s">
        <v>36</v>
      </c>
      <c r="C2289" s="23">
        <v>15.5</v>
      </c>
      <c r="D2289" s="23" t="s">
        <v>37</v>
      </c>
      <c r="E2289" s="32"/>
    </row>
    <row r="2290" spans="1:6" x14ac:dyDescent="0.25">
      <c r="A2290" t="s">
        <v>53</v>
      </c>
    </row>
    <row r="2293" spans="1:6" x14ac:dyDescent="0.25">
      <c r="A2293" t="s">
        <v>23</v>
      </c>
    </row>
    <row r="2294" spans="1:6" x14ac:dyDescent="0.25">
      <c r="C2294" t="s">
        <v>35</v>
      </c>
      <c r="E2294">
        <v>1.7999999999999999E-2</v>
      </c>
    </row>
    <row r="2295" spans="1:6" x14ac:dyDescent="0.25">
      <c r="C2295" t="s">
        <v>34</v>
      </c>
      <c r="D2295">
        <f>E2294*C2289/C2287</f>
        <v>1.7437499999999998E-2</v>
      </c>
    </row>
    <row r="2297" spans="1:6" x14ac:dyDescent="0.25">
      <c r="A2297" t="s">
        <v>33</v>
      </c>
    </row>
    <row r="2299" spans="1:6" x14ac:dyDescent="0.25">
      <c r="B2299" s="38">
        <f>1.732*C2286*D2295*0.9</f>
        <v>0.41347087009431088</v>
      </c>
      <c r="C2299" t="s">
        <v>38</v>
      </c>
      <c r="D2299" s="24" t="s">
        <v>39</v>
      </c>
    </row>
    <row r="2301" spans="1:6" ht="15.75" x14ac:dyDescent="0.25">
      <c r="A2301" s="96" t="s">
        <v>100</v>
      </c>
      <c r="B2301" s="96"/>
      <c r="C2301" s="96"/>
      <c r="D2301" s="96"/>
      <c r="E2301" s="96"/>
      <c r="F2301" s="96"/>
    </row>
    <row r="2302" spans="1:6" ht="15.75" x14ac:dyDescent="0.25">
      <c r="A2302" s="97" t="s">
        <v>219</v>
      </c>
      <c r="B2302" s="97"/>
      <c r="C2302" s="97"/>
      <c r="D2302" s="97"/>
      <c r="E2302" s="97"/>
      <c r="F2302" s="97"/>
    </row>
    <row r="2303" spans="1:6" x14ac:dyDescent="0.25">
      <c r="A2303" t="s">
        <v>22</v>
      </c>
    </row>
    <row r="2304" spans="1:6" x14ac:dyDescent="0.25">
      <c r="C2304" t="s">
        <v>23</v>
      </c>
    </row>
    <row r="2305" spans="1:5" x14ac:dyDescent="0.25">
      <c r="C2305" t="s">
        <v>24</v>
      </c>
    </row>
    <row r="2306" spans="1:5" x14ac:dyDescent="0.25">
      <c r="C2306" t="s">
        <v>28</v>
      </c>
    </row>
    <row r="2307" spans="1:5" x14ac:dyDescent="0.25">
      <c r="C2307" t="s">
        <v>25</v>
      </c>
    </row>
    <row r="2308" spans="1:5" x14ac:dyDescent="0.25">
      <c r="C2308" t="s">
        <v>26</v>
      </c>
    </row>
    <row r="2310" spans="1:5" x14ac:dyDescent="0.25">
      <c r="B2310" t="s">
        <v>27</v>
      </c>
      <c r="C2310" s="22">
        <f>'CUADRO DE CARGAS'!L110</f>
        <v>0.98181818181818181</v>
      </c>
      <c r="D2310" t="s">
        <v>29</v>
      </c>
      <c r="E2310" t="s">
        <v>30</v>
      </c>
    </row>
    <row r="2311" spans="1:5" x14ac:dyDescent="0.25">
      <c r="B2311" s="23" t="s">
        <v>44</v>
      </c>
      <c r="C2311" s="33">
        <f>1.25*C2310</f>
        <v>1.2272727272727273</v>
      </c>
      <c r="D2311" s="23" t="s">
        <v>29</v>
      </c>
      <c r="E2311" t="s">
        <v>51</v>
      </c>
    </row>
    <row r="2312" spans="1:5" x14ac:dyDescent="0.25">
      <c r="B2312" s="24" t="s">
        <v>31</v>
      </c>
      <c r="C2312" s="24">
        <v>2.5</v>
      </c>
      <c r="D2312" s="24" t="s">
        <v>32</v>
      </c>
    </row>
    <row r="2313" spans="1:5" x14ac:dyDescent="0.25">
      <c r="A2313" t="s">
        <v>52</v>
      </c>
    </row>
    <row r="2314" spans="1:5" x14ac:dyDescent="0.25">
      <c r="B2314" s="23" t="s">
        <v>36</v>
      </c>
      <c r="C2314" s="23">
        <v>31</v>
      </c>
      <c r="D2314" s="23" t="s">
        <v>37</v>
      </c>
      <c r="E2314" s="32"/>
    </row>
    <row r="2315" spans="1:5" x14ac:dyDescent="0.25">
      <c r="A2315" t="s">
        <v>53</v>
      </c>
    </row>
    <row r="2318" spans="1:5" x14ac:dyDescent="0.25">
      <c r="A2318" t="s">
        <v>23</v>
      </c>
    </row>
    <row r="2319" spans="1:5" x14ac:dyDescent="0.25">
      <c r="C2319" t="s">
        <v>35</v>
      </c>
      <c r="E2319">
        <v>1.7999999999999999E-2</v>
      </c>
    </row>
    <row r="2320" spans="1:5" x14ac:dyDescent="0.25">
      <c r="C2320" t="s">
        <v>34</v>
      </c>
      <c r="D2320">
        <f>E2319*C2314/C2312</f>
        <v>0.22319999999999998</v>
      </c>
    </row>
    <row r="2322" spans="1:6" x14ac:dyDescent="0.25">
      <c r="A2322" t="s">
        <v>33</v>
      </c>
    </row>
    <row r="2324" spans="1:6" x14ac:dyDescent="0.25">
      <c r="B2324" s="38">
        <f>1*C2311*D2320</f>
        <v>0.27392727272727269</v>
      </c>
      <c r="C2324" t="s">
        <v>38</v>
      </c>
      <c r="D2324" s="24" t="s">
        <v>39</v>
      </c>
    </row>
    <row r="2326" spans="1:6" ht="15.75" x14ac:dyDescent="0.25">
      <c r="A2326" s="95" t="s">
        <v>133</v>
      </c>
      <c r="B2326" s="96"/>
      <c r="C2326" s="96"/>
      <c r="D2326" s="96"/>
      <c r="E2326" s="96"/>
      <c r="F2326" s="96"/>
    </row>
    <row r="2327" spans="1:6" ht="15.75" x14ac:dyDescent="0.25">
      <c r="A2327" s="96" t="s">
        <v>99</v>
      </c>
      <c r="B2327" s="96"/>
      <c r="C2327" s="96"/>
      <c r="D2327" s="96"/>
      <c r="E2327" s="96"/>
      <c r="F2327" s="96"/>
    </row>
    <row r="2328" spans="1:6" ht="15.75" x14ac:dyDescent="0.25">
      <c r="A2328" s="97" t="s">
        <v>217</v>
      </c>
      <c r="B2328" s="97"/>
      <c r="C2328" s="97"/>
      <c r="D2328" s="97"/>
      <c r="E2328" s="97"/>
      <c r="F2328" s="97"/>
    </row>
    <row r="2329" spans="1:6" x14ac:dyDescent="0.25">
      <c r="A2329" t="s">
        <v>22</v>
      </c>
    </row>
    <row r="2330" spans="1:6" x14ac:dyDescent="0.25">
      <c r="C2330" t="s">
        <v>23</v>
      </c>
    </row>
    <row r="2331" spans="1:6" x14ac:dyDescent="0.25">
      <c r="C2331" t="s">
        <v>24</v>
      </c>
    </row>
    <row r="2332" spans="1:6" x14ac:dyDescent="0.25">
      <c r="C2332" t="s">
        <v>28</v>
      </c>
    </row>
    <row r="2333" spans="1:6" x14ac:dyDescent="0.25">
      <c r="C2333" t="s">
        <v>25</v>
      </c>
    </row>
    <row r="2334" spans="1:6" x14ac:dyDescent="0.25">
      <c r="C2334" t="s">
        <v>26</v>
      </c>
    </row>
    <row r="2336" spans="1:6" x14ac:dyDescent="0.25">
      <c r="B2336" t="s">
        <v>27</v>
      </c>
      <c r="C2336" s="22">
        <f>'CUADRO DE CARGAS'!L112</f>
        <v>12.169151201703682</v>
      </c>
      <c r="D2336" t="s">
        <v>29</v>
      </c>
      <c r="E2336" t="s">
        <v>30</v>
      </c>
    </row>
    <row r="2337" spans="1:6" x14ac:dyDescent="0.25">
      <c r="B2337" s="23" t="s">
        <v>44</v>
      </c>
      <c r="C2337" s="33">
        <f>1.25*C2336</f>
        <v>15.211439002129604</v>
      </c>
      <c r="D2337" s="23" t="s">
        <v>29</v>
      </c>
      <c r="E2337" t="s">
        <v>51</v>
      </c>
    </row>
    <row r="2338" spans="1:6" x14ac:dyDescent="0.25">
      <c r="B2338" s="24" t="s">
        <v>31</v>
      </c>
      <c r="C2338" s="24">
        <v>16</v>
      </c>
      <c r="D2338" s="24" t="s">
        <v>32</v>
      </c>
    </row>
    <row r="2339" spans="1:6" x14ac:dyDescent="0.25">
      <c r="A2339" t="s">
        <v>52</v>
      </c>
    </row>
    <row r="2340" spans="1:6" x14ac:dyDescent="0.25">
      <c r="B2340" s="23" t="s">
        <v>36</v>
      </c>
      <c r="C2340" s="23">
        <v>15.5</v>
      </c>
      <c r="D2340" s="23" t="s">
        <v>37</v>
      </c>
      <c r="E2340" s="32"/>
    </row>
    <row r="2341" spans="1:6" x14ac:dyDescent="0.25">
      <c r="A2341" t="s">
        <v>53</v>
      </c>
    </row>
    <row r="2344" spans="1:6" x14ac:dyDescent="0.25">
      <c r="A2344" t="s">
        <v>23</v>
      </c>
    </row>
    <row r="2345" spans="1:6" x14ac:dyDescent="0.25">
      <c r="C2345" t="s">
        <v>35</v>
      </c>
      <c r="E2345">
        <v>1.7999999999999999E-2</v>
      </c>
    </row>
    <row r="2346" spans="1:6" x14ac:dyDescent="0.25">
      <c r="C2346" t="s">
        <v>34</v>
      </c>
      <c r="D2346">
        <f>E2345*C2340/C2338</f>
        <v>1.7437499999999998E-2</v>
      </c>
    </row>
    <row r="2348" spans="1:6" x14ac:dyDescent="0.25">
      <c r="A2348" t="s">
        <v>33</v>
      </c>
    </row>
    <row r="2350" spans="1:6" x14ac:dyDescent="0.25">
      <c r="B2350" s="38">
        <f>1.732*C2337*D2346*0.9</f>
        <v>0.41347087009431088</v>
      </c>
      <c r="C2350" t="s">
        <v>38</v>
      </c>
      <c r="D2350" s="24" t="s">
        <v>39</v>
      </c>
    </row>
    <row r="2352" spans="1:6" ht="15.75" x14ac:dyDescent="0.25">
      <c r="A2352" s="96" t="s">
        <v>100</v>
      </c>
      <c r="B2352" s="96"/>
      <c r="C2352" s="96"/>
      <c r="D2352" s="96"/>
      <c r="E2352" s="96"/>
      <c r="F2352" s="96"/>
    </row>
    <row r="2353" spans="1:6" ht="15.75" x14ac:dyDescent="0.25">
      <c r="A2353" s="97" t="s">
        <v>218</v>
      </c>
      <c r="B2353" s="97"/>
      <c r="C2353" s="97"/>
      <c r="D2353" s="97"/>
      <c r="E2353" s="97"/>
      <c r="F2353" s="97"/>
    </row>
    <row r="2354" spans="1:6" x14ac:dyDescent="0.25">
      <c r="A2354" t="s">
        <v>22</v>
      </c>
    </row>
    <row r="2355" spans="1:6" x14ac:dyDescent="0.25">
      <c r="C2355" t="s">
        <v>23</v>
      </c>
    </row>
    <row r="2356" spans="1:6" x14ac:dyDescent="0.25">
      <c r="C2356" t="s">
        <v>24</v>
      </c>
    </row>
    <row r="2357" spans="1:6" x14ac:dyDescent="0.25">
      <c r="C2357" t="s">
        <v>28</v>
      </c>
    </row>
    <row r="2358" spans="1:6" x14ac:dyDescent="0.25">
      <c r="C2358" t="s">
        <v>25</v>
      </c>
    </row>
    <row r="2359" spans="1:6" x14ac:dyDescent="0.25">
      <c r="C2359" t="s">
        <v>26</v>
      </c>
    </row>
    <row r="2361" spans="1:6" x14ac:dyDescent="0.25">
      <c r="B2361" t="s">
        <v>27</v>
      </c>
      <c r="C2361" s="22">
        <f>'CUADRO DE CARGAS'!L113</f>
        <v>1.2727272727272727</v>
      </c>
      <c r="D2361" t="s">
        <v>29</v>
      </c>
      <c r="E2361" t="s">
        <v>30</v>
      </c>
    </row>
    <row r="2362" spans="1:6" x14ac:dyDescent="0.25">
      <c r="B2362" s="23" t="s">
        <v>44</v>
      </c>
      <c r="C2362" s="33">
        <f>1.25*C2361</f>
        <v>1.5909090909090908</v>
      </c>
      <c r="D2362" s="23" t="s">
        <v>29</v>
      </c>
      <c r="E2362" t="s">
        <v>51</v>
      </c>
    </row>
    <row r="2363" spans="1:6" x14ac:dyDescent="0.25">
      <c r="B2363" s="24" t="s">
        <v>31</v>
      </c>
      <c r="C2363" s="24">
        <v>2.5</v>
      </c>
      <c r="D2363" s="24" t="s">
        <v>32</v>
      </c>
    </row>
    <row r="2364" spans="1:6" x14ac:dyDescent="0.25">
      <c r="A2364" t="s">
        <v>52</v>
      </c>
    </row>
    <row r="2365" spans="1:6" x14ac:dyDescent="0.25">
      <c r="B2365" s="23" t="s">
        <v>36</v>
      </c>
      <c r="C2365" s="23">
        <v>44</v>
      </c>
      <c r="D2365" s="23" t="s">
        <v>37</v>
      </c>
      <c r="E2365" s="32"/>
    </row>
    <row r="2366" spans="1:6" x14ac:dyDescent="0.25">
      <c r="A2366" t="s">
        <v>53</v>
      </c>
    </row>
    <row r="2369" spans="1:5" x14ac:dyDescent="0.25">
      <c r="A2369" t="s">
        <v>23</v>
      </c>
    </row>
    <row r="2370" spans="1:5" x14ac:dyDescent="0.25">
      <c r="C2370" t="s">
        <v>35</v>
      </c>
      <c r="E2370">
        <v>1.7999999999999999E-2</v>
      </c>
    </row>
    <row r="2371" spans="1:5" x14ac:dyDescent="0.25">
      <c r="C2371" t="s">
        <v>34</v>
      </c>
      <c r="D2371">
        <f>E2370*C2365/C2363</f>
        <v>0.31679999999999997</v>
      </c>
    </row>
    <row r="2373" spans="1:5" x14ac:dyDescent="0.25">
      <c r="A2373" t="s">
        <v>33</v>
      </c>
    </row>
    <row r="2375" spans="1:5" x14ac:dyDescent="0.25">
      <c r="B2375" s="38">
        <f>1*C2362*D2371</f>
        <v>0.50399999999999989</v>
      </c>
      <c r="C2375" t="s">
        <v>38</v>
      </c>
      <c r="D2375" s="24" t="s">
        <v>39</v>
      </c>
    </row>
  </sheetData>
  <mergeCells count="211">
    <mergeCell ref="A127:F127"/>
    <mergeCell ref="A128:F128"/>
    <mergeCell ref="A152:F152"/>
    <mergeCell ref="A153:F153"/>
    <mergeCell ref="A177:F177"/>
    <mergeCell ref="A178:F178"/>
    <mergeCell ref="A202:F202"/>
    <mergeCell ref="A203:F203"/>
    <mergeCell ref="A2328:F2328"/>
    <mergeCell ref="A2249:F2249"/>
    <mergeCell ref="A2250:F2250"/>
    <mergeCell ref="A2251:F2251"/>
    <mergeCell ref="A2275:F2275"/>
    <mergeCell ref="A2276:F2276"/>
    <mergeCell ref="A2277:F2277"/>
    <mergeCell ref="A2326:F2326"/>
    <mergeCell ref="A2327:F2327"/>
    <mergeCell ref="A2174:F2174"/>
    <mergeCell ref="A2175:F2175"/>
    <mergeCell ref="A2199:F2199"/>
    <mergeCell ref="A2200:F2200"/>
    <mergeCell ref="A2224:F2224"/>
    <mergeCell ref="A2225:F2225"/>
    <mergeCell ref="A2073:F2073"/>
    <mergeCell ref="A2074:F2074"/>
    <mergeCell ref="A2098:F2098"/>
    <mergeCell ref="A2099:F2099"/>
    <mergeCell ref="A2123:F2123"/>
    <mergeCell ref="A2124:F2124"/>
    <mergeCell ref="A2148:F2148"/>
    <mergeCell ref="A2149:F2149"/>
    <mergeCell ref="A2173:F2173"/>
    <mergeCell ref="A53:F53"/>
    <mergeCell ref="A77:F77"/>
    <mergeCell ref="A78:F78"/>
    <mergeCell ref="A102:F102"/>
    <mergeCell ref="A103:F103"/>
    <mergeCell ref="A1920:F1920"/>
    <mergeCell ref="A1819:F1819"/>
    <mergeCell ref="A1820:F1820"/>
    <mergeCell ref="A1821:F1821"/>
    <mergeCell ref="A1845:F1845"/>
    <mergeCell ref="A1744:F1744"/>
    <mergeCell ref="A1745:F1745"/>
    <mergeCell ref="A1769:F1769"/>
    <mergeCell ref="A1770:F1770"/>
    <mergeCell ref="A1794:F1794"/>
    <mergeCell ref="A1795:F1795"/>
    <mergeCell ref="A1:F1"/>
    <mergeCell ref="A2:F2"/>
    <mergeCell ref="A3:F3"/>
    <mergeCell ref="A27:F27"/>
    <mergeCell ref="A28:F28"/>
    <mergeCell ref="A52:F52"/>
    <mergeCell ref="A2047:F2047"/>
    <mergeCell ref="A2048:F2048"/>
    <mergeCell ref="A2049:F2049"/>
    <mergeCell ref="A1996:F1996"/>
    <mergeCell ref="A1997:F1997"/>
    <mergeCell ref="A2021:F2021"/>
    <mergeCell ref="A2022:F2022"/>
    <mergeCell ref="A1921:F1921"/>
    <mergeCell ref="A1945:F1945"/>
    <mergeCell ref="A1946:F1946"/>
    <mergeCell ref="A1947:F1947"/>
    <mergeCell ref="A1971:F1971"/>
    <mergeCell ref="A1972:F1972"/>
    <mergeCell ref="A1846:F1846"/>
    <mergeCell ref="A1870:F1870"/>
    <mergeCell ref="A1871:F1871"/>
    <mergeCell ref="A1895:F1895"/>
    <mergeCell ref="A1896:F1896"/>
    <mergeCell ref="A1669:F1669"/>
    <mergeCell ref="A1693:F1693"/>
    <mergeCell ref="A1694:F1694"/>
    <mergeCell ref="A1718:F1718"/>
    <mergeCell ref="A1719:F1719"/>
    <mergeCell ref="A1720:F1720"/>
    <mergeCell ref="A1594:F1594"/>
    <mergeCell ref="A1618:F1618"/>
    <mergeCell ref="A1619:F1619"/>
    <mergeCell ref="A1643:F1643"/>
    <mergeCell ref="A1644:F1644"/>
    <mergeCell ref="A1668:F1668"/>
    <mergeCell ref="A1567:F1567"/>
    <mergeCell ref="A1568:F1568"/>
    <mergeCell ref="A1592:F1592"/>
    <mergeCell ref="A1593:F1593"/>
    <mergeCell ref="A1492:F1492"/>
    <mergeCell ref="A1493:F1493"/>
    <mergeCell ref="A1517:F1517"/>
    <mergeCell ref="A1518:F1518"/>
    <mergeCell ref="A1542:F1542"/>
    <mergeCell ref="A1543:F1543"/>
    <mergeCell ref="A1417:F1417"/>
    <mergeCell ref="A1441:F1441"/>
    <mergeCell ref="A1442:F1442"/>
    <mergeCell ref="A1466:F1466"/>
    <mergeCell ref="A1467:F1467"/>
    <mergeCell ref="A1491:F1491"/>
    <mergeCell ref="A1365:F1365"/>
    <mergeCell ref="A1366:F1366"/>
    <mergeCell ref="A1367:F1367"/>
    <mergeCell ref="A1391:F1391"/>
    <mergeCell ref="A1392:F1392"/>
    <mergeCell ref="A1416:F1416"/>
    <mergeCell ref="A1339:F1339"/>
    <mergeCell ref="A1340:F1340"/>
    <mergeCell ref="A1341:F1341"/>
    <mergeCell ref="A1289:F1289"/>
    <mergeCell ref="A1290:F1290"/>
    <mergeCell ref="A1314:F1314"/>
    <mergeCell ref="A1315:F1315"/>
    <mergeCell ref="A1214:F1214"/>
    <mergeCell ref="A1238:F1238"/>
    <mergeCell ref="A1239:F1239"/>
    <mergeCell ref="A1263:F1263"/>
    <mergeCell ref="A1264:F1264"/>
    <mergeCell ref="A1265:F1265"/>
    <mergeCell ref="A1139:F1139"/>
    <mergeCell ref="A1163:F1163"/>
    <mergeCell ref="A1164:F1164"/>
    <mergeCell ref="A1188:F1188"/>
    <mergeCell ref="A1189:F1189"/>
    <mergeCell ref="A1213:F1213"/>
    <mergeCell ref="A1137:F1137"/>
    <mergeCell ref="A1138:F1138"/>
    <mergeCell ref="A1087:F1087"/>
    <mergeCell ref="A1088:F1088"/>
    <mergeCell ref="A1112:F1112"/>
    <mergeCell ref="A1113:F1113"/>
    <mergeCell ref="A1012:F1012"/>
    <mergeCell ref="A1036:F1036"/>
    <mergeCell ref="A1037:F1037"/>
    <mergeCell ref="A1061:F1061"/>
    <mergeCell ref="A1062:F1062"/>
    <mergeCell ref="A1086:F1086"/>
    <mergeCell ref="A960:F960"/>
    <mergeCell ref="A961:F961"/>
    <mergeCell ref="A962:F962"/>
    <mergeCell ref="A986:F986"/>
    <mergeCell ref="A987:F987"/>
    <mergeCell ref="A1011:F1011"/>
    <mergeCell ref="A884:F884"/>
    <mergeCell ref="A908:F908"/>
    <mergeCell ref="A909:F909"/>
    <mergeCell ref="A910:F910"/>
    <mergeCell ref="A934:F934"/>
    <mergeCell ref="A935:F935"/>
    <mergeCell ref="A809:F809"/>
    <mergeCell ref="A833:F833"/>
    <mergeCell ref="A834:F834"/>
    <mergeCell ref="A858:F858"/>
    <mergeCell ref="A859:F859"/>
    <mergeCell ref="A883:F883"/>
    <mergeCell ref="A782:F782"/>
    <mergeCell ref="A783:F783"/>
    <mergeCell ref="A784:F784"/>
    <mergeCell ref="A808:F808"/>
    <mergeCell ref="A732:F732"/>
    <mergeCell ref="A733:F733"/>
    <mergeCell ref="A757:F757"/>
    <mergeCell ref="A758:F758"/>
    <mergeCell ref="A657:F657"/>
    <mergeCell ref="A681:F681"/>
    <mergeCell ref="A682:F682"/>
    <mergeCell ref="A706:F706"/>
    <mergeCell ref="A707:F707"/>
    <mergeCell ref="A708:F708"/>
    <mergeCell ref="A353:F353"/>
    <mergeCell ref="A354:F354"/>
    <mergeCell ref="A378:F378"/>
    <mergeCell ref="A582:F582"/>
    <mergeCell ref="A606:F606"/>
    <mergeCell ref="A607:F607"/>
    <mergeCell ref="A631:F631"/>
    <mergeCell ref="A632:F632"/>
    <mergeCell ref="A656:F656"/>
    <mergeCell ref="A454:F454"/>
    <mergeCell ref="A455:F455"/>
    <mergeCell ref="A479:F479"/>
    <mergeCell ref="A480:F480"/>
    <mergeCell ref="A580:F580"/>
    <mergeCell ref="A581:F581"/>
    <mergeCell ref="A530:F530"/>
    <mergeCell ref="A554:F554"/>
    <mergeCell ref="A555:F555"/>
    <mergeCell ref="A328:F328"/>
    <mergeCell ref="A329:F329"/>
    <mergeCell ref="A2301:F2301"/>
    <mergeCell ref="A2302:F2302"/>
    <mergeCell ref="A2353:F2353"/>
    <mergeCell ref="A2352:F2352"/>
    <mergeCell ref="A227:F227"/>
    <mergeCell ref="A228:F228"/>
    <mergeCell ref="A229:F229"/>
    <mergeCell ref="A253:F253"/>
    <mergeCell ref="A254:F254"/>
    <mergeCell ref="A278:F278"/>
    <mergeCell ref="A504:F504"/>
    <mergeCell ref="A505:F505"/>
    <mergeCell ref="A529:F529"/>
    <mergeCell ref="A379:F379"/>
    <mergeCell ref="A380:F380"/>
    <mergeCell ref="A404:F404"/>
    <mergeCell ref="A405:F405"/>
    <mergeCell ref="A429:F429"/>
    <mergeCell ref="A430:F430"/>
    <mergeCell ref="A279:F279"/>
    <mergeCell ref="A303:F303"/>
    <mergeCell ref="A304:F30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8673" r:id="rId3">
          <objectPr defaultSize="0" autoPict="0" r:id="rId4">
            <anchor moveWithCells="1">
              <from>
                <xdr:col>0</xdr:col>
                <xdr:colOff>238125</xdr:colOff>
                <xdr:row>242</xdr:row>
                <xdr:rowOff>19050</xdr:rowOff>
              </from>
              <to>
                <xdr:col>2</xdr:col>
                <xdr:colOff>133350</xdr:colOff>
                <xdr:row>243</xdr:row>
                <xdr:rowOff>161925</xdr:rowOff>
              </to>
            </anchor>
          </objectPr>
        </oleObject>
      </mc:Choice>
      <mc:Fallback>
        <oleObject progId="Equation.3" shapeId="28673" r:id="rId3"/>
      </mc:Fallback>
    </mc:AlternateContent>
    <mc:AlternateContent xmlns:mc="http://schemas.openxmlformats.org/markup-compatibility/2006">
      <mc:Choice Requires="x14">
        <oleObject progId="Equation.3" shapeId="28674" r:id="rId5">
          <objectPr defaultSize="0" autoPict="0" r:id="rId6">
            <anchor moveWithCells="1">
              <from>
                <xdr:col>0</xdr:col>
                <xdr:colOff>219075</xdr:colOff>
                <xdr:row>245</xdr:row>
                <xdr:rowOff>0</xdr:rowOff>
              </from>
              <to>
                <xdr:col>1</xdr:col>
                <xdr:colOff>647700</xdr:colOff>
                <xdr:row>247</xdr:row>
                <xdr:rowOff>104775</xdr:rowOff>
              </to>
            </anchor>
          </objectPr>
        </oleObject>
      </mc:Choice>
      <mc:Fallback>
        <oleObject progId="Equation.3" shapeId="28674" r:id="rId5"/>
      </mc:Fallback>
    </mc:AlternateContent>
    <mc:AlternateContent xmlns:mc="http://schemas.openxmlformats.org/markup-compatibility/2006">
      <mc:Choice Requires="x14">
        <oleObject progId="Equation.3" shapeId="28675" r:id="rId7">
          <objectPr defaultSize="0" autoPict="0" r:id="rId8">
            <anchor moveWithCells="1">
              <from>
                <xdr:col>0</xdr:col>
                <xdr:colOff>28575</xdr:colOff>
                <xdr:row>249</xdr:row>
                <xdr:rowOff>76200</xdr:rowOff>
              </from>
              <to>
                <xdr:col>1</xdr:col>
                <xdr:colOff>200025</xdr:colOff>
                <xdr:row>250</xdr:row>
                <xdr:rowOff>180975</xdr:rowOff>
              </to>
            </anchor>
          </objectPr>
        </oleObject>
      </mc:Choice>
      <mc:Fallback>
        <oleObject progId="Equation.3" shapeId="28675" r:id="rId7"/>
      </mc:Fallback>
    </mc:AlternateContent>
    <mc:AlternateContent xmlns:mc="http://schemas.openxmlformats.org/markup-compatibility/2006">
      <mc:Choice Requires="x14">
        <oleObject progId="Equation.3" shapeId="28676" r:id="rId9">
          <objectPr defaultSize="0" autoPict="0" r:id="rId4">
            <anchor moveWithCells="1">
              <from>
                <xdr:col>0</xdr:col>
                <xdr:colOff>238125</xdr:colOff>
                <xdr:row>267</xdr:row>
                <xdr:rowOff>19050</xdr:rowOff>
              </from>
              <to>
                <xdr:col>2</xdr:col>
                <xdr:colOff>133350</xdr:colOff>
                <xdr:row>268</xdr:row>
                <xdr:rowOff>161925</xdr:rowOff>
              </to>
            </anchor>
          </objectPr>
        </oleObject>
      </mc:Choice>
      <mc:Fallback>
        <oleObject progId="Equation.3" shapeId="28676" r:id="rId9"/>
      </mc:Fallback>
    </mc:AlternateContent>
    <mc:AlternateContent xmlns:mc="http://schemas.openxmlformats.org/markup-compatibility/2006">
      <mc:Choice Requires="x14">
        <oleObject progId="Equation.3" shapeId="28677" r:id="rId10">
          <objectPr defaultSize="0" autoPict="0" r:id="rId6">
            <anchor moveWithCells="1">
              <from>
                <xdr:col>0</xdr:col>
                <xdr:colOff>219075</xdr:colOff>
                <xdr:row>270</xdr:row>
                <xdr:rowOff>0</xdr:rowOff>
              </from>
              <to>
                <xdr:col>1</xdr:col>
                <xdr:colOff>647700</xdr:colOff>
                <xdr:row>272</xdr:row>
                <xdr:rowOff>104775</xdr:rowOff>
              </to>
            </anchor>
          </objectPr>
        </oleObject>
      </mc:Choice>
      <mc:Fallback>
        <oleObject progId="Equation.3" shapeId="28677" r:id="rId10"/>
      </mc:Fallback>
    </mc:AlternateContent>
    <mc:AlternateContent xmlns:mc="http://schemas.openxmlformats.org/markup-compatibility/2006">
      <mc:Choice Requires="x14">
        <oleObject progId="Equation.3" shapeId="28678" r:id="rId11">
          <objectPr defaultSize="0" autoPict="0" r:id="rId8">
            <anchor moveWithCells="1">
              <from>
                <xdr:col>0</xdr:col>
                <xdr:colOff>28575</xdr:colOff>
                <xdr:row>274</xdr:row>
                <xdr:rowOff>76200</xdr:rowOff>
              </from>
              <to>
                <xdr:col>1</xdr:col>
                <xdr:colOff>200025</xdr:colOff>
                <xdr:row>275</xdr:row>
                <xdr:rowOff>180975</xdr:rowOff>
              </to>
            </anchor>
          </objectPr>
        </oleObject>
      </mc:Choice>
      <mc:Fallback>
        <oleObject progId="Equation.3" shapeId="28678" r:id="rId11"/>
      </mc:Fallback>
    </mc:AlternateContent>
    <mc:AlternateContent xmlns:mc="http://schemas.openxmlformats.org/markup-compatibility/2006">
      <mc:Choice Requires="x14">
        <oleObject progId="Equation.3" shapeId="28679" r:id="rId12">
          <objectPr defaultSize="0" autoPict="0" r:id="rId6">
            <anchor moveWithCells="1">
              <from>
                <xdr:col>0</xdr:col>
                <xdr:colOff>219075</xdr:colOff>
                <xdr:row>295</xdr:row>
                <xdr:rowOff>0</xdr:rowOff>
              </from>
              <to>
                <xdr:col>1</xdr:col>
                <xdr:colOff>647700</xdr:colOff>
                <xdr:row>297</xdr:row>
                <xdr:rowOff>104775</xdr:rowOff>
              </to>
            </anchor>
          </objectPr>
        </oleObject>
      </mc:Choice>
      <mc:Fallback>
        <oleObject progId="Equation.3" shapeId="28679" r:id="rId12"/>
      </mc:Fallback>
    </mc:AlternateContent>
    <mc:AlternateContent xmlns:mc="http://schemas.openxmlformats.org/markup-compatibility/2006">
      <mc:Choice Requires="x14">
        <oleObject progId="Equation.3" shapeId="28680" r:id="rId13">
          <objectPr defaultSize="0" autoPict="0" r:id="rId8">
            <anchor moveWithCells="1">
              <from>
                <xdr:col>0</xdr:col>
                <xdr:colOff>28575</xdr:colOff>
                <xdr:row>299</xdr:row>
                <xdr:rowOff>76200</xdr:rowOff>
              </from>
              <to>
                <xdr:col>1</xdr:col>
                <xdr:colOff>200025</xdr:colOff>
                <xdr:row>300</xdr:row>
                <xdr:rowOff>180975</xdr:rowOff>
              </to>
            </anchor>
          </objectPr>
        </oleObject>
      </mc:Choice>
      <mc:Fallback>
        <oleObject progId="Equation.3" shapeId="28680" r:id="rId13"/>
      </mc:Fallback>
    </mc:AlternateContent>
    <mc:AlternateContent xmlns:mc="http://schemas.openxmlformats.org/markup-compatibility/2006">
      <mc:Choice Requires="x14">
        <oleObject progId="Equation.3" shapeId="28681" r:id="rId14">
          <objectPr defaultSize="0" autoPict="0" r:id="rId6">
            <anchor moveWithCells="1">
              <from>
                <xdr:col>0</xdr:col>
                <xdr:colOff>219075</xdr:colOff>
                <xdr:row>320</xdr:row>
                <xdr:rowOff>0</xdr:rowOff>
              </from>
              <to>
                <xdr:col>1</xdr:col>
                <xdr:colOff>647700</xdr:colOff>
                <xdr:row>322</xdr:row>
                <xdr:rowOff>104775</xdr:rowOff>
              </to>
            </anchor>
          </objectPr>
        </oleObject>
      </mc:Choice>
      <mc:Fallback>
        <oleObject progId="Equation.3" shapeId="28681" r:id="rId14"/>
      </mc:Fallback>
    </mc:AlternateContent>
    <mc:AlternateContent xmlns:mc="http://schemas.openxmlformats.org/markup-compatibility/2006">
      <mc:Choice Requires="x14">
        <oleObject progId="Equation.3" shapeId="28682" r:id="rId15">
          <objectPr defaultSize="0" autoPict="0" r:id="rId8">
            <anchor moveWithCells="1">
              <from>
                <xdr:col>0</xdr:col>
                <xdr:colOff>28575</xdr:colOff>
                <xdr:row>324</xdr:row>
                <xdr:rowOff>76200</xdr:rowOff>
              </from>
              <to>
                <xdr:col>1</xdr:col>
                <xdr:colOff>200025</xdr:colOff>
                <xdr:row>325</xdr:row>
                <xdr:rowOff>180975</xdr:rowOff>
              </to>
            </anchor>
          </objectPr>
        </oleObject>
      </mc:Choice>
      <mc:Fallback>
        <oleObject progId="Equation.3" shapeId="28682" r:id="rId15"/>
      </mc:Fallback>
    </mc:AlternateContent>
    <mc:AlternateContent xmlns:mc="http://schemas.openxmlformats.org/markup-compatibility/2006">
      <mc:Choice Requires="x14">
        <oleObject progId="Equation.3" shapeId="28683" r:id="rId16">
          <objectPr defaultSize="0" autoPict="0" r:id="rId6">
            <anchor moveWithCells="1">
              <from>
                <xdr:col>0</xdr:col>
                <xdr:colOff>219075</xdr:colOff>
                <xdr:row>370</xdr:row>
                <xdr:rowOff>0</xdr:rowOff>
              </from>
              <to>
                <xdr:col>1</xdr:col>
                <xdr:colOff>647700</xdr:colOff>
                <xdr:row>372</xdr:row>
                <xdr:rowOff>104775</xdr:rowOff>
              </to>
            </anchor>
          </objectPr>
        </oleObject>
      </mc:Choice>
      <mc:Fallback>
        <oleObject progId="Equation.3" shapeId="28683" r:id="rId16"/>
      </mc:Fallback>
    </mc:AlternateContent>
    <mc:AlternateContent xmlns:mc="http://schemas.openxmlformats.org/markup-compatibility/2006">
      <mc:Choice Requires="x14">
        <oleObject progId="Equation.3" shapeId="28684" r:id="rId17">
          <objectPr defaultSize="0" autoPict="0" r:id="rId8">
            <anchor moveWithCells="1">
              <from>
                <xdr:col>0</xdr:col>
                <xdr:colOff>28575</xdr:colOff>
                <xdr:row>374</xdr:row>
                <xdr:rowOff>76200</xdr:rowOff>
              </from>
              <to>
                <xdr:col>1</xdr:col>
                <xdr:colOff>200025</xdr:colOff>
                <xdr:row>375</xdr:row>
                <xdr:rowOff>180975</xdr:rowOff>
              </to>
            </anchor>
          </objectPr>
        </oleObject>
      </mc:Choice>
      <mc:Fallback>
        <oleObject progId="Equation.3" shapeId="28684" r:id="rId17"/>
      </mc:Fallback>
    </mc:AlternateContent>
    <mc:AlternateContent xmlns:mc="http://schemas.openxmlformats.org/markup-compatibility/2006">
      <mc:Choice Requires="x14">
        <oleObject progId="Equation.3" shapeId="28685" r:id="rId18">
          <objectPr defaultSize="0" autoPict="0" r:id="rId19">
            <anchor moveWithCells="1">
              <from>
                <xdr:col>0</xdr:col>
                <xdr:colOff>238125</xdr:colOff>
                <xdr:row>393</xdr:row>
                <xdr:rowOff>19050</xdr:rowOff>
              </from>
              <to>
                <xdr:col>2</xdr:col>
                <xdr:colOff>133350</xdr:colOff>
                <xdr:row>394</xdr:row>
                <xdr:rowOff>161925</xdr:rowOff>
              </to>
            </anchor>
          </objectPr>
        </oleObject>
      </mc:Choice>
      <mc:Fallback>
        <oleObject progId="Equation.3" shapeId="28685" r:id="rId18"/>
      </mc:Fallback>
    </mc:AlternateContent>
    <mc:AlternateContent xmlns:mc="http://schemas.openxmlformats.org/markup-compatibility/2006">
      <mc:Choice Requires="x14">
        <oleObject progId="Equation.3" shapeId="28686" r:id="rId20">
          <objectPr defaultSize="0" autoPict="0" r:id="rId6">
            <anchor moveWithCells="1">
              <from>
                <xdr:col>0</xdr:col>
                <xdr:colOff>219075</xdr:colOff>
                <xdr:row>396</xdr:row>
                <xdr:rowOff>0</xdr:rowOff>
              </from>
              <to>
                <xdr:col>1</xdr:col>
                <xdr:colOff>647700</xdr:colOff>
                <xdr:row>398</xdr:row>
                <xdr:rowOff>104775</xdr:rowOff>
              </to>
            </anchor>
          </objectPr>
        </oleObject>
      </mc:Choice>
      <mc:Fallback>
        <oleObject progId="Equation.3" shapeId="28686" r:id="rId20"/>
      </mc:Fallback>
    </mc:AlternateContent>
    <mc:AlternateContent xmlns:mc="http://schemas.openxmlformats.org/markup-compatibility/2006">
      <mc:Choice Requires="x14">
        <oleObject progId="Equation.3" shapeId="28687" r:id="rId21">
          <objectPr defaultSize="0" autoPict="0" r:id="rId8">
            <anchor moveWithCells="1">
              <from>
                <xdr:col>0</xdr:col>
                <xdr:colOff>28575</xdr:colOff>
                <xdr:row>400</xdr:row>
                <xdr:rowOff>76200</xdr:rowOff>
              </from>
              <to>
                <xdr:col>1</xdr:col>
                <xdr:colOff>200025</xdr:colOff>
                <xdr:row>401</xdr:row>
                <xdr:rowOff>180975</xdr:rowOff>
              </to>
            </anchor>
          </objectPr>
        </oleObject>
      </mc:Choice>
      <mc:Fallback>
        <oleObject progId="Equation.3" shapeId="28687" r:id="rId21"/>
      </mc:Fallback>
    </mc:AlternateContent>
    <mc:AlternateContent xmlns:mc="http://schemas.openxmlformats.org/markup-compatibility/2006">
      <mc:Choice Requires="x14">
        <oleObject progId="Equation.3" shapeId="28688" r:id="rId22">
          <objectPr defaultSize="0" autoPict="0" r:id="rId23">
            <anchor moveWithCells="1">
              <from>
                <xdr:col>0</xdr:col>
                <xdr:colOff>238125</xdr:colOff>
                <xdr:row>292</xdr:row>
                <xdr:rowOff>19050</xdr:rowOff>
              </from>
              <to>
                <xdr:col>2</xdr:col>
                <xdr:colOff>133350</xdr:colOff>
                <xdr:row>293</xdr:row>
                <xdr:rowOff>161925</xdr:rowOff>
              </to>
            </anchor>
          </objectPr>
        </oleObject>
      </mc:Choice>
      <mc:Fallback>
        <oleObject progId="Equation.3" shapeId="28688" r:id="rId22"/>
      </mc:Fallback>
    </mc:AlternateContent>
    <mc:AlternateContent xmlns:mc="http://schemas.openxmlformats.org/markup-compatibility/2006">
      <mc:Choice Requires="x14">
        <oleObject progId="Equation.3" shapeId="28689" r:id="rId24">
          <objectPr defaultSize="0" autoPict="0" r:id="rId23">
            <anchor moveWithCells="1">
              <from>
                <xdr:col>0</xdr:col>
                <xdr:colOff>238125</xdr:colOff>
                <xdr:row>367</xdr:row>
                <xdr:rowOff>19050</xdr:rowOff>
              </from>
              <to>
                <xdr:col>2</xdr:col>
                <xdr:colOff>133350</xdr:colOff>
                <xdr:row>368</xdr:row>
                <xdr:rowOff>161925</xdr:rowOff>
              </to>
            </anchor>
          </objectPr>
        </oleObject>
      </mc:Choice>
      <mc:Fallback>
        <oleObject progId="Equation.3" shapeId="28689" r:id="rId24"/>
      </mc:Fallback>
    </mc:AlternateContent>
    <mc:AlternateContent xmlns:mc="http://schemas.openxmlformats.org/markup-compatibility/2006">
      <mc:Choice Requires="x14">
        <oleObject progId="Equation.3" shapeId="28690" r:id="rId25">
          <objectPr defaultSize="0" autoPict="0" r:id="rId19">
            <anchor moveWithCells="1">
              <from>
                <xdr:col>0</xdr:col>
                <xdr:colOff>238125</xdr:colOff>
                <xdr:row>418</xdr:row>
                <xdr:rowOff>19050</xdr:rowOff>
              </from>
              <to>
                <xdr:col>2</xdr:col>
                <xdr:colOff>133350</xdr:colOff>
                <xdr:row>419</xdr:row>
                <xdr:rowOff>161925</xdr:rowOff>
              </to>
            </anchor>
          </objectPr>
        </oleObject>
      </mc:Choice>
      <mc:Fallback>
        <oleObject progId="Equation.3" shapeId="28690" r:id="rId25"/>
      </mc:Fallback>
    </mc:AlternateContent>
    <mc:AlternateContent xmlns:mc="http://schemas.openxmlformats.org/markup-compatibility/2006">
      <mc:Choice Requires="x14">
        <oleObject progId="Equation.3" shapeId="28691" r:id="rId26">
          <objectPr defaultSize="0" autoPict="0" r:id="rId6">
            <anchor moveWithCells="1">
              <from>
                <xdr:col>0</xdr:col>
                <xdr:colOff>219075</xdr:colOff>
                <xdr:row>421</xdr:row>
                <xdr:rowOff>0</xdr:rowOff>
              </from>
              <to>
                <xdr:col>1</xdr:col>
                <xdr:colOff>647700</xdr:colOff>
                <xdr:row>423</xdr:row>
                <xdr:rowOff>104775</xdr:rowOff>
              </to>
            </anchor>
          </objectPr>
        </oleObject>
      </mc:Choice>
      <mc:Fallback>
        <oleObject progId="Equation.3" shapeId="28691" r:id="rId26"/>
      </mc:Fallback>
    </mc:AlternateContent>
    <mc:AlternateContent xmlns:mc="http://schemas.openxmlformats.org/markup-compatibility/2006">
      <mc:Choice Requires="x14">
        <oleObject progId="Equation.3" shapeId="28692" r:id="rId27">
          <objectPr defaultSize="0" autoPict="0" r:id="rId8">
            <anchor moveWithCells="1">
              <from>
                <xdr:col>0</xdr:col>
                <xdr:colOff>28575</xdr:colOff>
                <xdr:row>425</xdr:row>
                <xdr:rowOff>76200</xdr:rowOff>
              </from>
              <to>
                <xdr:col>1</xdr:col>
                <xdr:colOff>200025</xdr:colOff>
                <xdr:row>426</xdr:row>
                <xdr:rowOff>180975</xdr:rowOff>
              </to>
            </anchor>
          </objectPr>
        </oleObject>
      </mc:Choice>
      <mc:Fallback>
        <oleObject progId="Equation.3" shapeId="28692" r:id="rId27"/>
      </mc:Fallback>
    </mc:AlternateContent>
    <mc:AlternateContent xmlns:mc="http://schemas.openxmlformats.org/markup-compatibility/2006">
      <mc:Choice Requires="x14">
        <oleObject progId="Equation.3" shapeId="28693" r:id="rId28">
          <objectPr defaultSize="0" autoPict="0" r:id="rId23">
            <anchor moveWithCells="1">
              <from>
                <xdr:col>0</xdr:col>
                <xdr:colOff>238125</xdr:colOff>
                <xdr:row>317</xdr:row>
                <xdr:rowOff>19050</xdr:rowOff>
              </from>
              <to>
                <xdr:col>2</xdr:col>
                <xdr:colOff>133350</xdr:colOff>
                <xdr:row>318</xdr:row>
                <xdr:rowOff>161925</xdr:rowOff>
              </to>
            </anchor>
          </objectPr>
        </oleObject>
      </mc:Choice>
      <mc:Fallback>
        <oleObject progId="Equation.3" shapeId="28693" r:id="rId28"/>
      </mc:Fallback>
    </mc:AlternateContent>
    <mc:AlternateContent xmlns:mc="http://schemas.openxmlformats.org/markup-compatibility/2006">
      <mc:Choice Requires="x14">
        <oleObject progId="Equation.3" shapeId="28694" r:id="rId29">
          <objectPr defaultSize="0" autoPict="0" r:id="rId19">
            <anchor moveWithCells="1">
              <from>
                <xdr:col>0</xdr:col>
                <xdr:colOff>238125</xdr:colOff>
                <xdr:row>443</xdr:row>
                <xdr:rowOff>19050</xdr:rowOff>
              </from>
              <to>
                <xdr:col>2</xdr:col>
                <xdr:colOff>133350</xdr:colOff>
                <xdr:row>444</xdr:row>
                <xdr:rowOff>161925</xdr:rowOff>
              </to>
            </anchor>
          </objectPr>
        </oleObject>
      </mc:Choice>
      <mc:Fallback>
        <oleObject progId="Equation.3" shapeId="28694" r:id="rId29"/>
      </mc:Fallback>
    </mc:AlternateContent>
    <mc:AlternateContent xmlns:mc="http://schemas.openxmlformats.org/markup-compatibility/2006">
      <mc:Choice Requires="x14">
        <oleObject progId="Equation.3" shapeId="28695" r:id="rId30">
          <objectPr defaultSize="0" autoPict="0" r:id="rId6">
            <anchor moveWithCells="1">
              <from>
                <xdr:col>0</xdr:col>
                <xdr:colOff>219075</xdr:colOff>
                <xdr:row>446</xdr:row>
                <xdr:rowOff>0</xdr:rowOff>
              </from>
              <to>
                <xdr:col>1</xdr:col>
                <xdr:colOff>647700</xdr:colOff>
                <xdr:row>448</xdr:row>
                <xdr:rowOff>104775</xdr:rowOff>
              </to>
            </anchor>
          </objectPr>
        </oleObject>
      </mc:Choice>
      <mc:Fallback>
        <oleObject progId="Equation.3" shapeId="28695" r:id="rId30"/>
      </mc:Fallback>
    </mc:AlternateContent>
    <mc:AlternateContent xmlns:mc="http://schemas.openxmlformats.org/markup-compatibility/2006">
      <mc:Choice Requires="x14">
        <oleObject progId="Equation.3" shapeId="28696" r:id="rId31">
          <objectPr defaultSize="0" autoPict="0" r:id="rId8">
            <anchor moveWithCells="1">
              <from>
                <xdr:col>0</xdr:col>
                <xdr:colOff>28575</xdr:colOff>
                <xdr:row>450</xdr:row>
                <xdr:rowOff>76200</xdr:rowOff>
              </from>
              <to>
                <xdr:col>1</xdr:col>
                <xdr:colOff>200025</xdr:colOff>
                <xdr:row>451</xdr:row>
                <xdr:rowOff>180975</xdr:rowOff>
              </to>
            </anchor>
          </objectPr>
        </oleObject>
      </mc:Choice>
      <mc:Fallback>
        <oleObject progId="Equation.3" shapeId="28696" r:id="rId31"/>
      </mc:Fallback>
    </mc:AlternateContent>
    <mc:AlternateContent xmlns:mc="http://schemas.openxmlformats.org/markup-compatibility/2006">
      <mc:Choice Requires="x14">
        <oleObject progId="Equation.3" shapeId="28697" r:id="rId32">
          <objectPr defaultSize="0" autoPict="0" r:id="rId19">
            <anchor moveWithCells="1">
              <from>
                <xdr:col>0</xdr:col>
                <xdr:colOff>238125</xdr:colOff>
                <xdr:row>468</xdr:row>
                <xdr:rowOff>19050</xdr:rowOff>
              </from>
              <to>
                <xdr:col>2</xdr:col>
                <xdr:colOff>133350</xdr:colOff>
                <xdr:row>469</xdr:row>
                <xdr:rowOff>161925</xdr:rowOff>
              </to>
            </anchor>
          </objectPr>
        </oleObject>
      </mc:Choice>
      <mc:Fallback>
        <oleObject progId="Equation.3" shapeId="28697" r:id="rId32"/>
      </mc:Fallback>
    </mc:AlternateContent>
    <mc:AlternateContent xmlns:mc="http://schemas.openxmlformats.org/markup-compatibility/2006">
      <mc:Choice Requires="x14">
        <oleObject progId="Equation.3" shapeId="28698" r:id="rId33">
          <objectPr defaultSize="0" autoPict="0" r:id="rId6">
            <anchor moveWithCells="1">
              <from>
                <xdr:col>0</xdr:col>
                <xdr:colOff>219075</xdr:colOff>
                <xdr:row>471</xdr:row>
                <xdr:rowOff>0</xdr:rowOff>
              </from>
              <to>
                <xdr:col>1</xdr:col>
                <xdr:colOff>647700</xdr:colOff>
                <xdr:row>473</xdr:row>
                <xdr:rowOff>104775</xdr:rowOff>
              </to>
            </anchor>
          </objectPr>
        </oleObject>
      </mc:Choice>
      <mc:Fallback>
        <oleObject progId="Equation.3" shapeId="28698" r:id="rId33"/>
      </mc:Fallback>
    </mc:AlternateContent>
    <mc:AlternateContent xmlns:mc="http://schemas.openxmlformats.org/markup-compatibility/2006">
      <mc:Choice Requires="x14">
        <oleObject progId="Equation.3" shapeId="28699" r:id="rId34">
          <objectPr defaultSize="0" autoPict="0" r:id="rId8">
            <anchor moveWithCells="1">
              <from>
                <xdr:col>0</xdr:col>
                <xdr:colOff>28575</xdr:colOff>
                <xdr:row>475</xdr:row>
                <xdr:rowOff>76200</xdr:rowOff>
              </from>
              <to>
                <xdr:col>1</xdr:col>
                <xdr:colOff>200025</xdr:colOff>
                <xdr:row>476</xdr:row>
                <xdr:rowOff>180975</xdr:rowOff>
              </to>
            </anchor>
          </objectPr>
        </oleObject>
      </mc:Choice>
      <mc:Fallback>
        <oleObject progId="Equation.3" shapeId="28699" r:id="rId34"/>
      </mc:Fallback>
    </mc:AlternateContent>
    <mc:AlternateContent xmlns:mc="http://schemas.openxmlformats.org/markup-compatibility/2006">
      <mc:Choice Requires="x14">
        <oleObject progId="Equation.3" shapeId="28700" r:id="rId35">
          <objectPr defaultSize="0" autoPict="0" r:id="rId19">
            <anchor moveWithCells="1">
              <from>
                <xdr:col>0</xdr:col>
                <xdr:colOff>238125</xdr:colOff>
                <xdr:row>493</xdr:row>
                <xdr:rowOff>19050</xdr:rowOff>
              </from>
              <to>
                <xdr:col>2</xdr:col>
                <xdr:colOff>133350</xdr:colOff>
                <xdr:row>494</xdr:row>
                <xdr:rowOff>161925</xdr:rowOff>
              </to>
            </anchor>
          </objectPr>
        </oleObject>
      </mc:Choice>
      <mc:Fallback>
        <oleObject progId="Equation.3" shapeId="28700" r:id="rId35"/>
      </mc:Fallback>
    </mc:AlternateContent>
    <mc:AlternateContent xmlns:mc="http://schemas.openxmlformats.org/markup-compatibility/2006">
      <mc:Choice Requires="x14">
        <oleObject progId="Equation.3" shapeId="28701" r:id="rId36">
          <objectPr defaultSize="0" autoPict="0" r:id="rId6">
            <anchor moveWithCells="1">
              <from>
                <xdr:col>0</xdr:col>
                <xdr:colOff>219075</xdr:colOff>
                <xdr:row>496</xdr:row>
                <xdr:rowOff>0</xdr:rowOff>
              </from>
              <to>
                <xdr:col>1</xdr:col>
                <xdr:colOff>647700</xdr:colOff>
                <xdr:row>498</xdr:row>
                <xdr:rowOff>104775</xdr:rowOff>
              </to>
            </anchor>
          </objectPr>
        </oleObject>
      </mc:Choice>
      <mc:Fallback>
        <oleObject progId="Equation.3" shapeId="28701" r:id="rId36"/>
      </mc:Fallback>
    </mc:AlternateContent>
    <mc:AlternateContent xmlns:mc="http://schemas.openxmlformats.org/markup-compatibility/2006">
      <mc:Choice Requires="x14">
        <oleObject progId="Equation.3" shapeId="28702" r:id="rId37">
          <objectPr defaultSize="0" autoPict="0" r:id="rId8">
            <anchor moveWithCells="1">
              <from>
                <xdr:col>0</xdr:col>
                <xdr:colOff>28575</xdr:colOff>
                <xdr:row>500</xdr:row>
                <xdr:rowOff>76200</xdr:rowOff>
              </from>
              <to>
                <xdr:col>1</xdr:col>
                <xdr:colOff>200025</xdr:colOff>
                <xdr:row>501</xdr:row>
                <xdr:rowOff>180975</xdr:rowOff>
              </to>
            </anchor>
          </objectPr>
        </oleObject>
      </mc:Choice>
      <mc:Fallback>
        <oleObject progId="Equation.3" shapeId="28702" r:id="rId37"/>
      </mc:Fallback>
    </mc:AlternateContent>
    <mc:AlternateContent xmlns:mc="http://schemas.openxmlformats.org/markup-compatibility/2006">
      <mc:Choice Requires="x14">
        <oleObject progId="Equation.3" shapeId="28703" r:id="rId38">
          <objectPr defaultSize="0" autoPict="0" r:id="rId4">
            <anchor moveWithCells="1">
              <from>
                <xdr:col>0</xdr:col>
                <xdr:colOff>238125</xdr:colOff>
                <xdr:row>595</xdr:row>
                <xdr:rowOff>19050</xdr:rowOff>
              </from>
              <to>
                <xdr:col>2</xdr:col>
                <xdr:colOff>133350</xdr:colOff>
                <xdr:row>596</xdr:row>
                <xdr:rowOff>161925</xdr:rowOff>
              </to>
            </anchor>
          </objectPr>
        </oleObject>
      </mc:Choice>
      <mc:Fallback>
        <oleObject progId="Equation.3" shapeId="28703" r:id="rId38"/>
      </mc:Fallback>
    </mc:AlternateContent>
    <mc:AlternateContent xmlns:mc="http://schemas.openxmlformats.org/markup-compatibility/2006">
      <mc:Choice Requires="x14">
        <oleObject progId="Equation.3" shapeId="28704" r:id="rId39">
          <objectPr defaultSize="0" autoPict="0" r:id="rId6">
            <anchor moveWithCells="1">
              <from>
                <xdr:col>0</xdr:col>
                <xdr:colOff>219075</xdr:colOff>
                <xdr:row>598</xdr:row>
                <xdr:rowOff>0</xdr:rowOff>
              </from>
              <to>
                <xdr:col>1</xdr:col>
                <xdr:colOff>647700</xdr:colOff>
                <xdr:row>600</xdr:row>
                <xdr:rowOff>104775</xdr:rowOff>
              </to>
            </anchor>
          </objectPr>
        </oleObject>
      </mc:Choice>
      <mc:Fallback>
        <oleObject progId="Equation.3" shapeId="28704" r:id="rId39"/>
      </mc:Fallback>
    </mc:AlternateContent>
    <mc:AlternateContent xmlns:mc="http://schemas.openxmlformats.org/markup-compatibility/2006">
      <mc:Choice Requires="x14">
        <oleObject progId="Equation.3" shapeId="28705" r:id="rId40">
          <objectPr defaultSize="0" autoPict="0" r:id="rId8">
            <anchor moveWithCells="1">
              <from>
                <xdr:col>0</xdr:col>
                <xdr:colOff>28575</xdr:colOff>
                <xdr:row>602</xdr:row>
                <xdr:rowOff>76200</xdr:rowOff>
              </from>
              <to>
                <xdr:col>1</xdr:col>
                <xdr:colOff>200025</xdr:colOff>
                <xdr:row>603</xdr:row>
                <xdr:rowOff>180975</xdr:rowOff>
              </to>
            </anchor>
          </objectPr>
        </oleObject>
      </mc:Choice>
      <mc:Fallback>
        <oleObject progId="Equation.3" shapeId="28705" r:id="rId40"/>
      </mc:Fallback>
    </mc:AlternateContent>
    <mc:AlternateContent xmlns:mc="http://schemas.openxmlformats.org/markup-compatibility/2006">
      <mc:Choice Requires="x14">
        <oleObject progId="Equation.3" shapeId="28706" r:id="rId41">
          <objectPr defaultSize="0" autoPict="0" r:id="rId4">
            <anchor moveWithCells="1">
              <from>
                <xdr:col>0</xdr:col>
                <xdr:colOff>238125</xdr:colOff>
                <xdr:row>620</xdr:row>
                <xdr:rowOff>19050</xdr:rowOff>
              </from>
              <to>
                <xdr:col>2</xdr:col>
                <xdr:colOff>133350</xdr:colOff>
                <xdr:row>621</xdr:row>
                <xdr:rowOff>161925</xdr:rowOff>
              </to>
            </anchor>
          </objectPr>
        </oleObject>
      </mc:Choice>
      <mc:Fallback>
        <oleObject progId="Equation.3" shapeId="28706" r:id="rId41"/>
      </mc:Fallback>
    </mc:AlternateContent>
    <mc:AlternateContent xmlns:mc="http://schemas.openxmlformats.org/markup-compatibility/2006">
      <mc:Choice Requires="x14">
        <oleObject progId="Equation.3" shapeId="28707" r:id="rId42">
          <objectPr defaultSize="0" autoPict="0" r:id="rId6">
            <anchor moveWithCells="1">
              <from>
                <xdr:col>0</xdr:col>
                <xdr:colOff>219075</xdr:colOff>
                <xdr:row>623</xdr:row>
                <xdr:rowOff>0</xdr:rowOff>
              </from>
              <to>
                <xdr:col>1</xdr:col>
                <xdr:colOff>647700</xdr:colOff>
                <xdr:row>625</xdr:row>
                <xdr:rowOff>104775</xdr:rowOff>
              </to>
            </anchor>
          </objectPr>
        </oleObject>
      </mc:Choice>
      <mc:Fallback>
        <oleObject progId="Equation.3" shapeId="28707" r:id="rId42"/>
      </mc:Fallback>
    </mc:AlternateContent>
    <mc:AlternateContent xmlns:mc="http://schemas.openxmlformats.org/markup-compatibility/2006">
      <mc:Choice Requires="x14">
        <oleObject progId="Equation.3" shapeId="28708" r:id="rId43">
          <objectPr defaultSize="0" autoPict="0" r:id="rId8">
            <anchor moveWithCells="1">
              <from>
                <xdr:col>0</xdr:col>
                <xdr:colOff>28575</xdr:colOff>
                <xdr:row>627</xdr:row>
                <xdr:rowOff>76200</xdr:rowOff>
              </from>
              <to>
                <xdr:col>1</xdr:col>
                <xdr:colOff>200025</xdr:colOff>
                <xdr:row>628</xdr:row>
                <xdr:rowOff>180975</xdr:rowOff>
              </to>
            </anchor>
          </objectPr>
        </oleObject>
      </mc:Choice>
      <mc:Fallback>
        <oleObject progId="Equation.3" shapeId="28708" r:id="rId43"/>
      </mc:Fallback>
    </mc:AlternateContent>
    <mc:AlternateContent xmlns:mc="http://schemas.openxmlformats.org/markup-compatibility/2006">
      <mc:Choice Requires="x14">
        <oleObject progId="Equation.3" shapeId="28709" r:id="rId44">
          <objectPr defaultSize="0" autoPict="0" r:id="rId6">
            <anchor moveWithCells="1">
              <from>
                <xdr:col>0</xdr:col>
                <xdr:colOff>219075</xdr:colOff>
                <xdr:row>648</xdr:row>
                <xdr:rowOff>0</xdr:rowOff>
              </from>
              <to>
                <xdr:col>1</xdr:col>
                <xdr:colOff>647700</xdr:colOff>
                <xdr:row>650</xdr:row>
                <xdr:rowOff>104775</xdr:rowOff>
              </to>
            </anchor>
          </objectPr>
        </oleObject>
      </mc:Choice>
      <mc:Fallback>
        <oleObject progId="Equation.3" shapeId="28709" r:id="rId44"/>
      </mc:Fallback>
    </mc:AlternateContent>
    <mc:AlternateContent xmlns:mc="http://schemas.openxmlformats.org/markup-compatibility/2006">
      <mc:Choice Requires="x14">
        <oleObject progId="Equation.3" shapeId="28710" r:id="rId45">
          <objectPr defaultSize="0" autoPict="0" r:id="rId8">
            <anchor moveWithCells="1">
              <from>
                <xdr:col>0</xdr:col>
                <xdr:colOff>28575</xdr:colOff>
                <xdr:row>652</xdr:row>
                <xdr:rowOff>76200</xdr:rowOff>
              </from>
              <to>
                <xdr:col>1</xdr:col>
                <xdr:colOff>200025</xdr:colOff>
                <xdr:row>653</xdr:row>
                <xdr:rowOff>180975</xdr:rowOff>
              </to>
            </anchor>
          </objectPr>
        </oleObject>
      </mc:Choice>
      <mc:Fallback>
        <oleObject progId="Equation.3" shapeId="28710" r:id="rId45"/>
      </mc:Fallback>
    </mc:AlternateContent>
    <mc:AlternateContent xmlns:mc="http://schemas.openxmlformats.org/markup-compatibility/2006">
      <mc:Choice Requires="x14">
        <oleObject progId="Equation.3" shapeId="28711" r:id="rId46">
          <objectPr defaultSize="0" autoPict="0" r:id="rId6">
            <anchor moveWithCells="1">
              <from>
                <xdr:col>0</xdr:col>
                <xdr:colOff>219075</xdr:colOff>
                <xdr:row>673</xdr:row>
                <xdr:rowOff>0</xdr:rowOff>
              </from>
              <to>
                <xdr:col>1</xdr:col>
                <xdr:colOff>647700</xdr:colOff>
                <xdr:row>675</xdr:row>
                <xdr:rowOff>104775</xdr:rowOff>
              </to>
            </anchor>
          </objectPr>
        </oleObject>
      </mc:Choice>
      <mc:Fallback>
        <oleObject progId="Equation.3" shapeId="28711" r:id="rId46"/>
      </mc:Fallback>
    </mc:AlternateContent>
    <mc:AlternateContent xmlns:mc="http://schemas.openxmlformats.org/markup-compatibility/2006">
      <mc:Choice Requires="x14">
        <oleObject progId="Equation.3" shapeId="28712" r:id="rId47">
          <objectPr defaultSize="0" autoPict="0" r:id="rId8">
            <anchor moveWithCells="1">
              <from>
                <xdr:col>0</xdr:col>
                <xdr:colOff>28575</xdr:colOff>
                <xdr:row>677</xdr:row>
                <xdr:rowOff>76200</xdr:rowOff>
              </from>
              <to>
                <xdr:col>1</xdr:col>
                <xdr:colOff>200025</xdr:colOff>
                <xdr:row>678</xdr:row>
                <xdr:rowOff>180975</xdr:rowOff>
              </to>
            </anchor>
          </objectPr>
        </oleObject>
      </mc:Choice>
      <mc:Fallback>
        <oleObject progId="Equation.3" shapeId="28712" r:id="rId47"/>
      </mc:Fallback>
    </mc:AlternateContent>
    <mc:AlternateContent xmlns:mc="http://schemas.openxmlformats.org/markup-compatibility/2006">
      <mc:Choice Requires="x14">
        <oleObject progId="Equation.3" shapeId="28713" r:id="rId48">
          <objectPr defaultSize="0" autoPict="0" r:id="rId6">
            <anchor moveWithCells="1">
              <from>
                <xdr:col>0</xdr:col>
                <xdr:colOff>219075</xdr:colOff>
                <xdr:row>698</xdr:row>
                <xdr:rowOff>0</xdr:rowOff>
              </from>
              <to>
                <xdr:col>1</xdr:col>
                <xdr:colOff>647700</xdr:colOff>
                <xdr:row>700</xdr:row>
                <xdr:rowOff>104775</xdr:rowOff>
              </to>
            </anchor>
          </objectPr>
        </oleObject>
      </mc:Choice>
      <mc:Fallback>
        <oleObject progId="Equation.3" shapeId="28713" r:id="rId48"/>
      </mc:Fallback>
    </mc:AlternateContent>
    <mc:AlternateContent xmlns:mc="http://schemas.openxmlformats.org/markup-compatibility/2006">
      <mc:Choice Requires="x14">
        <oleObject progId="Equation.3" shapeId="28714" r:id="rId49">
          <objectPr defaultSize="0" autoPict="0" r:id="rId8">
            <anchor moveWithCells="1">
              <from>
                <xdr:col>0</xdr:col>
                <xdr:colOff>28575</xdr:colOff>
                <xdr:row>702</xdr:row>
                <xdr:rowOff>76200</xdr:rowOff>
              </from>
              <to>
                <xdr:col>1</xdr:col>
                <xdr:colOff>200025</xdr:colOff>
                <xdr:row>703</xdr:row>
                <xdr:rowOff>180975</xdr:rowOff>
              </to>
            </anchor>
          </objectPr>
        </oleObject>
      </mc:Choice>
      <mc:Fallback>
        <oleObject progId="Equation.3" shapeId="28714" r:id="rId49"/>
      </mc:Fallback>
    </mc:AlternateContent>
    <mc:AlternateContent xmlns:mc="http://schemas.openxmlformats.org/markup-compatibility/2006">
      <mc:Choice Requires="x14">
        <oleObject progId="Equation.3" shapeId="28715" r:id="rId50">
          <objectPr defaultSize="0" autoPict="0" r:id="rId19">
            <anchor moveWithCells="1">
              <from>
                <xdr:col>0</xdr:col>
                <xdr:colOff>238125</xdr:colOff>
                <xdr:row>721</xdr:row>
                <xdr:rowOff>19050</xdr:rowOff>
              </from>
              <to>
                <xdr:col>2</xdr:col>
                <xdr:colOff>133350</xdr:colOff>
                <xdr:row>722</xdr:row>
                <xdr:rowOff>161925</xdr:rowOff>
              </to>
            </anchor>
          </objectPr>
        </oleObject>
      </mc:Choice>
      <mc:Fallback>
        <oleObject progId="Equation.3" shapeId="28715" r:id="rId50"/>
      </mc:Fallback>
    </mc:AlternateContent>
    <mc:AlternateContent xmlns:mc="http://schemas.openxmlformats.org/markup-compatibility/2006">
      <mc:Choice Requires="x14">
        <oleObject progId="Equation.3" shapeId="28716" r:id="rId51">
          <objectPr defaultSize="0" autoPict="0" r:id="rId6">
            <anchor moveWithCells="1">
              <from>
                <xdr:col>0</xdr:col>
                <xdr:colOff>219075</xdr:colOff>
                <xdr:row>724</xdr:row>
                <xdr:rowOff>0</xdr:rowOff>
              </from>
              <to>
                <xdr:col>1</xdr:col>
                <xdr:colOff>647700</xdr:colOff>
                <xdr:row>726</xdr:row>
                <xdr:rowOff>104775</xdr:rowOff>
              </to>
            </anchor>
          </objectPr>
        </oleObject>
      </mc:Choice>
      <mc:Fallback>
        <oleObject progId="Equation.3" shapeId="28716" r:id="rId51"/>
      </mc:Fallback>
    </mc:AlternateContent>
    <mc:AlternateContent xmlns:mc="http://schemas.openxmlformats.org/markup-compatibility/2006">
      <mc:Choice Requires="x14">
        <oleObject progId="Equation.3" shapeId="28717" r:id="rId52">
          <objectPr defaultSize="0" autoPict="0" r:id="rId8">
            <anchor moveWithCells="1">
              <from>
                <xdr:col>0</xdr:col>
                <xdr:colOff>28575</xdr:colOff>
                <xdr:row>728</xdr:row>
                <xdr:rowOff>76200</xdr:rowOff>
              </from>
              <to>
                <xdr:col>1</xdr:col>
                <xdr:colOff>200025</xdr:colOff>
                <xdr:row>729</xdr:row>
                <xdr:rowOff>180975</xdr:rowOff>
              </to>
            </anchor>
          </objectPr>
        </oleObject>
      </mc:Choice>
      <mc:Fallback>
        <oleObject progId="Equation.3" shapeId="28717" r:id="rId52"/>
      </mc:Fallback>
    </mc:AlternateContent>
    <mc:AlternateContent xmlns:mc="http://schemas.openxmlformats.org/markup-compatibility/2006">
      <mc:Choice Requires="x14">
        <oleObject progId="Equation.3" shapeId="28718" r:id="rId53">
          <objectPr defaultSize="0" autoPict="0" r:id="rId23">
            <anchor moveWithCells="1">
              <from>
                <xdr:col>0</xdr:col>
                <xdr:colOff>238125</xdr:colOff>
                <xdr:row>645</xdr:row>
                <xdr:rowOff>19050</xdr:rowOff>
              </from>
              <to>
                <xdr:col>2</xdr:col>
                <xdr:colOff>133350</xdr:colOff>
                <xdr:row>646</xdr:row>
                <xdr:rowOff>161925</xdr:rowOff>
              </to>
            </anchor>
          </objectPr>
        </oleObject>
      </mc:Choice>
      <mc:Fallback>
        <oleObject progId="Equation.3" shapeId="28718" r:id="rId53"/>
      </mc:Fallback>
    </mc:AlternateContent>
    <mc:AlternateContent xmlns:mc="http://schemas.openxmlformats.org/markup-compatibility/2006">
      <mc:Choice Requires="x14">
        <oleObject progId="Equation.3" shapeId="28719" r:id="rId54">
          <objectPr defaultSize="0" autoPict="0" r:id="rId23">
            <anchor moveWithCells="1">
              <from>
                <xdr:col>0</xdr:col>
                <xdr:colOff>238125</xdr:colOff>
                <xdr:row>695</xdr:row>
                <xdr:rowOff>19050</xdr:rowOff>
              </from>
              <to>
                <xdr:col>2</xdr:col>
                <xdr:colOff>133350</xdr:colOff>
                <xdr:row>696</xdr:row>
                <xdr:rowOff>161925</xdr:rowOff>
              </to>
            </anchor>
          </objectPr>
        </oleObject>
      </mc:Choice>
      <mc:Fallback>
        <oleObject progId="Equation.3" shapeId="28719" r:id="rId54"/>
      </mc:Fallback>
    </mc:AlternateContent>
    <mc:AlternateContent xmlns:mc="http://schemas.openxmlformats.org/markup-compatibility/2006">
      <mc:Choice Requires="x14">
        <oleObject progId="Equation.3" shapeId="28720" r:id="rId55">
          <objectPr defaultSize="0" autoPict="0" r:id="rId19">
            <anchor moveWithCells="1">
              <from>
                <xdr:col>0</xdr:col>
                <xdr:colOff>238125</xdr:colOff>
                <xdr:row>746</xdr:row>
                <xdr:rowOff>19050</xdr:rowOff>
              </from>
              <to>
                <xdr:col>2</xdr:col>
                <xdr:colOff>133350</xdr:colOff>
                <xdr:row>747</xdr:row>
                <xdr:rowOff>161925</xdr:rowOff>
              </to>
            </anchor>
          </objectPr>
        </oleObject>
      </mc:Choice>
      <mc:Fallback>
        <oleObject progId="Equation.3" shapeId="28720" r:id="rId55"/>
      </mc:Fallback>
    </mc:AlternateContent>
    <mc:AlternateContent xmlns:mc="http://schemas.openxmlformats.org/markup-compatibility/2006">
      <mc:Choice Requires="x14">
        <oleObject progId="Equation.3" shapeId="28721" r:id="rId56">
          <objectPr defaultSize="0" autoPict="0" r:id="rId6">
            <anchor moveWithCells="1">
              <from>
                <xdr:col>0</xdr:col>
                <xdr:colOff>219075</xdr:colOff>
                <xdr:row>749</xdr:row>
                <xdr:rowOff>0</xdr:rowOff>
              </from>
              <to>
                <xdr:col>1</xdr:col>
                <xdr:colOff>647700</xdr:colOff>
                <xdr:row>751</xdr:row>
                <xdr:rowOff>104775</xdr:rowOff>
              </to>
            </anchor>
          </objectPr>
        </oleObject>
      </mc:Choice>
      <mc:Fallback>
        <oleObject progId="Equation.3" shapeId="28721" r:id="rId56"/>
      </mc:Fallback>
    </mc:AlternateContent>
    <mc:AlternateContent xmlns:mc="http://schemas.openxmlformats.org/markup-compatibility/2006">
      <mc:Choice Requires="x14">
        <oleObject progId="Equation.3" shapeId="28722" r:id="rId57">
          <objectPr defaultSize="0" autoPict="0" r:id="rId8">
            <anchor moveWithCells="1">
              <from>
                <xdr:col>0</xdr:col>
                <xdr:colOff>28575</xdr:colOff>
                <xdr:row>753</xdr:row>
                <xdr:rowOff>76200</xdr:rowOff>
              </from>
              <to>
                <xdr:col>1</xdr:col>
                <xdr:colOff>200025</xdr:colOff>
                <xdr:row>754</xdr:row>
                <xdr:rowOff>180975</xdr:rowOff>
              </to>
            </anchor>
          </objectPr>
        </oleObject>
      </mc:Choice>
      <mc:Fallback>
        <oleObject progId="Equation.3" shapeId="28722" r:id="rId57"/>
      </mc:Fallback>
    </mc:AlternateContent>
    <mc:AlternateContent xmlns:mc="http://schemas.openxmlformats.org/markup-compatibility/2006">
      <mc:Choice Requires="x14">
        <oleObject progId="Equation.3" shapeId="28723" r:id="rId58">
          <objectPr defaultSize="0" autoPict="0" r:id="rId23">
            <anchor moveWithCells="1">
              <from>
                <xdr:col>0</xdr:col>
                <xdr:colOff>238125</xdr:colOff>
                <xdr:row>670</xdr:row>
                <xdr:rowOff>19050</xdr:rowOff>
              </from>
              <to>
                <xdr:col>2</xdr:col>
                <xdr:colOff>133350</xdr:colOff>
                <xdr:row>671</xdr:row>
                <xdr:rowOff>161925</xdr:rowOff>
              </to>
            </anchor>
          </objectPr>
        </oleObject>
      </mc:Choice>
      <mc:Fallback>
        <oleObject progId="Equation.3" shapeId="28723" r:id="rId58"/>
      </mc:Fallback>
    </mc:AlternateContent>
    <mc:AlternateContent xmlns:mc="http://schemas.openxmlformats.org/markup-compatibility/2006">
      <mc:Choice Requires="x14">
        <oleObject progId="Equation.3" shapeId="28724" r:id="rId59">
          <objectPr defaultSize="0" autoPict="0" r:id="rId19">
            <anchor moveWithCells="1">
              <from>
                <xdr:col>0</xdr:col>
                <xdr:colOff>238125</xdr:colOff>
                <xdr:row>771</xdr:row>
                <xdr:rowOff>19050</xdr:rowOff>
              </from>
              <to>
                <xdr:col>2</xdr:col>
                <xdr:colOff>133350</xdr:colOff>
                <xdr:row>772</xdr:row>
                <xdr:rowOff>161925</xdr:rowOff>
              </to>
            </anchor>
          </objectPr>
        </oleObject>
      </mc:Choice>
      <mc:Fallback>
        <oleObject progId="Equation.3" shapeId="28724" r:id="rId59"/>
      </mc:Fallback>
    </mc:AlternateContent>
    <mc:AlternateContent xmlns:mc="http://schemas.openxmlformats.org/markup-compatibility/2006">
      <mc:Choice Requires="x14">
        <oleObject progId="Equation.3" shapeId="28725" r:id="rId60">
          <objectPr defaultSize="0" autoPict="0" r:id="rId6">
            <anchor moveWithCells="1">
              <from>
                <xdr:col>0</xdr:col>
                <xdr:colOff>219075</xdr:colOff>
                <xdr:row>774</xdr:row>
                <xdr:rowOff>0</xdr:rowOff>
              </from>
              <to>
                <xdr:col>1</xdr:col>
                <xdr:colOff>647700</xdr:colOff>
                <xdr:row>776</xdr:row>
                <xdr:rowOff>104775</xdr:rowOff>
              </to>
            </anchor>
          </objectPr>
        </oleObject>
      </mc:Choice>
      <mc:Fallback>
        <oleObject progId="Equation.3" shapeId="28725" r:id="rId60"/>
      </mc:Fallback>
    </mc:AlternateContent>
    <mc:AlternateContent xmlns:mc="http://schemas.openxmlformats.org/markup-compatibility/2006">
      <mc:Choice Requires="x14">
        <oleObject progId="Equation.3" shapeId="28726" r:id="rId61">
          <objectPr defaultSize="0" autoPict="0" r:id="rId8">
            <anchor moveWithCells="1">
              <from>
                <xdr:col>0</xdr:col>
                <xdr:colOff>28575</xdr:colOff>
                <xdr:row>778</xdr:row>
                <xdr:rowOff>76200</xdr:rowOff>
              </from>
              <to>
                <xdr:col>1</xdr:col>
                <xdr:colOff>200025</xdr:colOff>
                <xdr:row>779</xdr:row>
                <xdr:rowOff>180975</xdr:rowOff>
              </to>
            </anchor>
          </objectPr>
        </oleObject>
      </mc:Choice>
      <mc:Fallback>
        <oleObject progId="Equation.3" shapeId="28726" r:id="rId61"/>
      </mc:Fallback>
    </mc:AlternateContent>
    <mc:AlternateContent xmlns:mc="http://schemas.openxmlformats.org/markup-compatibility/2006">
      <mc:Choice Requires="x14">
        <oleObject progId="Equation.3" shapeId="28733" r:id="rId62">
          <objectPr defaultSize="0" autoPict="0" r:id="rId4">
            <anchor moveWithCells="1">
              <from>
                <xdr:col>0</xdr:col>
                <xdr:colOff>238125</xdr:colOff>
                <xdr:row>797</xdr:row>
                <xdr:rowOff>19050</xdr:rowOff>
              </from>
              <to>
                <xdr:col>2</xdr:col>
                <xdr:colOff>133350</xdr:colOff>
                <xdr:row>798</xdr:row>
                <xdr:rowOff>161925</xdr:rowOff>
              </to>
            </anchor>
          </objectPr>
        </oleObject>
      </mc:Choice>
      <mc:Fallback>
        <oleObject progId="Equation.3" shapeId="28733" r:id="rId62"/>
      </mc:Fallback>
    </mc:AlternateContent>
    <mc:AlternateContent xmlns:mc="http://schemas.openxmlformats.org/markup-compatibility/2006">
      <mc:Choice Requires="x14">
        <oleObject progId="Equation.3" shapeId="28734" r:id="rId63">
          <objectPr defaultSize="0" autoPict="0" r:id="rId6">
            <anchor moveWithCells="1">
              <from>
                <xdr:col>0</xdr:col>
                <xdr:colOff>219075</xdr:colOff>
                <xdr:row>800</xdr:row>
                <xdr:rowOff>0</xdr:rowOff>
              </from>
              <to>
                <xdr:col>1</xdr:col>
                <xdr:colOff>647700</xdr:colOff>
                <xdr:row>802</xdr:row>
                <xdr:rowOff>104775</xdr:rowOff>
              </to>
            </anchor>
          </objectPr>
        </oleObject>
      </mc:Choice>
      <mc:Fallback>
        <oleObject progId="Equation.3" shapeId="28734" r:id="rId63"/>
      </mc:Fallback>
    </mc:AlternateContent>
    <mc:AlternateContent xmlns:mc="http://schemas.openxmlformats.org/markup-compatibility/2006">
      <mc:Choice Requires="x14">
        <oleObject progId="Equation.3" shapeId="28735" r:id="rId64">
          <objectPr defaultSize="0" autoPict="0" r:id="rId8">
            <anchor moveWithCells="1">
              <from>
                <xdr:col>0</xdr:col>
                <xdr:colOff>28575</xdr:colOff>
                <xdr:row>804</xdr:row>
                <xdr:rowOff>76200</xdr:rowOff>
              </from>
              <to>
                <xdr:col>1</xdr:col>
                <xdr:colOff>200025</xdr:colOff>
                <xdr:row>805</xdr:row>
                <xdr:rowOff>180975</xdr:rowOff>
              </to>
            </anchor>
          </objectPr>
        </oleObject>
      </mc:Choice>
      <mc:Fallback>
        <oleObject progId="Equation.3" shapeId="28735" r:id="rId64"/>
      </mc:Fallback>
    </mc:AlternateContent>
    <mc:AlternateContent xmlns:mc="http://schemas.openxmlformats.org/markup-compatibility/2006">
      <mc:Choice Requires="x14">
        <oleObject progId="Equation.3" shapeId="28736" r:id="rId65">
          <objectPr defaultSize="0" autoPict="0" r:id="rId4">
            <anchor moveWithCells="1">
              <from>
                <xdr:col>0</xdr:col>
                <xdr:colOff>238125</xdr:colOff>
                <xdr:row>822</xdr:row>
                <xdr:rowOff>19050</xdr:rowOff>
              </from>
              <to>
                <xdr:col>2</xdr:col>
                <xdr:colOff>133350</xdr:colOff>
                <xdr:row>823</xdr:row>
                <xdr:rowOff>161925</xdr:rowOff>
              </to>
            </anchor>
          </objectPr>
        </oleObject>
      </mc:Choice>
      <mc:Fallback>
        <oleObject progId="Equation.3" shapeId="28736" r:id="rId65"/>
      </mc:Fallback>
    </mc:AlternateContent>
    <mc:AlternateContent xmlns:mc="http://schemas.openxmlformats.org/markup-compatibility/2006">
      <mc:Choice Requires="x14">
        <oleObject progId="Equation.3" shapeId="28737" r:id="rId66">
          <objectPr defaultSize="0" autoPict="0" r:id="rId6">
            <anchor moveWithCells="1">
              <from>
                <xdr:col>0</xdr:col>
                <xdr:colOff>219075</xdr:colOff>
                <xdr:row>825</xdr:row>
                <xdr:rowOff>0</xdr:rowOff>
              </from>
              <to>
                <xdr:col>1</xdr:col>
                <xdr:colOff>647700</xdr:colOff>
                <xdr:row>827</xdr:row>
                <xdr:rowOff>104775</xdr:rowOff>
              </to>
            </anchor>
          </objectPr>
        </oleObject>
      </mc:Choice>
      <mc:Fallback>
        <oleObject progId="Equation.3" shapeId="28737" r:id="rId66"/>
      </mc:Fallback>
    </mc:AlternateContent>
    <mc:AlternateContent xmlns:mc="http://schemas.openxmlformats.org/markup-compatibility/2006">
      <mc:Choice Requires="x14">
        <oleObject progId="Equation.3" shapeId="28738" r:id="rId67">
          <objectPr defaultSize="0" autoPict="0" r:id="rId8">
            <anchor moveWithCells="1">
              <from>
                <xdr:col>0</xdr:col>
                <xdr:colOff>28575</xdr:colOff>
                <xdr:row>829</xdr:row>
                <xdr:rowOff>76200</xdr:rowOff>
              </from>
              <to>
                <xdr:col>1</xdr:col>
                <xdr:colOff>200025</xdr:colOff>
                <xdr:row>830</xdr:row>
                <xdr:rowOff>180975</xdr:rowOff>
              </to>
            </anchor>
          </objectPr>
        </oleObject>
      </mc:Choice>
      <mc:Fallback>
        <oleObject progId="Equation.3" shapeId="28738" r:id="rId67"/>
      </mc:Fallback>
    </mc:AlternateContent>
    <mc:AlternateContent xmlns:mc="http://schemas.openxmlformats.org/markup-compatibility/2006">
      <mc:Choice Requires="x14">
        <oleObject progId="Equation.3" shapeId="28739" r:id="rId68">
          <objectPr defaultSize="0" autoPict="0" r:id="rId6">
            <anchor moveWithCells="1">
              <from>
                <xdr:col>0</xdr:col>
                <xdr:colOff>219075</xdr:colOff>
                <xdr:row>850</xdr:row>
                <xdr:rowOff>0</xdr:rowOff>
              </from>
              <to>
                <xdr:col>1</xdr:col>
                <xdr:colOff>647700</xdr:colOff>
                <xdr:row>852</xdr:row>
                <xdr:rowOff>104775</xdr:rowOff>
              </to>
            </anchor>
          </objectPr>
        </oleObject>
      </mc:Choice>
      <mc:Fallback>
        <oleObject progId="Equation.3" shapeId="28739" r:id="rId68"/>
      </mc:Fallback>
    </mc:AlternateContent>
    <mc:AlternateContent xmlns:mc="http://schemas.openxmlformats.org/markup-compatibility/2006">
      <mc:Choice Requires="x14">
        <oleObject progId="Equation.3" shapeId="28740" r:id="rId69">
          <objectPr defaultSize="0" autoPict="0" r:id="rId8">
            <anchor moveWithCells="1">
              <from>
                <xdr:col>0</xdr:col>
                <xdr:colOff>28575</xdr:colOff>
                <xdr:row>854</xdr:row>
                <xdr:rowOff>76200</xdr:rowOff>
              </from>
              <to>
                <xdr:col>1</xdr:col>
                <xdr:colOff>200025</xdr:colOff>
                <xdr:row>855</xdr:row>
                <xdr:rowOff>180975</xdr:rowOff>
              </to>
            </anchor>
          </objectPr>
        </oleObject>
      </mc:Choice>
      <mc:Fallback>
        <oleObject progId="Equation.3" shapeId="28740" r:id="rId69"/>
      </mc:Fallback>
    </mc:AlternateContent>
    <mc:AlternateContent xmlns:mc="http://schemas.openxmlformats.org/markup-compatibility/2006">
      <mc:Choice Requires="x14">
        <oleObject progId="Equation.3" shapeId="28741" r:id="rId70">
          <objectPr defaultSize="0" autoPict="0" r:id="rId6">
            <anchor moveWithCells="1">
              <from>
                <xdr:col>0</xdr:col>
                <xdr:colOff>219075</xdr:colOff>
                <xdr:row>875</xdr:row>
                <xdr:rowOff>0</xdr:rowOff>
              </from>
              <to>
                <xdr:col>1</xdr:col>
                <xdr:colOff>647700</xdr:colOff>
                <xdr:row>877</xdr:row>
                <xdr:rowOff>104775</xdr:rowOff>
              </to>
            </anchor>
          </objectPr>
        </oleObject>
      </mc:Choice>
      <mc:Fallback>
        <oleObject progId="Equation.3" shapeId="28741" r:id="rId70"/>
      </mc:Fallback>
    </mc:AlternateContent>
    <mc:AlternateContent xmlns:mc="http://schemas.openxmlformats.org/markup-compatibility/2006">
      <mc:Choice Requires="x14">
        <oleObject progId="Equation.3" shapeId="28742" r:id="rId71">
          <objectPr defaultSize="0" autoPict="0" r:id="rId8">
            <anchor moveWithCells="1">
              <from>
                <xdr:col>0</xdr:col>
                <xdr:colOff>28575</xdr:colOff>
                <xdr:row>879</xdr:row>
                <xdr:rowOff>76200</xdr:rowOff>
              </from>
              <to>
                <xdr:col>1</xdr:col>
                <xdr:colOff>200025</xdr:colOff>
                <xdr:row>880</xdr:row>
                <xdr:rowOff>180975</xdr:rowOff>
              </to>
            </anchor>
          </objectPr>
        </oleObject>
      </mc:Choice>
      <mc:Fallback>
        <oleObject progId="Equation.3" shapeId="28742" r:id="rId71"/>
      </mc:Fallback>
    </mc:AlternateContent>
    <mc:AlternateContent xmlns:mc="http://schemas.openxmlformats.org/markup-compatibility/2006">
      <mc:Choice Requires="x14">
        <oleObject progId="Equation.3" shapeId="28743" r:id="rId72">
          <objectPr defaultSize="0" autoPict="0" r:id="rId6">
            <anchor moveWithCells="1">
              <from>
                <xdr:col>0</xdr:col>
                <xdr:colOff>219075</xdr:colOff>
                <xdr:row>900</xdr:row>
                <xdr:rowOff>0</xdr:rowOff>
              </from>
              <to>
                <xdr:col>1</xdr:col>
                <xdr:colOff>647700</xdr:colOff>
                <xdr:row>902</xdr:row>
                <xdr:rowOff>104775</xdr:rowOff>
              </to>
            </anchor>
          </objectPr>
        </oleObject>
      </mc:Choice>
      <mc:Fallback>
        <oleObject progId="Equation.3" shapeId="28743" r:id="rId72"/>
      </mc:Fallback>
    </mc:AlternateContent>
    <mc:AlternateContent xmlns:mc="http://schemas.openxmlformats.org/markup-compatibility/2006">
      <mc:Choice Requires="x14">
        <oleObject progId="Equation.3" shapeId="28744" r:id="rId73">
          <objectPr defaultSize="0" autoPict="0" r:id="rId8">
            <anchor moveWithCells="1">
              <from>
                <xdr:col>0</xdr:col>
                <xdr:colOff>28575</xdr:colOff>
                <xdr:row>904</xdr:row>
                <xdr:rowOff>76200</xdr:rowOff>
              </from>
              <to>
                <xdr:col>1</xdr:col>
                <xdr:colOff>200025</xdr:colOff>
                <xdr:row>905</xdr:row>
                <xdr:rowOff>180975</xdr:rowOff>
              </to>
            </anchor>
          </objectPr>
        </oleObject>
      </mc:Choice>
      <mc:Fallback>
        <oleObject progId="Equation.3" shapeId="28744" r:id="rId73"/>
      </mc:Fallback>
    </mc:AlternateContent>
    <mc:AlternateContent xmlns:mc="http://schemas.openxmlformats.org/markup-compatibility/2006">
      <mc:Choice Requires="x14">
        <oleObject progId="Equation.3" shapeId="28745" r:id="rId74">
          <objectPr defaultSize="0" autoPict="0" r:id="rId19">
            <anchor moveWithCells="1">
              <from>
                <xdr:col>0</xdr:col>
                <xdr:colOff>238125</xdr:colOff>
                <xdr:row>923</xdr:row>
                <xdr:rowOff>19050</xdr:rowOff>
              </from>
              <to>
                <xdr:col>2</xdr:col>
                <xdr:colOff>133350</xdr:colOff>
                <xdr:row>924</xdr:row>
                <xdr:rowOff>161925</xdr:rowOff>
              </to>
            </anchor>
          </objectPr>
        </oleObject>
      </mc:Choice>
      <mc:Fallback>
        <oleObject progId="Equation.3" shapeId="28745" r:id="rId74"/>
      </mc:Fallback>
    </mc:AlternateContent>
    <mc:AlternateContent xmlns:mc="http://schemas.openxmlformats.org/markup-compatibility/2006">
      <mc:Choice Requires="x14">
        <oleObject progId="Equation.3" shapeId="28746" r:id="rId75">
          <objectPr defaultSize="0" autoPict="0" r:id="rId6">
            <anchor moveWithCells="1">
              <from>
                <xdr:col>0</xdr:col>
                <xdr:colOff>219075</xdr:colOff>
                <xdr:row>926</xdr:row>
                <xdr:rowOff>0</xdr:rowOff>
              </from>
              <to>
                <xdr:col>1</xdr:col>
                <xdr:colOff>647700</xdr:colOff>
                <xdr:row>928</xdr:row>
                <xdr:rowOff>104775</xdr:rowOff>
              </to>
            </anchor>
          </objectPr>
        </oleObject>
      </mc:Choice>
      <mc:Fallback>
        <oleObject progId="Equation.3" shapeId="28746" r:id="rId75"/>
      </mc:Fallback>
    </mc:AlternateContent>
    <mc:AlternateContent xmlns:mc="http://schemas.openxmlformats.org/markup-compatibility/2006">
      <mc:Choice Requires="x14">
        <oleObject progId="Equation.3" shapeId="28747" r:id="rId76">
          <objectPr defaultSize="0" autoPict="0" r:id="rId8">
            <anchor moveWithCells="1">
              <from>
                <xdr:col>0</xdr:col>
                <xdr:colOff>28575</xdr:colOff>
                <xdr:row>930</xdr:row>
                <xdr:rowOff>76200</xdr:rowOff>
              </from>
              <to>
                <xdr:col>1</xdr:col>
                <xdr:colOff>200025</xdr:colOff>
                <xdr:row>931</xdr:row>
                <xdr:rowOff>180975</xdr:rowOff>
              </to>
            </anchor>
          </objectPr>
        </oleObject>
      </mc:Choice>
      <mc:Fallback>
        <oleObject progId="Equation.3" shapeId="28747" r:id="rId76"/>
      </mc:Fallback>
    </mc:AlternateContent>
    <mc:AlternateContent xmlns:mc="http://schemas.openxmlformats.org/markup-compatibility/2006">
      <mc:Choice Requires="x14">
        <oleObject progId="Equation.3" shapeId="28748" r:id="rId77">
          <objectPr defaultSize="0" autoPict="0" r:id="rId23">
            <anchor moveWithCells="1">
              <from>
                <xdr:col>0</xdr:col>
                <xdr:colOff>238125</xdr:colOff>
                <xdr:row>847</xdr:row>
                <xdr:rowOff>19050</xdr:rowOff>
              </from>
              <to>
                <xdr:col>2</xdr:col>
                <xdr:colOff>133350</xdr:colOff>
                <xdr:row>848</xdr:row>
                <xdr:rowOff>161925</xdr:rowOff>
              </to>
            </anchor>
          </objectPr>
        </oleObject>
      </mc:Choice>
      <mc:Fallback>
        <oleObject progId="Equation.3" shapeId="28748" r:id="rId77"/>
      </mc:Fallback>
    </mc:AlternateContent>
    <mc:AlternateContent xmlns:mc="http://schemas.openxmlformats.org/markup-compatibility/2006">
      <mc:Choice Requires="x14">
        <oleObject progId="Equation.3" shapeId="28749" r:id="rId78">
          <objectPr defaultSize="0" autoPict="0" r:id="rId23">
            <anchor moveWithCells="1">
              <from>
                <xdr:col>0</xdr:col>
                <xdr:colOff>238125</xdr:colOff>
                <xdr:row>897</xdr:row>
                <xdr:rowOff>19050</xdr:rowOff>
              </from>
              <to>
                <xdr:col>2</xdr:col>
                <xdr:colOff>133350</xdr:colOff>
                <xdr:row>898</xdr:row>
                <xdr:rowOff>161925</xdr:rowOff>
              </to>
            </anchor>
          </objectPr>
        </oleObject>
      </mc:Choice>
      <mc:Fallback>
        <oleObject progId="Equation.3" shapeId="28749" r:id="rId78"/>
      </mc:Fallback>
    </mc:AlternateContent>
    <mc:AlternateContent xmlns:mc="http://schemas.openxmlformats.org/markup-compatibility/2006">
      <mc:Choice Requires="x14">
        <oleObject progId="Equation.3" shapeId="28750" r:id="rId79">
          <objectPr defaultSize="0" autoPict="0" r:id="rId19">
            <anchor moveWithCells="1">
              <from>
                <xdr:col>0</xdr:col>
                <xdr:colOff>238125</xdr:colOff>
                <xdr:row>948</xdr:row>
                <xdr:rowOff>19050</xdr:rowOff>
              </from>
              <to>
                <xdr:col>2</xdr:col>
                <xdr:colOff>133350</xdr:colOff>
                <xdr:row>949</xdr:row>
                <xdr:rowOff>161925</xdr:rowOff>
              </to>
            </anchor>
          </objectPr>
        </oleObject>
      </mc:Choice>
      <mc:Fallback>
        <oleObject progId="Equation.3" shapeId="28750" r:id="rId79"/>
      </mc:Fallback>
    </mc:AlternateContent>
    <mc:AlternateContent xmlns:mc="http://schemas.openxmlformats.org/markup-compatibility/2006">
      <mc:Choice Requires="x14">
        <oleObject progId="Equation.3" shapeId="28751" r:id="rId80">
          <objectPr defaultSize="0" autoPict="0" r:id="rId6">
            <anchor moveWithCells="1">
              <from>
                <xdr:col>0</xdr:col>
                <xdr:colOff>219075</xdr:colOff>
                <xdr:row>951</xdr:row>
                <xdr:rowOff>0</xdr:rowOff>
              </from>
              <to>
                <xdr:col>1</xdr:col>
                <xdr:colOff>647700</xdr:colOff>
                <xdr:row>953</xdr:row>
                <xdr:rowOff>104775</xdr:rowOff>
              </to>
            </anchor>
          </objectPr>
        </oleObject>
      </mc:Choice>
      <mc:Fallback>
        <oleObject progId="Equation.3" shapeId="28751" r:id="rId80"/>
      </mc:Fallback>
    </mc:AlternateContent>
    <mc:AlternateContent xmlns:mc="http://schemas.openxmlformats.org/markup-compatibility/2006">
      <mc:Choice Requires="x14">
        <oleObject progId="Equation.3" shapeId="28752" r:id="rId81">
          <objectPr defaultSize="0" autoPict="0" r:id="rId8">
            <anchor moveWithCells="1">
              <from>
                <xdr:col>0</xdr:col>
                <xdr:colOff>28575</xdr:colOff>
                <xdr:row>955</xdr:row>
                <xdr:rowOff>76200</xdr:rowOff>
              </from>
              <to>
                <xdr:col>1</xdr:col>
                <xdr:colOff>200025</xdr:colOff>
                <xdr:row>956</xdr:row>
                <xdr:rowOff>180975</xdr:rowOff>
              </to>
            </anchor>
          </objectPr>
        </oleObject>
      </mc:Choice>
      <mc:Fallback>
        <oleObject progId="Equation.3" shapeId="28752" r:id="rId81"/>
      </mc:Fallback>
    </mc:AlternateContent>
    <mc:AlternateContent xmlns:mc="http://schemas.openxmlformats.org/markup-compatibility/2006">
      <mc:Choice Requires="x14">
        <oleObject progId="Equation.3" shapeId="28753" r:id="rId82">
          <objectPr defaultSize="0" autoPict="0" r:id="rId23">
            <anchor moveWithCells="1">
              <from>
                <xdr:col>0</xdr:col>
                <xdr:colOff>238125</xdr:colOff>
                <xdr:row>872</xdr:row>
                <xdr:rowOff>19050</xdr:rowOff>
              </from>
              <to>
                <xdr:col>2</xdr:col>
                <xdr:colOff>133350</xdr:colOff>
                <xdr:row>873</xdr:row>
                <xdr:rowOff>161925</xdr:rowOff>
              </to>
            </anchor>
          </objectPr>
        </oleObject>
      </mc:Choice>
      <mc:Fallback>
        <oleObject progId="Equation.3" shapeId="28753" r:id="rId82"/>
      </mc:Fallback>
    </mc:AlternateContent>
    <mc:AlternateContent xmlns:mc="http://schemas.openxmlformats.org/markup-compatibility/2006">
      <mc:Choice Requires="x14">
        <oleObject progId="Equation.3" shapeId="28763" r:id="rId83">
          <objectPr defaultSize="0" autoPict="0" r:id="rId4">
            <anchor moveWithCells="1">
              <from>
                <xdr:col>0</xdr:col>
                <xdr:colOff>238125</xdr:colOff>
                <xdr:row>975</xdr:row>
                <xdr:rowOff>19050</xdr:rowOff>
              </from>
              <to>
                <xdr:col>2</xdr:col>
                <xdr:colOff>133350</xdr:colOff>
                <xdr:row>976</xdr:row>
                <xdr:rowOff>161925</xdr:rowOff>
              </to>
            </anchor>
          </objectPr>
        </oleObject>
      </mc:Choice>
      <mc:Fallback>
        <oleObject progId="Equation.3" shapeId="28763" r:id="rId83"/>
      </mc:Fallback>
    </mc:AlternateContent>
    <mc:AlternateContent xmlns:mc="http://schemas.openxmlformats.org/markup-compatibility/2006">
      <mc:Choice Requires="x14">
        <oleObject progId="Equation.3" shapeId="28764" r:id="rId84">
          <objectPr defaultSize="0" autoPict="0" r:id="rId6">
            <anchor moveWithCells="1">
              <from>
                <xdr:col>0</xdr:col>
                <xdr:colOff>219075</xdr:colOff>
                <xdr:row>978</xdr:row>
                <xdr:rowOff>0</xdr:rowOff>
              </from>
              <to>
                <xdr:col>1</xdr:col>
                <xdr:colOff>647700</xdr:colOff>
                <xdr:row>980</xdr:row>
                <xdr:rowOff>104775</xdr:rowOff>
              </to>
            </anchor>
          </objectPr>
        </oleObject>
      </mc:Choice>
      <mc:Fallback>
        <oleObject progId="Equation.3" shapeId="28764" r:id="rId84"/>
      </mc:Fallback>
    </mc:AlternateContent>
    <mc:AlternateContent xmlns:mc="http://schemas.openxmlformats.org/markup-compatibility/2006">
      <mc:Choice Requires="x14">
        <oleObject progId="Equation.3" shapeId="28765" r:id="rId85">
          <objectPr defaultSize="0" autoPict="0" r:id="rId8">
            <anchor moveWithCells="1">
              <from>
                <xdr:col>0</xdr:col>
                <xdr:colOff>28575</xdr:colOff>
                <xdr:row>982</xdr:row>
                <xdr:rowOff>76200</xdr:rowOff>
              </from>
              <to>
                <xdr:col>1</xdr:col>
                <xdr:colOff>200025</xdr:colOff>
                <xdr:row>983</xdr:row>
                <xdr:rowOff>180975</xdr:rowOff>
              </to>
            </anchor>
          </objectPr>
        </oleObject>
      </mc:Choice>
      <mc:Fallback>
        <oleObject progId="Equation.3" shapeId="28765" r:id="rId85"/>
      </mc:Fallback>
    </mc:AlternateContent>
    <mc:AlternateContent xmlns:mc="http://schemas.openxmlformats.org/markup-compatibility/2006">
      <mc:Choice Requires="x14">
        <oleObject progId="Equation.3" shapeId="28766" r:id="rId86">
          <objectPr defaultSize="0" autoPict="0" r:id="rId4">
            <anchor moveWithCells="1">
              <from>
                <xdr:col>0</xdr:col>
                <xdr:colOff>238125</xdr:colOff>
                <xdr:row>1000</xdr:row>
                <xdr:rowOff>19050</xdr:rowOff>
              </from>
              <to>
                <xdr:col>2</xdr:col>
                <xdr:colOff>133350</xdr:colOff>
                <xdr:row>1001</xdr:row>
                <xdr:rowOff>161925</xdr:rowOff>
              </to>
            </anchor>
          </objectPr>
        </oleObject>
      </mc:Choice>
      <mc:Fallback>
        <oleObject progId="Equation.3" shapeId="28766" r:id="rId86"/>
      </mc:Fallback>
    </mc:AlternateContent>
    <mc:AlternateContent xmlns:mc="http://schemas.openxmlformats.org/markup-compatibility/2006">
      <mc:Choice Requires="x14">
        <oleObject progId="Equation.3" shapeId="28767" r:id="rId87">
          <objectPr defaultSize="0" autoPict="0" r:id="rId6">
            <anchor moveWithCells="1">
              <from>
                <xdr:col>0</xdr:col>
                <xdr:colOff>219075</xdr:colOff>
                <xdr:row>1003</xdr:row>
                <xdr:rowOff>0</xdr:rowOff>
              </from>
              <to>
                <xdr:col>1</xdr:col>
                <xdr:colOff>647700</xdr:colOff>
                <xdr:row>1005</xdr:row>
                <xdr:rowOff>104775</xdr:rowOff>
              </to>
            </anchor>
          </objectPr>
        </oleObject>
      </mc:Choice>
      <mc:Fallback>
        <oleObject progId="Equation.3" shapeId="28767" r:id="rId87"/>
      </mc:Fallback>
    </mc:AlternateContent>
    <mc:AlternateContent xmlns:mc="http://schemas.openxmlformats.org/markup-compatibility/2006">
      <mc:Choice Requires="x14">
        <oleObject progId="Equation.3" shapeId="28768" r:id="rId88">
          <objectPr defaultSize="0" autoPict="0" r:id="rId8">
            <anchor moveWithCells="1">
              <from>
                <xdr:col>0</xdr:col>
                <xdr:colOff>28575</xdr:colOff>
                <xdr:row>1007</xdr:row>
                <xdr:rowOff>76200</xdr:rowOff>
              </from>
              <to>
                <xdr:col>1</xdr:col>
                <xdr:colOff>200025</xdr:colOff>
                <xdr:row>1008</xdr:row>
                <xdr:rowOff>180975</xdr:rowOff>
              </to>
            </anchor>
          </objectPr>
        </oleObject>
      </mc:Choice>
      <mc:Fallback>
        <oleObject progId="Equation.3" shapeId="28768" r:id="rId88"/>
      </mc:Fallback>
    </mc:AlternateContent>
    <mc:AlternateContent xmlns:mc="http://schemas.openxmlformats.org/markup-compatibility/2006">
      <mc:Choice Requires="x14">
        <oleObject progId="Equation.3" shapeId="28769" r:id="rId89">
          <objectPr defaultSize="0" autoPict="0" r:id="rId6">
            <anchor moveWithCells="1">
              <from>
                <xdr:col>0</xdr:col>
                <xdr:colOff>219075</xdr:colOff>
                <xdr:row>1028</xdr:row>
                <xdr:rowOff>0</xdr:rowOff>
              </from>
              <to>
                <xdr:col>1</xdr:col>
                <xdr:colOff>647700</xdr:colOff>
                <xdr:row>1030</xdr:row>
                <xdr:rowOff>104775</xdr:rowOff>
              </to>
            </anchor>
          </objectPr>
        </oleObject>
      </mc:Choice>
      <mc:Fallback>
        <oleObject progId="Equation.3" shapeId="28769" r:id="rId89"/>
      </mc:Fallback>
    </mc:AlternateContent>
    <mc:AlternateContent xmlns:mc="http://schemas.openxmlformats.org/markup-compatibility/2006">
      <mc:Choice Requires="x14">
        <oleObject progId="Equation.3" shapeId="28770" r:id="rId90">
          <objectPr defaultSize="0" autoPict="0" r:id="rId8">
            <anchor moveWithCells="1">
              <from>
                <xdr:col>0</xdr:col>
                <xdr:colOff>28575</xdr:colOff>
                <xdr:row>1032</xdr:row>
                <xdr:rowOff>76200</xdr:rowOff>
              </from>
              <to>
                <xdr:col>1</xdr:col>
                <xdr:colOff>200025</xdr:colOff>
                <xdr:row>1033</xdr:row>
                <xdr:rowOff>180975</xdr:rowOff>
              </to>
            </anchor>
          </objectPr>
        </oleObject>
      </mc:Choice>
      <mc:Fallback>
        <oleObject progId="Equation.3" shapeId="28770" r:id="rId90"/>
      </mc:Fallback>
    </mc:AlternateContent>
    <mc:AlternateContent xmlns:mc="http://schemas.openxmlformats.org/markup-compatibility/2006">
      <mc:Choice Requires="x14">
        <oleObject progId="Equation.3" shapeId="28771" r:id="rId91">
          <objectPr defaultSize="0" autoPict="0" r:id="rId6">
            <anchor moveWithCells="1">
              <from>
                <xdr:col>0</xdr:col>
                <xdr:colOff>219075</xdr:colOff>
                <xdr:row>1053</xdr:row>
                <xdr:rowOff>0</xdr:rowOff>
              </from>
              <to>
                <xdr:col>1</xdr:col>
                <xdr:colOff>647700</xdr:colOff>
                <xdr:row>1055</xdr:row>
                <xdr:rowOff>104775</xdr:rowOff>
              </to>
            </anchor>
          </objectPr>
        </oleObject>
      </mc:Choice>
      <mc:Fallback>
        <oleObject progId="Equation.3" shapeId="28771" r:id="rId91"/>
      </mc:Fallback>
    </mc:AlternateContent>
    <mc:AlternateContent xmlns:mc="http://schemas.openxmlformats.org/markup-compatibility/2006">
      <mc:Choice Requires="x14">
        <oleObject progId="Equation.3" shapeId="28772" r:id="rId92">
          <objectPr defaultSize="0" autoPict="0" r:id="rId8">
            <anchor moveWithCells="1">
              <from>
                <xdr:col>0</xdr:col>
                <xdr:colOff>28575</xdr:colOff>
                <xdr:row>1057</xdr:row>
                <xdr:rowOff>76200</xdr:rowOff>
              </from>
              <to>
                <xdr:col>1</xdr:col>
                <xdr:colOff>200025</xdr:colOff>
                <xdr:row>1058</xdr:row>
                <xdr:rowOff>180975</xdr:rowOff>
              </to>
            </anchor>
          </objectPr>
        </oleObject>
      </mc:Choice>
      <mc:Fallback>
        <oleObject progId="Equation.3" shapeId="28772" r:id="rId92"/>
      </mc:Fallback>
    </mc:AlternateContent>
    <mc:AlternateContent xmlns:mc="http://schemas.openxmlformats.org/markup-compatibility/2006">
      <mc:Choice Requires="x14">
        <oleObject progId="Equation.3" shapeId="28773" r:id="rId93">
          <objectPr defaultSize="0" autoPict="0" r:id="rId6">
            <anchor moveWithCells="1">
              <from>
                <xdr:col>0</xdr:col>
                <xdr:colOff>219075</xdr:colOff>
                <xdr:row>1078</xdr:row>
                <xdr:rowOff>0</xdr:rowOff>
              </from>
              <to>
                <xdr:col>1</xdr:col>
                <xdr:colOff>647700</xdr:colOff>
                <xdr:row>1080</xdr:row>
                <xdr:rowOff>104775</xdr:rowOff>
              </to>
            </anchor>
          </objectPr>
        </oleObject>
      </mc:Choice>
      <mc:Fallback>
        <oleObject progId="Equation.3" shapeId="28773" r:id="rId93"/>
      </mc:Fallback>
    </mc:AlternateContent>
    <mc:AlternateContent xmlns:mc="http://schemas.openxmlformats.org/markup-compatibility/2006">
      <mc:Choice Requires="x14">
        <oleObject progId="Equation.3" shapeId="28774" r:id="rId94">
          <objectPr defaultSize="0" autoPict="0" r:id="rId8">
            <anchor moveWithCells="1">
              <from>
                <xdr:col>0</xdr:col>
                <xdr:colOff>28575</xdr:colOff>
                <xdr:row>1082</xdr:row>
                <xdr:rowOff>76200</xdr:rowOff>
              </from>
              <to>
                <xdr:col>1</xdr:col>
                <xdr:colOff>200025</xdr:colOff>
                <xdr:row>1083</xdr:row>
                <xdr:rowOff>180975</xdr:rowOff>
              </to>
            </anchor>
          </objectPr>
        </oleObject>
      </mc:Choice>
      <mc:Fallback>
        <oleObject progId="Equation.3" shapeId="28774" r:id="rId94"/>
      </mc:Fallback>
    </mc:AlternateContent>
    <mc:AlternateContent xmlns:mc="http://schemas.openxmlformats.org/markup-compatibility/2006">
      <mc:Choice Requires="x14">
        <oleObject progId="Equation.3" shapeId="28775" r:id="rId95">
          <objectPr defaultSize="0" autoPict="0" r:id="rId19">
            <anchor moveWithCells="1">
              <from>
                <xdr:col>0</xdr:col>
                <xdr:colOff>238125</xdr:colOff>
                <xdr:row>1101</xdr:row>
                <xdr:rowOff>19050</xdr:rowOff>
              </from>
              <to>
                <xdr:col>2</xdr:col>
                <xdr:colOff>133350</xdr:colOff>
                <xdr:row>1102</xdr:row>
                <xdr:rowOff>161925</xdr:rowOff>
              </to>
            </anchor>
          </objectPr>
        </oleObject>
      </mc:Choice>
      <mc:Fallback>
        <oleObject progId="Equation.3" shapeId="28775" r:id="rId95"/>
      </mc:Fallback>
    </mc:AlternateContent>
    <mc:AlternateContent xmlns:mc="http://schemas.openxmlformats.org/markup-compatibility/2006">
      <mc:Choice Requires="x14">
        <oleObject progId="Equation.3" shapeId="28776" r:id="rId96">
          <objectPr defaultSize="0" autoPict="0" r:id="rId6">
            <anchor moveWithCells="1">
              <from>
                <xdr:col>0</xdr:col>
                <xdr:colOff>219075</xdr:colOff>
                <xdr:row>1104</xdr:row>
                <xdr:rowOff>0</xdr:rowOff>
              </from>
              <to>
                <xdr:col>1</xdr:col>
                <xdr:colOff>647700</xdr:colOff>
                <xdr:row>1106</xdr:row>
                <xdr:rowOff>104775</xdr:rowOff>
              </to>
            </anchor>
          </objectPr>
        </oleObject>
      </mc:Choice>
      <mc:Fallback>
        <oleObject progId="Equation.3" shapeId="28776" r:id="rId96"/>
      </mc:Fallback>
    </mc:AlternateContent>
    <mc:AlternateContent xmlns:mc="http://schemas.openxmlformats.org/markup-compatibility/2006">
      <mc:Choice Requires="x14">
        <oleObject progId="Equation.3" shapeId="28777" r:id="rId97">
          <objectPr defaultSize="0" autoPict="0" r:id="rId8">
            <anchor moveWithCells="1">
              <from>
                <xdr:col>0</xdr:col>
                <xdr:colOff>28575</xdr:colOff>
                <xdr:row>1108</xdr:row>
                <xdr:rowOff>76200</xdr:rowOff>
              </from>
              <to>
                <xdr:col>1</xdr:col>
                <xdr:colOff>200025</xdr:colOff>
                <xdr:row>1109</xdr:row>
                <xdr:rowOff>180975</xdr:rowOff>
              </to>
            </anchor>
          </objectPr>
        </oleObject>
      </mc:Choice>
      <mc:Fallback>
        <oleObject progId="Equation.3" shapeId="28777" r:id="rId97"/>
      </mc:Fallback>
    </mc:AlternateContent>
    <mc:AlternateContent xmlns:mc="http://schemas.openxmlformats.org/markup-compatibility/2006">
      <mc:Choice Requires="x14">
        <oleObject progId="Equation.3" shapeId="28778" r:id="rId98">
          <objectPr defaultSize="0" autoPict="0" r:id="rId23">
            <anchor moveWithCells="1">
              <from>
                <xdr:col>0</xdr:col>
                <xdr:colOff>238125</xdr:colOff>
                <xdr:row>1025</xdr:row>
                <xdr:rowOff>19050</xdr:rowOff>
              </from>
              <to>
                <xdr:col>2</xdr:col>
                <xdr:colOff>133350</xdr:colOff>
                <xdr:row>1026</xdr:row>
                <xdr:rowOff>161925</xdr:rowOff>
              </to>
            </anchor>
          </objectPr>
        </oleObject>
      </mc:Choice>
      <mc:Fallback>
        <oleObject progId="Equation.3" shapeId="28778" r:id="rId98"/>
      </mc:Fallback>
    </mc:AlternateContent>
    <mc:AlternateContent xmlns:mc="http://schemas.openxmlformats.org/markup-compatibility/2006">
      <mc:Choice Requires="x14">
        <oleObject progId="Equation.3" shapeId="28779" r:id="rId99">
          <objectPr defaultSize="0" autoPict="0" r:id="rId23">
            <anchor moveWithCells="1">
              <from>
                <xdr:col>0</xdr:col>
                <xdr:colOff>238125</xdr:colOff>
                <xdr:row>1075</xdr:row>
                <xdr:rowOff>19050</xdr:rowOff>
              </from>
              <to>
                <xdr:col>2</xdr:col>
                <xdr:colOff>133350</xdr:colOff>
                <xdr:row>1076</xdr:row>
                <xdr:rowOff>161925</xdr:rowOff>
              </to>
            </anchor>
          </objectPr>
        </oleObject>
      </mc:Choice>
      <mc:Fallback>
        <oleObject progId="Equation.3" shapeId="28779" r:id="rId99"/>
      </mc:Fallback>
    </mc:AlternateContent>
    <mc:AlternateContent xmlns:mc="http://schemas.openxmlformats.org/markup-compatibility/2006">
      <mc:Choice Requires="x14">
        <oleObject progId="Equation.3" shapeId="28780" r:id="rId100">
          <objectPr defaultSize="0" autoPict="0" r:id="rId19">
            <anchor moveWithCells="1">
              <from>
                <xdr:col>0</xdr:col>
                <xdr:colOff>238125</xdr:colOff>
                <xdr:row>1126</xdr:row>
                <xdr:rowOff>19050</xdr:rowOff>
              </from>
              <to>
                <xdr:col>2</xdr:col>
                <xdr:colOff>133350</xdr:colOff>
                <xdr:row>1127</xdr:row>
                <xdr:rowOff>161925</xdr:rowOff>
              </to>
            </anchor>
          </objectPr>
        </oleObject>
      </mc:Choice>
      <mc:Fallback>
        <oleObject progId="Equation.3" shapeId="28780" r:id="rId100"/>
      </mc:Fallback>
    </mc:AlternateContent>
    <mc:AlternateContent xmlns:mc="http://schemas.openxmlformats.org/markup-compatibility/2006">
      <mc:Choice Requires="x14">
        <oleObject progId="Equation.3" shapeId="28781" r:id="rId101">
          <objectPr defaultSize="0" autoPict="0" r:id="rId6">
            <anchor moveWithCells="1">
              <from>
                <xdr:col>0</xdr:col>
                <xdr:colOff>219075</xdr:colOff>
                <xdr:row>1129</xdr:row>
                <xdr:rowOff>0</xdr:rowOff>
              </from>
              <to>
                <xdr:col>1</xdr:col>
                <xdr:colOff>647700</xdr:colOff>
                <xdr:row>1131</xdr:row>
                <xdr:rowOff>104775</xdr:rowOff>
              </to>
            </anchor>
          </objectPr>
        </oleObject>
      </mc:Choice>
      <mc:Fallback>
        <oleObject progId="Equation.3" shapeId="28781" r:id="rId101"/>
      </mc:Fallback>
    </mc:AlternateContent>
    <mc:AlternateContent xmlns:mc="http://schemas.openxmlformats.org/markup-compatibility/2006">
      <mc:Choice Requires="x14">
        <oleObject progId="Equation.3" shapeId="28782" r:id="rId102">
          <objectPr defaultSize="0" autoPict="0" r:id="rId8">
            <anchor moveWithCells="1">
              <from>
                <xdr:col>0</xdr:col>
                <xdr:colOff>28575</xdr:colOff>
                <xdr:row>1133</xdr:row>
                <xdr:rowOff>76200</xdr:rowOff>
              </from>
              <to>
                <xdr:col>1</xdr:col>
                <xdr:colOff>200025</xdr:colOff>
                <xdr:row>1134</xdr:row>
                <xdr:rowOff>180975</xdr:rowOff>
              </to>
            </anchor>
          </objectPr>
        </oleObject>
      </mc:Choice>
      <mc:Fallback>
        <oleObject progId="Equation.3" shapeId="28782" r:id="rId102"/>
      </mc:Fallback>
    </mc:AlternateContent>
    <mc:AlternateContent xmlns:mc="http://schemas.openxmlformats.org/markup-compatibility/2006">
      <mc:Choice Requires="x14">
        <oleObject progId="Equation.3" shapeId="28783" r:id="rId103">
          <objectPr defaultSize="0" autoPict="0" r:id="rId23">
            <anchor moveWithCells="1">
              <from>
                <xdr:col>0</xdr:col>
                <xdr:colOff>238125</xdr:colOff>
                <xdr:row>1050</xdr:row>
                <xdr:rowOff>19050</xdr:rowOff>
              </from>
              <to>
                <xdr:col>2</xdr:col>
                <xdr:colOff>133350</xdr:colOff>
                <xdr:row>1051</xdr:row>
                <xdr:rowOff>161925</xdr:rowOff>
              </to>
            </anchor>
          </objectPr>
        </oleObject>
      </mc:Choice>
      <mc:Fallback>
        <oleObject progId="Equation.3" shapeId="28783" r:id="rId103"/>
      </mc:Fallback>
    </mc:AlternateContent>
    <mc:AlternateContent xmlns:mc="http://schemas.openxmlformats.org/markup-compatibility/2006">
      <mc:Choice Requires="x14">
        <oleObject progId="Equation.3" shapeId="28793" r:id="rId104">
          <objectPr defaultSize="0" autoPict="0" r:id="rId4">
            <anchor moveWithCells="1">
              <from>
                <xdr:col>0</xdr:col>
                <xdr:colOff>238125</xdr:colOff>
                <xdr:row>1152</xdr:row>
                <xdr:rowOff>19050</xdr:rowOff>
              </from>
              <to>
                <xdr:col>2</xdr:col>
                <xdr:colOff>133350</xdr:colOff>
                <xdr:row>1153</xdr:row>
                <xdr:rowOff>161925</xdr:rowOff>
              </to>
            </anchor>
          </objectPr>
        </oleObject>
      </mc:Choice>
      <mc:Fallback>
        <oleObject progId="Equation.3" shapeId="28793" r:id="rId104"/>
      </mc:Fallback>
    </mc:AlternateContent>
    <mc:AlternateContent xmlns:mc="http://schemas.openxmlformats.org/markup-compatibility/2006">
      <mc:Choice Requires="x14">
        <oleObject progId="Equation.3" shapeId="28794" r:id="rId105">
          <objectPr defaultSize="0" autoPict="0" r:id="rId6">
            <anchor moveWithCells="1">
              <from>
                <xdr:col>0</xdr:col>
                <xdr:colOff>219075</xdr:colOff>
                <xdr:row>1155</xdr:row>
                <xdr:rowOff>0</xdr:rowOff>
              </from>
              <to>
                <xdr:col>1</xdr:col>
                <xdr:colOff>647700</xdr:colOff>
                <xdr:row>1157</xdr:row>
                <xdr:rowOff>104775</xdr:rowOff>
              </to>
            </anchor>
          </objectPr>
        </oleObject>
      </mc:Choice>
      <mc:Fallback>
        <oleObject progId="Equation.3" shapeId="28794" r:id="rId105"/>
      </mc:Fallback>
    </mc:AlternateContent>
    <mc:AlternateContent xmlns:mc="http://schemas.openxmlformats.org/markup-compatibility/2006">
      <mc:Choice Requires="x14">
        <oleObject progId="Equation.3" shapeId="28795" r:id="rId106">
          <objectPr defaultSize="0" autoPict="0" r:id="rId8">
            <anchor moveWithCells="1">
              <from>
                <xdr:col>0</xdr:col>
                <xdr:colOff>28575</xdr:colOff>
                <xdr:row>1159</xdr:row>
                <xdr:rowOff>76200</xdr:rowOff>
              </from>
              <to>
                <xdr:col>1</xdr:col>
                <xdr:colOff>200025</xdr:colOff>
                <xdr:row>1160</xdr:row>
                <xdr:rowOff>180975</xdr:rowOff>
              </to>
            </anchor>
          </objectPr>
        </oleObject>
      </mc:Choice>
      <mc:Fallback>
        <oleObject progId="Equation.3" shapeId="28795" r:id="rId106"/>
      </mc:Fallback>
    </mc:AlternateContent>
    <mc:AlternateContent xmlns:mc="http://schemas.openxmlformats.org/markup-compatibility/2006">
      <mc:Choice Requires="x14">
        <oleObject progId="Equation.3" shapeId="28796" r:id="rId107">
          <objectPr defaultSize="0" autoPict="0" r:id="rId4">
            <anchor moveWithCells="1">
              <from>
                <xdr:col>0</xdr:col>
                <xdr:colOff>238125</xdr:colOff>
                <xdr:row>1177</xdr:row>
                <xdr:rowOff>19050</xdr:rowOff>
              </from>
              <to>
                <xdr:col>2</xdr:col>
                <xdr:colOff>133350</xdr:colOff>
                <xdr:row>1178</xdr:row>
                <xdr:rowOff>161925</xdr:rowOff>
              </to>
            </anchor>
          </objectPr>
        </oleObject>
      </mc:Choice>
      <mc:Fallback>
        <oleObject progId="Equation.3" shapeId="28796" r:id="rId107"/>
      </mc:Fallback>
    </mc:AlternateContent>
    <mc:AlternateContent xmlns:mc="http://schemas.openxmlformats.org/markup-compatibility/2006">
      <mc:Choice Requires="x14">
        <oleObject progId="Equation.3" shapeId="28797" r:id="rId108">
          <objectPr defaultSize="0" autoPict="0" r:id="rId6">
            <anchor moveWithCells="1">
              <from>
                <xdr:col>0</xdr:col>
                <xdr:colOff>219075</xdr:colOff>
                <xdr:row>1180</xdr:row>
                <xdr:rowOff>0</xdr:rowOff>
              </from>
              <to>
                <xdr:col>1</xdr:col>
                <xdr:colOff>647700</xdr:colOff>
                <xdr:row>1182</xdr:row>
                <xdr:rowOff>104775</xdr:rowOff>
              </to>
            </anchor>
          </objectPr>
        </oleObject>
      </mc:Choice>
      <mc:Fallback>
        <oleObject progId="Equation.3" shapeId="28797" r:id="rId108"/>
      </mc:Fallback>
    </mc:AlternateContent>
    <mc:AlternateContent xmlns:mc="http://schemas.openxmlformats.org/markup-compatibility/2006">
      <mc:Choice Requires="x14">
        <oleObject progId="Equation.3" shapeId="28798" r:id="rId109">
          <objectPr defaultSize="0" autoPict="0" r:id="rId8">
            <anchor moveWithCells="1">
              <from>
                <xdr:col>0</xdr:col>
                <xdr:colOff>28575</xdr:colOff>
                <xdr:row>1184</xdr:row>
                <xdr:rowOff>76200</xdr:rowOff>
              </from>
              <to>
                <xdr:col>1</xdr:col>
                <xdr:colOff>200025</xdr:colOff>
                <xdr:row>1185</xdr:row>
                <xdr:rowOff>180975</xdr:rowOff>
              </to>
            </anchor>
          </objectPr>
        </oleObject>
      </mc:Choice>
      <mc:Fallback>
        <oleObject progId="Equation.3" shapeId="28798" r:id="rId109"/>
      </mc:Fallback>
    </mc:AlternateContent>
    <mc:AlternateContent xmlns:mc="http://schemas.openxmlformats.org/markup-compatibility/2006">
      <mc:Choice Requires="x14">
        <oleObject progId="Equation.3" shapeId="28799" r:id="rId110">
          <objectPr defaultSize="0" autoPict="0" r:id="rId6">
            <anchor moveWithCells="1">
              <from>
                <xdr:col>0</xdr:col>
                <xdr:colOff>219075</xdr:colOff>
                <xdr:row>1205</xdr:row>
                <xdr:rowOff>0</xdr:rowOff>
              </from>
              <to>
                <xdr:col>1</xdr:col>
                <xdr:colOff>647700</xdr:colOff>
                <xdr:row>1207</xdr:row>
                <xdr:rowOff>104775</xdr:rowOff>
              </to>
            </anchor>
          </objectPr>
        </oleObject>
      </mc:Choice>
      <mc:Fallback>
        <oleObject progId="Equation.3" shapeId="28799" r:id="rId110"/>
      </mc:Fallback>
    </mc:AlternateContent>
    <mc:AlternateContent xmlns:mc="http://schemas.openxmlformats.org/markup-compatibility/2006">
      <mc:Choice Requires="x14">
        <oleObject progId="Equation.3" shapeId="28800" r:id="rId111">
          <objectPr defaultSize="0" autoPict="0" r:id="rId8">
            <anchor moveWithCells="1">
              <from>
                <xdr:col>0</xdr:col>
                <xdr:colOff>28575</xdr:colOff>
                <xdr:row>1209</xdr:row>
                <xdr:rowOff>76200</xdr:rowOff>
              </from>
              <to>
                <xdr:col>1</xdr:col>
                <xdr:colOff>200025</xdr:colOff>
                <xdr:row>1210</xdr:row>
                <xdr:rowOff>180975</xdr:rowOff>
              </to>
            </anchor>
          </objectPr>
        </oleObject>
      </mc:Choice>
      <mc:Fallback>
        <oleObject progId="Equation.3" shapeId="28800" r:id="rId111"/>
      </mc:Fallback>
    </mc:AlternateContent>
    <mc:AlternateContent xmlns:mc="http://schemas.openxmlformats.org/markup-compatibility/2006">
      <mc:Choice Requires="x14">
        <oleObject progId="Equation.3" shapeId="28801" r:id="rId112">
          <objectPr defaultSize="0" autoPict="0" r:id="rId6">
            <anchor moveWithCells="1">
              <from>
                <xdr:col>0</xdr:col>
                <xdr:colOff>219075</xdr:colOff>
                <xdr:row>1230</xdr:row>
                <xdr:rowOff>0</xdr:rowOff>
              </from>
              <to>
                <xdr:col>1</xdr:col>
                <xdr:colOff>647700</xdr:colOff>
                <xdr:row>1232</xdr:row>
                <xdr:rowOff>104775</xdr:rowOff>
              </to>
            </anchor>
          </objectPr>
        </oleObject>
      </mc:Choice>
      <mc:Fallback>
        <oleObject progId="Equation.3" shapeId="28801" r:id="rId112"/>
      </mc:Fallback>
    </mc:AlternateContent>
    <mc:AlternateContent xmlns:mc="http://schemas.openxmlformats.org/markup-compatibility/2006">
      <mc:Choice Requires="x14">
        <oleObject progId="Equation.3" shapeId="28802" r:id="rId113">
          <objectPr defaultSize="0" autoPict="0" r:id="rId8">
            <anchor moveWithCells="1">
              <from>
                <xdr:col>0</xdr:col>
                <xdr:colOff>28575</xdr:colOff>
                <xdr:row>1234</xdr:row>
                <xdr:rowOff>76200</xdr:rowOff>
              </from>
              <to>
                <xdr:col>1</xdr:col>
                <xdr:colOff>200025</xdr:colOff>
                <xdr:row>1235</xdr:row>
                <xdr:rowOff>180975</xdr:rowOff>
              </to>
            </anchor>
          </objectPr>
        </oleObject>
      </mc:Choice>
      <mc:Fallback>
        <oleObject progId="Equation.3" shapeId="28802" r:id="rId113"/>
      </mc:Fallback>
    </mc:AlternateContent>
    <mc:AlternateContent xmlns:mc="http://schemas.openxmlformats.org/markup-compatibility/2006">
      <mc:Choice Requires="x14">
        <oleObject progId="Equation.3" shapeId="28803" r:id="rId114">
          <objectPr defaultSize="0" autoPict="0" r:id="rId6">
            <anchor moveWithCells="1">
              <from>
                <xdr:col>0</xdr:col>
                <xdr:colOff>219075</xdr:colOff>
                <xdr:row>1255</xdr:row>
                <xdr:rowOff>0</xdr:rowOff>
              </from>
              <to>
                <xdr:col>1</xdr:col>
                <xdr:colOff>647700</xdr:colOff>
                <xdr:row>1257</xdr:row>
                <xdr:rowOff>104775</xdr:rowOff>
              </to>
            </anchor>
          </objectPr>
        </oleObject>
      </mc:Choice>
      <mc:Fallback>
        <oleObject progId="Equation.3" shapeId="28803" r:id="rId114"/>
      </mc:Fallback>
    </mc:AlternateContent>
    <mc:AlternateContent xmlns:mc="http://schemas.openxmlformats.org/markup-compatibility/2006">
      <mc:Choice Requires="x14">
        <oleObject progId="Equation.3" shapeId="28804" r:id="rId115">
          <objectPr defaultSize="0" autoPict="0" r:id="rId8">
            <anchor moveWithCells="1">
              <from>
                <xdr:col>0</xdr:col>
                <xdr:colOff>28575</xdr:colOff>
                <xdr:row>1259</xdr:row>
                <xdr:rowOff>76200</xdr:rowOff>
              </from>
              <to>
                <xdr:col>1</xdr:col>
                <xdr:colOff>200025</xdr:colOff>
                <xdr:row>1260</xdr:row>
                <xdr:rowOff>180975</xdr:rowOff>
              </to>
            </anchor>
          </objectPr>
        </oleObject>
      </mc:Choice>
      <mc:Fallback>
        <oleObject progId="Equation.3" shapeId="28804" r:id="rId115"/>
      </mc:Fallback>
    </mc:AlternateContent>
    <mc:AlternateContent xmlns:mc="http://schemas.openxmlformats.org/markup-compatibility/2006">
      <mc:Choice Requires="x14">
        <oleObject progId="Equation.3" shapeId="28805" r:id="rId116">
          <objectPr defaultSize="0" autoPict="0" r:id="rId19">
            <anchor moveWithCells="1">
              <from>
                <xdr:col>0</xdr:col>
                <xdr:colOff>238125</xdr:colOff>
                <xdr:row>1278</xdr:row>
                <xdr:rowOff>19050</xdr:rowOff>
              </from>
              <to>
                <xdr:col>2</xdr:col>
                <xdr:colOff>133350</xdr:colOff>
                <xdr:row>1279</xdr:row>
                <xdr:rowOff>161925</xdr:rowOff>
              </to>
            </anchor>
          </objectPr>
        </oleObject>
      </mc:Choice>
      <mc:Fallback>
        <oleObject progId="Equation.3" shapeId="28805" r:id="rId116"/>
      </mc:Fallback>
    </mc:AlternateContent>
    <mc:AlternateContent xmlns:mc="http://schemas.openxmlformats.org/markup-compatibility/2006">
      <mc:Choice Requires="x14">
        <oleObject progId="Equation.3" shapeId="28806" r:id="rId117">
          <objectPr defaultSize="0" autoPict="0" r:id="rId6">
            <anchor moveWithCells="1">
              <from>
                <xdr:col>0</xdr:col>
                <xdr:colOff>219075</xdr:colOff>
                <xdr:row>1281</xdr:row>
                <xdr:rowOff>0</xdr:rowOff>
              </from>
              <to>
                <xdr:col>1</xdr:col>
                <xdr:colOff>647700</xdr:colOff>
                <xdr:row>1283</xdr:row>
                <xdr:rowOff>104775</xdr:rowOff>
              </to>
            </anchor>
          </objectPr>
        </oleObject>
      </mc:Choice>
      <mc:Fallback>
        <oleObject progId="Equation.3" shapeId="28806" r:id="rId117"/>
      </mc:Fallback>
    </mc:AlternateContent>
    <mc:AlternateContent xmlns:mc="http://schemas.openxmlformats.org/markup-compatibility/2006">
      <mc:Choice Requires="x14">
        <oleObject progId="Equation.3" shapeId="28807" r:id="rId118">
          <objectPr defaultSize="0" autoPict="0" r:id="rId8">
            <anchor moveWithCells="1">
              <from>
                <xdr:col>0</xdr:col>
                <xdr:colOff>28575</xdr:colOff>
                <xdr:row>1285</xdr:row>
                <xdr:rowOff>76200</xdr:rowOff>
              </from>
              <to>
                <xdr:col>1</xdr:col>
                <xdr:colOff>200025</xdr:colOff>
                <xdr:row>1286</xdr:row>
                <xdr:rowOff>180975</xdr:rowOff>
              </to>
            </anchor>
          </objectPr>
        </oleObject>
      </mc:Choice>
      <mc:Fallback>
        <oleObject progId="Equation.3" shapeId="28807" r:id="rId118"/>
      </mc:Fallback>
    </mc:AlternateContent>
    <mc:AlternateContent xmlns:mc="http://schemas.openxmlformats.org/markup-compatibility/2006">
      <mc:Choice Requires="x14">
        <oleObject progId="Equation.3" shapeId="28808" r:id="rId119">
          <objectPr defaultSize="0" autoPict="0" r:id="rId23">
            <anchor moveWithCells="1">
              <from>
                <xdr:col>0</xdr:col>
                <xdr:colOff>238125</xdr:colOff>
                <xdr:row>1202</xdr:row>
                <xdr:rowOff>19050</xdr:rowOff>
              </from>
              <to>
                <xdr:col>2</xdr:col>
                <xdr:colOff>133350</xdr:colOff>
                <xdr:row>1203</xdr:row>
                <xdr:rowOff>161925</xdr:rowOff>
              </to>
            </anchor>
          </objectPr>
        </oleObject>
      </mc:Choice>
      <mc:Fallback>
        <oleObject progId="Equation.3" shapeId="28808" r:id="rId119"/>
      </mc:Fallback>
    </mc:AlternateContent>
    <mc:AlternateContent xmlns:mc="http://schemas.openxmlformats.org/markup-compatibility/2006">
      <mc:Choice Requires="x14">
        <oleObject progId="Equation.3" shapeId="28809" r:id="rId120">
          <objectPr defaultSize="0" autoPict="0" r:id="rId23">
            <anchor moveWithCells="1">
              <from>
                <xdr:col>0</xdr:col>
                <xdr:colOff>238125</xdr:colOff>
                <xdr:row>1252</xdr:row>
                <xdr:rowOff>19050</xdr:rowOff>
              </from>
              <to>
                <xdr:col>2</xdr:col>
                <xdr:colOff>133350</xdr:colOff>
                <xdr:row>1253</xdr:row>
                <xdr:rowOff>161925</xdr:rowOff>
              </to>
            </anchor>
          </objectPr>
        </oleObject>
      </mc:Choice>
      <mc:Fallback>
        <oleObject progId="Equation.3" shapeId="28809" r:id="rId120"/>
      </mc:Fallback>
    </mc:AlternateContent>
    <mc:AlternateContent xmlns:mc="http://schemas.openxmlformats.org/markup-compatibility/2006">
      <mc:Choice Requires="x14">
        <oleObject progId="Equation.3" shapeId="28810" r:id="rId121">
          <objectPr defaultSize="0" autoPict="0" r:id="rId19">
            <anchor moveWithCells="1">
              <from>
                <xdr:col>0</xdr:col>
                <xdr:colOff>238125</xdr:colOff>
                <xdr:row>1303</xdr:row>
                <xdr:rowOff>19050</xdr:rowOff>
              </from>
              <to>
                <xdr:col>2</xdr:col>
                <xdr:colOff>133350</xdr:colOff>
                <xdr:row>1304</xdr:row>
                <xdr:rowOff>161925</xdr:rowOff>
              </to>
            </anchor>
          </objectPr>
        </oleObject>
      </mc:Choice>
      <mc:Fallback>
        <oleObject progId="Equation.3" shapeId="28810" r:id="rId121"/>
      </mc:Fallback>
    </mc:AlternateContent>
    <mc:AlternateContent xmlns:mc="http://schemas.openxmlformats.org/markup-compatibility/2006">
      <mc:Choice Requires="x14">
        <oleObject progId="Equation.3" shapeId="28811" r:id="rId122">
          <objectPr defaultSize="0" autoPict="0" r:id="rId6">
            <anchor moveWithCells="1">
              <from>
                <xdr:col>0</xdr:col>
                <xdr:colOff>219075</xdr:colOff>
                <xdr:row>1306</xdr:row>
                <xdr:rowOff>0</xdr:rowOff>
              </from>
              <to>
                <xdr:col>1</xdr:col>
                <xdr:colOff>647700</xdr:colOff>
                <xdr:row>1308</xdr:row>
                <xdr:rowOff>104775</xdr:rowOff>
              </to>
            </anchor>
          </objectPr>
        </oleObject>
      </mc:Choice>
      <mc:Fallback>
        <oleObject progId="Equation.3" shapeId="28811" r:id="rId122"/>
      </mc:Fallback>
    </mc:AlternateContent>
    <mc:AlternateContent xmlns:mc="http://schemas.openxmlformats.org/markup-compatibility/2006">
      <mc:Choice Requires="x14">
        <oleObject progId="Equation.3" shapeId="28812" r:id="rId123">
          <objectPr defaultSize="0" autoPict="0" r:id="rId8">
            <anchor moveWithCells="1">
              <from>
                <xdr:col>0</xdr:col>
                <xdr:colOff>28575</xdr:colOff>
                <xdr:row>1310</xdr:row>
                <xdr:rowOff>76200</xdr:rowOff>
              </from>
              <to>
                <xdr:col>1</xdr:col>
                <xdr:colOff>200025</xdr:colOff>
                <xdr:row>1311</xdr:row>
                <xdr:rowOff>180975</xdr:rowOff>
              </to>
            </anchor>
          </objectPr>
        </oleObject>
      </mc:Choice>
      <mc:Fallback>
        <oleObject progId="Equation.3" shapeId="28812" r:id="rId123"/>
      </mc:Fallback>
    </mc:AlternateContent>
    <mc:AlternateContent xmlns:mc="http://schemas.openxmlformats.org/markup-compatibility/2006">
      <mc:Choice Requires="x14">
        <oleObject progId="Equation.3" shapeId="28813" r:id="rId124">
          <objectPr defaultSize="0" autoPict="0" r:id="rId23">
            <anchor moveWithCells="1">
              <from>
                <xdr:col>0</xdr:col>
                <xdr:colOff>238125</xdr:colOff>
                <xdr:row>1227</xdr:row>
                <xdr:rowOff>19050</xdr:rowOff>
              </from>
              <to>
                <xdr:col>2</xdr:col>
                <xdr:colOff>133350</xdr:colOff>
                <xdr:row>1228</xdr:row>
                <xdr:rowOff>161925</xdr:rowOff>
              </to>
            </anchor>
          </objectPr>
        </oleObject>
      </mc:Choice>
      <mc:Fallback>
        <oleObject progId="Equation.3" shapeId="28813" r:id="rId124"/>
      </mc:Fallback>
    </mc:AlternateContent>
    <mc:AlternateContent xmlns:mc="http://schemas.openxmlformats.org/markup-compatibility/2006">
      <mc:Choice Requires="x14">
        <oleObject progId="Equation.3" shapeId="28814" r:id="rId125">
          <objectPr defaultSize="0" autoPict="0" r:id="rId19">
            <anchor moveWithCells="1">
              <from>
                <xdr:col>0</xdr:col>
                <xdr:colOff>238125</xdr:colOff>
                <xdr:row>1328</xdr:row>
                <xdr:rowOff>19050</xdr:rowOff>
              </from>
              <to>
                <xdr:col>2</xdr:col>
                <xdr:colOff>133350</xdr:colOff>
                <xdr:row>1329</xdr:row>
                <xdr:rowOff>161925</xdr:rowOff>
              </to>
            </anchor>
          </objectPr>
        </oleObject>
      </mc:Choice>
      <mc:Fallback>
        <oleObject progId="Equation.3" shapeId="28814" r:id="rId125"/>
      </mc:Fallback>
    </mc:AlternateContent>
    <mc:AlternateContent xmlns:mc="http://schemas.openxmlformats.org/markup-compatibility/2006">
      <mc:Choice Requires="x14">
        <oleObject progId="Equation.3" shapeId="28815" r:id="rId126">
          <objectPr defaultSize="0" autoPict="0" r:id="rId6">
            <anchor moveWithCells="1">
              <from>
                <xdr:col>0</xdr:col>
                <xdr:colOff>219075</xdr:colOff>
                <xdr:row>1331</xdr:row>
                <xdr:rowOff>0</xdr:rowOff>
              </from>
              <to>
                <xdr:col>1</xdr:col>
                <xdr:colOff>647700</xdr:colOff>
                <xdr:row>1333</xdr:row>
                <xdr:rowOff>104775</xdr:rowOff>
              </to>
            </anchor>
          </objectPr>
        </oleObject>
      </mc:Choice>
      <mc:Fallback>
        <oleObject progId="Equation.3" shapeId="28815" r:id="rId126"/>
      </mc:Fallback>
    </mc:AlternateContent>
    <mc:AlternateContent xmlns:mc="http://schemas.openxmlformats.org/markup-compatibility/2006">
      <mc:Choice Requires="x14">
        <oleObject progId="Equation.3" shapeId="28816" r:id="rId127">
          <objectPr defaultSize="0" autoPict="0" r:id="rId8">
            <anchor moveWithCells="1">
              <from>
                <xdr:col>0</xdr:col>
                <xdr:colOff>28575</xdr:colOff>
                <xdr:row>1335</xdr:row>
                <xdr:rowOff>76200</xdr:rowOff>
              </from>
              <to>
                <xdr:col>1</xdr:col>
                <xdr:colOff>200025</xdr:colOff>
                <xdr:row>1336</xdr:row>
                <xdr:rowOff>180975</xdr:rowOff>
              </to>
            </anchor>
          </objectPr>
        </oleObject>
      </mc:Choice>
      <mc:Fallback>
        <oleObject progId="Equation.3" shapeId="28816" r:id="rId127"/>
      </mc:Fallback>
    </mc:AlternateContent>
    <mc:AlternateContent xmlns:mc="http://schemas.openxmlformats.org/markup-compatibility/2006">
      <mc:Choice Requires="x14">
        <oleObject progId="Equation.3" shapeId="28823" r:id="rId128">
          <objectPr defaultSize="0" autoPict="0" r:id="rId4">
            <anchor moveWithCells="1">
              <from>
                <xdr:col>0</xdr:col>
                <xdr:colOff>238125</xdr:colOff>
                <xdr:row>1354</xdr:row>
                <xdr:rowOff>19050</xdr:rowOff>
              </from>
              <to>
                <xdr:col>2</xdr:col>
                <xdr:colOff>133350</xdr:colOff>
                <xdr:row>1355</xdr:row>
                <xdr:rowOff>161925</xdr:rowOff>
              </to>
            </anchor>
          </objectPr>
        </oleObject>
      </mc:Choice>
      <mc:Fallback>
        <oleObject progId="Equation.3" shapeId="28823" r:id="rId128"/>
      </mc:Fallback>
    </mc:AlternateContent>
    <mc:AlternateContent xmlns:mc="http://schemas.openxmlformats.org/markup-compatibility/2006">
      <mc:Choice Requires="x14">
        <oleObject progId="Equation.3" shapeId="28824" r:id="rId129">
          <objectPr defaultSize="0" autoPict="0" r:id="rId6">
            <anchor moveWithCells="1">
              <from>
                <xdr:col>0</xdr:col>
                <xdr:colOff>219075</xdr:colOff>
                <xdr:row>1357</xdr:row>
                <xdr:rowOff>0</xdr:rowOff>
              </from>
              <to>
                <xdr:col>1</xdr:col>
                <xdr:colOff>647700</xdr:colOff>
                <xdr:row>1359</xdr:row>
                <xdr:rowOff>104775</xdr:rowOff>
              </to>
            </anchor>
          </objectPr>
        </oleObject>
      </mc:Choice>
      <mc:Fallback>
        <oleObject progId="Equation.3" shapeId="28824" r:id="rId129"/>
      </mc:Fallback>
    </mc:AlternateContent>
    <mc:AlternateContent xmlns:mc="http://schemas.openxmlformats.org/markup-compatibility/2006">
      <mc:Choice Requires="x14">
        <oleObject progId="Equation.3" shapeId="28825" r:id="rId130">
          <objectPr defaultSize="0" autoPict="0" r:id="rId8">
            <anchor moveWithCells="1">
              <from>
                <xdr:col>0</xdr:col>
                <xdr:colOff>28575</xdr:colOff>
                <xdr:row>1361</xdr:row>
                <xdr:rowOff>76200</xdr:rowOff>
              </from>
              <to>
                <xdr:col>1</xdr:col>
                <xdr:colOff>200025</xdr:colOff>
                <xdr:row>1362</xdr:row>
                <xdr:rowOff>180975</xdr:rowOff>
              </to>
            </anchor>
          </objectPr>
        </oleObject>
      </mc:Choice>
      <mc:Fallback>
        <oleObject progId="Equation.3" shapeId="28825" r:id="rId130"/>
      </mc:Fallback>
    </mc:AlternateContent>
    <mc:AlternateContent xmlns:mc="http://schemas.openxmlformats.org/markup-compatibility/2006">
      <mc:Choice Requires="x14">
        <oleObject progId="Equation.3" shapeId="28853" r:id="rId131">
          <objectPr defaultSize="0" autoPict="0" r:id="rId4">
            <anchor moveWithCells="1">
              <from>
                <xdr:col>0</xdr:col>
                <xdr:colOff>238125</xdr:colOff>
                <xdr:row>1380</xdr:row>
                <xdr:rowOff>19050</xdr:rowOff>
              </from>
              <to>
                <xdr:col>2</xdr:col>
                <xdr:colOff>133350</xdr:colOff>
                <xdr:row>1381</xdr:row>
                <xdr:rowOff>161925</xdr:rowOff>
              </to>
            </anchor>
          </objectPr>
        </oleObject>
      </mc:Choice>
      <mc:Fallback>
        <oleObject progId="Equation.3" shapeId="28853" r:id="rId131"/>
      </mc:Fallback>
    </mc:AlternateContent>
    <mc:AlternateContent xmlns:mc="http://schemas.openxmlformats.org/markup-compatibility/2006">
      <mc:Choice Requires="x14">
        <oleObject progId="Equation.3" shapeId="28854" r:id="rId132">
          <objectPr defaultSize="0" autoPict="0" r:id="rId6">
            <anchor moveWithCells="1">
              <from>
                <xdr:col>0</xdr:col>
                <xdr:colOff>219075</xdr:colOff>
                <xdr:row>1383</xdr:row>
                <xdr:rowOff>0</xdr:rowOff>
              </from>
              <to>
                <xdr:col>1</xdr:col>
                <xdr:colOff>647700</xdr:colOff>
                <xdr:row>1385</xdr:row>
                <xdr:rowOff>104775</xdr:rowOff>
              </to>
            </anchor>
          </objectPr>
        </oleObject>
      </mc:Choice>
      <mc:Fallback>
        <oleObject progId="Equation.3" shapeId="28854" r:id="rId132"/>
      </mc:Fallback>
    </mc:AlternateContent>
    <mc:AlternateContent xmlns:mc="http://schemas.openxmlformats.org/markup-compatibility/2006">
      <mc:Choice Requires="x14">
        <oleObject progId="Equation.3" shapeId="28855" r:id="rId133">
          <objectPr defaultSize="0" autoPict="0" r:id="rId8">
            <anchor moveWithCells="1">
              <from>
                <xdr:col>0</xdr:col>
                <xdr:colOff>28575</xdr:colOff>
                <xdr:row>1387</xdr:row>
                <xdr:rowOff>76200</xdr:rowOff>
              </from>
              <to>
                <xdr:col>1</xdr:col>
                <xdr:colOff>200025</xdr:colOff>
                <xdr:row>1388</xdr:row>
                <xdr:rowOff>180975</xdr:rowOff>
              </to>
            </anchor>
          </objectPr>
        </oleObject>
      </mc:Choice>
      <mc:Fallback>
        <oleObject progId="Equation.3" shapeId="28855" r:id="rId133"/>
      </mc:Fallback>
    </mc:AlternateContent>
    <mc:AlternateContent xmlns:mc="http://schemas.openxmlformats.org/markup-compatibility/2006">
      <mc:Choice Requires="x14">
        <oleObject progId="Equation.3" shapeId="28856" r:id="rId134">
          <objectPr defaultSize="0" autoPict="0" r:id="rId4">
            <anchor moveWithCells="1">
              <from>
                <xdr:col>0</xdr:col>
                <xdr:colOff>238125</xdr:colOff>
                <xdr:row>1405</xdr:row>
                <xdr:rowOff>19050</xdr:rowOff>
              </from>
              <to>
                <xdr:col>2</xdr:col>
                <xdr:colOff>133350</xdr:colOff>
                <xdr:row>1406</xdr:row>
                <xdr:rowOff>161925</xdr:rowOff>
              </to>
            </anchor>
          </objectPr>
        </oleObject>
      </mc:Choice>
      <mc:Fallback>
        <oleObject progId="Equation.3" shapeId="28856" r:id="rId134"/>
      </mc:Fallback>
    </mc:AlternateContent>
    <mc:AlternateContent xmlns:mc="http://schemas.openxmlformats.org/markup-compatibility/2006">
      <mc:Choice Requires="x14">
        <oleObject progId="Equation.3" shapeId="28857" r:id="rId135">
          <objectPr defaultSize="0" autoPict="0" r:id="rId6">
            <anchor moveWithCells="1">
              <from>
                <xdr:col>0</xdr:col>
                <xdr:colOff>219075</xdr:colOff>
                <xdr:row>1408</xdr:row>
                <xdr:rowOff>0</xdr:rowOff>
              </from>
              <to>
                <xdr:col>1</xdr:col>
                <xdr:colOff>647700</xdr:colOff>
                <xdr:row>1410</xdr:row>
                <xdr:rowOff>104775</xdr:rowOff>
              </to>
            </anchor>
          </objectPr>
        </oleObject>
      </mc:Choice>
      <mc:Fallback>
        <oleObject progId="Equation.3" shapeId="28857" r:id="rId135"/>
      </mc:Fallback>
    </mc:AlternateContent>
    <mc:AlternateContent xmlns:mc="http://schemas.openxmlformats.org/markup-compatibility/2006">
      <mc:Choice Requires="x14">
        <oleObject progId="Equation.3" shapeId="28858" r:id="rId136">
          <objectPr defaultSize="0" autoPict="0" r:id="rId8">
            <anchor moveWithCells="1">
              <from>
                <xdr:col>0</xdr:col>
                <xdr:colOff>28575</xdr:colOff>
                <xdr:row>1412</xdr:row>
                <xdr:rowOff>76200</xdr:rowOff>
              </from>
              <to>
                <xdr:col>1</xdr:col>
                <xdr:colOff>200025</xdr:colOff>
                <xdr:row>1413</xdr:row>
                <xdr:rowOff>180975</xdr:rowOff>
              </to>
            </anchor>
          </objectPr>
        </oleObject>
      </mc:Choice>
      <mc:Fallback>
        <oleObject progId="Equation.3" shapeId="28858" r:id="rId136"/>
      </mc:Fallback>
    </mc:AlternateContent>
    <mc:AlternateContent xmlns:mc="http://schemas.openxmlformats.org/markup-compatibility/2006">
      <mc:Choice Requires="x14">
        <oleObject progId="Equation.3" shapeId="28859" r:id="rId137">
          <objectPr defaultSize="0" autoPict="0" r:id="rId6">
            <anchor moveWithCells="1">
              <from>
                <xdr:col>0</xdr:col>
                <xdr:colOff>219075</xdr:colOff>
                <xdr:row>1433</xdr:row>
                <xdr:rowOff>0</xdr:rowOff>
              </from>
              <to>
                <xdr:col>1</xdr:col>
                <xdr:colOff>647700</xdr:colOff>
                <xdr:row>1435</xdr:row>
                <xdr:rowOff>104775</xdr:rowOff>
              </to>
            </anchor>
          </objectPr>
        </oleObject>
      </mc:Choice>
      <mc:Fallback>
        <oleObject progId="Equation.3" shapeId="28859" r:id="rId137"/>
      </mc:Fallback>
    </mc:AlternateContent>
    <mc:AlternateContent xmlns:mc="http://schemas.openxmlformats.org/markup-compatibility/2006">
      <mc:Choice Requires="x14">
        <oleObject progId="Equation.3" shapeId="28860" r:id="rId138">
          <objectPr defaultSize="0" autoPict="0" r:id="rId8">
            <anchor moveWithCells="1">
              <from>
                <xdr:col>0</xdr:col>
                <xdr:colOff>28575</xdr:colOff>
                <xdr:row>1437</xdr:row>
                <xdr:rowOff>76200</xdr:rowOff>
              </from>
              <to>
                <xdr:col>1</xdr:col>
                <xdr:colOff>200025</xdr:colOff>
                <xdr:row>1438</xdr:row>
                <xdr:rowOff>180975</xdr:rowOff>
              </to>
            </anchor>
          </objectPr>
        </oleObject>
      </mc:Choice>
      <mc:Fallback>
        <oleObject progId="Equation.3" shapeId="28860" r:id="rId138"/>
      </mc:Fallback>
    </mc:AlternateContent>
    <mc:AlternateContent xmlns:mc="http://schemas.openxmlformats.org/markup-compatibility/2006">
      <mc:Choice Requires="x14">
        <oleObject progId="Equation.3" shapeId="28861" r:id="rId139">
          <objectPr defaultSize="0" autoPict="0" r:id="rId6">
            <anchor moveWithCells="1">
              <from>
                <xdr:col>0</xdr:col>
                <xdr:colOff>219075</xdr:colOff>
                <xdr:row>1458</xdr:row>
                <xdr:rowOff>0</xdr:rowOff>
              </from>
              <to>
                <xdr:col>1</xdr:col>
                <xdr:colOff>647700</xdr:colOff>
                <xdr:row>1460</xdr:row>
                <xdr:rowOff>104775</xdr:rowOff>
              </to>
            </anchor>
          </objectPr>
        </oleObject>
      </mc:Choice>
      <mc:Fallback>
        <oleObject progId="Equation.3" shapeId="28861" r:id="rId139"/>
      </mc:Fallback>
    </mc:AlternateContent>
    <mc:AlternateContent xmlns:mc="http://schemas.openxmlformats.org/markup-compatibility/2006">
      <mc:Choice Requires="x14">
        <oleObject progId="Equation.3" shapeId="28862" r:id="rId140">
          <objectPr defaultSize="0" autoPict="0" r:id="rId8">
            <anchor moveWithCells="1">
              <from>
                <xdr:col>0</xdr:col>
                <xdr:colOff>28575</xdr:colOff>
                <xdr:row>1462</xdr:row>
                <xdr:rowOff>76200</xdr:rowOff>
              </from>
              <to>
                <xdr:col>1</xdr:col>
                <xdr:colOff>200025</xdr:colOff>
                <xdr:row>1463</xdr:row>
                <xdr:rowOff>180975</xdr:rowOff>
              </to>
            </anchor>
          </objectPr>
        </oleObject>
      </mc:Choice>
      <mc:Fallback>
        <oleObject progId="Equation.3" shapeId="28862" r:id="rId140"/>
      </mc:Fallback>
    </mc:AlternateContent>
    <mc:AlternateContent xmlns:mc="http://schemas.openxmlformats.org/markup-compatibility/2006">
      <mc:Choice Requires="x14">
        <oleObject progId="Equation.3" shapeId="28863" r:id="rId141">
          <objectPr defaultSize="0" autoPict="0" r:id="rId6">
            <anchor moveWithCells="1">
              <from>
                <xdr:col>0</xdr:col>
                <xdr:colOff>219075</xdr:colOff>
                <xdr:row>1483</xdr:row>
                <xdr:rowOff>0</xdr:rowOff>
              </from>
              <to>
                <xdr:col>1</xdr:col>
                <xdr:colOff>647700</xdr:colOff>
                <xdr:row>1485</xdr:row>
                <xdr:rowOff>104775</xdr:rowOff>
              </to>
            </anchor>
          </objectPr>
        </oleObject>
      </mc:Choice>
      <mc:Fallback>
        <oleObject progId="Equation.3" shapeId="28863" r:id="rId141"/>
      </mc:Fallback>
    </mc:AlternateContent>
    <mc:AlternateContent xmlns:mc="http://schemas.openxmlformats.org/markup-compatibility/2006">
      <mc:Choice Requires="x14">
        <oleObject progId="Equation.3" shapeId="28864" r:id="rId142">
          <objectPr defaultSize="0" autoPict="0" r:id="rId8">
            <anchor moveWithCells="1">
              <from>
                <xdr:col>0</xdr:col>
                <xdr:colOff>28575</xdr:colOff>
                <xdr:row>1487</xdr:row>
                <xdr:rowOff>76200</xdr:rowOff>
              </from>
              <to>
                <xdr:col>1</xdr:col>
                <xdr:colOff>200025</xdr:colOff>
                <xdr:row>1488</xdr:row>
                <xdr:rowOff>180975</xdr:rowOff>
              </to>
            </anchor>
          </objectPr>
        </oleObject>
      </mc:Choice>
      <mc:Fallback>
        <oleObject progId="Equation.3" shapeId="28864" r:id="rId142"/>
      </mc:Fallback>
    </mc:AlternateContent>
    <mc:AlternateContent xmlns:mc="http://schemas.openxmlformats.org/markup-compatibility/2006">
      <mc:Choice Requires="x14">
        <oleObject progId="Equation.3" shapeId="28865" r:id="rId143">
          <objectPr defaultSize="0" autoPict="0" r:id="rId19">
            <anchor moveWithCells="1">
              <from>
                <xdr:col>0</xdr:col>
                <xdr:colOff>238125</xdr:colOff>
                <xdr:row>1506</xdr:row>
                <xdr:rowOff>19050</xdr:rowOff>
              </from>
              <to>
                <xdr:col>2</xdr:col>
                <xdr:colOff>133350</xdr:colOff>
                <xdr:row>1507</xdr:row>
                <xdr:rowOff>161925</xdr:rowOff>
              </to>
            </anchor>
          </objectPr>
        </oleObject>
      </mc:Choice>
      <mc:Fallback>
        <oleObject progId="Equation.3" shapeId="28865" r:id="rId143"/>
      </mc:Fallback>
    </mc:AlternateContent>
    <mc:AlternateContent xmlns:mc="http://schemas.openxmlformats.org/markup-compatibility/2006">
      <mc:Choice Requires="x14">
        <oleObject progId="Equation.3" shapeId="28866" r:id="rId144">
          <objectPr defaultSize="0" autoPict="0" r:id="rId6">
            <anchor moveWithCells="1">
              <from>
                <xdr:col>0</xdr:col>
                <xdr:colOff>219075</xdr:colOff>
                <xdr:row>1509</xdr:row>
                <xdr:rowOff>0</xdr:rowOff>
              </from>
              <to>
                <xdr:col>1</xdr:col>
                <xdr:colOff>647700</xdr:colOff>
                <xdr:row>1511</xdr:row>
                <xdr:rowOff>104775</xdr:rowOff>
              </to>
            </anchor>
          </objectPr>
        </oleObject>
      </mc:Choice>
      <mc:Fallback>
        <oleObject progId="Equation.3" shapeId="28866" r:id="rId144"/>
      </mc:Fallback>
    </mc:AlternateContent>
    <mc:AlternateContent xmlns:mc="http://schemas.openxmlformats.org/markup-compatibility/2006">
      <mc:Choice Requires="x14">
        <oleObject progId="Equation.3" shapeId="28867" r:id="rId145">
          <objectPr defaultSize="0" autoPict="0" r:id="rId8">
            <anchor moveWithCells="1">
              <from>
                <xdr:col>0</xdr:col>
                <xdr:colOff>28575</xdr:colOff>
                <xdr:row>1513</xdr:row>
                <xdr:rowOff>76200</xdr:rowOff>
              </from>
              <to>
                <xdr:col>1</xdr:col>
                <xdr:colOff>200025</xdr:colOff>
                <xdr:row>1514</xdr:row>
                <xdr:rowOff>180975</xdr:rowOff>
              </to>
            </anchor>
          </objectPr>
        </oleObject>
      </mc:Choice>
      <mc:Fallback>
        <oleObject progId="Equation.3" shapeId="28867" r:id="rId145"/>
      </mc:Fallback>
    </mc:AlternateContent>
    <mc:AlternateContent xmlns:mc="http://schemas.openxmlformats.org/markup-compatibility/2006">
      <mc:Choice Requires="x14">
        <oleObject progId="Equation.3" shapeId="28868" r:id="rId146">
          <objectPr defaultSize="0" autoPict="0" r:id="rId23">
            <anchor moveWithCells="1">
              <from>
                <xdr:col>0</xdr:col>
                <xdr:colOff>238125</xdr:colOff>
                <xdr:row>1430</xdr:row>
                <xdr:rowOff>19050</xdr:rowOff>
              </from>
              <to>
                <xdr:col>2</xdr:col>
                <xdr:colOff>133350</xdr:colOff>
                <xdr:row>1431</xdr:row>
                <xdr:rowOff>161925</xdr:rowOff>
              </to>
            </anchor>
          </objectPr>
        </oleObject>
      </mc:Choice>
      <mc:Fallback>
        <oleObject progId="Equation.3" shapeId="28868" r:id="rId146"/>
      </mc:Fallback>
    </mc:AlternateContent>
    <mc:AlternateContent xmlns:mc="http://schemas.openxmlformats.org/markup-compatibility/2006">
      <mc:Choice Requires="x14">
        <oleObject progId="Equation.3" shapeId="28869" r:id="rId147">
          <objectPr defaultSize="0" autoPict="0" r:id="rId23">
            <anchor moveWithCells="1">
              <from>
                <xdr:col>0</xdr:col>
                <xdr:colOff>238125</xdr:colOff>
                <xdr:row>1480</xdr:row>
                <xdr:rowOff>19050</xdr:rowOff>
              </from>
              <to>
                <xdr:col>2</xdr:col>
                <xdr:colOff>133350</xdr:colOff>
                <xdr:row>1481</xdr:row>
                <xdr:rowOff>161925</xdr:rowOff>
              </to>
            </anchor>
          </objectPr>
        </oleObject>
      </mc:Choice>
      <mc:Fallback>
        <oleObject progId="Equation.3" shapeId="28869" r:id="rId147"/>
      </mc:Fallback>
    </mc:AlternateContent>
    <mc:AlternateContent xmlns:mc="http://schemas.openxmlformats.org/markup-compatibility/2006">
      <mc:Choice Requires="x14">
        <oleObject progId="Equation.3" shapeId="28870" r:id="rId148">
          <objectPr defaultSize="0" autoPict="0" r:id="rId19">
            <anchor moveWithCells="1">
              <from>
                <xdr:col>0</xdr:col>
                <xdr:colOff>238125</xdr:colOff>
                <xdr:row>1531</xdr:row>
                <xdr:rowOff>19050</xdr:rowOff>
              </from>
              <to>
                <xdr:col>2</xdr:col>
                <xdr:colOff>133350</xdr:colOff>
                <xdr:row>1532</xdr:row>
                <xdr:rowOff>161925</xdr:rowOff>
              </to>
            </anchor>
          </objectPr>
        </oleObject>
      </mc:Choice>
      <mc:Fallback>
        <oleObject progId="Equation.3" shapeId="28870" r:id="rId148"/>
      </mc:Fallback>
    </mc:AlternateContent>
    <mc:AlternateContent xmlns:mc="http://schemas.openxmlformats.org/markup-compatibility/2006">
      <mc:Choice Requires="x14">
        <oleObject progId="Equation.3" shapeId="28871" r:id="rId149">
          <objectPr defaultSize="0" autoPict="0" r:id="rId6">
            <anchor moveWithCells="1">
              <from>
                <xdr:col>0</xdr:col>
                <xdr:colOff>219075</xdr:colOff>
                <xdr:row>1534</xdr:row>
                <xdr:rowOff>0</xdr:rowOff>
              </from>
              <to>
                <xdr:col>1</xdr:col>
                <xdr:colOff>647700</xdr:colOff>
                <xdr:row>1536</xdr:row>
                <xdr:rowOff>104775</xdr:rowOff>
              </to>
            </anchor>
          </objectPr>
        </oleObject>
      </mc:Choice>
      <mc:Fallback>
        <oleObject progId="Equation.3" shapeId="28871" r:id="rId149"/>
      </mc:Fallback>
    </mc:AlternateContent>
    <mc:AlternateContent xmlns:mc="http://schemas.openxmlformats.org/markup-compatibility/2006">
      <mc:Choice Requires="x14">
        <oleObject progId="Equation.3" shapeId="28872" r:id="rId150">
          <objectPr defaultSize="0" autoPict="0" r:id="rId8">
            <anchor moveWithCells="1">
              <from>
                <xdr:col>0</xdr:col>
                <xdr:colOff>28575</xdr:colOff>
                <xdr:row>1538</xdr:row>
                <xdr:rowOff>76200</xdr:rowOff>
              </from>
              <to>
                <xdr:col>1</xdr:col>
                <xdr:colOff>200025</xdr:colOff>
                <xdr:row>1539</xdr:row>
                <xdr:rowOff>180975</xdr:rowOff>
              </to>
            </anchor>
          </objectPr>
        </oleObject>
      </mc:Choice>
      <mc:Fallback>
        <oleObject progId="Equation.3" shapeId="28872" r:id="rId150"/>
      </mc:Fallback>
    </mc:AlternateContent>
    <mc:AlternateContent xmlns:mc="http://schemas.openxmlformats.org/markup-compatibility/2006">
      <mc:Choice Requires="x14">
        <oleObject progId="Equation.3" shapeId="28873" r:id="rId151">
          <objectPr defaultSize="0" autoPict="0" r:id="rId23">
            <anchor moveWithCells="1">
              <from>
                <xdr:col>0</xdr:col>
                <xdr:colOff>238125</xdr:colOff>
                <xdr:row>1455</xdr:row>
                <xdr:rowOff>19050</xdr:rowOff>
              </from>
              <to>
                <xdr:col>2</xdr:col>
                <xdr:colOff>133350</xdr:colOff>
                <xdr:row>1456</xdr:row>
                <xdr:rowOff>161925</xdr:rowOff>
              </to>
            </anchor>
          </objectPr>
        </oleObject>
      </mc:Choice>
      <mc:Fallback>
        <oleObject progId="Equation.3" shapeId="28873" r:id="rId151"/>
      </mc:Fallback>
    </mc:AlternateContent>
    <mc:AlternateContent xmlns:mc="http://schemas.openxmlformats.org/markup-compatibility/2006">
      <mc:Choice Requires="x14">
        <oleObject progId="Equation.3" shapeId="28874" r:id="rId152">
          <objectPr defaultSize="0" autoPict="0" r:id="rId19">
            <anchor moveWithCells="1">
              <from>
                <xdr:col>0</xdr:col>
                <xdr:colOff>238125</xdr:colOff>
                <xdr:row>1556</xdr:row>
                <xdr:rowOff>19050</xdr:rowOff>
              </from>
              <to>
                <xdr:col>2</xdr:col>
                <xdr:colOff>133350</xdr:colOff>
                <xdr:row>1557</xdr:row>
                <xdr:rowOff>161925</xdr:rowOff>
              </to>
            </anchor>
          </objectPr>
        </oleObject>
      </mc:Choice>
      <mc:Fallback>
        <oleObject progId="Equation.3" shapeId="28874" r:id="rId152"/>
      </mc:Fallback>
    </mc:AlternateContent>
    <mc:AlternateContent xmlns:mc="http://schemas.openxmlformats.org/markup-compatibility/2006">
      <mc:Choice Requires="x14">
        <oleObject progId="Equation.3" shapeId="28875" r:id="rId153">
          <objectPr defaultSize="0" autoPict="0" r:id="rId6">
            <anchor moveWithCells="1">
              <from>
                <xdr:col>0</xdr:col>
                <xdr:colOff>219075</xdr:colOff>
                <xdr:row>1559</xdr:row>
                <xdr:rowOff>0</xdr:rowOff>
              </from>
              <to>
                <xdr:col>1</xdr:col>
                <xdr:colOff>647700</xdr:colOff>
                <xdr:row>1561</xdr:row>
                <xdr:rowOff>104775</xdr:rowOff>
              </to>
            </anchor>
          </objectPr>
        </oleObject>
      </mc:Choice>
      <mc:Fallback>
        <oleObject progId="Equation.3" shapeId="28875" r:id="rId153"/>
      </mc:Fallback>
    </mc:AlternateContent>
    <mc:AlternateContent xmlns:mc="http://schemas.openxmlformats.org/markup-compatibility/2006">
      <mc:Choice Requires="x14">
        <oleObject progId="Equation.3" shapeId="28876" r:id="rId154">
          <objectPr defaultSize="0" autoPict="0" r:id="rId8">
            <anchor moveWithCells="1">
              <from>
                <xdr:col>0</xdr:col>
                <xdr:colOff>28575</xdr:colOff>
                <xdr:row>1563</xdr:row>
                <xdr:rowOff>76200</xdr:rowOff>
              </from>
              <to>
                <xdr:col>1</xdr:col>
                <xdr:colOff>200025</xdr:colOff>
                <xdr:row>1564</xdr:row>
                <xdr:rowOff>180975</xdr:rowOff>
              </to>
            </anchor>
          </objectPr>
        </oleObject>
      </mc:Choice>
      <mc:Fallback>
        <oleObject progId="Equation.3" shapeId="28876" r:id="rId154"/>
      </mc:Fallback>
    </mc:AlternateContent>
    <mc:AlternateContent xmlns:mc="http://schemas.openxmlformats.org/markup-compatibility/2006">
      <mc:Choice Requires="x14">
        <oleObject progId="Equation.3" shapeId="28877" r:id="rId155">
          <objectPr defaultSize="0" autoPict="0" r:id="rId19">
            <anchor moveWithCells="1">
              <from>
                <xdr:col>0</xdr:col>
                <xdr:colOff>238125</xdr:colOff>
                <xdr:row>1581</xdr:row>
                <xdr:rowOff>19050</xdr:rowOff>
              </from>
              <to>
                <xdr:col>2</xdr:col>
                <xdr:colOff>133350</xdr:colOff>
                <xdr:row>1582</xdr:row>
                <xdr:rowOff>161925</xdr:rowOff>
              </to>
            </anchor>
          </objectPr>
        </oleObject>
      </mc:Choice>
      <mc:Fallback>
        <oleObject progId="Equation.3" shapeId="28877" r:id="rId155"/>
      </mc:Fallback>
    </mc:AlternateContent>
    <mc:AlternateContent xmlns:mc="http://schemas.openxmlformats.org/markup-compatibility/2006">
      <mc:Choice Requires="x14">
        <oleObject progId="Equation.3" shapeId="28878" r:id="rId156">
          <objectPr defaultSize="0" autoPict="0" r:id="rId6">
            <anchor moveWithCells="1">
              <from>
                <xdr:col>0</xdr:col>
                <xdr:colOff>219075</xdr:colOff>
                <xdr:row>1584</xdr:row>
                <xdr:rowOff>0</xdr:rowOff>
              </from>
              <to>
                <xdr:col>1</xdr:col>
                <xdr:colOff>647700</xdr:colOff>
                <xdr:row>1586</xdr:row>
                <xdr:rowOff>104775</xdr:rowOff>
              </to>
            </anchor>
          </objectPr>
        </oleObject>
      </mc:Choice>
      <mc:Fallback>
        <oleObject progId="Equation.3" shapeId="28878" r:id="rId156"/>
      </mc:Fallback>
    </mc:AlternateContent>
    <mc:AlternateContent xmlns:mc="http://schemas.openxmlformats.org/markup-compatibility/2006">
      <mc:Choice Requires="x14">
        <oleObject progId="Equation.3" shapeId="28879" r:id="rId157">
          <objectPr defaultSize="0" autoPict="0" r:id="rId8">
            <anchor moveWithCells="1">
              <from>
                <xdr:col>0</xdr:col>
                <xdr:colOff>28575</xdr:colOff>
                <xdr:row>1588</xdr:row>
                <xdr:rowOff>76200</xdr:rowOff>
              </from>
              <to>
                <xdr:col>1</xdr:col>
                <xdr:colOff>200025</xdr:colOff>
                <xdr:row>1589</xdr:row>
                <xdr:rowOff>180975</xdr:rowOff>
              </to>
            </anchor>
          </objectPr>
        </oleObject>
      </mc:Choice>
      <mc:Fallback>
        <oleObject progId="Equation.3" shapeId="28879" r:id="rId157"/>
      </mc:Fallback>
    </mc:AlternateContent>
    <mc:AlternateContent xmlns:mc="http://schemas.openxmlformats.org/markup-compatibility/2006">
      <mc:Choice Requires="x14">
        <oleObject progId="Equation.3" shapeId="28883" r:id="rId158">
          <objectPr defaultSize="0" autoPict="0" r:id="rId4">
            <anchor moveWithCells="1">
              <from>
                <xdr:col>0</xdr:col>
                <xdr:colOff>238125</xdr:colOff>
                <xdr:row>1607</xdr:row>
                <xdr:rowOff>19050</xdr:rowOff>
              </from>
              <to>
                <xdr:col>2</xdr:col>
                <xdr:colOff>133350</xdr:colOff>
                <xdr:row>1608</xdr:row>
                <xdr:rowOff>161925</xdr:rowOff>
              </to>
            </anchor>
          </objectPr>
        </oleObject>
      </mc:Choice>
      <mc:Fallback>
        <oleObject progId="Equation.3" shapeId="28883" r:id="rId158"/>
      </mc:Fallback>
    </mc:AlternateContent>
    <mc:AlternateContent xmlns:mc="http://schemas.openxmlformats.org/markup-compatibility/2006">
      <mc:Choice Requires="x14">
        <oleObject progId="Equation.3" shapeId="28884" r:id="rId159">
          <objectPr defaultSize="0" autoPict="0" r:id="rId6">
            <anchor moveWithCells="1">
              <from>
                <xdr:col>0</xdr:col>
                <xdr:colOff>219075</xdr:colOff>
                <xdr:row>1610</xdr:row>
                <xdr:rowOff>0</xdr:rowOff>
              </from>
              <to>
                <xdr:col>1</xdr:col>
                <xdr:colOff>647700</xdr:colOff>
                <xdr:row>1612</xdr:row>
                <xdr:rowOff>104775</xdr:rowOff>
              </to>
            </anchor>
          </objectPr>
        </oleObject>
      </mc:Choice>
      <mc:Fallback>
        <oleObject progId="Equation.3" shapeId="28884" r:id="rId159"/>
      </mc:Fallback>
    </mc:AlternateContent>
    <mc:AlternateContent xmlns:mc="http://schemas.openxmlformats.org/markup-compatibility/2006">
      <mc:Choice Requires="x14">
        <oleObject progId="Equation.3" shapeId="28885" r:id="rId160">
          <objectPr defaultSize="0" autoPict="0" r:id="rId8">
            <anchor moveWithCells="1">
              <from>
                <xdr:col>0</xdr:col>
                <xdr:colOff>28575</xdr:colOff>
                <xdr:row>1614</xdr:row>
                <xdr:rowOff>76200</xdr:rowOff>
              </from>
              <to>
                <xdr:col>1</xdr:col>
                <xdr:colOff>200025</xdr:colOff>
                <xdr:row>1615</xdr:row>
                <xdr:rowOff>180975</xdr:rowOff>
              </to>
            </anchor>
          </objectPr>
        </oleObject>
      </mc:Choice>
      <mc:Fallback>
        <oleObject progId="Equation.3" shapeId="28885" r:id="rId160"/>
      </mc:Fallback>
    </mc:AlternateContent>
    <mc:AlternateContent xmlns:mc="http://schemas.openxmlformats.org/markup-compatibility/2006">
      <mc:Choice Requires="x14">
        <oleObject progId="Equation.3" shapeId="28886" r:id="rId161">
          <objectPr defaultSize="0" autoPict="0" r:id="rId4">
            <anchor moveWithCells="1">
              <from>
                <xdr:col>0</xdr:col>
                <xdr:colOff>238125</xdr:colOff>
                <xdr:row>1632</xdr:row>
                <xdr:rowOff>19050</xdr:rowOff>
              </from>
              <to>
                <xdr:col>2</xdr:col>
                <xdr:colOff>133350</xdr:colOff>
                <xdr:row>1633</xdr:row>
                <xdr:rowOff>161925</xdr:rowOff>
              </to>
            </anchor>
          </objectPr>
        </oleObject>
      </mc:Choice>
      <mc:Fallback>
        <oleObject progId="Equation.3" shapeId="28886" r:id="rId161"/>
      </mc:Fallback>
    </mc:AlternateContent>
    <mc:AlternateContent xmlns:mc="http://schemas.openxmlformats.org/markup-compatibility/2006">
      <mc:Choice Requires="x14">
        <oleObject progId="Equation.3" shapeId="28887" r:id="rId162">
          <objectPr defaultSize="0" autoPict="0" r:id="rId6">
            <anchor moveWithCells="1">
              <from>
                <xdr:col>0</xdr:col>
                <xdr:colOff>219075</xdr:colOff>
                <xdr:row>1635</xdr:row>
                <xdr:rowOff>0</xdr:rowOff>
              </from>
              <to>
                <xdr:col>1</xdr:col>
                <xdr:colOff>647700</xdr:colOff>
                <xdr:row>1637</xdr:row>
                <xdr:rowOff>104775</xdr:rowOff>
              </to>
            </anchor>
          </objectPr>
        </oleObject>
      </mc:Choice>
      <mc:Fallback>
        <oleObject progId="Equation.3" shapeId="28887" r:id="rId162"/>
      </mc:Fallback>
    </mc:AlternateContent>
    <mc:AlternateContent xmlns:mc="http://schemas.openxmlformats.org/markup-compatibility/2006">
      <mc:Choice Requires="x14">
        <oleObject progId="Equation.3" shapeId="28888" r:id="rId163">
          <objectPr defaultSize="0" autoPict="0" r:id="rId8">
            <anchor moveWithCells="1">
              <from>
                <xdr:col>0</xdr:col>
                <xdr:colOff>28575</xdr:colOff>
                <xdr:row>1639</xdr:row>
                <xdr:rowOff>76200</xdr:rowOff>
              </from>
              <to>
                <xdr:col>1</xdr:col>
                <xdr:colOff>200025</xdr:colOff>
                <xdr:row>1640</xdr:row>
                <xdr:rowOff>180975</xdr:rowOff>
              </to>
            </anchor>
          </objectPr>
        </oleObject>
      </mc:Choice>
      <mc:Fallback>
        <oleObject progId="Equation.3" shapeId="28888" r:id="rId163"/>
      </mc:Fallback>
    </mc:AlternateContent>
    <mc:AlternateContent xmlns:mc="http://schemas.openxmlformats.org/markup-compatibility/2006">
      <mc:Choice Requires="x14">
        <oleObject progId="Equation.3" shapeId="28889" r:id="rId164">
          <objectPr defaultSize="0" autoPict="0" r:id="rId6">
            <anchor moveWithCells="1">
              <from>
                <xdr:col>0</xdr:col>
                <xdr:colOff>219075</xdr:colOff>
                <xdr:row>1660</xdr:row>
                <xdr:rowOff>0</xdr:rowOff>
              </from>
              <to>
                <xdr:col>1</xdr:col>
                <xdr:colOff>647700</xdr:colOff>
                <xdr:row>1662</xdr:row>
                <xdr:rowOff>104775</xdr:rowOff>
              </to>
            </anchor>
          </objectPr>
        </oleObject>
      </mc:Choice>
      <mc:Fallback>
        <oleObject progId="Equation.3" shapeId="28889" r:id="rId164"/>
      </mc:Fallback>
    </mc:AlternateContent>
    <mc:AlternateContent xmlns:mc="http://schemas.openxmlformats.org/markup-compatibility/2006">
      <mc:Choice Requires="x14">
        <oleObject progId="Equation.3" shapeId="28890" r:id="rId165">
          <objectPr defaultSize="0" autoPict="0" r:id="rId8">
            <anchor moveWithCells="1">
              <from>
                <xdr:col>0</xdr:col>
                <xdr:colOff>28575</xdr:colOff>
                <xdr:row>1664</xdr:row>
                <xdr:rowOff>76200</xdr:rowOff>
              </from>
              <to>
                <xdr:col>1</xdr:col>
                <xdr:colOff>200025</xdr:colOff>
                <xdr:row>1665</xdr:row>
                <xdr:rowOff>180975</xdr:rowOff>
              </to>
            </anchor>
          </objectPr>
        </oleObject>
      </mc:Choice>
      <mc:Fallback>
        <oleObject progId="Equation.3" shapeId="28890" r:id="rId165"/>
      </mc:Fallback>
    </mc:AlternateContent>
    <mc:AlternateContent xmlns:mc="http://schemas.openxmlformats.org/markup-compatibility/2006">
      <mc:Choice Requires="x14">
        <oleObject progId="Equation.3" shapeId="28891" r:id="rId166">
          <objectPr defaultSize="0" autoPict="0" r:id="rId6">
            <anchor moveWithCells="1">
              <from>
                <xdr:col>0</xdr:col>
                <xdr:colOff>219075</xdr:colOff>
                <xdr:row>1685</xdr:row>
                <xdr:rowOff>0</xdr:rowOff>
              </from>
              <to>
                <xdr:col>1</xdr:col>
                <xdr:colOff>647700</xdr:colOff>
                <xdr:row>1687</xdr:row>
                <xdr:rowOff>104775</xdr:rowOff>
              </to>
            </anchor>
          </objectPr>
        </oleObject>
      </mc:Choice>
      <mc:Fallback>
        <oleObject progId="Equation.3" shapeId="28891" r:id="rId166"/>
      </mc:Fallback>
    </mc:AlternateContent>
    <mc:AlternateContent xmlns:mc="http://schemas.openxmlformats.org/markup-compatibility/2006">
      <mc:Choice Requires="x14">
        <oleObject progId="Equation.3" shapeId="28892" r:id="rId167">
          <objectPr defaultSize="0" autoPict="0" r:id="rId8">
            <anchor moveWithCells="1">
              <from>
                <xdr:col>0</xdr:col>
                <xdr:colOff>28575</xdr:colOff>
                <xdr:row>1689</xdr:row>
                <xdr:rowOff>76200</xdr:rowOff>
              </from>
              <to>
                <xdr:col>1</xdr:col>
                <xdr:colOff>200025</xdr:colOff>
                <xdr:row>1690</xdr:row>
                <xdr:rowOff>180975</xdr:rowOff>
              </to>
            </anchor>
          </objectPr>
        </oleObject>
      </mc:Choice>
      <mc:Fallback>
        <oleObject progId="Equation.3" shapeId="28892" r:id="rId167"/>
      </mc:Fallback>
    </mc:AlternateContent>
    <mc:AlternateContent xmlns:mc="http://schemas.openxmlformats.org/markup-compatibility/2006">
      <mc:Choice Requires="x14">
        <oleObject progId="Equation.3" shapeId="28893" r:id="rId168">
          <objectPr defaultSize="0" autoPict="0" r:id="rId6">
            <anchor moveWithCells="1">
              <from>
                <xdr:col>0</xdr:col>
                <xdr:colOff>219075</xdr:colOff>
                <xdr:row>1710</xdr:row>
                <xdr:rowOff>0</xdr:rowOff>
              </from>
              <to>
                <xdr:col>1</xdr:col>
                <xdr:colOff>647700</xdr:colOff>
                <xdr:row>1712</xdr:row>
                <xdr:rowOff>104775</xdr:rowOff>
              </to>
            </anchor>
          </objectPr>
        </oleObject>
      </mc:Choice>
      <mc:Fallback>
        <oleObject progId="Equation.3" shapeId="28893" r:id="rId168"/>
      </mc:Fallback>
    </mc:AlternateContent>
    <mc:AlternateContent xmlns:mc="http://schemas.openxmlformats.org/markup-compatibility/2006">
      <mc:Choice Requires="x14">
        <oleObject progId="Equation.3" shapeId="28894" r:id="rId169">
          <objectPr defaultSize="0" autoPict="0" r:id="rId8">
            <anchor moveWithCells="1">
              <from>
                <xdr:col>0</xdr:col>
                <xdr:colOff>28575</xdr:colOff>
                <xdr:row>1714</xdr:row>
                <xdr:rowOff>76200</xdr:rowOff>
              </from>
              <to>
                <xdr:col>1</xdr:col>
                <xdr:colOff>200025</xdr:colOff>
                <xdr:row>1715</xdr:row>
                <xdr:rowOff>180975</xdr:rowOff>
              </to>
            </anchor>
          </objectPr>
        </oleObject>
      </mc:Choice>
      <mc:Fallback>
        <oleObject progId="Equation.3" shapeId="28894" r:id="rId169"/>
      </mc:Fallback>
    </mc:AlternateContent>
    <mc:AlternateContent xmlns:mc="http://schemas.openxmlformats.org/markup-compatibility/2006">
      <mc:Choice Requires="x14">
        <oleObject progId="Equation.3" shapeId="28895" r:id="rId170">
          <objectPr defaultSize="0" autoPict="0" r:id="rId19">
            <anchor moveWithCells="1">
              <from>
                <xdr:col>0</xdr:col>
                <xdr:colOff>238125</xdr:colOff>
                <xdr:row>1733</xdr:row>
                <xdr:rowOff>19050</xdr:rowOff>
              </from>
              <to>
                <xdr:col>2</xdr:col>
                <xdr:colOff>133350</xdr:colOff>
                <xdr:row>1734</xdr:row>
                <xdr:rowOff>161925</xdr:rowOff>
              </to>
            </anchor>
          </objectPr>
        </oleObject>
      </mc:Choice>
      <mc:Fallback>
        <oleObject progId="Equation.3" shapeId="28895" r:id="rId170"/>
      </mc:Fallback>
    </mc:AlternateContent>
    <mc:AlternateContent xmlns:mc="http://schemas.openxmlformats.org/markup-compatibility/2006">
      <mc:Choice Requires="x14">
        <oleObject progId="Equation.3" shapeId="28896" r:id="rId171">
          <objectPr defaultSize="0" autoPict="0" r:id="rId6">
            <anchor moveWithCells="1">
              <from>
                <xdr:col>0</xdr:col>
                <xdr:colOff>219075</xdr:colOff>
                <xdr:row>1736</xdr:row>
                <xdr:rowOff>0</xdr:rowOff>
              </from>
              <to>
                <xdr:col>1</xdr:col>
                <xdr:colOff>647700</xdr:colOff>
                <xdr:row>1738</xdr:row>
                <xdr:rowOff>104775</xdr:rowOff>
              </to>
            </anchor>
          </objectPr>
        </oleObject>
      </mc:Choice>
      <mc:Fallback>
        <oleObject progId="Equation.3" shapeId="28896" r:id="rId171"/>
      </mc:Fallback>
    </mc:AlternateContent>
    <mc:AlternateContent xmlns:mc="http://schemas.openxmlformats.org/markup-compatibility/2006">
      <mc:Choice Requires="x14">
        <oleObject progId="Equation.3" shapeId="28897" r:id="rId172">
          <objectPr defaultSize="0" autoPict="0" r:id="rId8">
            <anchor moveWithCells="1">
              <from>
                <xdr:col>0</xdr:col>
                <xdr:colOff>28575</xdr:colOff>
                <xdr:row>1740</xdr:row>
                <xdr:rowOff>76200</xdr:rowOff>
              </from>
              <to>
                <xdr:col>1</xdr:col>
                <xdr:colOff>200025</xdr:colOff>
                <xdr:row>1741</xdr:row>
                <xdr:rowOff>180975</xdr:rowOff>
              </to>
            </anchor>
          </objectPr>
        </oleObject>
      </mc:Choice>
      <mc:Fallback>
        <oleObject progId="Equation.3" shapeId="28897" r:id="rId172"/>
      </mc:Fallback>
    </mc:AlternateContent>
    <mc:AlternateContent xmlns:mc="http://schemas.openxmlformats.org/markup-compatibility/2006">
      <mc:Choice Requires="x14">
        <oleObject progId="Equation.3" shapeId="28898" r:id="rId173">
          <objectPr defaultSize="0" autoPict="0" r:id="rId23">
            <anchor moveWithCells="1">
              <from>
                <xdr:col>0</xdr:col>
                <xdr:colOff>238125</xdr:colOff>
                <xdr:row>1657</xdr:row>
                <xdr:rowOff>19050</xdr:rowOff>
              </from>
              <to>
                <xdr:col>2</xdr:col>
                <xdr:colOff>133350</xdr:colOff>
                <xdr:row>1658</xdr:row>
                <xdr:rowOff>161925</xdr:rowOff>
              </to>
            </anchor>
          </objectPr>
        </oleObject>
      </mc:Choice>
      <mc:Fallback>
        <oleObject progId="Equation.3" shapeId="28898" r:id="rId173"/>
      </mc:Fallback>
    </mc:AlternateContent>
    <mc:AlternateContent xmlns:mc="http://schemas.openxmlformats.org/markup-compatibility/2006">
      <mc:Choice Requires="x14">
        <oleObject progId="Equation.3" shapeId="28899" r:id="rId174">
          <objectPr defaultSize="0" autoPict="0" r:id="rId23">
            <anchor moveWithCells="1">
              <from>
                <xdr:col>0</xdr:col>
                <xdr:colOff>238125</xdr:colOff>
                <xdr:row>1707</xdr:row>
                <xdr:rowOff>19050</xdr:rowOff>
              </from>
              <to>
                <xdr:col>2</xdr:col>
                <xdr:colOff>133350</xdr:colOff>
                <xdr:row>1708</xdr:row>
                <xdr:rowOff>161925</xdr:rowOff>
              </to>
            </anchor>
          </objectPr>
        </oleObject>
      </mc:Choice>
      <mc:Fallback>
        <oleObject progId="Equation.3" shapeId="28899" r:id="rId174"/>
      </mc:Fallback>
    </mc:AlternateContent>
    <mc:AlternateContent xmlns:mc="http://schemas.openxmlformats.org/markup-compatibility/2006">
      <mc:Choice Requires="x14">
        <oleObject progId="Equation.3" shapeId="28900" r:id="rId175">
          <objectPr defaultSize="0" autoPict="0" r:id="rId19">
            <anchor moveWithCells="1">
              <from>
                <xdr:col>0</xdr:col>
                <xdr:colOff>238125</xdr:colOff>
                <xdr:row>1758</xdr:row>
                <xdr:rowOff>19050</xdr:rowOff>
              </from>
              <to>
                <xdr:col>2</xdr:col>
                <xdr:colOff>133350</xdr:colOff>
                <xdr:row>1759</xdr:row>
                <xdr:rowOff>161925</xdr:rowOff>
              </to>
            </anchor>
          </objectPr>
        </oleObject>
      </mc:Choice>
      <mc:Fallback>
        <oleObject progId="Equation.3" shapeId="28900" r:id="rId175"/>
      </mc:Fallback>
    </mc:AlternateContent>
    <mc:AlternateContent xmlns:mc="http://schemas.openxmlformats.org/markup-compatibility/2006">
      <mc:Choice Requires="x14">
        <oleObject progId="Equation.3" shapeId="28901" r:id="rId176">
          <objectPr defaultSize="0" autoPict="0" r:id="rId6">
            <anchor moveWithCells="1">
              <from>
                <xdr:col>0</xdr:col>
                <xdr:colOff>219075</xdr:colOff>
                <xdr:row>1761</xdr:row>
                <xdr:rowOff>0</xdr:rowOff>
              </from>
              <to>
                <xdr:col>1</xdr:col>
                <xdr:colOff>647700</xdr:colOff>
                <xdr:row>1763</xdr:row>
                <xdr:rowOff>104775</xdr:rowOff>
              </to>
            </anchor>
          </objectPr>
        </oleObject>
      </mc:Choice>
      <mc:Fallback>
        <oleObject progId="Equation.3" shapeId="28901" r:id="rId176"/>
      </mc:Fallback>
    </mc:AlternateContent>
    <mc:AlternateContent xmlns:mc="http://schemas.openxmlformats.org/markup-compatibility/2006">
      <mc:Choice Requires="x14">
        <oleObject progId="Equation.3" shapeId="28902" r:id="rId177">
          <objectPr defaultSize="0" autoPict="0" r:id="rId8">
            <anchor moveWithCells="1">
              <from>
                <xdr:col>0</xdr:col>
                <xdr:colOff>28575</xdr:colOff>
                <xdr:row>1765</xdr:row>
                <xdr:rowOff>76200</xdr:rowOff>
              </from>
              <to>
                <xdr:col>1</xdr:col>
                <xdr:colOff>200025</xdr:colOff>
                <xdr:row>1766</xdr:row>
                <xdr:rowOff>180975</xdr:rowOff>
              </to>
            </anchor>
          </objectPr>
        </oleObject>
      </mc:Choice>
      <mc:Fallback>
        <oleObject progId="Equation.3" shapeId="28902" r:id="rId177"/>
      </mc:Fallback>
    </mc:AlternateContent>
    <mc:AlternateContent xmlns:mc="http://schemas.openxmlformats.org/markup-compatibility/2006">
      <mc:Choice Requires="x14">
        <oleObject progId="Equation.3" shapeId="28903" r:id="rId178">
          <objectPr defaultSize="0" autoPict="0" r:id="rId23">
            <anchor moveWithCells="1">
              <from>
                <xdr:col>0</xdr:col>
                <xdr:colOff>238125</xdr:colOff>
                <xdr:row>1682</xdr:row>
                <xdr:rowOff>19050</xdr:rowOff>
              </from>
              <to>
                <xdr:col>2</xdr:col>
                <xdr:colOff>133350</xdr:colOff>
                <xdr:row>1683</xdr:row>
                <xdr:rowOff>161925</xdr:rowOff>
              </to>
            </anchor>
          </objectPr>
        </oleObject>
      </mc:Choice>
      <mc:Fallback>
        <oleObject progId="Equation.3" shapeId="28903" r:id="rId178"/>
      </mc:Fallback>
    </mc:AlternateContent>
    <mc:AlternateContent xmlns:mc="http://schemas.openxmlformats.org/markup-compatibility/2006">
      <mc:Choice Requires="x14">
        <oleObject progId="Equation.3" shapeId="28904" r:id="rId179">
          <objectPr defaultSize="0" autoPict="0" r:id="rId19">
            <anchor moveWithCells="1">
              <from>
                <xdr:col>0</xdr:col>
                <xdr:colOff>238125</xdr:colOff>
                <xdr:row>1783</xdr:row>
                <xdr:rowOff>19050</xdr:rowOff>
              </from>
              <to>
                <xdr:col>2</xdr:col>
                <xdr:colOff>133350</xdr:colOff>
                <xdr:row>1784</xdr:row>
                <xdr:rowOff>161925</xdr:rowOff>
              </to>
            </anchor>
          </objectPr>
        </oleObject>
      </mc:Choice>
      <mc:Fallback>
        <oleObject progId="Equation.3" shapeId="28904" r:id="rId179"/>
      </mc:Fallback>
    </mc:AlternateContent>
    <mc:AlternateContent xmlns:mc="http://schemas.openxmlformats.org/markup-compatibility/2006">
      <mc:Choice Requires="x14">
        <oleObject progId="Equation.3" shapeId="28905" r:id="rId180">
          <objectPr defaultSize="0" autoPict="0" r:id="rId6">
            <anchor moveWithCells="1">
              <from>
                <xdr:col>0</xdr:col>
                <xdr:colOff>219075</xdr:colOff>
                <xdr:row>1786</xdr:row>
                <xdr:rowOff>0</xdr:rowOff>
              </from>
              <to>
                <xdr:col>1</xdr:col>
                <xdr:colOff>647700</xdr:colOff>
                <xdr:row>1788</xdr:row>
                <xdr:rowOff>104775</xdr:rowOff>
              </to>
            </anchor>
          </objectPr>
        </oleObject>
      </mc:Choice>
      <mc:Fallback>
        <oleObject progId="Equation.3" shapeId="28905" r:id="rId180"/>
      </mc:Fallback>
    </mc:AlternateContent>
    <mc:AlternateContent xmlns:mc="http://schemas.openxmlformats.org/markup-compatibility/2006">
      <mc:Choice Requires="x14">
        <oleObject progId="Equation.3" shapeId="28906" r:id="rId181">
          <objectPr defaultSize="0" autoPict="0" r:id="rId8">
            <anchor moveWithCells="1">
              <from>
                <xdr:col>0</xdr:col>
                <xdr:colOff>28575</xdr:colOff>
                <xdr:row>1790</xdr:row>
                <xdr:rowOff>76200</xdr:rowOff>
              </from>
              <to>
                <xdr:col>1</xdr:col>
                <xdr:colOff>200025</xdr:colOff>
                <xdr:row>1791</xdr:row>
                <xdr:rowOff>180975</xdr:rowOff>
              </to>
            </anchor>
          </objectPr>
        </oleObject>
      </mc:Choice>
      <mc:Fallback>
        <oleObject progId="Equation.3" shapeId="28906" r:id="rId181"/>
      </mc:Fallback>
    </mc:AlternateContent>
    <mc:AlternateContent xmlns:mc="http://schemas.openxmlformats.org/markup-compatibility/2006">
      <mc:Choice Requires="x14">
        <oleObject progId="Equation.3" shapeId="28907" r:id="rId182">
          <objectPr defaultSize="0" autoPict="0" r:id="rId19">
            <anchor moveWithCells="1">
              <from>
                <xdr:col>0</xdr:col>
                <xdr:colOff>238125</xdr:colOff>
                <xdr:row>1808</xdr:row>
                <xdr:rowOff>19050</xdr:rowOff>
              </from>
              <to>
                <xdr:col>2</xdr:col>
                <xdr:colOff>133350</xdr:colOff>
                <xdr:row>1809</xdr:row>
                <xdr:rowOff>161925</xdr:rowOff>
              </to>
            </anchor>
          </objectPr>
        </oleObject>
      </mc:Choice>
      <mc:Fallback>
        <oleObject progId="Equation.3" shapeId="28907" r:id="rId182"/>
      </mc:Fallback>
    </mc:AlternateContent>
    <mc:AlternateContent xmlns:mc="http://schemas.openxmlformats.org/markup-compatibility/2006">
      <mc:Choice Requires="x14">
        <oleObject progId="Equation.3" shapeId="28908" r:id="rId183">
          <objectPr defaultSize="0" autoPict="0" r:id="rId6">
            <anchor moveWithCells="1">
              <from>
                <xdr:col>0</xdr:col>
                <xdr:colOff>219075</xdr:colOff>
                <xdr:row>1811</xdr:row>
                <xdr:rowOff>0</xdr:rowOff>
              </from>
              <to>
                <xdr:col>1</xdr:col>
                <xdr:colOff>647700</xdr:colOff>
                <xdr:row>1813</xdr:row>
                <xdr:rowOff>104775</xdr:rowOff>
              </to>
            </anchor>
          </objectPr>
        </oleObject>
      </mc:Choice>
      <mc:Fallback>
        <oleObject progId="Equation.3" shapeId="28908" r:id="rId183"/>
      </mc:Fallback>
    </mc:AlternateContent>
    <mc:AlternateContent xmlns:mc="http://schemas.openxmlformats.org/markup-compatibility/2006">
      <mc:Choice Requires="x14">
        <oleObject progId="Equation.3" shapeId="28909" r:id="rId184">
          <objectPr defaultSize="0" autoPict="0" r:id="rId8">
            <anchor moveWithCells="1">
              <from>
                <xdr:col>0</xdr:col>
                <xdr:colOff>28575</xdr:colOff>
                <xdr:row>1815</xdr:row>
                <xdr:rowOff>76200</xdr:rowOff>
              </from>
              <to>
                <xdr:col>1</xdr:col>
                <xdr:colOff>200025</xdr:colOff>
                <xdr:row>1816</xdr:row>
                <xdr:rowOff>180975</xdr:rowOff>
              </to>
            </anchor>
          </objectPr>
        </oleObject>
      </mc:Choice>
      <mc:Fallback>
        <oleObject progId="Equation.3" shapeId="28909" r:id="rId184"/>
      </mc:Fallback>
    </mc:AlternateContent>
    <mc:AlternateContent xmlns:mc="http://schemas.openxmlformats.org/markup-compatibility/2006">
      <mc:Choice Requires="x14">
        <oleObject progId="Equation.3" shapeId="28913" r:id="rId185">
          <objectPr defaultSize="0" autoPict="0" r:id="rId4">
            <anchor moveWithCells="1">
              <from>
                <xdr:col>0</xdr:col>
                <xdr:colOff>238125</xdr:colOff>
                <xdr:row>1834</xdr:row>
                <xdr:rowOff>19050</xdr:rowOff>
              </from>
              <to>
                <xdr:col>2</xdr:col>
                <xdr:colOff>133350</xdr:colOff>
                <xdr:row>1835</xdr:row>
                <xdr:rowOff>161925</xdr:rowOff>
              </to>
            </anchor>
          </objectPr>
        </oleObject>
      </mc:Choice>
      <mc:Fallback>
        <oleObject progId="Equation.3" shapeId="28913" r:id="rId185"/>
      </mc:Fallback>
    </mc:AlternateContent>
    <mc:AlternateContent xmlns:mc="http://schemas.openxmlformats.org/markup-compatibility/2006">
      <mc:Choice Requires="x14">
        <oleObject progId="Equation.3" shapeId="28914" r:id="rId186">
          <objectPr defaultSize="0" autoPict="0" r:id="rId6">
            <anchor moveWithCells="1">
              <from>
                <xdr:col>0</xdr:col>
                <xdr:colOff>219075</xdr:colOff>
                <xdr:row>1837</xdr:row>
                <xdr:rowOff>0</xdr:rowOff>
              </from>
              <to>
                <xdr:col>1</xdr:col>
                <xdr:colOff>647700</xdr:colOff>
                <xdr:row>1839</xdr:row>
                <xdr:rowOff>104775</xdr:rowOff>
              </to>
            </anchor>
          </objectPr>
        </oleObject>
      </mc:Choice>
      <mc:Fallback>
        <oleObject progId="Equation.3" shapeId="28914" r:id="rId186"/>
      </mc:Fallback>
    </mc:AlternateContent>
    <mc:AlternateContent xmlns:mc="http://schemas.openxmlformats.org/markup-compatibility/2006">
      <mc:Choice Requires="x14">
        <oleObject progId="Equation.3" shapeId="28915" r:id="rId187">
          <objectPr defaultSize="0" autoPict="0" r:id="rId8">
            <anchor moveWithCells="1">
              <from>
                <xdr:col>0</xdr:col>
                <xdr:colOff>28575</xdr:colOff>
                <xdr:row>1841</xdr:row>
                <xdr:rowOff>76200</xdr:rowOff>
              </from>
              <to>
                <xdr:col>1</xdr:col>
                <xdr:colOff>200025</xdr:colOff>
                <xdr:row>1842</xdr:row>
                <xdr:rowOff>180975</xdr:rowOff>
              </to>
            </anchor>
          </objectPr>
        </oleObject>
      </mc:Choice>
      <mc:Fallback>
        <oleObject progId="Equation.3" shapeId="28915" r:id="rId187"/>
      </mc:Fallback>
    </mc:AlternateContent>
    <mc:AlternateContent xmlns:mc="http://schemas.openxmlformats.org/markup-compatibility/2006">
      <mc:Choice Requires="x14">
        <oleObject progId="Equation.3" shapeId="28916" r:id="rId188">
          <objectPr defaultSize="0" autoPict="0" r:id="rId4">
            <anchor moveWithCells="1">
              <from>
                <xdr:col>0</xdr:col>
                <xdr:colOff>238125</xdr:colOff>
                <xdr:row>1859</xdr:row>
                <xdr:rowOff>19050</xdr:rowOff>
              </from>
              <to>
                <xdr:col>2</xdr:col>
                <xdr:colOff>133350</xdr:colOff>
                <xdr:row>1860</xdr:row>
                <xdr:rowOff>161925</xdr:rowOff>
              </to>
            </anchor>
          </objectPr>
        </oleObject>
      </mc:Choice>
      <mc:Fallback>
        <oleObject progId="Equation.3" shapeId="28916" r:id="rId188"/>
      </mc:Fallback>
    </mc:AlternateContent>
    <mc:AlternateContent xmlns:mc="http://schemas.openxmlformats.org/markup-compatibility/2006">
      <mc:Choice Requires="x14">
        <oleObject progId="Equation.3" shapeId="28917" r:id="rId189">
          <objectPr defaultSize="0" autoPict="0" r:id="rId6">
            <anchor moveWithCells="1">
              <from>
                <xdr:col>0</xdr:col>
                <xdr:colOff>219075</xdr:colOff>
                <xdr:row>1862</xdr:row>
                <xdr:rowOff>0</xdr:rowOff>
              </from>
              <to>
                <xdr:col>1</xdr:col>
                <xdr:colOff>647700</xdr:colOff>
                <xdr:row>1864</xdr:row>
                <xdr:rowOff>104775</xdr:rowOff>
              </to>
            </anchor>
          </objectPr>
        </oleObject>
      </mc:Choice>
      <mc:Fallback>
        <oleObject progId="Equation.3" shapeId="28917" r:id="rId189"/>
      </mc:Fallback>
    </mc:AlternateContent>
    <mc:AlternateContent xmlns:mc="http://schemas.openxmlformats.org/markup-compatibility/2006">
      <mc:Choice Requires="x14">
        <oleObject progId="Equation.3" shapeId="28918" r:id="rId190">
          <objectPr defaultSize="0" autoPict="0" r:id="rId8">
            <anchor moveWithCells="1">
              <from>
                <xdr:col>0</xdr:col>
                <xdr:colOff>28575</xdr:colOff>
                <xdr:row>1866</xdr:row>
                <xdr:rowOff>76200</xdr:rowOff>
              </from>
              <to>
                <xdr:col>1</xdr:col>
                <xdr:colOff>200025</xdr:colOff>
                <xdr:row>1867</xdr:row>
                <xdr:rowOff>180975</xdr:rowOff>
              </to>
            </anchor>
          </objectPr>
        </oleObject>
      </mc:Choice>
      <mc:Fallback>
        <oleObject progId="Equation.3" shapeId="28918" r:id="rId190"/>
      </mc:Fallback>
    </mc:AlternateContent>
    <mc:AlternateContent xmlns:mc="http://schemas.openxmlformats.org/markup-compatibility/2006">
      <mc:Choice Requires="x14">
        <oleObject progId="Equation.3" shapeId="28919" r:id="rId191">
          <objectPr defaultSize="0" autoPict="0" r:id="rId6">
            <anchor moveWithCells="1">
              <from>
                <xdr:col>0</xdr:col>
                <xdr:colOff>219075</xdr:colOff>
                <xdr:row>1887</xdr:row>
                <xdr:rowOff>0</xdr:rowOff>
              </from>
              <to>
                <xdr:col>1</xdr:col>
                <xdr:colOff>647700</xdr:colOff>
                <xdr:row>1889</xdr:row>
                <xdr:rowOff>104775</xdr:rowOff>
              </to>
            </anchor>
          </objectPr>
        </oleObject>
      </mc:Choice>
      <mc:Fallback>
        <oleObject progId="Equation.3" shapeId="28919" r:id="rId191"/>
      </mc:Fallback>
    </mc:AlternateContent>
    <mc:AlternateContent xmlns:mc="http://schemas.openxmlformats.org/markup-compatibility/2006">
      <mc:Choice Requires="x14">
        <oleObject progId="Equation.3" shapeId="28920" r:id="rId192">
          <objectPr defaultSize="0" autoPict="0" r:id="rId8">
            <anchor moveWithCells="1">
              <from>
                <xdr:col>0</xdr:col>
                <xdr:colOff>28575</xdr:colOff>
                <xdr:row>1891</xdr:row>
                <xdr:rowOff>76200</xdr:rowOff>
              </from>
              <to>
                <xdr:col>1</xdr:col>
                <xdr:colOff>200025</xdr:colOff>
                <xdr:row>1892</xdr:row>
                <xdr:rowOff>180975</xdr:rowOff>
              </to>
            </anchor>
          </objectPr>
        </oleObject>
      </mc:Choice>
      <mc:Fallback>
        <oleObject progId="Equation.3" shapeId="28920" r:id="rId192"/>
      </mc:Fallback>
    </mc:AlternateContent>
    <mc:AlternateContent xmlns:mc="http://schemas.openxmlformats.org/markup-compatibility/2006">
      <mc:Choice Requires="x14">
        <oleObject progId="Equation.3" shapeId="28921" r:id="rId193">
          <objectPr defaultSize="0" autoPict="0" r:id="rId6">
            <anchor moveWithCells="1">
              <from>
                <xdr:col>0</xdr:col>
                <xdr:colOff>219075</xdr:colOff>
                <xdr:row>1912</xdr:row>
                <xdr:rowOff>0</xdr:rowOff>
              </from>
              <to>
                <xdr:col>1</xdr:col>
                <xdr:colOff>647700</xdr:colOff>
                <xdr:row>1914</xdr:row>
                <xdr:rowOff>104775</xdr:rowOff>
              </to>
            </anchor>
          </objectPr>
        </oleObject>
      </mc:Choice>
      <mc:Fallback>
        <oleObject progId="Equation.3" shapeId="28921" r:id="rId193"/>
      </mc:Fallback>
    </mc:AlternateContent>
    <mc:AlternateContent xmlns:mc="http://schemas.openxmlformats.org/markup-compatibility/2006">
      <mc:Choice Requires="x14">
        <oleObject progId="Equation.3" shapeId="28922" r:id="rId194">
          <objectPr defaultSize="0" autoPict="0" r:id="rId8">
            <anchor moveWithCells="1">
              <from>
                <xdr:col>0</xdr:col>
                <xdr:colOff>28575</xdr:colOff>
                <xdr:row>1916</xdr:row>
                <xdr:rowOff>76200</xdr:rowOff>
              </from>
              <to>
                <xdr:col>1</xdr:col>
                <xdr:colOff>200025</xdr:colOff>
                <xdr:row>1917</xdr:row>
                <xdr:rowOff>180975</xdr:rowOff>
              </to>
            </anchor>
          </objectPr>
        </oleObject>
      </mc:Choice>
      <mc:Fallback>
        <oleObject progId="Equation.3" shapeId="28922" r:id="rId194"/>
      </mc:Fallback>
    </mc:AlternateContent>
    <mc:AlternateContent xmlns:mc="http://schemas.openxmlformats.org/markup-compatibility/2006">
      <mc:Choice Requires="x14">
        <oleObject progId="Equation.3" shapeId="28923" r:id="rId195">
          <objectPr defaultSize="0" autoPict="0" r:id="rId6">
            <anchor moveWithCells="1">
              <from>
                <xdr:col>0</xdr:col>
                <xdr:colOff>219075</xdr:colOff>
                <xdr:row>1937</xdr:row>
                <xdr:rowOff>0</xdr:rowOff>
              </from>
              <to>
                <xdr:col>1</xdr:col>
                <xdr:colOff>647700</xdr:colOff>
                <xdr:row>1939</xdr:row>
                <xdr:rowOff>104775</xdr:rowOff>
              </to>
            </anchor>
          </objectPr>
        </oleObject>
      </mc:Choice>
      <mc:Fallback>
        <oleObject progId="Equation.3" shapeId="28923" r:id="rId195"/>
      </mc:Fallback>
    </mc:AlternateContent>
    <mc:AlternateContent xmlns:mc="http://schemas.openxmlformats.org/markup-compatibility/2006">
      <mc:Choice Requires="x14">
        <oleObject progId="Equation.3" shapeId="28924" r:id="rId196">
          <objectPr defaultSize="0" autoPict="0" r:id="rId8">
            <anchor moveWithCells="1">
              <from>
                <xdr:col>0</xdr:col>
                <xdr:colOff>28575</xdr:colOff>
                <xdr:row>1941</xdr:row>
                <xdr:rowOff>76200</xdr:rowOff>
              </from>
              <to>
                <xdr:col>1</xdr:col>
                <xdr:colOff>200025</xdr:colOff>
                <xdr:row>1942</xdr:row>
                <xdr:rowOff>180975</xdr:rowOff>
              </to>
            </anchor>
          </objectPr>
        </oleObject>
      </mc:Choice>
      <mc:Fallback>
        <oleObject progId="Equation.3" shapeId="28924" r:id="rId196"/>
      </mc:Fallback>
    </mc:AlternateContent>
    <mc:AlternateContent xmlns:mc="http://schemas.openxmlformats.org/markup-compatibility/2006">
      <mc:Choice Requires="x14">
        <oleObject progId="Equation.3" shapeId="28925" r:id="rId197">
          <objectPr defaultSize="0" autoPict="0" r:id="rId19">
            <anchor moveWithCells="1">
              <from>
                <xdr:col>0</xdr:col>
                <xdr:colOff>238125</xdr:colOff>
                <xdr:row>1960</xdr:row>
                <xdr:rowOff>19050</xdr:rowOff>
              </from>
              <to>
                <xdr:col>2</xdr:col>
                <xdr:colOff>133350</xdr:colOff>
                <xdr:row>1961</xdr:row>
                <xdr:rowOff>161925</xdr:rowOff>
              </to>
            </anchor>
          </objectPr>
        </oleObject>
      </mc:Choice>
      <mc:Fallback>
        <oleObject progId="Equation.3" shapeId="28925" r:id="rId197"/>
      </mc:Fallback>
    </mc:AlternateContent>
    <mc:AlternateContent xmlns:mc="http://schemas.openxmlformats.org/markup-compatibility/2006">
      <mc:Choice Requires="x14">
        <oleObject progId="Equation.3" shapeId="28926" r:id="rId198">
          <objectPr defaultSize="0" autoPict="0" r:id="rId6">
            <anchor moveWithCells="1">
              <from>
                <xdr:col>0</xdr:col>
                <xdr:colOff>219075</xdr:colOff>
                <xdr:row>1963</xdr:row>
                <xdr:rowOff>0</xdr:rowOff>
              </from>
              <to>
                <xdr:col>1</xdr:col>
                <xdr:colOff>647700</xdr:colOff>
                <xdr:row>1965</xdr:row>
                <xdr:rowOff>104775</xdr:rowOff>
              </to>
            </anchor>
          </objectPr>
        </oleObject>
      </mc:Choice>
      <mc:Fallback>
        <oleObject progId="Equation.3" shapeId="28926" r:id="rId198"/>
      </mc:Fallback>
    </mc:AlternateContent>
    <mc:AlternateContent xmlns:mc="http://schemas.openxmlformats.org/markup-compatibility/2006">
      <mc:Choice Requires="x14">
        <oleObject progId="Equation.3" shapeId="28927" r:id="rId199">
          <objectPr defaultSize="0" autoPict="0" r:id="rId8">
            <anchor moveWithCells="1">
              <from>
                <xdr:col>0</xdr:col>
                <xdr:colOff>28575</xdr:colOff>
                <xdr:row>1967</xdr:row>
                <xdr:rowOff>76200</xdr:rowOff>
              </from>
              <to>
                <xdr:col>1</xdr:col>
                <xdr:colOff>200025</xdr:colOff>
                <xdr:row>1968</xdr:row>
                <xdr:rowOff>180975</xdr:rowOff>
              </to>
            </anchor>
          </objectPr>
        </oleObject>
      </mc:Choice>
      <mc:Fallback>
        <oleObject progId="Equation.3" shapeId="28927" r:id="rId199"/>
      </mc:Fallback>
    </mc:AlternateContent>
    <mc:AlternateContent xmlns:mc="http://schemas.openxmlformats.org/markup-compatibility/2006">
      <mc:Choice Requires="x14">
        <oleObject progId="Equation.3" shapeId="28928" r:id="rId200">
          <objectPr defaultSize="0" autoPict="0" r:id="rId23">
            <anchor moveWithCells="1">
              <from>
                <xdr:col>0</xdr:col>
                <xdr:colOff>238125</xdr:colOff>
                <xdr:row>1884</xdr:row>
                <xdr:rowOff>19050</xdr:rowOff>
              </from>
              <to>
                <xdr:col>2</xdr:col>
                <xdr:colOff>133350</xdr:colOff>
                <xdr:row>1885</xdr:row>
                <xdr:rowOff>161925</xdr:rowOff>
              </to>
            </anchor>
          </objectPr>
        </oleObject>
      </mc:Choice>
      <mc:Fallback>
        <oleObject progId="Equation.3" shapeId="28928" r:id="rId200"/>
      </mc:Fallback>
    </mc:AlternateContent>
    <mc:AlternateContent xmlns:mc="http://schemas.openxmlformats.org/markup-compatibility/2006">
      <mc:Choice Requires="x14">
        <oleObject progId="Equation.3" shapeId="28929" r:id="rId201">
          <objectPr defaultSize="0" autoPict="0" r:id="rId23">
            <anchor moveWithCells="1">
              <from>
                <xdr:col>0</xdr:col>
                <xdr:colOff>238125</xdr:colOff>
                <xdr:row>1934</xdr:row>
                <xdr:rowOff>19050</xdr:rowOff>
              </from>
              <to>
                <xdr:col>2</xdr:col>
                <xdr:colOff>133350</xdr:colOff>
                <xdr:row>1935</xdr:row>
                <xdr:rowOff>161925</xdr:rowOff>
              </to>
            </anchor>
          </objectPr>
        </oleObject>
      </mc:Choice>
      <mc:Fallback>
        <oleObject progId="Equation.3" shapeId="28929" r:id="rId201"/>
      </mc:Fallback>
    </mc:AlternateContent>
    <mc:AlternateContent xmlns:mc="http://schemas.openxmlformats.org/markup-compatibility/2006">
      <mc:Choice Requires="x14">
        <oleObject progId="Equation.3" shapeId="28930" r:id="rId202">
          <objectPr defaultSize="0" autoPict="0" r:id="rId19">
            <anchor moveWithCells="1">
              <from>
                <xdr:col>0</xdr:col>
                <xdr:colOff>238125</xdr:colOff>
                <xdr:row>1985</xdr:row>
                <xdr:rowOff>19050</xdr:rowOff>
              </from>
              <to>
                <xdr:col>2</xdr:col>
                <xdr:colOff>133350</xdr:colOff>
                <xdr:row>1986</xdr:row>
                <xdr:rowOff>161925</xdr:rowOff>
              </to>
            </anchor>
          </objectPr>
        </oleObject>
      </mc:Choice>
      <mc:Fallback>
        <oleObject progId="Equation.3" shapeId="28930" r:id="rId202"/>
      </mc:Fallback>
    </mc:AlternateContent>
    <mc:AlternateContent xmlns:mc="http://schemas.openxmlformats.org/markup-compatibility/2006">
      <mc:Choice Requires="x14">
        <oleObject progId="Equation.3" shapeId="28931" r:id="rId203">
          <objectPr defaultSize="0" autoPict="0" r:id="rId6">
            <anchor moveWithCells="1">
              <from>
                <xdr:col>0</xdr:col>
                <xdr:colOff>219075</xdr:colOff>
                <xdr:row>1988</xdr:row>
                <xdr:rowOff>0</xdr:rowOff>
              </from>
              <to>
                <xdr:col>1</xdr:col>
                <xdr:colOff>647700</xdr:colOff>
                <xdr:row>1990</xdr:row>
                <xdr:rowOff>104775</xdr:rowOff>
              </to>
            </anchor>
          </objectPr>
        </oleObject>
      </mc:Choice>
      <mc:Fallback>
        <oleObject progId="Equation.3" shapeId="28931" r:id="rId203"/>
      </mc:Fallback>
    </mc:AlternateContent>
    <mc:AlternateContent xmlns:mc="http://schemas.openxmlformats.org/markup-compatibility/2006">
      <mc:Choice Requires="x14">
        <oleObject progId="Equation.3" shapeId="28932" r:id="rId204">
          <objectPr defaultSize="0" autoPict="0" r:id="rId8">
            <anchor moveWithCells="1">
              <from>
                <xdr:col>0</xdr:col>
                <xdr:colOff>28575</xdr:colOff>
                <xdr:row>1992</xdr:row>
                <xdr:rowOff>76200</xdr:rowOff>
              </from>
              <to>
                <xdr:col>1</xdr:col>
                <xdr:colOff>200025</xdr:colOff>
                <xdr:row>1993</xdr:row>
                <xdr:rowOff>180975</xdr:rowOff>
              </to>
            </anchor>
          </objectPr>
        </oleObject>
      </mc:Choice>
      <mc:Fallback>
        <oleObject progId="Equation.3" shapeId="28932" r:id="rId204"/>
      </mc:Fallback>
    </mc:AlternateContent>
    <mc:AlternateContent xmlns:mc="http://schemas.openxmlformats.org/markup-compatibility/2006">
      <mc:Choice Requires="x14">
        <oleObject progId="Equation.3" shapeId="28933" r:id="rId205">
          <objectPr defaultSize="0" autoPict="0" r:id="rId23">
            <anchor moveWithCells="1">
              <from>
                <xdr:col>0</xdr:col>
                <xdr:colOff>238125</xdr:colOff>
                <xdr:row>1909</xdr:row>
                <xdr:rowOff>19050</xdr:rowOff>
              </from>
              <to>
                <xdr:col>2</xdr:col>
                <xdr:colOff>133350</xdr:colOff>
                <xdr:row>1910</xdr:row>
                <xdr:rowOff>161925</xdr:rowOff>
              </to>
            </anchor>
          </objectPr>
        </oleObject>
      </mc:Choice>
      <mc:Fallback>
        <oleObject progId="Equation.3" shapeId="28933" r:id="rId205"/>
      </mc:Fallback>
    </mc:AlternateContent>
    <mc:AlternateContent xmlns:mc="http://schemas.openxmlformats.org/markup-compatibility/2006">
      <mc:Choice Requires="x14">
        <oleObject progId="Equation.3" shapeId="28934" r:id="rId206">
          <objectPr defaultSize="0" autoPict="0" r:id="rId19">
            <anchor moveWithCells="1">
              <from>
                <xdr:col>0</xdr:col>
                <xdr:colOff>238125</xdr:colOff>
                <xdr:row>2010</xdr:row>
                <xdr:rowOff>19050</xdr:rowOff>
              </from>
              <to>
                <xdr:col>2</xdr:col>
                <xdr:colOff>133350</xdr:colOff>
                <xdr:row>2011</xdr:row>
                <xdr:rowOff>161925</xdr:rowOff>
              </to>
            </anchor>
          </objectPr>
        </oleObject>
      </mc:Choice>
      <mc:Fallback>
        <oleObject progId="Equation.3" shapeId="28934" r:id="rId206"/>
      </mc:Fallback>
    </mc:AlternateContent>
    <mc:AlternateContent xmlns:mc="http://schemas.openxmlformats.org/markup-compatibility/2006">
      <mc:Choice Requires="x14">
        <oleObject progId="Equation.3" shapeId="28935" r:id="rId207">
          <objectPr defaultSize="0" autoPict="0" r:id="rId6">
            <anchor moveWithCells="1">
              <from>
                <xdr:col>0</xdr:col>
                <xdr:colOff>219075</xdr:colOff>
                <xdr:row>2013</xdr:row>
                <xdr:rowOff>0</xdr:rowOff>
              </from>
              <to>
                <xdr:col>1</xdr:col>
                <xdr:colOff>647700</xdr:colOff>
                <xdr:row>2015</xdr:row>
                <xdr:rowOff>104775</xdr:rowOff>
              </to>
            </anchor>
          </objectPr>
        </oleObject>
      </mc:Choice>
      <mc:Fallback>
        <oleObject progId="Equation.3" shapeId="28935" r:id="rId207"/>
      </mc:Fallback>
    </mc:AlternateContent>
    <mc:AlternateContent xmlns:mc="http://schemas.openxmlformats.org/markup-compatibility/2006">
      <mc:Choice Requires="x14">
        <oleObject progId="Equation.3" shapeId="28936" r:id="rId208">
          <objectPr defaultSize="0" autoPict="0" r:id="rId8">
            <anchor moveWithCells="1">
              <from>
                <xdr:col>0</xdr:col>
                <xdr:colOff>28575</xdr:colOff>
                <xdr:row>2017</xdr:row>
                <xdr:rowOff>76200</xdr:rowOff>
              </from>
              <to>
                <xdr:col>1</xdr:col>
                <xdr:colOff>200025</xdr:colOff>
                <xdr:row>2018</xdr:row>
                <xdr:rowOff>180975</xdr:rowOff>
              </to>
            </anchor>
          </objectPr>
        </oleObject>
      </mc:Choice>
      <mc:Fallback>
        <oleObject progId="Equation.3" shapeId="28936" r:id="rId208"/>
      </mc:Fallback>
    </mc:AlternateContent>
    <mc:AlternateContent xmlns:mc="http://schemas.openxmlformats.org/markup-compatibility/2006">
      <mc:Choice Requires="x14">
        <oleObject progId="Equation.3" shapeId="28937" r:id="rId209">
          <objectPr defaultSize="0" autoPict="0" r:id="rId19">
            <anchor moveWithCells="1">
              <from>
                <xdr:col>0</xdr:col>
                <xdr:colOff>238125</xdr:colOff>
                <xdr:row>2035</xdr:row>
                <xdr:rowOff>19050</xdr:rowOff>
              </from>
              <to>
                <xdr:col>2</xdr:col>
                <xdr:colOff>133350</xdr:colOff>
                <xdr:row>2036</xdr:row>
                <xdr:rowOff>161925</xdr:rowOff>
              </to>
            </anchor>
          </objectPr>
        </oleObject>
      </mc:Choice>
      <mc:Fallback>
        <oleObject progId="Equation.3" shapeId="28937" r:id="rId209"/>
      </mc:Fallback>
    </mc:AlternateContent>
    <mc:AlternateContent xmlns:mc="http://schemas.openxmlformats.org/markup-compatibility/2006">
      <mc:Choice Requires="x14">
        <oleObject progId="Equation.3" shapeId="28938" r:id="rId210">
          <objectPr defaultSize="0" autoPict="0" r:id="rId6">
            <anchor moveWithCells="1">
              <from>
                <xdr:col>0</xdr:col>
                <xdr:colOff>219075</xdr:colOff>
                <xdr:row>2038</xdr:row>
                <xdr:rowOff>0</xdr:rowOff>
              </from>
              <to>
                <xdr:col>1</xdr:col>
                <xdr:colOff>647700</xdr:colOff>
                <xdr:row>2040</xdr:row>
                <xdr:rowOff>104775</xdr:rowOff>
              </to>
            </anchor>
          </objectPr>
        </oleObject>
      </mc:Choice>
      <mc:Fallback>
        <oleObject progId="Equation.3" shapeId="28938" r:id="rId210"/>
      </mc:Fallback>
    </mc:AlternateContent>
    <mc:AlternateContent xmlns:mc="http://schemas.openxmlformats.org/markup-compatibility/2006">
      <mc:Choice Requires="x14">
        <oleObject progId="Equation.3" shapeId="28939" r:id="rId211">
          <objectPr defaultSize="0" autoPict="0" r:id="rId8">
            <anchor moveWithCells="1">
              <from>
                <xdr:col>0</xdr:col>
                <xdr:colOff>28575</xdr:colOff>
                <xdr:row>2042</xdr:row>
                <xdr:rowOff>76200</xdr:rowOff>
              </from>
              <to>
                <xdr:col>1</xdr:col>
                <xdr:colOff>200025</xdr:colOff>
                <xdr:row>2043</xdr:row>
                <xdr:rowOff>180975</xdr:rowOff>
              </to>
            </anchor>
          </objectPr>
        </oleObject>
      </mc:Choice>
      <mc:Fallback>
        <oleObject progId="Equation.3" shapeId="28939" r:id="rId211"/>
      </mc:Fallback>
    </mc:AlternateContent>
    <mc:AlternateContent xmlns:mc="http://schemas.openxmlformats.org/markup-compatibility/2006">
      <mc:Choice Requires="x14">
        <oleObject progId="Equation.3" shapeId="28943" r:id="rId212">
          <objectPr defaultSize="0" autoPict="0" r:id="rId4">
            <anchor moveWithCells="1">
              <from>
                <xdr:col>0</xdr:col>
                <xdr:colOff>238125</xdr:colOff>
                <xdr:row>2062</xdr:row>
                <xdr:rowOff>19050</xdr:rowOff>
              </from>
              <to>
                <xdr:col>2</xdr:col>
                <xdr:colOff>133350</xdr:colOff>
                <xdr:row>2063</xdr:row>
                <xdr:rowOff>161925</xdr:rowOff>
              </to>
            </anchor>
          </objectPr>
        </oleObject>
      </mc:Choice>
      <mc:Fallback>
        <oleObject progId="Equation.3" shapeId="28943" r:id="rId212"/>
      </mc:Fallback>
    </mc:AlternateContent>
    <mc:AlternateContent xmlns:mc="http://schemas.openxmlformats.org/markup-compatibility/2006">
      <mc:Choice Requires="x14">
        <oleObject progId="Equation.3" shapeId="28944" r:id="rId213">
          <objectPr defaultSize="0" autoPict="0" r:id="rId6">
            <anchor moveWithCells="1">
              <from>
                <xdr:col>0</xdr:col>
                <xdr:colOff>219075</xdr:colOff>
                <xdr:row>2065</xdr:row>
                <xdr:rowOff>0</xdr:rowOff>
              </from>
              <to>
                <xdr:col>1</xdr:col>
                <xdr:colOff>647700</xdr:colOff>
                <xdr:row>2067</xdr:row>
                <xdr:rowOff>104775</xdr:rowOff>
              </to>
            </anchor>
          </objectPr>
        </oleObject>
      </mc:Choice>
      <mc:Fallback>
        <oleObject progId="Equation.3" shapeId="28944" r:id="rId213"/>
      </mc:Fallback>
    </mc:AlternateContent>
    <mc:AlternateContent xmlns:mc="http://schemas.openxmlformats.org/markup-compatibility/2006">
      <mc:Choice Requires="x14">
        <oleObject progId="Equation.3" shapeId="28945" r:id="rId214">
          <objectPr defaultSize="0" autoPict="0" r:id="rId8">
            <anchor moveWithCells="1">
              <from>
                <xdr:col>0</xdr:col>
                <xdr:colOff>28575</xdr:colOff>
                <xdr:row>2069</xdr:row>
                <xdr:rowOff>76200</xdr:rowOff>
              </from>
              <to>
                <xdr:col>1</xdr:col>
                <xdr:colOff>200025</xdr:colOff>
                <xdr:row>2070</xdr:row>
                <xdr:rowOff>180975</xdr:rowOff>
              </to>
            </anchor>
          </objectPr>
        </oleObject>
      </mc:Choice>
      <mc:Fallback>
        <oleObject progId="Equation.3" shapeId="28945" r:id="rId214"/>
      </mc:Fallback>
    </mc:AlternateContent>
    <mc:AlternateContent xmlns:mc="http://schemas.openxmlformats.org/markup-compatibility/2006">
      <mc:Choice Requires="x14">
        <oleObject progId="Equation.3" shapeId="28967" r:id="rId215">
          <objectPr defaultSize="0" autoPict="0" r:id="rId216">
            <anchor moveWithCells="1">
              <from>
                <xdr:col>0</xdr:col>
                <xdr:colOff>238125</xdr:colOff>
                <xdr:row>41</xdr:row>
                <xdr:rowOff>19050</xdr:rowOff>
              </from>
              <to>
                <xdr:col>2</xdr:col>
                <xdr:colOff>133350</xdr:colOff>
                <xdr:row>42</xdr:row>
                <xdr:rowOff>161925</xdr:rowOff>
              </to>
            </anchor>
          </objectPr>
        </oleObject>
      </mc:Choice>
      <mc:Fallback>
        <oleObject progId="Equation.3" shapeId="28967" r:id="rId215"/>
      </mc:Fallback>
    </mc:AlternateContent>
    <mc:AlternateContent xmlns:mc="http://schemas.openxmlformats.org/markup-compatibility/2006">
      <mc:Choice Requires="x14">
        <oleObject progId="Equation.3" shapeId="28968" r:id="rId217">
          <objectPr defaultSize="0" autoPict="0" r:id="rId6">
            <anchor moveWithCells="1">
              <from>
                <xdr:col>0</xdr:col>
                <xdr:colOff>219075</xdr:colOff>
                <xdr:row>44</xdr:row>
                <xdr:rowOff>0</xdr:rowOff>
              </from>
              <to>
                <xdr:col>1</xdr:col>
                <xdr:colOff>647700</xdr:colOff>
                <xdr:row>46</xdr:row>
                <xdr:rowOff>104775</xdr:rowOff>
              </to>
            </anchor>
          </objectPr>
        </oleObject>
      </mc:Choice>
      <mc:Fallback>
        <oleObject progId="Equation.3" shapeId="28968" r:id="rId217"/>
      </mc:Fallback>
    </mc:AlternateContent>
    <mc:AlternateContent xmlns:mc="http://schemas.openxmlformats.org/markup-compatibility/2006">
      <mc:Choice Requires="x14">
        <oleObject progId="Equation.3" shapeId="28969" r:id="rId218">
          <objectPr defaultSize="0" autoPict="0" r:id="rId8">
            <anchor moveWithCells="1">
              <from>
                <xdr:col>0</xdr:col>
                <xdr:colOff>28575</xdr:colOff>
                <xdr:row>48</xdr:row>
                <xdr:rowOff>76200</xdr:rowOff>
              </from>
              <to>
                <xdr:col>1</xdr:col>
                <xdr:colOff>200025</xdr:colOff>
                <xdr:row>49</xdr:row>
                <xdr:rowOff>180975</xdr:rowOff>
              </to>
            </anchor>
          </objectPr>
        </oleObject>
      </mc:Choice>
      <mc:Fallback>
        <oleObject progId="Equation.3" shapeId="28969" r:id="rId218"/>
      </mc:Fallback>
    </mc:AlternateContent>
    <mc:AlternateContent xmlns:mc="http://schemas.openxmlformats.org/markup-compatibility/2006">
      <mc:Choice Requires="x14">
        <oleObject progId="Equation.3" shapeId="28970" r:id="rId219">
          <objectPr defaultSize="0" autoPict="0" r:id="rId216">
            <anchor moveWithCells="1">
              <from>
                <xdr:col>0</xdr:col>
                <xdr:colOff>238125</xdr:colOff>
                <xdr:row>66</xdr:row>
                <xdr:rowOff>19050</xdr:rowOff>
              </from>
              <to>
                <xdr:col>2</xdr:col>
                <xdr:colOff>133350</xdr:colOff>
                <xdr:row>67</xdr:row>
                <xdr:rowOff>161925</xdr:rowOff>
              </to>
            </anchor>
          </objectPr>
        </oleObject>
      </mc:Choice>
      <mc:Fallback>
        <oleObject progId="Equation.3" shapeId="28970" r:id="rId219"/>
      </mc:Fallback>
    </mc:AlternateContent>
    <mc:AlternateContent xmlns:mc="http://schemas.openxmlformats.org/markup-compatibility/2006">
      <mc:Choice Requires="x14">
        <oleObject progId="Equation.3" shapeId="28971" r:id="rId220">
          <objectPr defaultSize="0" autoPict="0" r:id="rId6">
            <anchor moveWithCells="1">
              <from>
                <xdr:col>0</xdr:col>
                <xdr:colOff>219075</xdr:colOff>
                <xdr:row>69</xdr:row>
                <xdr:rowOff>0</xdr:rowOff>
              </from>
              <to>
                <xdr:col>1</xdr:col>
                <xdr:colOff>647700</xdr:colOff>
                <xdr:row>71</xdr:row>
                <xdr:rowOff>104775</xdr:rowOff>
              </to>
            </anchor>
          </objectPr>
        </oleObject>
      </mc:Choice>
      <mc:Fallback>
        <oleObject progId="Equation.3" shapeId="28971" r:id="rId220"/>
      </mc:Fallback>
    </mc:AlternateContent>
    <mc:AlternateContent xmlns:mc="http://schemas.openxmlformats.org/markup-compatibility/2006">
      <mc:Choice Requires="x14">
        <oleObject progId="Equation.3" shapeId="28972" r:id="rId221">
          <objectPr defaultSize="0" autoPict="0" r:id="rId8">
            <anchor moveWithCells="1">
              <from>
                <xdr:col>0</xdr:col>
                <xdr:colOff>28575</xdr:colOff>
                <xdr:row>73</xdr:row>
                <xdr:rowOff>76200</xdr:rowOff>
              </from>
              <to>
                <xdr:col>1</xdr:col>
                <xdr:colOff>200025</xdr:colOff>
                <xdr:row>74</xdr:row>
                <xdr:rowOff>180975</xdr:rowOff>
              </to>
            </anchor>
          </objectPr>
        </oleObject>
      </mc:Choice>
      <mc:Fallback>
        <oleObject progId="Equation.3" shapeId="28972" r:id="rId221"/>
      </mc:Fallback>
    </mc:AlternateContent>
    <mc:AlternateContent xmlns:mc="http://schemas.openxmlformats.org/markup-compatibility/2006">
      <mc:Choice Requires="x14">
        <oleObject progId="Equation.3" shapeId="28973" r:id="rId222">
          <objectPr defaultSize="0" autoPict="0" r:id="rId216">
            <anchor moveWithCells="1">
              <from>
                <xdr:col>0</xdr:col>
                <xdr:colOff>238125</xdr:colOff>
                <xdr:row>91</xdr:row>
                <xdr:rowOff>19050</xdr:rowOff>
              </from>
              <to>
                <xdr:col>2</xdr:col>
                <xdr:colOff>133350</xdr:colOff>
                <xdr:row>92</xdr:row>
                <xdr:rowOff>161925</xdr:rowOff>
              </to>
            </anchor>
          </objectPr>
        </oleObject>
      </mc:Choice>
      <mc:Fallback>
        <oleObject progId="Equation.3" shapeId="28973" r:id="rId222"/>
      </mc:Fallback>
    </mc:AlternateContent>
    <mc:AlternateContent xmlns:mc="http://schemas.openxmlformats.org/markup-compatibility/2006">
      <mc:Choice Requires="x14">
        <oleObject progId="Equation.3" shapeId="28974" r:id="rId223">
          <objectPr defaultSize="0" autoPict="0" r:id="rId6">
            <anchor moveWithCells="1">
              <from>
                <xdr:col>0</xdr:col>
                <xdr:colOff>219075</xdr:colOff>
                <xdr:row>94</xdr:row>
                <xdr:rowOff>0</xdr:rowOff>
              </from>
              <to>
                <xdr:col>1</xdr:col>
                <xdr:colOff>647700</xdr:colOff>
                <xdr:row>96</xdr:row>
                <xdr:rowOff>104775</xdr:rowOff>
              </to>
            </anchor>
          </objectPr>
        </oleObject>
      </mc:Choice>
      <mc:Fallback>
        <oleObject progId="Equation.3" shapeId="28974" r:id="rId223"/>
      </mc:Fallback>
    </mc:AlternateContent>
    <mc:AlternateContent xmlns:mc="http://schemas.openxmlformats.org/markup-compatibility/2006">
      <mc:Choice Requires="x14">
        <oleObject progId="Equation.3" shapeId="28975" r:id="rId224">
          <objectPr defaultSize="0" autoPict="0" r:id="rId8">
            <anchor moveWithCells="1">
              <from>
                <xdr:col>0</xdr:col>
                <xdr:colOff>28575</xdr:colOff>
                <xdr:row>98</xdr:row>
                <xdr:rowOff>76200</xdr:rowOff>
              </from>
              <to>
                <xdr:col>1</xdr:col>
                <xdr:colOff>200025</xdr:colOff>
                <xdr:row>99</xdr:row>
                <xdr:rowOff>180975</xdr:rowOff>
              </to>
            </anchor>
          </objectPr>
        </oleObject>
      </mc:Choice>
      <mc:Fallback>
        <oleObject progId="Equation.3" shapeId="28975" r:id="rId224"/>
      </mc:Fallback>
    </mc:AlternateContent>
    <mc:AlternateContent xmlns:mc="http://schemas.openxmlformats.org/markup-compatibility/2006">
      <mc:Choice Requires="x14">
        <oleObject progId="Equation.3" shapeId="28976" r:id="rId225">
          <objectPr defaultSize="0" autoPict="0" r:id="rId216">
            <anchor moveWithCells="1">
              <from>
                <xdr:col>0</xdr:col>
                <xdr:colOff>238125</xdr:colOff>
                <xdr:row>116</xdr:row>
                <xdr:rowOff>19050</xdr:rowOff>
              </from>
              <to>
                <xdr:col>2</xdr:col>
                <xdr:colOff>133350</xdr:colOff>
                <xdr:row>117</xdr:row>
                <xdr:rowOff>161925</xdr:rowOff>
              </to>
            </anchor>
          </objectPr>
        </oleObject>
      </mc:Choice>
      <mc:Fallback>
        <oleObject progId="Equation.3" shapeId="28976" r:id="rId225"/>
      </mc:Fallback>
    </mc:AlternateContent>
    <mc:AlternateContent xmlns:mc="http://schemas.openxmlformats.org/markup-compatibility/2006">
      <mc:Choice Requires="x14">
        <oleObject progId="Equation.3" shapeId="28977" r:id="rId226">
          <objectPr defaultSize="0" autoPict="0" r:id="rId6">
            <anchor moveWithCells="1">
              <from>
                <xdr:col>0</xdr:col>
                <xdr:colOff>219075</xdr:colOff>
                <xdr:row>119</xdr:row>
                <xdr:rowOff>0</xdr:rowOff>
              </from>
              <to>
                <xdr:col>1</xdr:col>
                <xdr:colOff>647700</xdr:colOff>
                <xdr:row>121</xdr:row>
                <xdr:rowOff>104775</xdr:rowOff>
              </to>
            </anchor>
          </objectPr>
        </oleObject>
      </mc:Choice>
      <mc:Fallback>
        <oleObject progId="Equation.3" shapeId="28977" r:id="rId226"/>
      </mc:Fallback>
    </mc:AlternateContent>
    <mc:AlternateContent xmlns:mc="http://schemas.openxmlformats.org/markup-compatibility/2006">
      <mc:Choice Requires="x14">
        <oleObject progId="Equation.3" shapeId="28978" r:id="rId227">
          <objectPr defaultSize="0" autoPict="0" r:id="rId8">
            <anchor moveWithCells="1">
              <from>
                <xdr:col>0</xdr:col>
                <xdr:colOff>28575</xdr:colOff>
                <xdr:row>123</xdr:row>
                <xdr:rowOff>76200</xdr:rowOff>
              </from>
              <to>
                <xdr:col>1</xdr:col>
                <xdr:colOff>200025</xdr:colOff>
                <xdr:row>124</xdr:row>
                <xdr:rowOff>180975</xdr:rowOff>
              </to>
            </anchor>
          </objectPr>
        </oleObject>
      </mc:Choice>
      <mc:Fallback>
        <oleObject progId="Equation.3" shapeId="28978" r:id="rId227"/>
      </mc:Fallback>
    </mc:AlternateContent>
    <mc:AlternateContent xmlns:mc="http://schemas.openxmlformats.org/markup-compatibility/2006">
      <mc:Choice Requires="x14">
        <oleObject progId="Equation.3" shapeId="28979" r:id="rId228">
          <objectPr defaultSize="0" autoPict="0" r:id="rId4">
            <anchor moveWithCells="1">
              <from>
                <xdr:col>0</xdr:col>
                <xdr:colOff>238125</xdr:colOff>
                <xdr:row>2087</xdr:row>
                <xdr:rowOff>19050</xdr:rowOff>
              </from>
              <to>
                <xdr:col>2</xdr:col>
                <xdr:colOff>133350</xdr:colOff>
                <xdr:row>2088</xdr:row>
                <xdr:rowOff>161925</xdr:rowOff>
              </to>
            </anchor>
          </objectPr>
        </oleObject>
      </mc:Choice>
      <mc:Fallback>
        <oleObject progId="Equation.3" shapeId="28979" r:id="rId228"/>
      </mc:Fallback>
    </mc:AlternateContent>
    <mc:AlternateContent xmlns:mc="http://schemas.openxmlformats.org/markup-compatibility/2006">
      <mc:Choice Requires="x14">
        <oleObject progId="Equation.3" shapeId="28980" r:id="rId229">
          <objectPr defaultSize="0" autoPict="0" r:id="rId6">
            <anchor moveWithCells="1">
              <from>
                <xdr:col>0</xdr:col>
                <xdr:colOff>219075</xdr:colOff>
                <xdr:row>2090</xdr:row>
                <xdr:rowOff>0</xdr:rowOff>
              </from>
              <to>
                <xdr:col>1</xdr:col>
                <xdr:colOff>647700</xdr:colOff>
                <xdr:row>2092</xdr:row>
                <xdr:rowOff>104775</xdr:rowOff>
              </to>
            </anchor>
          </objectPr>
        </oleObject>
      </mc:Choice>
      <mc:Fallback>
        <oleObject progId="Equation.3" shapeId="28980" r:id="rId229"/>
      </mc:Fallback>
    </mc:AlternateContent>
    <mc:AlternateContent xmlns:mc="http://schemas.openxmlformats.org/markup-compatibility/2006">
      <mc:Choice Requires="x14">
        <oleObject progId="Equation.3" shapeId="28981" r:id="rId230">
          <objectPr defaultSize="0" autoPict="0" r:id="rId8">
            <anchor moveWithCells="1">
              <from>
                <xdr:col>0</xdr:col>
                <xdr:colOff>28575</xdr:colOff>
                <xdr:row>2094</xdr:row>
                <xdr:rowOff>76200</xdr:rowOff>
              </from>
              <to>
                <xdr:col>1</xdr:col>
                <xdr:colOff>200025</xdr:colOff>
                <xdr:row>2095</xdr:row>
                <xdr:rowOff>180975</xdr:rowOff>
              </to>
            </anchor>
          </objectPr>
        </oleObject>
      </mc:Choice>
      <mc:Fallback>
        <oleObject progId="Equation.3" shapeId="28981" r:id="rId230"/>
      </mc:Fallback>
    </mc:AlternateContent>
    <mc:AlternateContent xmlns:mc="http://schemas.openxmlformats.org/markup-compatibility/2006">
      <mc:Choice Requires="x14">
        <oleObject progId="Equation.3" shapeId="28982" r:id="rId231">
          <objectPr defaultSize="0" autoPict="0" r:id="rId6">
            <anchor moveWithCells="1">
              <from>
                <xdr:col>0</xdr:col>
                <xdr:colOff>219075</xdr:colOff>
                <xdr:row>2115</xdr:row>
                <xdr:rowOff>0</xdr:rowOff>
              </from>
              <to>
                <xdr:col>1</xdr:col>
                <xdr:colOff>647700</xdr:colOff>
                <xdr:row>2117</xdr:row>
                <xdr:rowOff>104775</xdr:rowOff>
              </to>
            </anchor>
          </objectPr>
        </oleObject>
      </mc:Choice>
      <mc:Fallback>
        <oleObject progId="Equation.3" shapeId="28982" r:id="rId231"/>
      </mc:Fallback>
    </mc:AlternateContent>
    <mc:AlternateContent xmlns:mc="http://schemas.openxmlformats.org/markup-compatibility/2006">
      <mc:Choice Requires="x14">
        <oleObject progId="Equation.3" shapeId="28983" r:id="rId232">
          <objectPr defaultSize="0" autoPict="0" r:id="rId8">
            <anchor moveWithCells="1">
              <from>
                <xdr:col>0</xdr:col>
                <xdr:colOff>28575</xdr:colOff>
                <xdr:row>2119</xdr:row>
                <xdr:rowOff>76200</xdr:rowOff>
              </from>
              <to>
                <xdr:col>1</xdr:col>
                <xdr:colOff>200025</xdr:colOff>
                <xdr:row>2120</xdr:row>
                <xdr:rowOff>180975</xdr:rowOff>
              </to>
            </anchor>
          </objectPr>
        </oleObject>
      </mc:Choice>
      <mc:Fallback>
        <oleObject progId="Equation.3" shapeId="28983" r:id="rId232"/>
      </mc:Fallback>
    </mc:AlternateContent>
    <mc:AlternateContent xmlns:mc="http://schemas.openxmlformats.org/markup-compatibility/2006">
      <mc:Choice Requires="x14">
        <oleObject progId="Equation.3" shapeId="28984" r:id="rId233">
          <objectPr defaultSize="0" autoPict="0" r:id="rId6">
            <anchor moveWithCells="1">
              <from>
                <xdr:col>0</xdr:col>
                <xdr:colOff>219075</xdr:colOff>
                <xdr:row>2140</xdr:row>
                <xdr:rowOff>0</xdr:rowOff>
              </from>
              <to>
                <xdr:col>1</xdr:col>
                <xdr:colOff>647700</xdr:colOff>
                <xdr:row>2142</xdr:row>
                <xdr:rowOff>104775</xdr:rowOff>
              </to>
            </anchor>
          </objectPr>
        </oleObject>
      </mc:Choice>
      <mc:Fallback>
        <oleObject progId="Equation.3" shapeId="28984" r:id="rId233"/>
      </mc:Fallback>
    </mc:AlternateContent>
    <mc:AlternateContent xmlns:mc="http://schemas.openxmlformats.org/markup-compatibility/2006">
      <mc:Choice Requires="x14">
        <oleObject progId="Equation.3" shapeId="28985" r:id="rId234">
          <objectPr defaultSize="0" autoPict="0" r:id="rId8">
            <anchor moveWithCells="1">
              <from>
                <xdr:col>0</xdr:col>
                <xdr:colOff>28575</xdr:colOff>
                <xdr:row>2144</xdr:row>
                <xdr:rowOff>76200</xdr:rowOff>
              </from>
              <to>
                <xdr:col>1</xdr:col>
                <xdr:colOff>200025</xdr:colOff>
                <xdr:row>2145</xdr:row>
                <xdr:rowOff>180975</xdr:rowOff>
              </to>
            </anchor>
          </objectPr>
        </oleObject>
      </mc:Choice>
      <mc:Fallback>
        <oleObject progId="Equation.3" shapeId="28985" r:id="rId234"/>
      </mc:Fallback>
    </mc:AlternateContent>
    <mc:AlternateContent xmlns:mc="http://schemas.openxmlformats.org/markup-compatibility/2006">
      <mc:Choice Requires="x14">
        <oleObject progId="Equation.3" shapeId="28986" r:id="rId235">
          <objectPr defaultSize="0" autoPict="0" r:id="rId6">
            <anchor moveWithCells="1">
              <from>
                <xdr:col>0</xdr:col>
                <xdr:colOff>219075</xdr:colOff>
                <xdr:row>2165</xdr:row>
                <xdr:rowOff>0</xdr:rowOff>
              </from>
              <to>
                <xdr:col>1</xdr:col>
                <xdr:colOff>647700</xdr:colOff>
                <xdr:row>2167</xdr:row>
                <xdr:rowOff>104775</xdr:rowOff>
              </to>
            </anchor>
          </objectPr>
        </oleObject>
      </mc:Choice>
      <mc:Fallback>
        <oleObject progId="Equation.3" shapeId="28986" r:id="rId235"/>
      </mc:Fallback>
    </mc:AlternateContent>
    <mc:AlternateContent xmlns:mc="http://schemas.openxmlformats.org/markup-compatibility/2006">
      <mc:Choice Requires="x14">
        <oleObject progId="Equation.3" shapeId="28987" r:id="rId236">
          <objectPr defaultSize="0" autoPict="0" r:id="rId8">
            <anchor moveWithCells="1">
              <from>
                <xdr:col>0</xdr:col>
                <xdr:colOff>28575</xdr:colOff>
                <xdr:row>2169</xdr:row>
                <xdr:rowOff>76200</xdr:rowOff>
              </from>
              <to>
                <xdr:col>1</xdr:col>
                <xdr:colOff>200025</xdr:colOff>
                <xdr:row>2170</xdr:row>
                <xdr:rowOff>180975</xdr:rowOff>
              </to>
            </anchor>
          </objectPr>
        </oleObject>
      </mc:Choice>
      <mc:Fallback>
        <oleObject progId="Equation.3" shapeId="28987" r:id="rId236"/>
      </mc:Fallback>
    </mc:AlternateContent>
    <mc:AlternateContent xmlns:mc="http://schemas.openxmlformats.org/markup-compatibility/2006">
      <mc:Choice Requires="x14">
        <oleObject progId="Equation.3" shapeId="28988" r:id="rId237">
          <objectPr defaultSize="0" autoPict="0" r:id="rId19">
            <anchor moveWithCells="1">
              <from>
                <xdr:col>0</xdr:col>
                <xdr:colOff>238125</xdr:colOff>
                <xdr:row>2188</xdr:row>
                <xdr:rowOff>19050</xdr:rowOff>
              </from>
              <to>
                <xdr:col>2</xdr:col>
                <xdr:colOff>133350</xdr:colOff>
                <xdr:row>2189</xdr:row>
                <xdr:rowOff>161925</xdr:rowOff>
              </to>
            </anchor>
          </objectPr>
        </oleObject>
      </mc:Choice>
      <mc:Fallback>
        <oleObject progId="Equation.3" shapeId="28988" r:id="rId237"/>
      </mc:Fallback>
    </mc:AlternateContent>
    <mc:AlternateContent xmlns:mc="http://schemas.openxmlformats.org/markup-compatibility/2006">
      <mc:Choice Requires="x14">
        <oleObject progId="Equation.3" shapeId="28989" r:id="rId238">
          <objectPr defaultSize="0" autoPict="0" r:id="rId6">
            <anchor moveWithCells="1">
              <from>
                <xdr:col>0</xdr:col>
                <xdr:colOff>219075</xdr:colOff>
                <xdr:row>2191</xdr:row>
                <xdr:rowOff>0</xdr:rowOff>
              </from>
              <to>
                <xdr:col>1</xdr:col>
                <xdr:colOff>647700</xdr:colOff>
                <xdr:row>2193</xdr:row>
                <xdr:rowOff>104775</xdr:rowOff>
              </to>
            </anchor>
          </objectPr>
        </oleObject>
      </mc:Choice>
      <mc:Fallback>
        <oleObject progId="Equation.3" shapeId="28989" r:id="rId238"/>
      </mc:Fallback>
    </mc:AlternateContent>
    <mc:AlternateContent xmlns:mc="http://schemas.openxmlformats.org/markup-compatibility/2006">
      <mc:Choice Requires="x14">
        <oleObject progId="Equation.3" shapeId="28990" r:id="rId239">
          <objectPr defaultSize="0" autoPict="0" r:id="rId8">
            <anchor moveWithCells="1">
              <from>
                <xdr:col>0</xdr:col>
                <xdr:colOff>28575</xdr:colOff>
                <xdr:row>2195</xdr:row>
                <xdr:rowOff>76200</xdr:rowOff>
              </from>
              <to>
                <xdr:col>1</xdr:col>
                <xdr:colOff>200025</xdr:colOff>
                <xdr:row>2196</xdr:row>
                <xdr:rowOff>180975</xdr:rowOff>
              </to>
            </anchor>
          </objectPr>
        </oleObject>
      </mc:Choice>
      <mc:Fallback>
        <oleObject progId="Equation.3" shapeId="28990" r:id="rId239"/>
      </mc:Fallback>
    </mc:AlternateContent>
    <mc:AlternateContent xmlns:mc="http://schemas.openxmlformats.org/markup-compatibility/2006">
      <mc:Choice Requires="x14">
        <oleObject progId="Equation.3" shapeId="28991" r:id="rId240">
          <objectPr defaultSize="0" autoPict="0" r:id="rId23">
            <anchor moveWithCells="1">
              <from>
                <xdr:col>0</xdr:col>
                <xdr:colOff>238125</xdr:colOff>
                <xdr:row>2112</xdr:row>
                <xdr:rowOff>19050</xdr:rowOff>
              </from>
              <to>
                <xdr:col>2</xdr:col>
                <xdr:colOff>133350</xdr:colOff>
                <xdr:row>2113</xdr:row>
                <xdr:rowOff>161925</xdr:rowOff>
              </to>
            </anchor>
          </objectPr>
        </oleObject>
      </mc:Choice>
      <mc:Fallback>
        <oleObject progId="Equation.3" shapeId="28991" r:id="rId240"/>
      </mc:Fallback>
    </mc:AlternateContent>
    <mc:AlternateContent xmlns:mc="http://schemas.openxmlformats.org/markup-compatibility/2006">
      <mc:Choice Requires="x14">
        <oleObject progId="Equation.3" shapeId="28992" r:id="rId241">
          <objectPr defaultSize="0" autoPict="0" r:id="rId23">
            <anchor moveWithCells="1">
              <from>
                <xdr:col>0</xdr:col>
                <xdr:colOff>238125</xdr:colOff>
                <xdr:row>2162</xdr:row>
                <xdr:rowOff>19050</xdr:rowOff>
              </from>
              <to>
                <xdr:col>2</xdr:col>
                <xdr:colOff>133350</xdr:colOff>
                <xdr:row>2163</xdr:row>
                <xdr:rowOff>161925</xdr:rowOff>
              </to>
            </anchor>
          </objectPr>
        </oleObject>
      </mc:Choice>
      <mc:Fallback>
        <oleObject progId="Equation.3" shapeId="28992" r:id="rId241"/>
      </mc:Fallback>
    </mc:AlternateContent>
    <mc:AlternateContent xmlns:mc="http://schemas.openxmlformats.org/markup-compatibility/2006">
      <mc:Choice Requires="x14">
        <oleObject progId="Equation.3" shapeId="28993" r:id="rId242">
          <objectPr defaultSize="0" autoPict="0" r:id="rId19">
            <anchor moveWithCells="1">
              <from>
                <xdr:col>0</xdr:col>
                <xdr:colOff>238125</xdr:colOff>
                <xdr:row>2213</xdr:row>
                <xdr:rowOff>19050</xdr:rowOff>
              </from>
              <to>
                <xdr:col>2</xdr:col>
                <xdr:colOff>133350</xdr:colOff>
                <xdr:row>2214</xdr:row>
                <xdr:rowOff>161925</xdr:rowOff>
              </to>
            </anchor>
          </objectPr>
        </oleObject>
      </mc:Choice>
      <mc:Fallback>
        <oleObject progId="Equation.3" shapeId="28993" r:id="rId242"/>
      </mc:Fallback>
    </mc:AlternateContent>
    <mc:AlternateContent xmlns:mc="http://schemas.openxmlformats.org/markup-compatibility/2006">
      <mc:Choice Requires="x14">
        <oleObject progId="Equation.3" shapeId="28994" r:id="rId243">
          <objectPr defaultSize="0" autoPict="0" r:id="rId6">
            <anchor moveWithCells="1">
              <from>
                <xdr:col>0</xdr:col>
                <xdr:colOff>219075</xdr:colOff>
                <xdr:row>2216</xdr:row>
                <xdr:rowOff>0</xdr:rowOff>
              </from>
              <to>
                <xdr:col>1</xdr:col>
                <xdr:colOff>647700</xdr:colOff>
                <xdr:row>2218</xdr:row>
                <xdr:rowOff>104775</xdr:rowOff>
              </to>
            </anchor>
          </objectPr>
        </oleObject>
      </mc:Choice>
      <mc:Fallback>
        <oleObject progId="Equation.3" shapeId="28994" r:id="rId243"/>
      </mc:Fallback>
    </mc:AlternateContent>
    <mc:AlternateContent xmlns:mc="http://schemas.openxmlformats.org/markup-compatibility/2006">
      <mc:Choice Requires="x14">
        <oleObject progId="Equation.3" shapeId="28995" r:id="rId244">
          <objectPr defaultSize="0" autoPict="0" r:id="rId8">
            <anchor moveWithCells="1">
              <from>
                <xdr:col>0</xdr:col>
                <xdr:colOff>28575</xdr:colOff>
                <xdr:row>2220</xdr:row>
                <xdr:rowOff>76200</xdr:rowOff>
              </from>
              <to>
                <xdr:col>1</xdr:col>
                <xdr:colOff>200025</xdr:colOff>
                <xdr:row>2221</xdr:row>
                <xdr:rowOff>180975</xdr:rowOff>
              </to>
            </anchor>
          </objectPr>
        </oleObject>
      </mc:Choice>
      <mc:Fallback>
        <oleObject progId="Equation.3" shapeId="28995" r:id="rId244"/>
      </mc:Fallback>
    </mc:AlternateContent>
    <mc:AlternateContent xmlns:mc="http://schemas.openxmlformats.org/markup-compatibility/2006">
      <mc:Choice Requires="x14">
        <oleObject progId="Equation.3" shapeId="28996" r:id="rId245">
          <objectPr defaultSize="0" autoPict="0" r:id="rId23">
            <anchor moveWithCells="1">
              <from>
                <xdr:col>0</xdr:col>
                <xdr:colOff>238125</xdr:colOff>
                <xdr:row>2137</xdr:row>
                <xdr:rowOff>19050</xdr:rowOff>
              </from>
              <to>
                <xdr:col>2</xdr:col>
                <xdr:colOff>133350</xdr:colOff>
                <xdr:row>2138</xdr:row>
                <xdr:rowOff>161925</xdr:rowOff>
              </to>
            </anchor>
          </objectPr>
        </oleObject>
      </mc:Choice>
      <mc:Fallback>
        <oleObject progId="Equation.3" shapeId="28996" r:id="rId245"/>
      </mc:Fallback>
    </mc:AlternateContent>
    <mc:AlternateContent xmlns:mc="http://schemas.openxmlformats.org/markup-compatibility/2006">
      <mc:Choice Requires="x14">
        <oleObject progId="Equation.3" shapeId="28997" r:id="rId246">
          <objectPr defaultSize="0" autoPict="0" r:id="rId19">
            <anchor moveWithCells="1">
              <from>
                <xdr:col>0</xdr:col>
                <xdr:colOff>238125</xdr:colOff>
                <xdr:row>2238</xdr:row>
                <xdr:rowOff>19050</xdr:rowOff>
              </from>
              <to>
                <xdr:col>2</xdr:col>
                <xdr:colOff>133350</xdr:colOff>
                <xdr:row>2239</xdr:row>
                <xdr:rowOff>161925</xdr:rowOff>
              </to>
            </anchor>
          </objectPr>
        </oleObject>
      </mc:Choice>
      <mc:Fallback>
        <oleObject progId="Equation.3" shapeId="28997" r:id="rId246"/>
      </mc:Fallback>
    </mc:AlternateContent>
    <mc:AlternateContent xmlns:mc="http://schemas.openxmlformats.org/markup-compatibility/2006">
      <mc:Choice Requires="x14">
        <oleObject progId="Equation.3" shapeId="28998" r:id="rId247">
          <objectPr defaultSize="0" autoPict="0" r:id="rId6">
            <anchor moveWithCells="1">
              <from>
                <xdr:col>0</xdr:col>
                <xdr:colOff>219075</xdr:colOff>
                <xdr:row>2241</xdr:row>
                <xdr:rowOff>0</xdr:rowOff>
              </from>
              <to>
                <xdr:col>1</xdr:col>
                <xdr:colOff>647700</xdr:colOff>
                <xdr:row>2243</xdr:row>
                <xdr:rowOff>104775</xdr:rowOff>
              </to>
            </anchor>
          </objectPr>
        </oleObject>
      </mc:Choice>
      <mc:Fallback>
        <oleObject progId="Equation.3" shapeId="28998" r:id="rId247"/>
      </mc:Fallback>
    </mc:AlternateContent>
    <mc:AlternateContent xmlns:mc="http://schemas.openxmlformats.org/markup-compatibility/2006">
      <mc:Choice Requires="x14">
        <oleObject progId="Equation.3" shapeId="28999" r:id="rId248">
          <objectPr defaultSize="0" autoPict="0" r:id="rId8">
            <anchor moveWithCells="1">
              <from>
                <xdr:col>0</xdr:col>
                <xdr:colOff>28575</xdr:colOff>
                <xdr:row>2245</xdr:row>
                <xdr:rowOff>76200</xdr:rowOff>
              </from>
              <to>
                <xdr:col>1</xdr:col>
                <xdr:colOff>200025</xdr:colOff>
                <xdr:row>2246</xdr:row>
                <xdr:rowOff>180975</xdr:rowOff>
              </to>
            </anchor>
          </objectPr>
        </oleObject>
      </mc:Choice>
      <mc:Fallback>
        <oleObject progId="Equation.3" shapeId="28999" r:id="rId248"/>
      </mc:Fallback>
    </mc:AlternateContent>
    <mc:AlternateContent xmlns:mc="http://schemas.openxmlformats.org/markup-compatibility/2006">
      <mc:Choice Requires="x14">
        <oleObject progId="Equation.3" shapeId="29006" r:id="rId249">
          <objectPr defaultSize="0" autoPict="0" r:id="rId4">
            <anchor moveWithCells="1">
              <from>
                <xdr:col>0</xdr:col>
                <xdr:colOff>238125</xdr:colOff>
                <xdr:row>2264</xdr:row>
                <xdr:rowOff>19050</xdr:rowOff>
              </from>
              <to>
                <xdr:col>2</xdr:col>
                <xdr:colOff>133350</xdr:colOff>
                <xdr:row>2265</xdr:row>
                <xdr:rowOff>161925</xdr:rowOff>
              </to>
            </anchor>
          </objectPr>
        </oleObject>
      </mc:Choice>
      <mc:Fallback>
        <oleObject progId="Equation.3" shapeId="29006" r:id="rId249"/>
      </mc:Fallback>
    </mc:AlternateContent>
    <mc:AlternateContent xmlns:mc="http://schemas.openxmlformats.org/markup-compatibility/2006">
      <mc:Choice Requires="x14">
        <oleObject progId="Equation.3" shapeId="29007" r:id="rId250">
          <objectPr defaultSize="0" autoPict="0" r:id="rId6">
            <anchor moveWithCells="1">
              <from>
                <xdr:col>0</xdr:col>
                <xdr:colOff>219075</xdr:colOff>
                <xdr:row>2267</xdr:row>
                <xdr:rowOff>0</xdr:rowOff>
              </from>
              <to>
                <xdr:col>1</xdr:col>
                <xdr:colOff>647700</xdr:colOff>
                <xdr:row>2269</xdr:row>
                <xdr:rowOff>104775</xdr:rowOff>
              </to>
            </anchor>
          </objectPr>
        </oleObject>
      </mc:Choice>
      <mc:Fallback>
        <oleObject progId="Equation.3" shapeId="29007" r:id="rId250"/>
      </mc:Fallback>
    </mc:AlternateContent>
    <mc:AlternateContent xmlns:mc="http://schemas.openxmlformats.org/markup-compatibility/2006">
      <mc:Choice Requires="x14">
        <oleObject progId="Equation.3" shapeId="29008" r:id="rId251">
          <objectPr defaultSize="0" autoPict="0" r:id="rId8">
            <anchor moveWithCells="1">
              <from>
                <xdr:col>0</xdr:col>
                <xdr:colOff>28575</xdr:colOff>
                <xdr:row>2271</xdr:row>
                <xdr:rowOff>76200</xdr:rowOff>
              </from>
              <to>
                <xdr:col>1</xdr:col>
                <xdr:colOff>200025</xdr:colOff>
                <xdr:row>2272</xdr:row>
                <xdr:rowOff>180975</xdr:rowOff>
              </to>
            </anchor>
          </objectPr>
        </oleObject>
      </mc:Choice>
      <mc:Fallback>
        <oleObject progId="Equation.3" shapeId="29008" r:id="rId251"/>
      </mc:Fallback>
    </mc:AlternateContent>
    <mc:AlternateContent xmlns:mc="http://schemas.openxmlformats.org/markup-compatibility/2006">
      <mc:Choice Requires="x14">
        <oleObject progId="Equation.3" shapeId="29015" r:id="rId252">
          <objectPr defaultSize="0" autoPict="0" r:id="rId19">
            <anchor moveWithCells="1">
              <from>
                <xdr:col>0</xdr:col>
                <xdr:colOff>238125</xdr:colOff>
                <xdr:row>518</xdr:row>
                <xdr:rowOff>19050</xdr:rowOff>
              </from>
              <to>
                <xdr:col>2</xdr:col>
                <xdr:colOff>133350</xdr:colOff>
                <xdr:row>519</xdr:row>
                <xdr:rowOff>161925</xdr:rowOff>
              </to>
            </anchor>
          </objectPr>
        </oleObject>
      </mc:Choice>
      <mc:Fallback>
        <oleObject progId="Equation.3" shapeId="29015" r:id="rId252"/>
      </mc:Fallback>
    </mc:AlternateContent>
    <mc:AlternateContent xmlns:mc="http://schemas.openxmlformats.org/markup-compatibility/2006">
      <mc:Choice Requires="x14">
        <oleObject progId="Equation.3" shapeId="29016" r:id="rId253">
          <objectPr defaultSize="0" autoPict="0" r:id="rId6">
            <anchor moveWithCells="1">
              <from>
                <xdr:col>0</xdr:col>
                <xdr:colOff>219075</xdr:colOff>
                <xdr:row>521</xdr:row>
                <xdr:rowOff>0</xdr:rowOff>
              </from>
              <to>
                <xdr:col>1</xdr:col>
                <xdr:colOff>647700</xdr:colOff>
                <xdr:row>523</xdr:row>
                <xdr:rowOff>104775</xdr:rowOff>
              </to>
            </anchor>
          </objectPr>
        </oleObject>
      </mc:Choice>
      <mc:Fallback>
        <oleObject progId="Equation.3" shapeId="29016" r:id="rId253"/>
      </mc:Fallback>
    </mc:AlternateContent>
    <mc:AlternateContent xmlns:mc="http://schemas.openxmlformats.org/markup-compatibility/2006">
      <mc:Choice Requires="x14">
        <oleObject progId="Equation.3" shapeId="29017" r:id="rId254">
          <objectPr defaultSize="0" autoPict="0" r:id="rId8">
            <anchor moveWithCells="1">
              <from>
                <xdr:col>0</xdr:col>
                <xdr:colOff>28575</xdr:colOff>
                <xdr:row>525</xdr:row>
                <xdr:rowOff>76200</xdr:rowOff>
              </from>
              <to>
                <xdr:col>1</xdr:col>
                <xdr:colOff>200025</xdr:colOff>
                <xdr:row>526</xdr:row>
                <xdr:rowOff>180975</xdr:rowOff>
              </to>
            </anchor>
          </objectPr>
        </oleObject>
      </mc:Choice>
      <mc:Fallback>
        <oleObject progId="Equation.3" shapeId="29017" r:id="rId254"/>
      </mc:Fallback>
    </mc:AlternateContent>
    <mc:AlternateContent xmlns:mc="http://schemas.openxmlformats.org/markup-compatibility/2006">
      <mc:Choice Requires="x14">
        <oleObject progId="Equation.3" shapeId="29018" r:id="rId255">
          <objectPr defaultSize="0" autoPict="0" r:id="rId19">
            <anchor moveWithCells="1">
              <from>
                <xdr:col>0</xdr:col>
                <xdr:colOff>238125</xdr:colOff>
                <xdr:row>543</xdr:row>
                <xdr:rowOff>19050</xdr:rowOff>
              </from>
              <to>
                <xdr:col>2</xdr:col>
                <xdr:colOff>133350</xdr:colOff>
                <xdr:row>544</xdr:row>
                <xdr:rowOff>161925</xdr:rowOff>
              </to>
            </anchor>
          </objectPr>
        </oleObject>
      </mc:Choice>
      <mc:Fallback>
        <oleObject progId="Equation.3" shapeId="29018" r:id="rId255"/>
      </mc:Fallback>
    </mc:AlternateContent>
    <mc:AlternateContent xmlns:mc="http://schemas.openxmlformats.org/markup-compatibility/2006">
      <mc:Choice Requires="x14">
        <oleObject progId="Equation.3" shapeId="29019" r:id="rId256">
          <objectPr defaultSize="0" autoPict="0" r:id="rId6">
            <anchor moveWithCells="1">
              <from>
                <xdr:col>0</xdr:col>
                <xdr:colOff>219075</xdr:colOff>
                <xdr:row>546</xdr:row>
                <xdr:rowOff>0</xdr:rowOff>
              </from>
              <to>
                <xdr:col>1</xdr:col>
                <xdr:colOff>647700</xdr:colOff>
                <xdr:row>548</xdr:row>
                <xdr:rowOff>104775</xdr:rowOff>
              </to>
            </anchor>
          </objectPr>
        </oleObject>
      </mc:Choice>
      <mc:Fallback>
        <oleObject progId="Equation.3" shapeId="29019" r:id="rId256"/>
      </mc:Fallback>
    </mc:AlternateContent>
    <mc:AlternateContent xmlns:mc="http://schemas.openxmlformats.org/markup-compatibility/2006">
      <mc:Choice Requires="x14">
        <oleObject progId="Equation.3" shapeId="29020" r:id="rId257">
          <objectPr defaultSize="0" autoPict="0" r:id="rId8">
            <anchor moveWithCells="1">
              <from>
                <xdr:col>0</xdr:col>
                <xdr:colOff>28575</xdr:colOff>
                <xdr:row>550</xdr:row>
                <xdr:rowOff>76200</xdr:rowOff>
              </from>
              <to>
                <xdr:col>1</xdr:col>
                <xdr:colOff>200025</xdr:colOff>
                <xdr:row>551</xdr:row>
                <xdr:rowOff>180975</xdr:rowOff>
              </to>
            </anchor>
          </objectPr>
        </oleObject>
      </mc:Choice>
      <mc:Fallback>
        <oleObject progId="Equation.3" shapeId="29020" r:id="rId257"/>
      </mc:Fallback>
    </mc:AlternateContent>
    <mc:AlternateContent xmlns:mc="http://schemas.openxmlformats.org/markup-compatibility/2006">
      <mc:Choice Requires="x14">
        <oleObject progId="Equation.3" shapeId="29021" r:id="rId258">
          <objectPr defaultSize="0" autoPict="0" r:id="rId19">
            <anchor moveWithCells="1">
              <from>
                <xdr:col>0</xdr:col>
                <xdr:colOff>238125</xdr:colOff>
                <xdr:row>568</xdr:row>
                <xdr:rowOff>19050</xdr:rowOff>
              </from>
              <to>
                <xdr:col>2</xdr:col>
                <xdr:colOff>133350</xdr:colOff>
                <xdr:row>569</xdr:row>
                <xdr:rowOff>161925</xdr:rowOff>
              </to>
            </anchor>
          </objectPr>
        </oleObject>
      </mc:Choice>
      <mc:Fallback>
        <oleObject progId="Equation.3" shapeId="29021" r:id="rId258"/>
      </mc:Fallback>
    </mc:AlternateContent>
    <mc:AlternateContent xmlns:mc="http://schemas.openxmlformats.org/markup-compatibility/2006">
      <mc:Choice Requires="x14">
        <oleObject progId="Equation.3" shapeId="29022" r:id="rId259">
          <objectPr defaultSize="0" autoPict="0" r:id="rId6">
            <anchor moveWithCells="1">
              <from>
                <xdr:col>0</xdr:col>
                <xdr:colOff>219075</xdr:colOff>
                <xdr:row>571</xdr:row>
                <xdr:rowOff>0</xdr:rowOff>
              </from>
              <to>
                <xdr:col>1</xdr:col>
                <xdr:colOff>647700</xdr:colOff>
                <xdr:row>573</xdr:row>
                <xdr:rowOff>104775</xdr:rowOff>
              </to>
            </anchor>
          </objectPr>
        </oleObject>
      </mc:Choice>
      <mc:Fallback>
        <oleObject progId="Equation.3" shapeId="29022" r:id="rId259"/>
      </mc:Fallback>
    </mc:AlternateContent>
    <mc:AlternateContent xmlns:mc="http://schemas.openxmlformats.org/markup-compatibility/2006">
      <mc:Choice Requires="x14">
        <oleObject progId="Equation.3" shapeId="29023" r:id="rId260">
          <objectPr defaultSize="0" autoPict="0" r:id="rId8">
            <anchor moveWithCells="1">
              <from>
                <xdr:col>0</xdr:col>
                <xdr:colOff>28575</xdr:colOff>
                <xdr:row>575</xdr:row>
                <xdr:rowOff>76200</xdr:rowOff>
              </from>
              <to>
                <xdr:col>1</xdr:col>
                <xdr:colOff>200025</xdr:colOff>
                <xdr:row>576</xdr:row>
                <xdr:rowOff>180975</xdr:rowOff>
              </to>
            </anchor>
          </objectPr>
        </oleObject>
      </mc:Choice>
      <mc:Fallback>
        <oleObject progId="Equation.3" shapeId="29023" r:id="rId260"/>
      </mc:Fallback>
    </mc:AlternateContent>
    <mc:AlternateContent xmlns:mc="http://schemas.openxmlformats.org/markup-compatibility/2006">
      <mc:Choice Requires="x14">
        <oleObject progId="Equation.3" shapeId="29024" r:id="rId261">
          <objectPr defaultSize="0" autoPict="0" r:id="rId216">
            <anchor moveWithCells="1">
              <from>
                <xdr:col>0</xdr:col>
                <xdr:colOff>238125</xdr:colOff>
                <xdr:row>141</xdr:row>
                <xdr:rowOff>19050</xdr:rowOff>
              </from>
              <to>
                <xdr:col>2</xdr:col>
                <xdr:colOff>133350</xdr:colOff>
                <xdr:row>142</xdr:row>
                <xdr:rowOff>161925</xdr:rowOff>
              </to>
            </anchor>
          </objectPr>
        </oleObject>
      </mc:Choice>
      <mc:Fallback>
        <oleObject progId="Equation.3" shapeId="29024" r:id="rId261"/>
      </mc:Fallback>
    </mc:AlternateContent>
    <mc:AlternateContent xmlns:mc="http://schemas.openxmlformats.org/markup-compatibility/2006">
      <mc:Choice Requires="x14">
        <oleObject progId="Equation.3" shapeId="29025" r:id="rId262">
          <objectPr defaultSize="0" autoPict="0" r:id="rId6">
            <anchor moveWithCells="1">
              <from>
                <xdr:col>0</xdr:col>
                <xdr:colOff>219075</xdr:colOff>
                <xdr:row>144</xdr:row>
                <xdr:rowOff>0</xdr:rowOff>
              </from>
              <to>
                <xdr:col>1</xdr:col>
                <xdr:colOff>647700</xdr:colOff>
                <xdr:row>146</xdr:row>
                <xdr:rowOff>104775</xdr:rowOff>
              </to>
            </anchor>
          </objectPr>
        </oleObject>
      </mc:Choice>
      <mc:Fallback>
        <oleObject progId="Equation.3" shapeId="29025" r:id="rId262"/>
      </mc:Fallback>
    </mc:AlternateContent>
    <mc:AlternateContent xmlns:mc="http://schemas.openxmlformats.org/markup-compatibility/2006">
      <mc:Choice Requires="x14">
        <oleObject progId="Equation.3" shapeId="29026" r:id="rId263">
          <objectPr defaultSize="0" autoPict="0" r:id="rId8">
            <anchor moveWithCells="1">
              <from>
                <xdr:col>0</xdr:col>
                <xdr:colOff>28575</xdr:colOff>
                <xdr:row>148</xdr:row>
                <xdr:rowOff>76200</xdr:rowOff>
              </from>
              <to>
                <xdr:col>1</xdr:col>
                <xdr:colOff>200025</xdr:colOff>
                <xdr:row>149</xdr:row>
                <xdr:rowOff>180975</xdr:rowOff>
              </to>
            </anchor>
          </objectPr>
        </oleObject>
      </mc:Choice>
      <mc:Fallback>
        <oleObject progId="Equation.3" shapeId="29026" r:id="rId263"/>
      </mc:Fallback>
    </mc:AlternateContent>
    <mc:AlternateContent xmlns:mc="http://schemas.openxmlformats.org/markup-compatibility/2006">
      <mc:Choice Requires="x14">
        <oleObject progId="Equation.3" shapeId="29027" r:id="rId264">
          <objectPr defaultSize="0" autoPict="0" r:id="rId4">
            <anchor moveWithCells="1">
              <from>
                <xdr:col>0</xdr:col>
                <xdr:colOff>238125</xdr:colOff>
                <xdr:row>166</xdr:row>
                <xdr:rowOff>19050</xdr:rowOff>
              </from>
              <to>
                <xdr:col>2</xdr:col>
                <xdr:colOff>133350</xdr:colOff>
                <xdr:row>167</xdr:row>
                <xdr:rowOff>161925</xdr:rowOff>
              </to>
            </anchor>
          </objectPr>
        </oleObject>
      </mc:Choice>
      <mc:Fallback>
        <oleObject progId="Equation.3" shapeId="29027" r:id="rId264"/>
      </mc:Fallback>
    </mc:AlternateContent>
    <mc:AlternateContent xmlns:mc="http://schemas.openxmlformats.org/markup-compatibility/2006">
      <mc:Choice Requires="x14">
        <oleObject progId="Equation.3" shapeId="29028" r:id="rId265">
          <objectPr defaultSize="0" autoPict="0" r:id="rId6">
            <anchor moveWithCells="1">
              <from>
                <xdr:col>0</xdr:col>
                <xdr:colOff>219075</xdr:colOff>
                <xdr:row>169</xdr:row>
                <xdr:rowOff>0</xdr:rowOff>
              </from>
              <to>
                <xdr:col>1</xdr:col>
                <xdr:colOff>647700</xdr:colOff>
                <xdr:row>171</xdr:row>
                <xdr:rowOff>104775</xdr:rowOff>
              </to>
            </anchor>
          </objectPr>
        </oleObject>
      </mc:Choice>
      <mc:Fallback>
        <oleObject progId="Equation.3" shapeId="29028" r:id="rId265"/>
      </mc:Fallback>
    </mc:AlternateContent>
    <mc:AlternateContent xmlns:mc="http://schemas.openxmlformats.org/markup-compatibility/2006">
      <mc:Choice Requires="x14">
        <oleObject progId="Equation.3" shapeId="29029" r:id="rId266">
          <objectPr defaultSize="0" autoPict="0" r:id="rId8">
            <anchor moveWithCells="1">
              <from>
                <xdr:col>0</xdr:col>
                <xdr:colOff>28575</xdr:colOff>
                <xdr:row>173</xdr:row>
                <xdr:rowOff>76200</xdr:rowOff>
              </from>
              <to>
                <xdr:col>1</xdr:col>
                <xdr:colOff>200025</xdr:colOff>
                <xdr:row>174</xdr:row>
                <xdr:rowOff>180975</xdr:rowOff>
              </to>
            </anchor>
          </objectPr>
        </oleObject>
      </mc:Choice>
      <mc:Fallback>
        <oleObject progId="Equation.3" shapeId="29029" r:id="rId266"/>
      </mc:Fallback>
    </mc:AlternateContent>
    <mc:AlternateContent xmlns:mc="http://schemas.openxmlformats.org/markup-compatibility/2006">
      <mc:Choice Requires="x14">
        <oleObject progId="Equation.3" shapeId="29030" r:id="rId267">
          <objectPr defaultSize="0" autoPict="0" r:id="rId4">
            <anchor moveWithCells="1">
              <from>
                <xdr:col>0</xdr:col>
                <xdr:colOff>238125</xdr:colOff>
                <xdr:row>191</xdr:row>
                <xdr:rowOff>19050</xdr:rowOff>
              </from>
              <to>
                <xdr:col>2</xdr:col>
                <xdr:colOff>133350</xdr:colOff>
                <xdr:row>192</xdr:row>
                <xdr:rowOff>161925</xdr:rowOff>
              </to>
            </anchor>
          </objectPr>
        </oleObject>
      </mc:Choice>
      <mc:Fallback>
        <oleObject progId="Equation.3" shapeId="29030" r:id="rId267"/>
      </mc:Fallback>
    </mc:AlternateContent>
    <mc:AlternateContent xmlns:mc="http://schemas.openxmlformats.org/markup-compatibility/2006">
      <mc:Choice Requires="x14">
        <oleObject progId="Equation.3" shapeId="29031" r:id="rId268">
          <objectPr defaultSize="0" autoPict="0" r:id="rId6">
            <anchor moveWithCells="1">
              <from>
                <xdr:col>0</xdr:col>
                <xdr:colOff>219075</xdr:colOff>
                <xdr:row>194</xdr:row>
                <xdr:rowOff>0</xdr:rowOff>
              </from>
              <to>
                <xdr:col>1</xdr:col>
                <xdr:colOff>647700</xdr:colOff>
                <xdr:row>196</xdr:row>
                <xdr:rowOff>104775</xdr:rowOff>
              </to>
            </anchor>
          </objectPr>
        </oleObject>
      </mc:Choice>
      <mc:Fallback>
        <oleObject progId="Equation.3" shapeId="29031" r:id="rId268"/>
      </mc:Fallback>
    </mc:AlternateContent>
    <mc:AlternateContent xmlns:mc="http://schemas.openxmlformats.org/markup-compatibility/2006">
      <mc:Choice Requires="x14">
        <oleObject progId="Equation.3" shapeId="29032" r:id="rId269">
          <objectPr defaultSize="0" autoPict="0" r:id="rId8">
            <anchor moveWithCells="1">
              <from>
                <xdr:col>0</xdr:col>
                <xdr:colOff>28575</xdr:colOff>
                <xdr:row>198</xdr:row>
                <xdr:rowOff>76200</xdr:rowOff>
              </from>
              <to>
                <xdr:col>1</xdr:col>
                <xdr:colOff>200025</xdr:colOff>
                <xdr:row>199</xdr:row>
                <xdr:rowOff>180975</xdr:rowOff>
              </to>
            </anchor>
          </objectPr>
        </oleObject>
      </mc:Choice>
      <mc:Fallback>
        <oleObject progId="Equation.3" shapeId="29032" r:id="rId269"/>
      </mc:Fallback>
    </mc:AlternateContent>
    <mc:AlternateContent xmlns:mc="http://schemas.openxmlformats.org/markup-compatibility/2006">
      <mc:Choice Requires="x14">
        <oleObject progId="Equation.3" shapeId="29033" r:id="rId270">
          <objectPr defaultSize="0" autoPict="0" r:id="rId6">
            <anchor moveWithCells="1">
              <from>
                <xdr:col>0</xdr:col>
                <xdr:colOff>219075</xdr:colOff>
                <xdr:row>219</xdr:row>
                <xdr:rowOff>0</xdr:rowOff>
              </from>
              <to>
                <xdr:col>1</xdr:col>
                <xdr:colOff>647700</xdr:colOff>
                <xdr:row>221</xdr:row>
                <xdr:rowOff>104775</xdr:rowOff>
              </to>
            </anchor>
          </objectPr>
        </oleObject>
      </mc:Choice>
      <mc:Fallback>
        <oleObject progId="Equation.3" shapeId="29033" r:id="rId270"/>
      </mc:Fallback>
    </mc:AlternateContent>
    <mc:AlternateContent xmlns:mc="http://schemas.openxmlformats.org/markup-compatibility/2006">
      <mc:Choice Requires="x14">
        <oleObject progId="Equation.3" shapeId="29034" r:id="rId271">
          <objectPr defaultSize="0" autoPict="0" r:id="rId8">
            <anchor moveWithCells="1">
              <from>
                <xdr:col>0</xdr:col>
                <xdr:colOff>28575</xdr:colOff>
                <xdr:row>223</xdr:row>
                <xdr:rowOff>76200</xdr:rowOff>
              </from>
              <to>
                <xdr:col>1</xdr:col>
                <xdr:colOff>200025</xdr:colOff>
                <xdr:row>224</xdr:row>
                <xdr:rowOff>180975</xdr:rowOff>
              </to>
            </anchor>
          </objectPr>
        </oleObject>
      </mc:Choice>
      <mc:Fallback>
        <oleObject progId="Equation.3" shapeId="29034" r:id="rId271"/>
      </mc:Fallback>
    </mc:AlternateContent>
    <mc:AlternateContent xmlns:mc="http://schemas.openxmlformats.org/markup-compatibility/2006">
      <mc:Choice Requires="x14">
        <oleObject progId="Equation.3" shapeId="29035" r:id="rId272">
          <objectPr defaultSize="0" autoPict="0" r:id="rId23">
            <anchor moveWithCells="1">
              <from>
                <xdr:col>0</xdr:col>
                <xdr:colOff>238125</xdr:colOff>
                <xdr:row>216</xdr:row>
                <xdr:rowOff>19050</xdr:rowOff>
              </from>
              <to>
                <xdr:col>2</xdr:col>
                <xdr:colOff>133350</xdr:colOff>
                <xdr:row>217</xdr:row>
                <xdr:rowOff>161925</xdr:rowOff>
              </to>
            </anchor>
          </objectPr>
        </oleObject>
      </mc:Choice>
      <mc:Fallback>
        <oleObject progId="Equation.3" shapeId="29035" r:id="rId272"/>
      </mc:Fallback>
    </mc:AlternateContent>
    <mc:AlternateContent xmlns:mc="http://schemas.openxmlformats.org/markup-compatibility/2006">
      <mc:Choice Requires="x14">
        <oleObject progId="Equation.3" shapeId="29036" r:id="rId273">
          <objectPr defaultSize="0" autoPict="0" r:id="rId4">
            <anchor moveWithCells="1">
              <from>
                <xdr:col>0</xdr:col>
                <xdr:colOff>238125</xdr:colOff>
                <xdr:row>2315</xdr:row>
                <xdr:rowOff>19050</xdr:rowOff>
              </from>
              <to>
                <xdr:col>2</xdr:col>
                <xdr:colOff>133350</xdr:colOff>
                <xdr:row>2316</xdr:row>
                <xdr:rowOff>161925</xdr:rowOff>
              </to>
            </anchor>
          </objectPr>
        </oleObject>
      </mc:Choice>
      <mc:Fallback>
        <oleObject progId="Equation.3" shapeId="29036" r:id="rId273"/>
      </mc:Fallback>
    </mc:AlternateContent>
    <mc:AlternateContent xmlns:mc="http://schemas.openxmlformats.org/markup-compatibility/2006">
      <mc:Choice Requires="x14">
        <oleObject progId="Equation.3" shapeId="29037" r:id="rId274">
          <objectPr defaultSize="0" autoPict="0" r:id="rId6">
            <anchor moveWithCells="1">
              <from>
                <xdr:col>0</xdr:col>
                <xdr:colOff>219075</xdr:colOff>
                <xdr:row>2318</xdr:row>
                <xdr:rowOff>0</xdr:rowOff>
              </from>
              <to>
                <xdr:col>1</xdr:col>
                <xdr:colOff>647700</xdr:colOff>
                <xdr:row>2320</xdr:row>
                <xdr:rowOff>104775</xdr:rowOff>
              </to>
            </anchor>
          </objectPr>
        </oleObject>
      </mc:Choice>
      <mc:Fallback>
        <oleObject progId="Equation.3" shapeId="29037" r:id="rId274"/>
      </mc:Fallback>
    </mc:AlternateContent>
    <mc:AlternateContent xmlns:mc="http://schemas.openxmlformats.org/markup-compatibility/2006">
      <mc:Choice Requires="x14">
        <oleObject progId="Equation.3" shapeId="29038" r:id="rId275">
          <objectPr defaultSize="0" autoPict="0" r:id="rId8">
            <anchor moveWithCells="1">
              <from>
                <xdr:col>0</xdr:col>
                <xdr:colOff>28575</xdr:colOff>
                <xdr:row>2322</xdr:row>
                <xdr:rowOff>76200</xdr:rowOff>
              </from>
              <to>
                <xdr:col>1</xdr:col>
                <xdr:colOff>200025</xdr:colOff>
                <xdr:row>2323</xdr:row>
                <xdr:rowOff>180975</xdr:rowOff>
              </to>
            </anchor>
          </objectPr>
        </oleObject>
      </mc:Choice>
      <mc:Fallback>
        <oleObject progId="Equation.3" shapeId="29038" r:id="rId275"/>
      </mc:Fallback>
    </mc:AlternateContent>
    <mc:AlternateContent xmlns:mc="http://schemas.openxmlformats.org/markup-compatibility/2006">
      <mc:Choice Requires="x14">
        <oleObject progId="Equation.3" shapeId="29039" r:id="rId276">
          <objectPr defaultSize="0" autoPict="0" r:id="rId4">
            <anchor moveWithCells="1">
              <from>
                <xdr:col>0</xdr:col>
                <xdr:colOff>238125</xdr:colOff>
                <xdr:row>2366</xdr:row>
                <xdr:rowOff>19050</xdr:rowOff>
              </from>
              <to>
                <xdr:col>2</xdr:col>
                <xdr:colOff>133350</xdr:colOff>
                <xdr:row>2367</xdr:row>
                <xdr:rowOff>161925</xdr:rowOff>
              </to>
            </anchor>
          </objectPr>
        </oleObject>
      </mc:Choice>
      <mc:Fallback>
        <oleObject progId="Equation.3" shapeId="29039" r:id="rId276"/>
      </mc:Fallback>
    </mc:AlternateContent>
    <mc:AlternateContent xmlns:mc="http://schemas.openxmlformats.org/markup-compatibility/2006">
      <mc:Choice Requires="x14">
        <oleObject progId="Equation.3" shapeId="29040" r:id="rId277">
          <objectPr defaultSize="0" autoPict="0" r:id="rId6">
            <anchor moveWithCells="1">
              <from>
                <xdr:col>0</xdr:col>
                <xdr:colOff>219075</xdr:colOff>
                <xdr:row>2369</xdr:row>
                <xdr:rowOff>0</xdr:rowOff>
              </from>
              <to>
                <xdr:col>1</xdr:col>
                <xdr:colOff>647700</xdr:colOff>
                <xdr:row>2371</xdr:row>
                <xdr:rowOff>104775</xdr:rowOff>
              </to>
            </anchor>
          </objectPr>
        </oleObject>
      </mc:Choice>
      <mc:Fallback>
        <oleObject progId="Equation.3" shapeId="29040" r:id="rId277"/>
      </mc:Fallback>
    </mc:AlternateContent>
    <mc:AlternateContent xmlns:mc="http://schemas.openxmlformats.org/markup-compatibility/2006">
      <mc:Choice Requires="x14">
        <oleObject progId="Equation.3" shapeId="29041" r:id="rId278">
          <objectPr defaultSize="0" autoPict="0" r:id="rId8">
            <anchor moveWithCells="1">
              <from>
                <xdr:col>0</xdr:col>
                <xdr:colOff>28575</xdr:colOff>
                <xdr:row>2373</xdr:row>
                <xdr:rowOff>76200</xdr:rowOff>
              </from>
              <to>
                <xdr:col>1</xdr:col>
                <xdr:colOff>200025</xdr:colOff>
                <xdr:row>2374</xdr:row>
                <xdr:rowOff>180975</xdr:rowOff>
              </to>
            </anchor>
          </objectPr>
        </oleObject>
      </mc:Choice>
      <mc:Fallback>
        <oleObject progId="Equation.3" shapeId="29041" r:id="rId278"/>
      </mc:Fallback>
    </mc:AlternateContent>
    <mc:AlternateContent xmlns:mc="http://schemas.openxmlformats.org/markup-compatibility/2006">
      <mc:Choice Requires="x14">
        <oleObject progId="Equation.3" shapeId="29042" r:id="rId279">
          <objectPr defaultSize="0" autoPict="0" r:id="rId216">
            <anchor moveWithCells="1">
              <from>
                <xdr:col>0</xdr:col>
                <xdr:colOff>238125</xdr:colOff>
                <xdr:row>2290</xdr:row>
                <xdr:rowOff>19050</xdr:rowOff>
              </from>
              <to>
                <xdr:col>2</xdr:col>
                <xdr:colOff>133350</xdr:colOff>
                <xdr:row>2291</xdr:row>
                <xdr:rowOff>161925</xdr:rowOff>
              </to>
            </anchor>
          </objectPr>
        </oleObject>
      </mc:Choice>
      <mc:Fallback>
        <oleObject progId="Equation.3" shapeId="29042" r:id="rId279"/>
      </mc:Fallback>
    </mc:AlternateContent>
    <mc:AlternateContent xmlns:mc="http://schemas.openxmlformats.org/markup-compatibility/2006">
      <mc:Choice Requires="x14">
        <oleObject progId="Equation.3" shapeId="29043" r:id="rId280">
          <objectPr defaultSize="0" autoPict="0" r:id="rId6">
            <anchor moveWithCells="1">
              <from>
                <xdr:col>0</xdr:col>
                <xdr:colOff>219075</xdr:colOff>
                <xdr:row>2293</xdr:row>
                <xdr:rowOff>0</xdr:rowOff>
              </from>
              <to>
                <xdr:col>1</xdr:col>
                <xdr:colOff>647700</xdr:colOff>
                <xdr:row>2295</xdr:row>
                <xdr:rowOff>104775</xdr:rowOff>
              </to>
            </anchor>
          </objectPr>
        </oleObject>
      </mc:Choice>
      <mc:Fallback>
        <oleObject progId="Equation.3" shapeId="29043" r:id="rId280"/>
      </mc:Fallback>
    </mc:AlternateContent>
    <mc:AlternateContent xmlns:mc="http://schemas.openxmlformats.org/markup-compatibility/2006">
      <mc:Choice Requires="x14">
        <oleObject progId="Equation.3" shapeId="29044" r:id="rId281">
          <objectPr defaultSize="0" autoPict="0" r:id="rId8">
            <anchor moveWithCells="1">
              <from>
                <xdr:col>0</xdr:col>
                <xdr:colOff>28575</xdr:colOff>
                <xdr:row>2297</xdr:row>
                <xdr:rowOff>76200</xdr:rowOff>
              </from>
              <to>
                <xdr:col>1</xdr:col>
                <xdr:colOff>200025</xdr:colOff>
                <xdr:row>2298</xdr:row>
                <xdr:rowOff>180975</xdr:rowOff>
              </to>
            </anchor>
          </objectPr>
        </oleObject>
      </mc:Choice>
      <mc:Fallback>
        <oleObject progId="Equation.3" shapeId="29044" r:id="rId281"/>
      </mc:Fallback>
    </mc:AlternateContent>
    <mc:AlternateContent xmlns:mc="http://schemas.openxmlformats.org/markup-compatibility/2006">
      <mc:Choice Requires="x14">
        <oleObject progId="Equation.3" shapeId="29045" r:id="rId282">
          <objectPr defaultSize="0" autoPict="0" r:id="rId216">
            <anchor moveWithCells="1">
              <from>
                <xdr:col>0</xdr:col>
                <xdr:colOff>238125</xdr:colOff>
                <xdr:row>2341</xdr:row>
                <xdr:rowOff>19050</xdr:rowOff>
              </from>
              <to>
                <xdr:col>2</xdr:col>
                <xdr:colOff>133350</xdr:colOff>
                <xdr:row>2342</xdr:row>
                <xdr:rowOff>161925</xdr:rowOff>
              </to>
            </anchor>
          </objectPr>
        </oleObject>
      </mc:Choice>
      <mc:Fallback>
        <oleObject progId="Equation.3" shapeId="29045" r:id="rId282"/>
      </mc:Fallback>
    </mc:AlternateContent>
    <mc:AlternateContent xmlns:mc="http://schemas.openxmlformats.org/markup-compatibility/2006">
      <mc:Choice Requires="x14">
        <oleObject progId="Equation.3" shapeId="29046" r:id="rId283">
          <objectPr defaultSize="0" autoPict="0" r:id="rId6">
            <anchor moveWithCells="1">
              <from>
                <xdr:col>0</xdr:col>
                <xdr:colOff>219075</xdr:colOff>
                <xdr:row>2344</xdr:row>
                <xdr:rowOff>0</xdr:rowOff>
              </from>
              <to>
                <xdr:col>1</xdr:col>
                <xdr:colOff>647700</xdr:colOff>
                <xdr:row>2346</xdr:row>
                <xdr:rowOff>104775</xdr:rowOff>
              </to>
            </anchor>
          </objectPr>
        </oleObject>
      </mc:Choice>
      <mc:Fallback>
        <oleObject progId="Equation.3" shapeId="29046" r:id="rId283"/>
      </mc:Fallback>
    </mc:AlternateContent>
    <mc:AlternateContent xmlns:mc="http://schemas.openxmlformats.org/markup-compatibility/2006">
      <mc:Choice Requires="x14">
        <oleObject progId="Equation.3" shapeId="29047" r:id="rId284">
          <objectPr defaultSize="0" autoPict="0" r:id="rId8">
            <anchor moveWithCells="1">
              <from>
                <xdr:col>0</xdr:col>
                <xdr:colOff>28575</xdr:colOff>
                <xdr:row>2348</xdr:row>
                <xdr:rowOff>76200</xdr:rowOff>
              </from>
              <to>
                <xdr:col>1</xdr:col>
                <xdr:colOff>200025</xdr:colOff>
                <xdr:row>2349</xdr:row>
                <xdr:rowOff>180975</xdr:rowOff>
              </to>
            </anchor>
          </objectPr>
        </oleObject>
      </mc:Choice>
      <mc:Fallback>
        <oleObject progId="Equation.3" shapeId="29047" r:id="rId284"/>
      </mc:Fallback>
    </mc:AlternateContent>
    <mc:AlternateContent xmlns:mc="http://schemas.openxmlformats.org/markup-compatibility/2006">
      <mc:Choice Requires="x14">
        <oleObject progId="Equation.3" shapeId="29048" r:id="rId285">
          <objectPr defaultSize="0" autoPict="0" r:id="rId6">
            <anchor moveWithCells="1">
              <from>
                <xdr:col>0</xdr:col>
                <xdr:colOff>219075</xdr:colOff>
                <xdr:row>345</xdr:row>
                <xdr:rowOff>0</xdr:rowOff>
              </from>
              <to>
                <xdr:col>1</xdr:col>
                <xdr:colOff>647700</xdr:colOff>
                <xdr:row>347</xdr:row>
                <xdr:rowOff>104775</xdr:rowOff>
              </to>
            </anchor>
          </objectPr>
        </oleObject>
      </mc:Choice>
      <mc:Fallback>
        <oleObject progId="Equation.3" shapeId="29048" r:id="rId285"/>
      </mc:Fallback>
    </mc:AlternateContent>
    <mc:AlternateContent xmlns:mc="http://schemas.openxmlformats.org/markup-compatibility/2006">
      <mc:Choice Requires="x14">
        <oleObject progId="Equation.3" shapeId="29049" r:id="rId286">
          <objectPr defaultSize="0" autoPict="0" r:id="rId8">
            <anchor moveWithCells="1">
              <from>
                <xdr:col>0</xdr:col>
                <xdr:colOff>28575</xdr:colOff>
                <xdr:row>349</xdr:row>
                <xdr:rowOff>76200</xdr:rowOff>
              </from>
              <to>
                <xdr:col>1</xdr:col>
                <xdr:colOff>200025</xdr:colOff>
                <xdr:row>350</xdr:row>
                <xdr:rowOff>180975</xdr:rowOff>
              </to>
            </anchor>
          </objectPr>
        </oleObject>
      </mc:Choice>
      <mc:Fallback>
        <oleObject progId="Equation.3" shapeId="29049" r:id="rId286"/>
      </mc:Fallback>
    </mc:AlternateContent>
    <mc:AlternateContent xmlns:mc="http://schemas.openxmlformats.org/markup-compatibility/2006">
      <mc:Choice Requires="x14">
        <oleObject progId="Equation.3" shapeId="29050" r:id="rId287">
          <objectPr defaultSize="0" autoPict="0" r:id="rId23">
            <anchor moveWithCells="1">
              <from>
                <xdr:col>0</xdr:col>
                <xdr:colOff>238125</xdr:colOff>
                <xdr:row>342</xdr:row>
                <xdr:rowOff>19050</xdr:rowOff>
              </from>
              <to>
                <xdr:col>2</xdr:col>
                <xdr:colOff>133350</xdr:colOff>
                <xdr:row>343</xdr:row>
                <xdr:rowOff>161925</xdr:rowOff>
              </to>
            </anchor>
          </objectPr>
        </oleObject>
      </mc:Choice>
      <mc:Fallback>
        <oleObject progId="Equation.3" shapeId="29050" r:id="rId287"/>
      </mc:Fallback>
    </mc:AlternateContent>
    <mc:AlternateContent xmlns:mc="http://schemas.openxmlformats.org/markup-compatibility/2006">
      <mc:Choice Requires="x14">
        <oleObject progId="Equation.3" shapeId="29051" r:id="rId288">
          <objectPr defaultSize="0" autoPict="0" r:id="rId4">
            <anchor moveWithCells="1">
              <from>
                <xdr:col>0</xdr:col>
                <xdr:colOff>238125</xdr:colOff>
                <xdr:row>16</xdr:row>
                <xdr:rowOff>19050</xdr:rowOff>
              </from>
              <to>
                <xdr:col>2</xdr:col>
                <xdr:colOff>133350</xdr:colOff>
                <xdr:row>17</xdr:row>
                <xdr:rowOff>161925</xdr:rowOff>
              </to>
            </anchor>
          </objectPr>
        </oleObject>
      </mc:Choice>
      <mc:Fallback>
        <oleObject progId="Equation.3" shapeId="29051" r:id="rId288"/>
      </mc:Fallback>
    </mc:AlternateContent>
    <mc:AlternateContent xmlns:mc="http://schemas.openxmlformats.org/markup-compatibility/2006">
      <mc:Choice Requires="x14">
        <oleObject progId="Equation.3" shapeId="29052" r:id="rId289">
          <objectPr defaultSize="0" autoPict="0" r:id="rId6">
            <anchor moveWithCells="1">
              <from>
                <xdr:col>0</xdr:col>
                <xdr:colOff>219075</xdr:colOff>
                <xdr:row>19</xdr:row>
                <xdr:rowOff>0</xdr:rowOff>
              </from>
              <to>
                <xdr:col>1</xdr:col>
                <xdr:colOff>647700</xdr:colOff>
                <xdr:row>21</xdr:row>
                <xdr:rowOff>104775</xdr:rowOff>
              </to>
            </anchor>
          </objectPr>
        </oleObject>
      </mc:Choice>
      <mc:Fallback>
        <oleObject progId="Equation.3" shapeId="29052" r:id="rId289"/>
      </mc:Fallback>
    </mc:AlternateContent>
    <mc:AlternateContent xmlns:mc="http://schemas.openxmlformats.org/markup-compatibility/2006">
      <mc:Choice Requires="x14">
        <oleObject progId="Equation.3" shapeId="29053" r:id="rId290">
          <objectPr defaultSize="0" autoPict="0" r:id="rId8">
            <anchor moveWithCells="1">
              <from>
                <xdr:col>0</xdr:col>
                <xdr:colOff>28575</xdr:colOff>
                <xdr:row>23</xdr:row>
                <xdr:rowOff>76200</xdr:rowOff>
              </from>
              <to>
                <xdr:col>1</xdr:col>
                <xdr:colOff>200025</xdr:colOff>
                <xdr:row>24</xdr:row>
                <xdr:rowOff>180975</xdr:rowOff>
              </to>
            </anchor>
          </objectPr>
        </oleObject>
      </mc:Choice>
      <mc:Fallback>
        <oleObject progId="Equation.3" shapeId="29053" r:id="rId290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313"/>
  <sheetViews>
    <sheetView topLeftCell="A7" zoomScale="86" zoomScaleNormal="86" workbookViewId="0">
      <selection activeCell="F30" sqref="F30"/>
    </sheetView>
  </sheetViews>
  <sheetFormatPr baseColWidth="10" defaultRowHeight="15" x14ac:dyDescent="0.25"/>
  <cols>
    <col min="1" max="1" width="15.140625" customWidth="1"/>
    <col min="2" max="2" width="15.7109375" customWidth="1"/>
    <col min="3" max="3" width="14.28515625" customWidth="1"/>
  </cols>
  <sheetData>
    <row r="2" spans="1:6" ht="15.75" x14ac:dyDescent="0.25">
      <c r="A2" s="95" t="s">
        <v>61</v>
      </c>
      <c r="B2" s="98"/>
      <c r="C2" s="98"/>
      <c r="D2" s="98"/>
      <c r="E2" s="98"/>
      <c r="F2" s="98"/>
    </row>
    <row r="3" spans="1:6" ht="15.75" x14ac:dyDescent="0.25">
      <c r="A3" s="95" t="s">
        <v>55</v>
      </c>
      <c r="B3" s="98"/>
      <c r="C3" s="98"/>
      <c r="D3" s="98"/>
      <c r="E3" s="98"/>
      <c r="F3" s="98"/>
    </row>
    <row r="4" spans="1:6" x14ac:dyDescent="0.25">
      <c r="A4" t="s">
        <v>22</v>
      </c>
    </row>
    <row r="5" spans="1:6" x14ac:dyDescent="0.25">
      <c r="C5" t="s">
        <v>23</v>
      </c>
    </row>
    <row r="6" spans="1:6" x14ac:dyDescent="0.25">
      <c r="C6" t="s">
        <v>24</v>
      </c>
    </row>
    <row r="7" spans="1:6" x14ac:dyDescent="0.25">
      <c r="C7" t="s">
        <v>28</v>
      </c>
    </row>
    <row r="8" spans="1:6" x14ac:dyDescent="0.25">
      <c r="C8" t="s">
        <v>25</v>
      </c>
    </row>
    <row r="9" spans="1:6" x14ac:dyDescent="0.25">
      <c r="C9" t="s">
        <v>26</v>
      </c>
    </row>
    <row r="11" spans="1:6" x14ac:dyDescent="0.25">
      <c r="B11" t="s">
        <v>27</v>
      </c>
      <c r="C11" s="22">
        <f>'CUADRO DE CARGAS'!L16</f>
        <v>22.480985701247338</v>
      </c>
      <c r="D11" t="s">
        <v>29</v>
      </c>
      <c r="E11" t="s">
        <v>30</v>
      </c>
    </row>
    <row r="12" spans="1:6" x14ac:dyDescent="0.25">
      <c r="B12" s="23" t="s">
        <v>44</v>
      </c>
      <c r="C12" s="33">
        <f>1.25*C11</f>
        <v>28.101232126559172</v>
      </c>
      <c r="D12" s="23" t="s">
        <v>29</v>
      </c>
      <c r="E12" t="s">
        <v>51</v>
      </c>
    </row>
    <row r="13" spans="1:6" x14ac:dyDescent="0.25">
      <c r="B13" s="24" t="s">
        <v>31</v>
      </c>
      <c r="C13" s="24">
        <v>10</v>
      </c>
      <c r="D13" s="24" t="s">
        <v>32</v>
      </c>
    </row>
    <row r="14" spans="1:6" x14ac:dyDescent="0.25">
      <c r="A14" t="s">
        <v>52</v>
      </c>
    </row>
    <row r="15" spans="1:6" x14ac:dyDescent="0.25">
      <c r="B15" s="23" t="s">
        <v>36</v>
      </c>
      <c r="C15" s="23">
        <v>25</v>
      </c>
      <c r="D15" s="23" t="s">
        <v>37</v>
      </c>
      <c r="E15" s="32"/>
    </row>
    <row r="16" spans="1:6" x14ac:dyDescent="0.25">
      <c r="A16" t="s">
        <v>53</v>
      </c>
    </row>
    <row r="19" spans="1:7" x14ac:dyDescent="0.25">
      <c r="A19" t="s">
        <v>23</v>
      </c>
    </row>
    <row r="20" spans="1:7" x14ac:dyDescent="0.25">
      <c r="C20" t="s">
        <v>35</v>
      </c>
      <c r="E20">
        <v>1.7999999999999999E-2</v>
      </c>
    </row>
    <row r="21" spans="1:7" x14ac:dyDescent="0.25">
      <c r="C21" t="s">
        <v>34</v>
      </c>
      <c r="D21">
        <f>E20*C15/C13</f>
        <v>4.4999999999999998E-2</v>
      </c>
    </row>
    <row r="23" spans="1:7" x14ac:dyDescent="0.25">
      <c r="A23" t="s">
        <v>33</v>
      </c>
    </row>
    <row r="25" spans="1:7" x14ac:dyDescent="0.25">
      <c r="B25" s="38">
        <f>1.732*C12*D21*0.9</f>
        <v>1.9711890287496194</v>
      </c>
      <c r="C25" t="s">
        <v>38</v>
      </c>
      <c r="D25" s="24" t="s">
        <v>39</v>
      </c>
    </row>
    <row r="27" spans="1:7" ht="15.75" x14ac:dyDescent="0.25">
      <c r="A27" s="95" t="s">
        <v>54</v>
      </c>
      <c r="B27" s="98"/>
      <c r="C27" s="98"/>
      <c r="D27" s="98"/>
      <c r="E27" s="98"/>
      <c r="F27" s="98"/>
    </row>
    <row r="28" spans="1:7" x14ac:dyDescent="0.25">
      <c r="A28" t="s">
        <v>22</v>
      </c>
    </row>
    <row r="29" spans="1:7" x14ac:dyDescent="0.25">
      <c r="C29" t="s">
        <v>23</v>
      </c>
    </row>
    <row r="30" spans="1:7" x14ac:dyDescent="0.25">
      <c r="C30" t="s">
        <v>24</v>
      </c>
    </row>
    <row r="31" spans="1:7" x14ac:dyDescent="0.25">
      <c r="C31" t="s">
        <v>28</v>
      </c>
    </row>
    <row r="32" spans="1:7" x14ac:dyDescent="0.25">
      <c r="C32" t="s">
        <v>25</v>
      </c>
      <c r="G32" t="s">
        <v>114</v>
      </c>
    </row>
    <row r="33" spans="1:8" x14ac:dyDescent="0.25">
      <c r="C33" t="s">
        <v>26</v>
      </c>
    </row>
    <row r="35" spans="1:8" x14ac:dyDescent="0.25">
      <c r="B35" t="s">
        <v>27</v>
      </c>
      <c r="C35" s="22">
        <f>'CUADRO DE CARGAS'!L31</f>
        <v>26.93793732887131</v>
      </c>
      <c r="D35" t="s">
        <v>29</v>
      </c>
      <c r="E35" t="s">
        <v>30</v>
      </c>
    </row>
    <row r="36" spans="1:8" x14ac:dyDescent="0.25">
      <c r="B36" s="23" t="s">
        <v>44</v>
      </c>
      <c r="C36" s="33">
        <f>1.25*C35</f>
        <v>33.672421661089139</v>
      </c>
      <c r="D36" s="23" t="s">
        <v>29</v>
      </c>
      <c r="E36" t="s">
        <v>51</v>
      </c>
    </row>
    <row r="37" spans="1:8" x14ac:dyDescent="0.25">
      <c r="B37" s="24" t="s">
        <v>31</v>
      </c>
      <c r="C37" s="24">
        <v>10</v>
      </c>
      <c r="D37" s="24" t="s">
        <v>32</v>
      </c>
    </row>
    <row r="38" spans="1:8" x14ac:dyDescent="0.25">
      <c r="A38" t="s">
        <v>52</v>
      </c>
    </row>
    <row r="39" spans="1:8" x14ac:dyDescent="0.25">
      <c r="B39" s="23" t="s">
        <v>36</v>
      </c>
      <c r="C39" s="23">
        <v>34.799999999999997</v>
      </c>
      <c r="D39" s="23" t="s">
        <v>37</v>
      </c>
      <c r="E39" s="32"/>
    </row>
    <row r="40" spans="1:8" x14ac:dyDescent="0.25">
      <c r="A40" t="s">
        <v>53</v>
      </c>
    </row>
    <row r="43" spans="1:8" x14ac:dyDescent="0.25">
      <c r="A43" t="s">
        <v>23</v>
      </c>
    </row>
    <row r="44" spans="1:8" x14ac:dyDescent="0.25">
      <c r="C44" t="s">
        <v>35</v>
      </c>
      <c r="E44">
        <v>1.7999999999999999E-2</v>
      </c>
    </row>
    <row r="45" spans="1:8" x14ac:dyDescent="0.25">
      <c r="C45" t="s">
        <v>34</v>
      </c>
      <c r="D45">
        <f>E44*C39/C37</f>
        <v>6.2640000000000001E-2</v>
      </c>
      <c r="H45" t="s">
        <v>114</v>
      </c>
    </row>
    <row r="47" spans="1:8" x14ac:dyDescent="0.25">
      <c r="A47" t="s">
        <v>33</v>
      </c>
    </row>
    <row r="49" spans="1:6" x14ac:dyDescent="0.25">
      <c r="B49" s="38">
        <f>1.732*C36*D45*0.9</f>
        <v>3.2878840802555525</v>
      </c>
      <c r="C49" t="s">
        <v>38</v>
      </c>
      <c r="D49" s="24" t="s">
        <v>39</v>
      </c>
    </row>
    <row r="51" spans="1:6" ht="15.75" x14ac:dyDescent="0.25">
      <c r="A51" s="95" t="s">
        <v>56</v>
      </c>
      <c r="B51" s="98"/>
      <c r="C51" s="98"/>
      <c r="D51" s="98"/>
      <c r="E51" s="98"/>
      <c r="F51" s="98"/>
    </row>
    <row r="52" spans="1:6" x14ac:dyDescent="0.25">
      <c r="A52" t="s">
        <v>22</v>
      </c>
    </row>
    <row r="53" spans="1:6" x14ac:dyDescent="0.25">
      <c r="C53" t="s">
        <v>23</v>
      </c>
    </row>
    <row r="54" spans="1:6" x14ac:dyDescent="0.25">
      <c r="C54" t="s">
        <v>24</v>
      </c>
    </row>
    <row r="55" spans="1:6" x14ac:dyDescent="0.25">
      <c r="C55" t="s">
        <v>28</v>
      </c>
    </row>
    <row r="56" spans="1:6" x14ac:dyDescent="0.25">
      <c r="C56" t="s">
        <v>25</v>
      </c>
    </row>
    <row r="57" spans="1:6" x14ac:dyDescent="0.25">
      <c r="C57" t="s">
        <v>26</v>
      </c>
    </row>
    <row r="59" spans="1:6" x14ac:dyDescent="0.25">
      <c r="B59" t="s">
        <v>27</v>
      </c>
      <c r="C59" s="22">
        <f>'CUADRO DE CARGAS'!L40</f>
        <v>16.452692424703379</v>
      </c>
      <c r="D59" t="s">
        <v>29</v>
      </c>
      <c r="E59" t="s">
        <v>30</v>
      </c>
    </row>
    <row r="60" spans="1:6" x14ac:dyDescent="0.25">
      <c r="B60" s="23" t="s">
        <v>44</v>
      </c>
      <c r="C60" s="33">
        <f>1.25*C59</f>
        <v>20.565865530879222</v>
      </c>
      <c r="D60" s="23" t="s">
        <v>29</v>
      </c>
      <c r="E60" t="s">
        <v>51</v>
      </c>
    </row>
    <row r="61" spans="1:6" x14ac:dyDescent="0.25">
      <c r="B61" s="24" t="s">
        <v>31</v>
      </c>
      <c r="C61" s="24">
        <v>10</v>
      </c>
      <c r="D61" s="24" t="s">
        <v>32</v>
      </c>
    </row>
    <row r="62" spans="1:6" x14ac:dyDescent="0.25">
      <c r="A62" t="s">
        <v>52</v>
      </c>
    </row>
    <row r="63" spans="1:6" x14ac:dyDescent="0.25">
      <c r="B63" s="23" t="s">
        <v>36</v>
      </c>
      <c r="C63" s="23">
        <v>32.799999999999997</v>
      </c>
      <c r="D63" s="23" t="s">
        <v>37</v>
      </c>
      <c r="E63" s="32"/>
    </row>
    <row r="64" spans="1:6" x14ac:dyDescent="0.25">
      <c r="A64" t="s">
        <v>53</v>
      </c>
    </row>
    <row r="67" spans="1:6" x14ac:dyDescent="0.25">
      <c r="A67" t="s">
        <v>23</v>
      </c>
    </row>
    <row r="68" spans="1:6" x14ac:dyDescent="0.25">
      <c r="C68" t="s">
        <v>35</v>
      </c>
      <c r="E68">
        <v>1.7999999999999999E-2</v>
      </c>
    </row>
    <row r="69" spans="1:6" x14ac:dyDescent="0.25">
      <c r="C69" t="s">
        <v>34</v>
      </c>
      <c r="D69">
        <f>E68*C63/C61</f>
        <v>5.9039999999999995E-2</v>
      </c>
    </row>
    <row r="71" spans="1:6" x14ac:dyDescent="0.25">
      <c r="A71" t="s">
        <v>33</v>
      </c>
    </row>
    <row r="73" spans="1:6" x14ac:dyDescent="0.25">
      <c r="B73" s="38">
        <f>1.732*C60*D69*0.9</f>
        <v>1.8927085230301186</v>
      </c>
      <c r="C73" t="s">
        <v>38</v>
      </c>
      <c r="D73" s="24" t="s">
        <v>39</v>
      </c>
    </row>
    <row r="75" spans="1:6" ht="15.75" x14ac:dyDescent="0.25">
      <c r="A75" s="95" t="s">
        <v>57</v>
      </c>
      <c r="B75" s="98"/>
      <c r="C75" s="98"/>
      <c r="D75" s="98"/>
      <c r="E75" s="98"/>
      <c r="F75" s="98"/>
    </row>
    <row r="76" spans="1:6" x14ac:dyDescent="0.25">
      <c r="A76" t="s">
        <v>22</v>
      </c>
    </row>
    <row r="77" spans="1:6" x14ac:dyDescent="0.25">
      <c r="C77" t="s">
        <v>23</v>
      </c>
    </row>
    <row r="78" spans="1:6" x14ac:dyDescent="0.25">
      <c r="C78" t="s">
        <v>24</v>
      </c>
    </row>
    <row r="79" spans="1:6" x14ac:dyDescent="0.25">
      <c r="C79" t="s">
        <v>28</v>
      </c>
    </row>
    <row r="80" spans="1:6" x14ac:dyDescent="0.25">
      <c r="C80" t="s">
        <v>25</v>
      </c>
    </row>
    <row r="81" spans="1:5" x14ac:dyDescent="0.25">
      <c r="C81" t="s">
        <v>26</v>
      </c>
    </row>
    <row r="83" spans="1:5" x14ac:dyDescent="0.25">
      <c r="B83" t="s">
        <v>27</v>
      </c>
      <c r="C83" s="22">
        <f>'CUADRO DE CARGAS'!L48</f>
        <v>18.351080012169152</v>
      </c>
      <c r="D83" t="s">
        <v>29</v>
      </c>
      <c r="E83" t="s">
        <v>30</v>
      </c>
    </row>
    <row r="84" spans="1:5" x14ac:dyDescent="0.25">
      <c r="B84" s="23" t="s">
        <v>44</v>
      </c>
      <c r="C84" s="33">
        <f>1.25*C83</f>
        <v>22.93885001521144</v>
      </c>
      <c r="D84" s="23" t="s">
        <v>29</v>
      </c>
      <c r="E84" t="s">
        <v>51</v>
      </c>
    </row>
    <row r="85" spans="1:5" x14ac:dyDescent="0.25">
      <c r="B85" s="24" t="s">
        <v>31</v>
      </c>
      <c r="C85" s="24">
        <v>10</v>
      </c>
      <c r="D85" s="24" t="s">
        <v>32</v>
      </c>
    </row>
    <row r="86" spans="1:5" x14ac:dyDescent="0.25">
      <c r="A86" t="s">
        <v>52</v>
      </c>
    </row>
    <row r="87" spans="1:5" x14ac:dyDescent="0.25">
      <c r="B87" s="23" t="s">
        <v>36</v>
      </c>
      <c r="C87" s="23">
        <v>39.5</v>
      </c>
      <c r="D87" s="23" t="s">
        <v>37</v>
      </c>
      <c r="E87" s="32"/>
    </row>
    <row r="88" spans="1:5" x14ac:dyDescent="0.25">
      <c r="A88" t="s">
        <v>53</v>
      </c>
    </row>
    <row r="91" spans="1:5" x14ac:dyDescent="0.25">
      <c r="A91" t="s">
        <v>23</v>
      </c>
    </row>
    <row r="92" spans="1:5" x14ac:dyDescent="0.25">
      <c r="C92" t="s">
        <v>35</v>
      </c>
      <c r="E92">
        <v>1.7999999999999999E-2</v>
      </c>
    </row>
    <row r="93" spans="1:5" x14ac:dyDescent="0.25">
      <c r="C93" t="s">
        <v>34</v>
      </c>
      <c r="D93">
        <f>E92*C87/C85</f>
        <v>7.1099999999999997E-2</v>
      </c>
    </row>
    <row r="95" spans="1:5" x14ac:dyDescent="0.25">
      <c r="A95" t="s">
        <v>33</v>
      </c>
    </row>
    <row r="97" spans="1:6" x14ac:dyDescent="0.25">
      <c r="B97" s="38">
        <f>1.732*C84*D93*0.9</f>
        <v>2.5423283456038943</v>
      </c>
      <c r="C97" t="s">
        <v>38</v>
      </c>
      <c r="D97" s="24" t="s">
        <v>39</v>
      </c>
    </row>
    <row r="99" spans="1:6" ht="15.75" x14ac:dyDescent="0.25">
      <c r="A99" s="95" t="s">
        <v>58</v>
      </c>
      <c r="B99" s="98"/>
      <c r="C99" s="98"/>
      <c r="D99" s="98"/>
      <c r="E99" s="98"/>
      <c r="F99" s="98"/>
    </row>
    <row r="100" spans="1:6" x14ac:dyDescent="0.25">
      <c r="A100" t="s">
        <v>22</v>
      </c>
    </row>
    <row r="101" spans="1:6" x14ac:dyDescent="0.25">
      <c r="C101" t="s">
        <v>23</v>
      </c>
    </row>
    <row r="102" spans="1:6" x14ac:dyDescent="0.25">
      <c r="C102" t="s">
        <v>24</v>
      </c>
    </row>
    <row r="103" spans="1:6" x14ac:dyDescent="0.25">
      <c r="C103" t="s">
        <v>28</v>
      </c>
    </row>
    <row r="104" spans="1:6" x14ac:dyDescent="0.25">
      <c r="C104" t="s">
        <v>25</v>
      </c>
    </row>
    <row r="105" spans="1:6" x14ac:dyDescent="0.25">
      <c r="C105" t="s">
        <v>26</v>
      </c>
    </row>
    <row r="107" spans="1:6" x14ac:dyDescent="0.25">
      <c r="B107" t="s">
        <v>27</v>
      </c>
      <c r="C107" s="22">
        <f>'CUADRO DE CARGAS'!L56</f>
        <v>20.308792211743231</v>
      </c>
      <c r="D107" t="s">
        <v>29</v>
      </c>
      <c r="E107" t="s">
        <v>30</v>
      </c>
    </row>
    <row r="108" spans="1:6" x14ac:dyDescent="0.25">
      <c r="B108" s="23" t="s">
        <v>44</v>
      </c>
      <c r="C108" s="33">
        <f>1.25*C107</f>
        <v>25.385990264679037</v>
      </c>
      <c r="D108" s="23" t="s">
        <v>29</v>
      </c>
      <c r="E108" t="s">
        <v>51</v>
      </c>
    </row>
    <row r="109" spans="1:6" x14ac:dyDescent="0.25">
      <c r="B109" s="24" t="s">
        <v>31</v>
      </c>
      <c r="C109" s="24">
        <v>10</v>
      </c>
      <c r="D109" s="24" t="s">
        <v>32</v>
      </c>
    </row>
    <row r="110" spans="1:6" x14ac:dyDescent="0.25">
      <c r="A110" t="s">
        <v>52</v>
      </c>
    </row>
    <row r="111" spans="1:6" x14ac:dyDescent="0.25">
      <c r="B111" s="23" t="s">
        <v>36</v>
      </c>
      <c r="C111" s="23">
        <v>37.5</v>
      </c>
      <c r="D111" s="23" t="s">
        <v>37</v>
      </c>
      <c r="E111" s="32"/>
    </row>
    <row r="112" spans="1:6" x14ac:dyDescent="0.25">
      <c r="A112" t="s">
        <v>53</v>
      </c>
    </row>
    <row r="115" spans="1:6" x14ac:dyDescent="0.25">
      <c r="A115" t="s">
        <v>23</v>
      </c>
    </row>
    <row r="116" spans="1:6" x14ac:dyDescent="0.25">
      <c r="C116" t="s">
        <v>35</v>
      </c>
      <c r="E116">
        <v>1.7999999999999999E-2</v>
      </c>
    </row>
    <row r="117" spans="1:6" x14ac:dyDescent="0.25">
      <c r="C117" t="s">
        <v>34</v>
      </c>
      <c r="D117">
        <f>E116*C111/C109</f>
        <v>6.7499999999999991E-2</v>
      </c>
    </row>
    <row r="119" spans="1:6" x14ac:dyDescent="0.25">
      <c r="A119" t="s">
        <v>33</v>
      </c>
    </row>
    <row r="121" spans="1:6" x14ac:dyDescent="0.25">
      <c r="B121" s="38">
        <f>1.732*C108*D117*0.9</f>
        <v>2.6710885096592634</v>
      </c>
      <c r="C121" t="s">
        <v>38</v>
      </c>
      <c r="D121" s="24" t="s">
        <v>39</v>
      </c>
    </row>
    <row r="123" spans="1:6" ht="15.75" x14ac:dyDescent="0.25">
      <c r="A123" s="95" t="s">
        <v>59</v>
      </c>
      <c r="B123" s="98"/>
      <c r="C123" s="98"/>
      <c r="D123" s="98"/>
      <c r="E123" s="98"/>
      <c r="F123" s="98"/>
    </row>
    <row r="124" spans="1:6" x14ac:dyDescent="0.25">
      <c r="A124" t="s">
        <v>22</v>
      </c>
    </row>
    <row r="125" spans="1:6" x14ac:dyDescent="0.25">
      <c r="C125" t="s">
        <v>23</v>
      </c>
    </row>
    <row r="126" spans="1:6" x14ac:dyDescent="0.25">
      <c r="C126" t="s">
        <v>24</v>
      </c>
    </row>
    <row r="127" spans="1:6" x14ac:dyDescent="0.25">
      <c r="C127" t="s">
        <v>28</v>
      </c>
    </row>
    <row r="128" spans="1:6" x14ac:dyDescent="0.25">
      <c r="C128" t="s">
        <v>25</v>
      </c>
    </row>
    <row r="129" spans="1:5" x14ac:dyDescent="0.25">
      <c r="C129" t="s">
        <v>26</v>
      </c>
    </row>
    <row r="131" spans="1:5" x14ac:dyDescent="0.25">
      <c r="B131" t="s">
        <v>27</v>
      </c>
      <c r="C131" s="22">
        <f>'CUADRO DE CARGAS'!L65</f>
        <v>10.952236081533313</v>
      </c>
      <c r="D131" t="s">
        <v>29</v>
      </c>
      <c r="E131" t="s">
        <v>30</v>
      </c>
    </row>
    <row r="132" spans="1:5" x14ac:dyDescent="0.25">
      <c r="B132" s="23" t="s">
        <v>44</v>
      </c>
      <c r="C132" s="33">
        <f>1.25*C131</f>
        <v>13.690295101916641</v>
      </c>
      <c r="D132" s="23" t="s">
        <v>29</v>
      </c>
      <c r="E132" t="s">
        <v>51</v>
      </c>
    </row>
    <row r="133" spans="1:5" x14ac:dyDescent="0.25">
      <c r="B133" s="24" t="s">
        <v>31</v>
      </c>
      <c r="C133" s="24">
        <v>10</v>
      </c>
      <c r="D133" s="24" t="s">
        <v>32</v>
      </c>
    </row>
    <row r="134" spans="1:5" x14ac:dyDescent="0.25">
      <c r="A134" t="s">
        <v>52</v>
      </c>
    </row>
    <row r="135" spans="1:5" x14ac:dyDescent="0.25">
      <c r="B135" s="23" t="s">
        <v>36</v>
      </c>
      <c r="C135" s="23">
        <v>44</v>
      </c>
      <c r="D135" s="23" t="s">
        <v>37</v>
      </c>
      <c r="E135" s="32"/>
    </row>
    <row r="136" spans="1:5" x14ac:dyDescent="0.25">
      <c r="A136" t="s">
        <v>53</v>
      </c>
    </row>
    <row r="139" spans="1:5" x14ac:dyDescent="0.25">
      <c r="A139" t="s">
        <v>23</v>
      </c>
    </row>
    <row r="140" spans="1:5" x14ac:dyDescent="0.25">
      <c r="C140" t="s">
        <v>35</v>
      </c>
      <c r="E140">
        <v>1.7999999999999999E-2</v>
      </c>
    </row>
    <row r="141" spans="1:5" x14ac:dyDescent="0.25">
      <c r="C141" t="s">
        <v>34</v>
      </c>
      <c r="D141">
        <f>E140*C135/C133</f>
        <v>7.9199999999999993E-2</v>
      </c>
    </row>
    <row r="143" spans="1:5" x14ac:dyDescent="0.25">
      <c r="A143" t="s">
        <v>33</v>
      </c>
    </row>
    <row r="145" spans="1:6" x14ac:dyDescent="0.25">
      <c r="B145" s="38">
        <f>1.732*C132*D141*0.9</f>
        <v>1.6901622147855184</v>
      </c>
      <c r="C145" t="s">
        <v>38</v>
      </c>
      <c r="D145" s="24" t="s">
        <v>39</v>
      </c>
    </row>
    <row r="147" spans="1:6" ht="15.75" x14ac:dyDescent="0.25">
      <c r="A147" s="95" t="s">
        <v>60</v>
      </c>
      <c r="B147" s="98"/>
      <c r="C147" s="98"/>
      <c r="D147" s="98"/>
      <c r="E147" s="98"/>
      <c r="F147" s="98"/>
    </row>
    <row r="148" spans="1:6" x14ac:dyDescent="0.25">
      <c r="A148" t="s">
        <v>22</v>
      </c>
    </row>
    <row r="149" spans="1:6" x14ac:dyDescent="0.25">
      <c r="C149" t="s">
        <v>23</v>
      </c>
    </row>
    <row r="150" spans="1:6" x14ac:dyDescent="0.25">
      <c r="C150" t="s">
        <v>24</v>
      </c>
    </row>
    <row r="151" spans="1:6" x14ac:dyDescent="0.25">
      <c r="C151" t="s">
        <v>28</v>
      </c>
    </row>
    <row r="152" spans="1:6" x14ac:dyDescent="0.25">
      <c r="C152" t="s">
        <v>25</v>
      </c>
    </row>
    <row r="153" spans="1:6" x14ac:dyDescent="0.25">
      <c r="C153" t="s">
        <v>26</v>
      </c>
    </row>
    <row r="154" spans="1:6" ht="14.25" customHeight="1" x14ac:dyDescent="0.25"/>
    <row r="155" spans="1:6" x14ac:dyDescent="0.25">
      <c r="B155" t="s">
        <v>27</v>
      </c>
      <c r="C155" s="22">
        <f>'CUADRO DE CARGAS'!L67</f>
        <v>25.314876787344083</v>
      </c>
      <c r="D155" t="s">
        <v>29</v>
      </c>
      <c r="E155" t="s">
        <v>30</v>
      </c>
    </row>
    <row r="156" spans="1:6" x14ac:dyDescent="0.25">
      <c r="B156" s="23" t="s">
        <v>44</v>
      </c>
      <c r="C156" s="33">
        <f>1.25*C155</f>
        <v>31.643595984180102</v>
      </c>
      <c r="D156" s="23" t="s">
        <v>29</v>
      </c>
      <c r="E156" t="s">
        <v>51</v>
      </c>
    </row>
    <row r="157" spans="1:6" x14ac:dyDescent="0.25">
      <c r="B157" s="24" t="s">
        <v>31</v>
      </c>
      <c r="C157" s="24">
        <v>10</v>
      </c>
      <c r="D157" s="24" t="s">
        <v>32</v>
      </c>
    </row>
    <row r="158" spans="1:6" x14ac:dyDescent="0.25">
      <c r="A158" t="s">
        <v>52</v>
      </c>
      <c r="E158" t="s">
        <v>114</v>
      </c>
    </row>
    <row r="159" spans="1:6" x14ac:dyDescent="0.25">
      <c r="B159" s="23" t="s">
        <v>36</v>
      </c>
      <c r="C159" s="23">
        <v>49</v>
      </c>
      <c r="D159" s="23" t="s">
        <v>37</v>
      </c>
      <c r="E159" s="32"/>
    </row>
    <row r="160" spans="1:6" x14ac:dyDescent="0.25">
      <c r="A160" t="s">
        <v>53</v>
      </c>
    </row>
    <row r="163" spans="1:6" x14ac:dyDescent="0.25">
      <c r="A163" t="s">
        <v>23</v>
      </c>
    </row>
    <row r="164" spans="1:6" x14ac:dyDescent="0.25">
      <c r="C164" t="s">
        <v>35</v>
      </c>
      <c r="E164">
        <v>1.7999999999999999E-2</v>
      </c>
    </row>
    <row r="165" spans="1:6" x14ac:dyDescent="0.25">
      <c r="C165" t="s">
        <v>34</v>
      </c>
      <c r="D165">
        <f>E164*C159/C157</f>
        <v>8.8199999999999987E-2</v>
      </c>
    </row>
    <row r="167" spans="1:6" x14ac:dyDescent="0.25">
      <c r="A167" t="s">
        <v>33</v>
      </c>
    </row>
    <row r="169" spans="1:6" x14ac:dyDescent="0.25">
      <c r="B169" s="38">
        <f>1.732*C156*D165*0.9</f>
        <v>4.3505565004563422</v>
      </c>
      <c r="C169" t="s">
        <v>38</v>
      </c>
      <c r="D169" s="24" t="s">
        <v>39</v>
      </c>
    </row>
    <row r="171" spans="1:6" ht="15.75" x14ac:dyDescent="0.25">
      <c r="A171" s="95" t="s">
        <v>122</v>
      </c>
      <c r="B171" s="98"/>
      <c r="C171" s="98"/>
      <c r="D171" s="98"/>
      <c r="E171" s="98"/>
      <c r="F171" s="98"/>
    </row>
    <row r="172" spans="1:6" x14ac:dyDescent="0.25">
      <c r="A172" t="s">
        <v>22</v>
      </c>
    </row>
    <row r="173" spans="1:6" x14ac:dyDescent="0.25">
      <c r="C173" t="s">
        <v>23</v>
      </c>
    </row>
    <row r="174" spans="1:6" x14ac:dyDescent="0.25">
      <c r="C174" t="s">
        <v>24</v>
      </c>
    </row>
    <row r="175" spans="1:6" x14ac:dyDescent="0.25">
      <c r="C175" t="s">
        <v>28</v>
      </c>
    </row>
    <row r="176" spans="1:6" x14ac:dyDescent="0.25">
      <c r="C176" t="s">
        <v>25</v>
      </c>
    </row>
    <row r="177" spans="1:5" x14ac:dyDescent="0.25">
      <c r="C177" t="s">
        <v>26</v>
      </c>
    </row>
    <row r="179" spans="1:5" x14ac:dyDescent="0.25">
      <c r="B179" t="s">
        <v>27</v>
      </c>
      <c r="C179" s="22">
        <f>'CUADRO DE CARGAS'!L77</f>
        <v>19.916337085488287</v>
      </c>
      <c r="D179" t="s">
        <v>29</v>
      </c>
      <c r="E179" t="s">
        <v>30</v>
      </c>
    </row>
    <row r="180" spans="1:5" x14ac:dyDescent="0.25">
      <c r="B180" s="23" t="s">
        <v>44</v>
      </c>
      <c r="C180" s="33">
        <f>1.25*C179</f>
        <v>24.895421356860361</v>
      </c>
      <c r="D180" s="23" t="s">
        <v>29</v>
      </c>
      <c r="E180" t="s">
        <v>51</v>
      </c>
    </row>
    <row r="181" spans="1:5" x14ac:dyDescent="0.25">
      <c r="B181" s="24" t="s">
        <v>31</v>
      </c>
      <c r="C181" s="24">
        <v>10</v>
      </c>
      <c r="D181" s="24" t="s">
        <v>32</v>
      </c>
    </row>
    <row r="182" spans="1:5" x14ac:dyDescent="0.25">
      <c r="A182" t="s">
        <v>52</v>
      </c>
      <c r="E182" t="s">
        <v>114</v>
      </c>
    </row>
    <row r="183" spans="1:5" x14ac:dyDescent="0.25">
      <c r="B183" s="23" t="s">
        <v>36</v>
      </c>
      <c r="C183" s="23">
        <v>47</v>
      </c>
      <c r="D183" s="23" t="s">
        <v>37</v>
      </c>
      <c r="E183" s="32"/>
    </row>
    <row r="184" spans="1:5" x14ac:dyDescent="0.25">
      <c r="A184" t="s">
        <v>53</v>
      </c>
    </row>
    <row r="187" spans="1:5" x14ac:dyDescent="0.25">
      <c r="A187" t="s">
        <v>23</v>
      </c>
    </row>
    <row r="188" spans="1:5" x14ac:dyDescent="0.25">
      <c r="C188" t="s">
        <v>35</v>
      </c>
      <c r="E188">
        <v>1.7999999999999999E-2</v>
      </c>
    </row>
    <row r="189" spans="1:5" x14ac:dyDescent="0.25">
      <c r="C189" t="s">
        <v>34</v>
      </c>
      <c r="D189">
        <f>E188*C183/C181</f>
        <v>8.4599999999999995E-2</v>
      </c>
    </row>
    <row r="191" spans="1:5" x14ac:dyDescent="0.25">
      <c r="A191" t="s">
        <v>33</v>
      </c>
    </row>
    <row r="193" spans="1:6" x14ac:dyDescent="0.25">
      <c r="B193" s="38">
        <f>1.732*C180*D189*0.9</f>
        <v>3.2830707458168544</v>
      </c>
      <c r="C193" t="s">
        <v>38</v>
      </c>
      <c r="D193" s="24" t="s">
        <v>39</v>
      </c>
    </row>
    <row r="195" spans="1:6" ht="15.75" x14ac:dyDescent="0.25">
      <c r="A195" s="95" t="s">
        <v>123</v>
      </c>
      <c r="B195" s="98"/>
      <c r="C195" s="98"/>
      <c r="D195" s="98"/>
      <c r="E195" s="98"/>
      <c r="F195" s="98"/>
    </row>
    <row r="196" spans="1:6" x14ac:dyDescent="0.25">
      <c r="A196" t="s">
        <v>22</v>
      </c>
    </row>
    <row r="197" spans="1:6" x14ac:dyDescent="0.25">
      <c r="C197" t="s">
        <v>23</v>
      </c>
    </row>
    <row r="198" spans="1:6" x14ac:dyDescent="0.25">
      <c r="C198" t="s">
        <v>24</v>
      </c>
    </row>
    <row r="199" spans="1:6" x14ac:dyDescent="0.25">
      <c r="C199" t="s">
        <v>28</v>
      </c>
    </row>
    <row r="200" spans="1:6" x14ac:dyDescent="0.25">
      <c r="C200" t="s">
        <v>25</v>
      </c>
    </row>
    <row r="201" spans="1:6" x14ac:dyDescent="0.25">
      <c r="C201" t="s">
        <v>26</v>
      </c>
    </row>
    <row r="203" spans="1:6" x14ac:dyDescent="0.25">
      <c r="B203" t="s">
        <v>27</v>
      </c>
      <c r="C203" s="22">
        <f>'CUADRO DE CARGAS'!L87</f>
        <v>22.605719501064801</v>
      </c>
      <c r="D203" t="s">
        <v>29</v>
      </c>
      <c r="E203" t="s">
        <v>30</v>
      </c>
    </row>
    <row r="204" spans="1:6" x14ac:dyDescent="0.25">
      <c r="B204" s="23" t="s">
        <v>44</v>
      </c>
      <c r="C204" s="33">
        <f>1.25*C203</f>
        <v>28.257149376331</v>
      </c>
      <c r="D204" s="23" t="s">
        <v>29</v>
      </c>
      <c r="E204" t="s">
        <v>51</v>
      </c>
    </row>
    <row r="205" spans="1:6" x14ac:dyDescent="0.25">
      <c r="B205" s="24" t="s">
        <v>31</v>
      </c>
      <c r="C205" s="24">
        <v>53.6</v>
      </c>
      <c r="D205" s="24" t="s">
        <v>32</v>
      </c>
    </row>
    <row r="206" spans="1:6" x14ac:dyDescent="0.25">
      <c r="A206" t="s">
        <v>52</v>
      </c>
      <c r="E206" t="s">
        <v>114</v>
      </c>
    </row>
    <row r="207" spans="1:6" x14ac:dyDescent="0.25">
      <c r="B207" s="23" t="s">
        <v>36</v>
      </c>
      <c r="C207" s="23">
        <v>54</v>
      </c>
      <c r="D207" s="23" t="s">
        <v>37</v>
      </c>
      <c r="E207" s="32"/>
    </row>
    <row r="208" spans="1:6" x14ac:dyDescent="0.25">
      <c r="A208" t="s">
        <v>53</v>
      </c>
    </row>
    <row r="211" spans="1:6" x14ac:dyDescent="0.25">
      <c r="A211" t="s">
        <v>23</v>
      </c>
    </row>
    <row r="212" spans="1:6" x14ac:dyDescent="0.25">
      <c r="C212" t="s">
        <v>35</v>
      </c>
      <c r="E212">
        <v>1.7999999999999999E-2</v>
      </c>
    </row>
    <row r="213" spans="1:6" x14ac:dyDescent="0.25">
      <c r="C213" t="s">
        <v>34</v>
      </c>
      <c r="D213">
        <f>E212*C207/C205</f>
        <v>1.8134328358208954E-2</v>
      </c>
    </row>
    <row r="215" spans="1:6" x14ac:dyDescent="0.25">
      <c r="A215" t="s">
        <v>33</v>
      </c>
    </row>
    <row r="217" spans="1:6" x14ac:dyDescent="0.25">
      <c r="B217" s="38">
        <f>1.732*C204*D213*0.9</f>
        <v>0.79876719409115049</v>
      </c>
      <c r="C217" t="s">
        <v>38</v>
      </c>
      <c r="D217" s="24" t="s">
        <v>39</v>
      </c>
    </row>
    <row r="219" spans="1:6" ht="15.75" x14ac:dyDescent="0.25">
      <c r="A219" s="95" t="s">
        <v>124</v>
      </c>
      <c r="B219" s="98"/>
      <c r="C219" s="98"/>
      <c r="D219" s="98"/>
      <c r="E219" s="98"/>
      <c r="F219" s="98"/>
    </row>
    <row r="220" spans="1:6" x14ac:dyDescent="0.25">
      <c r="A220" t="s">
        <v>22</v>
      </c>
    </row>
    <row r="221" spans="1:6" x14ac:dyDescent="0.25">
      <c r="C221" t="s">
        <v>23</v>
      </c>
    </row>
    <row r="222" spans="1:6" x14ac:dyDescent="0.25">
      <c r="C222" t="s">
        <v>24</v>
      </c>
    </row>
    <row r="223" spans="1:6" x14ac:dyDescent="0.25">
      <c r="C223" t="s">
        <v>28</v>
      </c>
    </row>
    <row r="224" spans="1:6" x14ac:dyDescent="0.25">
      <c r="C224" t="s">
        <v>25</v>
      </c>
    </row>
    <row r="225" spans="1:5" x14ac:dyDescent="0.25">
      <c r="C225" t="s">
        <v>26</v>
      </c>
    </row>
    <row r="227" spans="1:5" x14ac:dyDescent="0.25">
      <c r="B227" t="s">
        <v>27</v>
      </c>
      <c r="C227" s="22">
        <f>'CUADRO DE CARGAS'!L97</f>
        <v>17.622452083967143</v>
      </c>
      <c r="D227" t="s">
        <v>29</v>
      </c>
      <c r="E227" t="s">
        <v>30</v>
      </c>
    </row>
    <row r="228" spans="1:5" x14ac:dyDescent="0.25">
      <c r="B228" s="23" t="s">
        <v>44</v>
      </c>
      <c r="C228" s="33">
        <f>1.25*C227</f>
        <v>22.02806510495893</v>
      </c>
      <c r="D228" s="23" t="s">
        <v>29</v>
      </c>
      <c r="E228" t="s">
        <v>51</v>
      </c>
    </row>
    <row r="229" spans="1:5" x14ac:dyDescent="0.25">
      <c r="B229" s="24" t="s">
        <v>31</v>
      </c>
      <c r="C229" s="24">
        <v>10</v>
      </c>
      <c r="D229" s="24" t="s">
        <v>32</v>
      </c>
    </row>
    <row r="230" spans="1:5" x14ac:dyDescent="0.25">
      <c r="A230" t="s">
        <v>52</v>
      </c>
      <c r="E230" t="s">
        <v>114</v>
      </c>
    </row>
    <row r="231" spans="1:5" x14ac:dyDescent="0.25">
      <c r="B231" s="23" t="s">
        <v>36</v>
      </c>
      <c r="C231" s="23">
        <v>52</v>
      </c>
      <c r="D231" s="23" t="s">
        <v>37</v>
      </c>
      <c r="E231" s="32"/>
    </row>
    <row r="232" spans="1:5" x14ac:dyDescent="0.25">
      <c r="A232" t="s">
        <v>53</v>
      </c>
    </row>
    <row r="235" spans="1:5" x14ac:dyDescent="0.25">
      <c r="A235" t="s">
        <v>23</v>
      </c>
    </row>
    <row r="236" spans="1:5" x14ac:dyDescent="0.25">
      <c r="C236" t="s">
        <v>35</v>
      </c>
      <c r="E236">
        <v>1.7999999999999999E-2</v>
      </c>
    </row>
    <row r="237" spans="1:5" x14ac:dyDescent="0.25">
      <c r="C237" t="s">
        <v>34</v>
      </c>
      <c r="D237">
        <f>E236*C231/C229</f>
        <v>9.3599999999999989E-2</v>
      </c>
    </row>
    <row r="239" spans="1:5" x14ac:dyDescent="0.25">
      <c r="A239" t="s">
        <v>33</v>
      </c>
    </row>
    <row r="241" spans="1:6" x14ac:dyDescent="0.25">
      <c r="B241" s="38">
        <f>1.732*C228*D237*0.9</f>
        <v>3.213975762093094</v>
      </c>
      <c r="C241" t="s">
        <v>38</v>
      </c>
      <c r="D241" s="24" t="s">
        <v>39</v>
      </c>
    </row>
    <row r="243" spans="1:6" ht="15.75" x14ac:dyDescent="0.25">
      <c r="A243" s="95" t="s">
        <v>125</v>
      </c>
      <c r="B243" s="98"/>
      <c r="C243" s="98"/>
      <c r="D243" s="98"/>
      <c r="E243" s="98"/>
      <c r="F243" s="98"/>
    </row>
    <row r="244" spans="1:6" x14ac:dyDescent="0.25">
      <c r="A244" t="s">
        <v>22</v>
      </c>
    </row>
    <row r="245" spans="1:6" x14ac:dyDescent="0.25">
      <c r="C245" t="s">
        <v>23</v>
      </c>
    </row>
    <row r="246" spans="1:6" x14ac:dyDescent="0.25">
      <c r="C246" t="s">
        <v>24</v>
      </c>
    </row>
    <row r="247" spans="1:6" x14ac:dyDescent="0.25">
      <c r="C247" t="s">
        <v>28</v>
      </c>
    </row>
    <row r="248" spans="1:6" x14ac:dyDescent="0.25">
      <c r="C248" t="s">
        <v>25</v>
      </c>
    </row>
    <row r="249" spans="1:6" x14ac:dyDescent="0.25">
      <c r="C249" t="s">
        <v>26</v>
      </c>
    </row>
    <row r="251" spans="1:6" x14ac:dyDescent="0.25">
      <c r="B251" t="s">
        <v>27</v>
      </c>
      <c r="C251" s="22">
        <f>'CUADRO DE CARGAS'!L106</f>
        <v>2.9814420444174021</v>
      </c>
      <c r="D251" t="s">
        <v>29</v>
      </c>
      <c r="E251" t="s">
        <v>30</v>
      </c>
    </row>
    <row r="252" spans="1:6" x14ac:dyDescent="0.25">
      <c r="B252" s="23" t="s">
        <v>44</v>
      </c>
      <c r="C252" s="33">
        <f>1.25*C251</f>
        <v>3.7268025555217528</v>
      </c>
      <c r="D252" s="23" t="s">
        <v>29</v>
      </c>
      <c r="E252" t="s">
        <v>51</v>
      </c>
    </row>
    <row r="253" spans="1:6" x14ac:dyDescent="0.25">
      <c r="B253" s="24" t="s">
        <v>31</v>
      </c>
      <c r="C253" s="24">
        <v>10</v>
      </c>
      <c r="D253" s="24" t="s">
        <v>32</v>
      </c>
    </row>
    <row r="254" spans="1:6" x14ac:dyDescent="0.25">
      <c r="A254" t="s">
        <v>52</v>
      </c>
      <c r="E254" t="s">
        <v>114</v>
      </c>
    </row>
    <row r="255" spans="1:6" x14ac:dyDescent="0.25">
      <c r="B255" s="23" t="s">
        <v>36</v>
      </c>
      <c r="C255" s="23">
        <v>97</v>
      </c>
      <c r="D255" s="23" t="s">
        <v>37</v>
      </c>
      <c r="E255" s="32"/>
    </row>
    <row r="256" spans="1:6" x14ac:dyDescent="0.25">
      <c r="A256" t="s">
        <v>53</v>
      </c>
    </row>
    <row r="259" spans="1:6" x14ac:dyDescent="0.25">
      <c r="A259" t="s">
        <v>23</v>
      </c>
    </row>
    <row r="260" spans="1:6" x14ac:dyDescent="0.25">
      <c r="C260" t="s">
        <v>35</v>
      </c>
      <c r="E260">
        <v>1.7999999999999999E-2</v>
      </c>
    </row>
    <row r="261" spans="1:6" x14ac:dyDescent="0.25">
      <c r="C261" t="s">
        <v>34</v>
      </c>
      <c r="D261">
        <f>E260*C255/C253</f>
        <v>0.17459999999999998</v>
      </c>
    </row>
    <row r="263" spans="1:6" x14ac:dyDescent="0.25">
      <c r="A263" t="s">
        <v>33</v>
      </c>
    </row>
    <row r="265" spans="1:6" x14ac:dyDescent="0.25">
      <c r="B265" s="38">
        <f>1.732*C252*D261*0.9</f>
        <v>1.0143107331913599</v>
      </c>
      <c r="C265" t="s">
        <v>38</v>
      </c>
      <c r="D265" s="24" t="s">
        <v>39</v>
      </c>
    </row>
    <row r="267" spans="1:6" ht="15.75" x14ac:dyDescent="0.25">
      <c r="A267" s="95" t="s">
        <v>132</v>
      </c>
      <c r="B267" s="98"/>
      <c r="C267" s="98"/>
      <c r="D267" s="98"/>
      <c r="E267" s="98"/>
      <c r="F267" s="98"/>
    </row>
    <row r="268" spans="1:6" x14ac:dyDescent="0.25">
      <c r="A268" t="s">
        <v>22</v>
      </c>
    </row>
    <row r="269" spans="1:6" x14ac:dyDescent="0.25">
      <c r="C269" t="s">
        <v>23</v>
      </c>
    </row>
    <row r="270" spans="1:6" x14ac:dyDescent="0.25">
      <c r="C270" t="s">
        <v>24</v>
      </c>
    </row>
    <row r="271" spans="1:6" x14ac:dyDescent="0.25">
      <c r="C271" t="s">
        <v>28</v>
      </c>
    </row>
    <row r="272" spans="1:6" x14ac:dyDescent="0.25">
      <c r="C272" t="s">
        <v>25</v>
      </c>
    </row>
    <row r="273" spans="1:5" x14ac:dyDescent="0.25">
      <c r="C273" t="s">
        <v>26</v>
      </c>
    </row>
    <row r="275" spans="1:5" x14ac:dyDescent="0.25">
      <c r="B275" t="s">
        <v>27</v>
      </c>
      <c r="C275" s="22">
        <f>'CUADRO DE CARGAS'!L108</f>
        <v>12.497718284149681</v>
      </c>
      <c r="D275" t="s">
        <v>29</v>
      </c>
      <c r="E275" t="s">
        <v>30</v>
      </c>
    </row>
    <row r="276" spans="1:5" x14ac:dyDescent="0.25">
      <c r="B276" s="23" t="s">
        <v>44</v>
      </c>
      <c r="C276" s="33">
        <f>1.25*C275</f>
        <v>15.622147855187102</v>
      </c>
      <c r="D276" s="23" t="s">
        <v>29</v>
      </c>
      <c r="E276" t="s">
        <v>51</v>
      </c>
    </row>
    <row r="277" spans="1:5" x14ac:dyDescent="0.25">
      <c r="B277" s="24" t="s">
        <v>31</v>
      </c>
      <c r="C277" s="24">
        <v>10</v>
      </c>
      <c r="D277" s="24" t="s">
        <v>32</v>
      </c>
    </row>
    <row r="278" spans="1:5" x14ac:dyDescent="0.25">
      <c r="A278" t="s">
        <v>52</v>
      </c>
      <c r="E278" t="s">
        <v>114</v>
      </c>
    </row>
    <row r="279" spans="1:5" x14ac:dyDescent="0.25">
      <c r="B279" s="23" t="s">
        <v>36</v>
      </c>
      <c r="C279" s="23">
        <v>90</v>
      </c>
      <c r="D279" s="23" t="s">
        <v>37</v>
      </c>
    </row>
    <row r="280" spans="1:5" x14ac:dyDescent="0.25">
      <c r="A280" t="s">
        <v>53</v>
      </c>
    </row>
    <row r="283" spans="1:5" x14ac:dyDescent="0.25">
      <c r="A283" t="s">
        <v>23</v>
      </c>
    </row>
    <row r="284" spans="1:5" x14ac:dyDescent="0.25">
      <c r="C284" t="s">
        <v>35</v>
      </c>
      <c r="E284">
        <v>1.7999999999999999E-2</v>
      </c>
    </row>
    <row r="285" spans="1:5" x14ac:dyDescent="0.25">
      <c r="C285" t="s">
        <v>34</v>
      </c>
      <c r="D285">
        <f>E284*C279/C277</f>
        <v>0.16199999999999998</v>
      </c>
    </row>
    <row r="287" spans="1:5" x14ac:dyDescent="0.25">
      <c r="A287" t="s">
        <v>33</v>
      </c>
    </row>
    <row r="289" spans="1:6" x14ac:dyDescent="0.25">
      <c r="B289" s="38">
        <f>1.732*C276*D285*0.9</f>
        <v>3.9449922604198355</v>
      </c>
      <c r="C289" t="s">
        <v>38</v>
      </c>
      <c r="D289" s="24" t="s">
        <v>39</v>
      </c>
    </row>
    <row r="291" spans="1:6" ht="15.75" x14ac:dyDescent="0.25">
      <c r="A291" s="95" t="s">
        <v>133</v>
      </c>
      <c r="B291" s="98"/>
      <c r="C291" s="98"/>
      <c r="D291" s="98"/>
      <c r="E291" s="98"/>
      <c r="F291" s="98"/>
    </row>
    <row r="292" spans="1:6" x14ac:dyDescent="0.25">
      <c r="A292" t="s">
        <v>22</v>
      </c>
    </row>
    <row r="293" spans="1:6" x14ac:dyDescent="0.25">
      <c r="C293" t="s">
        <v>23</v>
      </c>
    </row>
    <row r="294" spans="1:6" x14ac:dyDescent="0.25">
      <c r="C294" t="s">
        <v>24</v>
      </c>
    </row>
    <row r="295" spans="1:6" x14ac:dyDescent="0.25">
      <c r="C295" t="s">
        <v>28</v>
      </c>
    </row>
    <row r="296" spans="1:6" x14ac:dyDescent="0.25">
      <c r="C296" t="s">
        <v>25</v>
      </c>
    </row>
    <row r="297" spans="1:6" x14ac:dyDescent="0.25">
      <c r="C297" t="s">
        <v>26</v>
      </c>
    </row>
    <row r="299" spans="1:6" x14ac:dyDescent="0.25">
      <c r="B299" t="s">
        <v>27</v>
      </c>
      <c r="C299" s="22">
        <f>'CUADRO DE CARGAS'!L111</f>
        <v>12.59507149376331</v>
      </c>
      <c r="D299" t="s">
        <v>29</v>
      </c>
      <c r="E299" t="s">
        <v>30</v>
      </c>
    </row>
    <row r="300" spans="1:6" x14ac:dyDescent="0.25">
      <c r="B300" s="23" t="s">
        <v>44</v>
      </c>
      <c r="C300" s="33">
        <f>1.25*C299</f>
        <v>15.743839367204139</v>
      </c>
      <c r="D300" s="23" t="s">
        <v>29</v>
      </c>
      <c r="E300" t="s">
        <v>51</v>
      </c>
    </row>
    <row r="301" spans="1:6" x14ac:dyDescent="0.25">
      <c r="B301" s="24" t="s">
        <v>31</v>
      </c>
      <c r="C301" s="24">
        <v>10</v>
      </c>
      <c r="D301" s="24" t="s">
        <v>32</v>
      </c>
    </row>
    <row r="302" spans="1:6" x14ac:dyDescent="0.25">
      <c r="A302" t="s">
        <v>52</v>
      </c>
      <c r="E302" t="s">
        <v>114</v>
      </c>
    </row>
    <row r="303" spans="1:6" x14ac:dyDescent="0.25">
      <c r="B303" s="23" t="s">
        <v>36</v>
      </c>
      <c r="C303" s="23">
        <v>74</v>
      </c>
      <c r="D303" s="23" t="s">
        <v>37</v>
      </c>
      <c r="E303" s="32"/>
    </row>
    <row r="304" spans="1:6" x14ac:dyDescent="0.25">
      <c r="A304" t="s">
        <v>53</v>
      </c>
    </row>
    <row r="307" spans="1:5" x14ac:dyDescent="0.25">
      <c r="A307" t="s">
        <v>23</v>
      </c>
    </row>
    <row r="308" spans="1:5" x14ac:dyDescent="0.25">
      <c r="C308" t="s">
        <v>35</v>
      </c>
      <c r="E308">
        <v>1.7999999999999999E-2</v>
      </c>
    </row>
    <row r="309" spans="1:5" x14ac:dyDescent="0.25">
      <c r="C309" t="s">
        <v>34</v>
      </c>
      <c r="D309">
        <f>E308*C303/C301</f>
        <v>0.13319999999999999</v>
      </c>
    </row>
    <row r="311" spans="1:5" x14ac:dyDescent="0.25">
      <c r="A311" t="s">
        <v>33</v>
      </c>
    </row>
    <row r="313" spans="1:5" x14ac:dyDescent="0.25">
      <c r="B313" s="38">
        <f>1.732*C300*D309*0.9</f>
        <v>3.2689273745056284</v>
      </c>
      <c r="C313" t="s">
        <v>38</v>
      </c>
      <c r="D313" s="24" t="s">
        <v>39</v>
      </c>
    </row>
  </sheetData>
  <mergeCells count="14">
    <mergeCell ref="A267:F267"/>
    <mergeCell ref="A291:F291"/>
    <mergeCell ref="A2:F2"/>
    <mergeCell ref="A3:F3"/>
    <mergeCell ref="A27:F27"/>
    <mergeCell ref="A75:F75"/>
    <mergeCell ref="A99:F99"/>
    <mergeCell ref="A219:F219"/>
    <mergeCell ref="A243:F243"/>
    <mergeCell ref="A123:F123"/>
    <mergeCell ref="A147:F147"/>
    <mergeCell ref="A51:F51"/>
    <mergeCell ref="A171:F171"/>
    <mergeCell ref="A195:F195"/>
  </mergeCells>
  <pageMargins left="0.7" right="0.7" top="0.75" bottom="0.75" header="0.3" footer="0.3"/>
  <pageSetup orientation="portrait" horizontalDpi="4294967292" r:id="rId1"/>
  <drawing r:id="rId2"/>
  <legacyDrawing r:id="rId3"/>
  <oleObjects>
    <mc:AlternateContent xmlns:mc="http://schemas.openxmlformats.org/markup-compatibility/2006">
      <mc:Choice Requires="x14">
        <oleObject progId="Equation.3" shapeId="17450" r:id="rId4">
          <objectPr defaultSize="0" autoPict="0" r:id="rId5">
            <anchor moveWithCells="1">
              <from>
                <xdr:col>0</xdr:col>
                <xdr:colOff>238125</xdr:colOff>
                <xdr:row>16</xdr:row>
                <xdr:rowOff>19050</xdr:rowOff>
              </from>
              <to>
                <xdr:col>2</xdr:col>
                <xdr:colOff>76200</xdr:colOff>
                <xdr:row>17</xdr:row>
                <xdr:rowOff>161925</xdr:rowOff>
              </to>
            </anchor>
          </objectPr>
        </oleObject>
      </mc:Choice>
      <mc:Fallback>
        <oleObject progId="Equation.3" shapeId="17450" r:id="rId4"/>
      </mc:Fallback>
    </mc:AlternateContent>
    <mc:AlternateContent xmlns:mc="http://schemas.openxmlformats.org/markup-compatibility/2006">
      <mc:Choice Requires="x14">
        <oleObject progId="Equation.3" shapeId="17451" r:id="rId6">
          <objectPr defaultSize="0" autoPict="0" r:id="rId7">
            <anchor moveWithCells="1">
              <from>
                <xdr:col>0</xdr:col>
                <xdr:colOff>219075</xdr:colOff>
                <xdr:row>19</xdr:row>
                <xdr:rowOff>0</xdr:rowOff>
              </from>
              <to>
                <xdr:col>1</xdr:col>
                <xdr:colOff>400050</xdr:colOff>
                <xdr:row>21</xdr:row>
                <xdr:rowOff>104775</xdr:rowOff>
              </to>
            </anchor>
          </objectPr>
        </oleObject>
      </mc:Choice>
      <mc:Fallback>
        <oleObject progId="Equation.3" shapeId="17451" r:id="rId6"/>
      </mc:Fallback>
    </mc:AlternateContent>
    <mc:AlternateContent xmlns:mc="http://schemas.openxmlformats.org/markup-compatibility/2006">
      <mc:Choice Requires="x14">
        <oleObject progId="Equation.3" shapeId="17452" r:id="rId8">
          <objectPr defaultSize="0" autoPict="0" r:id="rId9">
            <anchor moveWithCells="1">
              <from>
                <xdr:col>0</xdr:col>
                <xdr:colOff>28575</xdr:colOff>
                <xdr:row>23</xdr:row>
                <xdr:rowOff>76200</xdr:rowOff>
              </from>
              <to>
                <xdr:col>0</xdr:col>
                <xdr:colOff>962025</xdr:colOff>
                <xdr:row>24</xdr:row>
                <xdr:rowOff>180975</xdr:rowOff>
              </to>
            </anchor>
          </objectPr>
        </oleObject>
      </mc:Choice>
      <mc:Fallback>
        <oleObject progId="Equation.3" shapeId="17452" r:id="rId8"/>
      </mc:Fallback>
    </mc:AlternateContent>
    <mc:AlternateContent xmlns:mc="http://schemas.openxmlformats.org/markup-compatibility/2006">
      <mc:Choice Requires="x14">
        <oleObject progId="Equation.3" shapeId="17657" r:id="rId10">
          <objectPr defaultSize="0" autoPict="0" r:id="rId5">
            <anchor moveWithCells="1">
              <from>
                <xdr:col>0</xdr:col>
                <xdr:colOff>238125</xdr:colOff>
                <xdr:row>40</xdr:row>
                <xdr:rowOff>19050</xdr:rowOff>
              </from>
              <to>
                <xdr:col>2</xdr:col>
                <xdr:colOff>76200</xdr:colOff>
                <xdr:row>41</xdr:row>
                <xdr:rowOff>161925</xdr:rowOff>
              </to>
            </anchor>
          </objectPr>
        </oleObject>
      </mc:Choice>
      <mc:Fallback>
        <oleObject progId="Equation.3" shapeId="17657" r:id="rId10"/>
      </mc:Fallback>
    </mc:AlternateContent>
    <mc:AlternateContent xmlns:mc="http://schemas.openxmlformats.org/markup-compatibility/2006">
      <mc:Choice Requires="x14">
        <oleObject progId="Equation.3" shapeId="17658" r:id="rId11">
          <objectPr defaultSize="0" autoPict="0" r:id="rId7">
            <anchor moveWithCells="1">
              <from>
                <xdr:col>0</xdr:col>
                <xdr:colOff>219075</xdr:colOff>
                <xdr:row>43</xdr:row>
                <xdr:rowOff>0</xdr:rowOff>
              </from>
              <to>
                <xdr:col>1</xdr:col>
                <xdr:colOff>400050</xdr:colOff>
                <xdr:row>45</xdr:row>
                <xdr:rowOff>104775</xdr:rowOff>
              </to>
            </anchor>
          </objectPr>
        </oleObject>
      </mc:Choice>
      <mc:Fallback>
        <oleObject progId="Equation.3" shapeId="17658" r:id="rId11"/>
      </mc:Fallback>
    </mc:AlternateContent>
    <mc:AlternateContent xmlns:mc="http://schemas.openxmlformats.org/markup-compatibility/2006">
      <mc:Choice Requires="x14">
        <oleObject progId="Equation.3" shapeId="17659" r:id="rId12">
          <objectPr defaultSize="0" autoPict="0" r:id="rId9">
            <anchor moveWithCells="1">
              <from>
                <xdr:col>0</xdr:col>
                <xdr:colOff>28575</xdr:colOff>
                <xdr:row>47</xdr:row>
                <xdr:rowOff>76200</xdr:rowOff>
              </from>
              <to>
                <xdr:col>0</xdr:col>
                <xdr:colOff>962025</xdr:colOff>
                <xdr:row>48</xdr:row>
                <xdr:rowOff>180975</xdr:rowOff>
              </to>
            </anchor>
          </objectPr>
        </oleObject>
      </mc:Choice>
      <mc:Fallback>
        <oleObject progId="Equation.3" shapeId="17659" r:id="rId12"/>
      </mc:Fallback>
    </mc:AlternateContent>
    <mc:AlternateContent xmlns:mc="http://schemas.openxmlformats.org/markup-compatibility/2006">
      <mc:Choice Requires="x14">
        <oleObject progId="Equation.3" shapeId="17660" r:id="rId13">
          <objectPr defaultSize="0" autoPict="0" r:id="rId5">
            <anchor moveWithCells="1">
              <from>
                <xdr:col>0</xdr:col>
                <xdr:colOff>238125</xdr:colOff>
                <xdr:row>64</xdr:row>
                <xdr:rowOff>19050</xdr:rowOff>
              </from>
              <to>
                <xdr:col>2</xdr:col>
                <xdr:colOff>76200</xdr:colOff>
                <xdr:row>65</xdr:row>
                <xdr:rowOff>161925</xdr:rowOff>
              </to>
            </anchor>
          </objectPr>
        </oleObject>
      </mc:Choice>
      <mc:Fallback>
        <oleObject progId="Equation.3" shapeId="17660" r:id="rId13"/>
      </mc:Fallback>
    </mc:AlternateContent>
    <mc:AlternateContent xmlns:mc="http://schemas.openxmlformats.org/markup-compatibility/2006">
      <mc:Choice Requires="x14">
        <oleObject progId="Equation.3" shapeId="17661" r:id="rId14">
          <objectPr defaultSize="0" autoPict="0" r:id="rId7">
            <anchor moveWithCells="1">
              <from>
                <xdr:col>0</xdr:col>
                <xdr:colOff>219075</xdr:colOff>
                <xdr:row>67</xdr:row>
                <xdr:rowOff>0</xdr:rowOff>
              </from>
              <to>
                <xdr:col>1</xdr:col>
                <xdr:colOff>400050</xdr:colOff>
                <xdr:row>69</xdr:row>
                <xdr:rowOff>104775</xdr:rowOff>
              </to>
            </anchor>
          </objectPr>
        </oleObject>
      </mc:Choice>
      <mc:Fallback>
        <oleObject progId="Equation.3" shapeId="17661" r:id="rId14"/>
      </mc:Fallback>
    </mc:AlternateContent>
    <mc:AlternateContent xmlns:mc="http://schemas.openxmlformats.org/markup-compatibility/2006">
      <mc:Choice Requires="x14">
        <oleObject progId="Equation.3" shapeId="17662" r:id="rId15">
          <objectPr defaultSize="0" autoPict="0" r:id="rId9">
            <anchor moveWithCells="1">
              <from>
                <xdr:col>0</xdr:col>
                <xdr:colOff>28575</xdr:colOff>
                <xdr:row>71</xdr:row>
                <xdr:rowOff>76200</xdr:rowOff>
              </from>
              <to>
                <xdr:col>0</xdr:col>
                <xdr:colOff>962025</xdr:colOff>
                <xdr:row>72</xdr:row>
                <xdr:rowOff>180975</xdr:rowOff>
              </to>
            </anchor>
          </objectPr>
        </oleObject>
      </mc:Choice>
      <mc:Fallback>
        <oleObject progId="Equation.3" shapeId="17662" r:id="rId15"/>
      </mc:Fallback>
    </mc:AlternateContent>
    <mc:AlternateContent xmlns:mc="http://schemas.openxmlformats.org/markup-compatibility/2006">
      <mc:Choice Requires="x14">
        <oleObject progId="Equation.3" shapeId="17663" r:id="rId16">
          <objectPr defaultSize="0" autoPict="0" r:id="rId5">
            <anchor moveWithCells="1">
              <from>
                <xdr:col>0</xdr:col>
                <xdr:colOff>238125</xdr:colOff>
                <xdr:row>88</xdr:row>
                <xdr:rowOff>19050</xdr:rowOff>
              </from>
              <to>
                <xdr:col>2</xdr:col>
                <xdr:colOff>76200</xdr:colOff>
                <xdr:row>89</xdr:row>
                <xdr:rowOff>161925</xdr:rowOff>
              </to>
            </anchor>
          </objectPr>
        </oleObject>
      </mc:Choice>
      <mc:Fallback>
        <oleObject progId="Equation.3" shapeId="17663" r:id="rId16"/>
      </mc:Fallback>
    </mc:AlternateContent>
    <mc:AlternateContent xmlns:mc="http://schemas.openxmlformats.org/markup-compatibility/2006">
      <mc:Choice Requires="x14">
        <oleObject progId="Equation.3" shapeId="17664" r:id="rId17">
          <objectPr defaultSize="0" autoPict="0" r:id="rId7">
            <anchor moveWithCells="1">
              <from>
                <xdr:col>0</xdr:col>
                <xdr:colOff>219075</xdr:colOff>
                <xdr:row>91</xdr:row>
                <xdr:rowOff>0</xdr:rowOff>
              </from>
              <to>
                <xdr:col>1</xdr:col>
                <xdr:colOff>400050</xdr:colOff>
                <xdr:row>93</xdr:row>
                <xdr:rowOff>104775</xdr:rowOff>
              </to>
            </anchor>
          </objectPr>
        </oleObject>
      </mc:Choice>
      <mc:Fallback>
        <oleObject progId="Equation.3" shapeId="17664" r:id="rId17"/>
      </mc:Fallback>
    </mc:AlternateContent>
    <mc:AlternateContent xmlns:mc="http://schemas.openxmlformats.org/markup-compatibility/2006">
      <mc:Choice Requires="x14">
        <oleObject progId="Equation.3" shapeId="17665" r:id="rId18">
          <objectPr defaultSize="0" autoPict="0" r:id="rId9">
            <anchor moveWithCells="1">
              <from>
                <xdr:col>0</xdr:col>
                <xdr:colOff>28575</xdr:colOff>
                <xdr:row>95</xdr:row>
                <xdr:rowOff>76200</xdr:rowOff>
              </from>
              <to>
                <xdr:col>0</xdr:col>
                <xdr:colOff>962025</xdr:colOff>
                <xdr:row>96</xdr:row>
                <xdr:rowOff>180975</xdr:rowOff>
              </to>
            </anchor>
          </objectPr>
        </oleObject>
      </mc:Choice>
      <mc:Fallback>
        <oleObject progId="Equation.3" shapeId="17665" r:id="rId18"/>
      </mc:Fallback>
    </mc:AlternateContent>
    <mc:AlternateContent xmlns:mc="http://schemas.openxmlformats.org/markup-compatibility/2006">
      <mc:Choice Requires="x14">
        <oleObject progId="Equation.3" shapeId="17666" r:id="rId19">
          <objectPr defaultSize="0" autoPict="0" r:id="rId5">
            <anchor moveWithCells="1">
              <from>
                <xdr:col>0</xdr:col>
                <xdr:colOff>238125</xdr:colOff>
                <xdr:row>112</xdr:row>
                <xdr:rowOff>19050</xdr:rowOff>
              </from>
              <to>
                <xdr:col>2</xdr:col>
                <xdr:colOff>76200</xdr:colOff>
                <xdr:row>113</xdr:row>
                <xdr:rowOff>161925</xdr:rowOff>
              </to>
            </anchor>
          </objectPr>
        </oleObject>
      </mc:Choice>
      <mc:Fallback>
        <oleObject progId="Equation.3" shapeId="17666" r:id="rId19"/>
      </mc:Fallback>
    </mc:AlternateContent>
    <mc:AlternateContent xmlns:mc="http://schemas.openxmlformats.org/markup-compatibility/2006">
      <mc:Choice Requires="x14">
        <oleObject progId="Equation.3" shapeId="17667" r:id="rId20">
          <objectPr defaultSize="0" autoPict="0" r:id="rId7">
            <anchor moveWithCells="1">
              <from>
                <xdr:col>0</xdr:col>
                <xdr:colOff>219075</xdr:colOff>
                <xdr:row>115</xdr:row>
                <xdr:rowOff>0</xdr:rowOff>
              </from>
              <to>
                <xdr:col>1</xdr:col>
                <xdr:colOff>400050</xdr:colOff>
                <xdr:row>117</xdr:row>
                <xdr:rowOff>104775</xdr:rowOff>
              </to>
            </anchor>
          </objectPr>
        </oleObject>
      </mc:Choice>
      <mc:Fallback>
        <oleObject progId="Equation.3" shapeId="17667" r:id="rId20"/>
      </mc:Fallback>
    </mc:AlternateContent>
    <mc:AlternateContent xmlns:mc="http://schemas.openxmlformats.org/markup-compatibility/2006">
      <mc:Choice Requires="x14">
        <oleObject progId="Equation.3" shapeId="17668" r:id="rId21">
          <objectPr defaultSize="0" autoPict="0" r:id="rId9">
            <anchor moveWithCells="1">
              <from>
                <xdr:col>0</xdr:col>
                <xdr:colOff>28575</xdr:colOff>
                <xdr:row>119</xdr:row>
                <xdr:rowOff>76200</xdr:rowOff>
              </from>
              <to>
                <xdr:col>0</xdr:col>
                <xdr:colOff>962025</xdr:colOff>
                <xdr:row>120</xdr:row>
                <xdr:rowOff>180975</xdr:rowOff>
              </to>
            </anchor>
          </objectPr>
        </oleObject>
      </mc:Choice>
      <mc:Fallback>
        <oleObject progId="Equation.3" shapeId="17668" r:id="rId21"/>
      </mc:Fallback>
    </mc:AlternateContent>
    <mc:AlternateContent xmlns:mc="http://schemas.openxmlformats.org/markup-compatibility/2006">
      <mc:Choice Requires="x14">
        <oleObject progId="Equation.3" shapeId="17669" r:id="rId22">
          <objectPr defaultSize="0" autoPict="0" r:id="rId5">
            <anchor moveWithCells="1">
              <from>
                <xdr:col>0</xdr:col>
                <xdr:colOff>238125</xdr:colOff>
                <xdr:row>136</xdr:row>
                <xdr:rowOff>19050</xdr:rowOff>
              </from>
              <to>
                <xdr:col>2</xdr:col>
                <xdr:colOff>76200</xdr:colOff>
                <xdr:row>137</xdr:row>
                <xdr:rowOff>161925</xdr:rowOff>
              </to>
            </anchor>
          </objectPr>
        </oleObject>
      </mc:Choice>
      <mc:Fallback>
        <oleObject progId="Equation.3" shapeId="17669" r:id="rId22"/>
      </mc:Fallback>
    </mc:AlternateContent>
    <mc:AlternateContent xmlns:mc="http://schemas.openxmlformats.org/markup-compatibility/2006">
      <mc:Choice Requires="x14">
        <oleObject progId="Equation.3" shapeId="17670" r:id="rId23">
          <objectPr defaultSize="0" autoPict="0" r:id="rId7">
            <anchor moveWithCells="1">
              <from>
                <xdr:col>0</xdr:col>
                <xdr:colOff>219075</xdr:colOff>
                <xdr:row>139</xdr:row>
                <xdr:rowOff>0</xdr:rowOff>
              </from>
              <to>
                <xdr:col>1</xdr:col>
                <xdr:colOff>400050</xdr:colOff>
                <xdr:row>141</xdr:row>
                <xdr:rowOff>104775</xdr:rowOff>
              </to>
            </anchor>
          </objectPr>
        </oleObject>
      </mc:Choice>
      <mc:Fallback>
        <oleObject progId="Equation.3" shapeId="17670" r:id="rId23"/>
      </mc:Fallback>
    </mc:AlternateContent>
    <mc:AlternateContent xmlns:mc="http://schemas.openxmlformats.org/markup-compatibility/2006">
      <mc:Choice Requires="x14">
        <oleObject progId="Equation.3" shapeId="17671" r:id="rId24">
          <objectPr defaultSize="0" autoPict="0" r:id="rId9">
            <anchor moveWithCells="1">
              <from>
                <xdr:col>0</xdr:col>
                <xdr:colOff>28575</xdr:colOff>
                <xdr:row>143</xdr:row>
                <xdr:rowOff>76200</xdr:rowOff>
              </from>
              <to>
                <xdr:col>0</xdr:col>
                <xdr:colOff>962025</xdr:colOff>
                <xdr:row>144</xdr:row>
                <xdr:rowOff>180975</xdr:rowOff>
              </to>
            </anchor>
          </objectPr>
        </oleObject>
      </mc:Choice>
      <mc:Fallback>
        <oleObject progId="Equation.3" shapeId="17671" r:id="rId24"/>
      </mc:Fallback>
    </mc:AlternateContent>
    <mc:AlternateContent xmlns:mc="http://schemas.openxmlformats.org/markup-compatibility/2006">
      <mc:Choice Requires="x14">
        <oleObject progId="Equation.3" shapeId="17672" r:id="rId25">
          <objectPr defaultSize="0" autoPict="0" r:id="rId5">
            <anchor moveWithCells="1">
              <from>
                <xdr:col>0</xdr:col>
                <xdr:colOff>238125</xdr:colOff>
                <xdr:row>160</xdr:row>
                <xdr:rowOff>19050</xdr:rowOff>
              </from>
              <to>
                <xdr:col>2</xdr:col>
                <xdr:colOff>76200</xdr:colOff>
                <xdr:row>161</xdr:row>
                <xdr:rowOff>161925</xdr:rowOff>
              </to>
            </anchor>
          </objectPr>
        </oleObject>
      </mc:Choice>
      <mc:Fallback>
        <oleObject progId="Equation.3" shapeId="17672" r:id="rId25"/>
      </mc:Fallback>
    </mc:AlternateContent>
    <mc:AlternateContent xmlns:mc="http://schemas.openxmlformats.org/markup-compatibility/2006">
      <mc:Choice Requires="x14">
        <oleObject progId="Equation.3" shapeId="17673" r:id="rId26">
          <objectPr defaultSize="0" autoPict="0" r:id="rId7">
            <anchor moveWithCells="1">
              <from>
                <xdr:col>0</xdr:col>
                <xdr:colOff>219075</xdr:colOff>
                <xdr:row>163</xdr:row>
                <xdr:rowOff>0</xdr:rowOff>
              </from>
              <to>
                <xdr:col>1</xdr:col>
                <xdr:colOff>400050</xdr:colOff>
                <xdr:row>165</xdr:row>
                <xdr:rowOff>104775</xdr:rowOff>
              </to>
            </anchor>
          </objectPr>
        </oleObject>
      </mc:Choice>
      <mc:Fallback>
        <oleObject progId="Equation.3" shapeId="17673" r:id="rId26"/>
      </mc:Fallback>
    </mc:AlternateContent>
    <mc:AlternateContent xmlns:mc="http://schemas.openxmlformats.org/markup-compatibility/2006">
      <mc:Choice Requires="x14">
        <oleObject progId="Equation.3" shapeId="17674" r:id="rId27">
          <objectPr defaultSize="0" autoPict="0" r:id="rId9">
            <anchor moveWithCells="1">
              <from>
                <xdr:col>0</xdr:col>
                <xdr:colOff>28575</xdr:colOff>
                <xdr:row>167</xdr:row>
                <xdr:rowOff>76200</xdr:rowOff>
              </from>
              <to>
                <xdr:col>0</xdr:col>
                <xdr:colOff>962025</xdr:colOff>
                <xdr:row>168</xdr:row>
                <xdr:rowOff>180975</xdr:rowOff>
              </to>
            </anchor>
          </objectPr>
        </oleObject>
      </mc:Choice>
      <mc:Fallback>
        <oleObject progId="Equation.3" shapeId="17674" r:id="rId27"/>
      </mc:Fallback>
    </mc:AlternateContent>
    <mc:AlternateContent xmlns:mc="http://schemas.openxmlformats.org/markup-compatibility/2006">
      <mc:Choice Requires="x14">
        <oleObject progId="Equation.3" shapeId="17717" r:id="rId28">
          <objectPr defaultSize="0" autoPict="0" r:id="rId5">
            <anchor moveWithCells="1">
              <from>
                <xdr:col>0</xdr:col>
                <xdr:colOff>238125</xdr:colOff>
                <xdr:row>184</xdr:row>
                <xdr:rowOff>19050</xdr:rowOff>
              </from>
              <to>
                <xdr:col>2</xdr:col>
                <xdr:colOff>76200</xdr:colOff>
                <xdr:row>185</xdr:row>
                <xdr:rowOff>161925</xdr:rowOff>
              </to>
            </anchor>
          </objectPr>
        </oleObject>
      </mc:Choice>
      <mc:Fallback>
        <oleObject progId="Equation.3" shapeId="17717" r:id="rId28"/>
      </mc:Fallback>
    </mc:AlternateContent>
    <mc:AlternateContent xmlns:mc="http://schemas.openxmlformats.org/markup-compatibility/2006">
      <mc:Choice Requires="x14">
        <oleObject progId="Equation.3" shapeId="17718" r:id="rId29">
          <objectPr defaultSize="0" autoPict="0" r:id="rId7">
            <anchor moveWithCells="1">
              <from>
                <xdr:col>0</xdr:col>
                <xdr:colOff>219075</xdr:colOff>
                <xdr:row>187</xdr:row>
                <xdr:rowOff>0</xdr:rowOff>
              </from>
              <to>
                <xdr:col>1</xdr:col>
                <xdr:colOff>400050</xdr:colOff>
                <xdr:row>189</xdr:row>
                <xdr:rowOff>104775</xdr:rowOff>
              </to>
            </anchor>
          </objectPr>
        </oleObject>
      </mc:Choice>
      <mc:Fallback>
        <oleObject progId="Equation.3" shapeId="17718" r:id="rId29"/>
      </mc:Fallback>
    </mc:AlternateContent>
    <mc:AlternateContent xmlns:mc="http://schemas.openxmlformats.org/markup-compatibility/2006">
      <mc:Choice Requires="x14">
        <oleObject progId="Equation.3" shapeId="17719" r:id="rId30">
          <objectPr defaultSize="0" autoPict="0" r:id="rId9">
            <anchor moveWithCells="1">
              <from>
                <xdr:col>0</xdr:col>
                <xdr:colOff>28575</xdr:colOff>
                <xdr:row>191</xdr:row>
                <xdr:rowOff>76200</xdr:rowOff>
              </from>
              <to>
                <xdr:col>0</xdr:col>
                <xdr:colOff>962025</xdr:colOff>
                <xdr:row>192</xdr:row>
                <xdr:rowOff>180975</xdr:rowOff>
              </to>
            </anchor>
          </objectPr>
        </oleObject>
      </mc:Choice>
      <mc:Fallback>
        <oleObject progId="Equation.3" shapeId="17719" r:id="rId30"/>
      </mc:Fallback>
    </mc:AlternateContent>
    <mc:AlternateContent xmlns:mc="http://schemas.openxmlformats.org/markup-compatibility/2006">
      <mc:Choice Requires="x14">
        <oleObject progId="Equation.3" shapeId="17720" r:id="rId31">
          <objectPr defaultSize="0" autoPict="0" r:id="rId5">
            <anchor moveWithCells="1">
              <from>
                <xdr:col>0</xdr:col>
                <xdr:colOff>238125</xdr:colOff>
                <xdr:row>208</xdr:row>
                <xdr:rowOff>19050</xdr:rowOff>
              </from>
              <to>
                <xdr:col>2</xdr:col>
                <xdr:colOff>76200</xdr:colOff>
                <xdr:row>209</xdr:row>
                <xdr:rowOff>161925</xdr:rowOff>
              </to>
            </anchor>
          </objectPr>
        </oleObject>
      </mc:Choice>
      <mc:Fallback>
        <oleObject progId="Equation.3" shapeId="17720" r:id="rId31"/>
      </mc:Fallback>
    </mc:AlternateContent>
    <mc:AlternateContent xmlns:mc="http://schemas.openxmlformats.org/markup-compatibility/2006">
      <mc:Choice Requires="x14">
        <oleObject progId="Equation.3" shapeId="17721" r:id="rId32">
          <objectPr defaultSize="0" autoPict="0" r:id="rId7">
            <anchor moveWithCells="1">
              <from>
                <xdr:col>0</xdr:col>
                <xdr:colOff>219075</xdr:colOff>
                <xdr:row>211</xdr:row>
                <xdr:rowOff>0</xdr:rowOff>
              </from>
              <to>
                <xdr:col>1</xdr:col>
                <xdr:colOff>400050</xdr:colOff>
                <xdr:row>213</xdr:row>
                <xdr:rowOff>104775</xdr:rowOff>
              </to>
            </anchor>
          </objectPr>
        </oleObject>
      </mc:Choice>
      <mc:Fallback>
        <oleObject progId="Equation.3" shapeId="17721" r:id="rId32"/>
      </mc:Fallback>
    </mc:AlternateContent>
    <mc:AlternateContent xmlns:mc="http://schemas.openxmlformats.org/markup-compatibility/2006">
      <mc:Choice Requires="x14">
        <oleObject progId="Equation.3" shapeId="17722" r:id="rId33">
          <objectPr defaultSize="0" autoPict="0" r:id="rId9">
            <anchor moveWithCells="1">
              <from>
                <xdr:col>0</xdr:col>
                <xdr:colOff>28575</xdr:colOff>
                <xdr:row>215</xdr:row>
                <xdr:rowOff>76200</xdr:rowOff>
              </from>
              <to>
                <xdr:col>0</xdr:col>
                <xdr:colOff>962025</xdr:colOff>
                <xdr:row>216</xdr:row>
                <xdr:rowOff>180975</xdr:rowOff>
              </to>
            </anchor>
          </objectPr>
        </oleObject>
      </mc:Choice>
      <mc:Fallback>
        <oleObject progId="Equation.3" shapeId="17722" r:id="rId33"/>
      </mc:Fallback>
    </mc:AlternateContent>
    <mc:AlternateContent xmlns:mc="http://schemas.openxmlformats.org/markup-compatibility/2006">
      <mc:Choice Requires="x14">
        <oleObject progId="Equation.3" shapeId="17723" r:id="rId34">
          <objectPr defaultSize="0" autoPict="0" r:id="rId5">
            <anchor moveWithCells="1">
              <from>
                <xdr:col>0</xdr:col>
                <xdr:colOff>238125</xdr:colOff>
                <xdr:row>232</xdr:row>
                <xdr:rowOff>19050</xdr:rowOff>
              </from>
              <to>
                <xdr:col>2</xdr:col>
                <xdr:colOff>76200</xdr:colOff>
                <xdr:row>233</xdr:row>
                <xdr:rowOff>161925</xdr:rowOff>
              </to>
            </anchor>
          </objectPr>
        </oleObject>
      </mc:Choice>
      <mc:Fallback>
        <oleObject progId="Equation.3" shapeId="17723" r:id="rId34"/>
      </mc:Fallback>
    </mc:AlternateContent>
    <mc:AlternateContent xmlns:mc="http://schemas.openxmlformats.org/markup-compatibility/2006">
      <mc:Choice Requires="x14">
        <oleObject progId="Equation.3" shapeId="17724" r:id="rId35">
          <objectPr defaultSize="0" autoPict="0" r:id="rId7">
            <anchor moveWithCells="1">
              <from>
                <xdr:col>0</xdr:col>
                <xdr:colOff>219075</xdr:colOff>
                <xdr:row>235</xdr:row>
                <xdr:rowOff>0</xdr:rowOff>
              </from>
              <to>
                <xdr:col>1</xdr:col>
                <xdr:colOff>400050</xdr:colOff>
                <xdr:row>237</xdr:row>
                <xdr:rowOff>104775</xdr:rowOff>
              </to>
            </anchor>
          </objectPr>
        </oleObject>
      </mc:Choice>
      <mc:Fallback>
        <oleObject progId="Equation.3" shapeId="17724" r:id="rId35"/>
      </mc:Fallback>
    </mc:AlternateContent>
    <mc:AlternateContent xmlns:mc="http://schemas.openxmlformats.org/markup-compatibility/2006">
      <mc:Choice Requires="x14">
        <oleObject progId="Equation.3" shapeId="17725" r:id="rId36">
          <objectPr defaultSize="0" autoPict="0" r:id="rId9">
            <anchor moveWithCells="1">
              <from>
                <xdr:col>0</xdr:col>
                <xdr:colOff>28575</xdr:colOff>
                <xdr:row>239</xdr:row>
                <xdr:rowOff>76200</xdr:rowOff>
              </from>
              <to>
                <xdr:col>0</xdr:col>
                <xdr:colOff>962025</xdr:colOff>
                <xdr:row>240</xdr:row>
                <xdr:rowOff>180975</xdr:rowOff>
              </to>
            </anchor>
          </objectPr>
        </oleObject>
      </mc:Choice>
      <mc:Fallback>
        <oleObject progId="Equation.3" shapeId="17725" r:id="rId36"/>
      </mc:Fallback>
    </mc:AlternateContent>
    <mc:AlternateContent xmlns:mc="http://schemas.openxmlformats.org/markup-compatibility/2006">
      <mc:Choice Requires="x14">
        <oleObject progId="Equation.3" shapeId="17726" r:id="rId37">
          <objectPr defaultSize="0" autoPict="0" r:id="rId5">
            <anchor moveWithCells="1">
              <from>
                <xdr:col>0</xdr:col>
                <xdr:colOff>238125</xdr:colOff>
                <xdr:row>256</xdr:row>
                <xdr:rowOff>19050</xdr:rowOff>
              </from>
              <to>
                <xdr:col>2</xdr:col>
                <xdr:colOff>76200</xdr:colOff>
                <xdr:row>257</xdr:row>
                <xdr:rowOff>161925</xdr:rowOff>
              </to>
            </anchor>
          </objectPr>
        </oleObject>
      </mc:Choice>
      <mc:Fallback>
        <oleObject progId="Equation.3" shapeId="17726" r:id="rId37"/>
      </mc:Fallback>
    </mc:AlternateContent>
    <mc:AlternateContent xmlns:mc="http://schemas.openxmlformats.org/markup-compatibility/2006">
      <mc:Choice Requires="x14">
        <oleObject progId="Equation.3" shapeId="17727" r:id="rId38">
          <objectPr defaultSize="0" autoPict="0" r:id="rId7">
            <anchor moveWithCells="1">
              <from>
                <xdr:col>0</xdr:col>
                <xdr:colOff>219075</xdr:colOff>
                <xdr:row>259</xdr:row>
                <xdr:rowOff>0</xdr:rowOff>
              </from>
              <to>
                <xdr:col>1</xdr:col>
                <xdr:colOff>400050</xdr:colOff>
                <xdr:row>261</xdr:row>
                <xdr:rowOff>104775</xdr:rowOff>
              </to>
            </anchor>
          </objectPr>
        </oleObject>
      </mc:Choice>
      <mc:Fallback>
        <oleObject progId="Equation.3" shapeId="17727" r:id="rId38"/>
      </mc:Fallback>
    </mc:AlternateContent>
    <mc:AlternateContent xmlns:mc="http://schemas.openxmlformats.org/markup-compatibility/2006">
      <mc:Choice Requires="x14">
        <oleObject progId="Equation.3" shapeId="17728" r:id="rId39">
          <objectPr defaultSize="0" autoPict="0" r:id="rId9">
            <anchor moveWithCells="1">
              <from>
                <xdr:col>0</xdr:col>
                <xdr:colOff>28575</xdr:colOff>
                <xdr:row>263</xdr:row>
                <xdr:rowOff>76200</xdr:rowOff>
              </from>
              <to>
                <xdr:col>0</xdr:col>
                <xdr:colOff>962025</xdr:colOff>
                <xdr:row>264</xdr:row>
                <xdr:rowOff>180975</xdr:rowOff>
              </to>
            </anchor>
          </objectPr>
        </oleObject>
      </mc:Choice>
      <mc:Fallback>
        <oleObject progId="Equation.3" shapeId="17728" r:id="rId39"/>
      </mc:Fallback>
    </mc:AlternateContent>
    <mc:AlternateContent xmlns:mc="http://schemas.openxmlformats.org/markup-compatibility/2006">
      <mc:Choice Requires="x14">
        <oleObject progId="Equation.3" shapeId="17729" r:id="rId40">
          <objectPr defaultSize="0" autoPict="0" r:id="rId5">
            <anchor moveWithCells="1">
              <from>
                <xdr:col>0</xdr:col>
                <xdr:colOff>238125</xdr:colOff>
                <xdr:row>280</xdr:row>
                <xdr:rowOff>19050</xdr:rowOff>
              </from>
              <to>
                <xdr:col>2</xdr:col>
                <xdr:colOff>76200</xdr:colOff>
                <xdr:row>281</xdr:row>
                <xdr:rowOff>161925</xdr:rowOff>
              </to>
            </anchor>
          </objectPr>
        </oleObject>
      </mc:Choice>
      <mc:Fallback>
        <oleObject progId="Equation.3" shapeId="17729" r:id="rId40"/>
      </mc:Fallback>
    </mc:AlternateContent>
    <mc:AlternateContent xmlns:mc="http://schemas.openxmlformats.org/markup-compatibility/2006">
      <mc:Choice Requires="x14">
        <oleObject progId="Equation.3" shapeId="17730" r:id="rId41">
          <objectPr defaultSize="0" autoPict="0" r:id="rId7">
            <anchor moveWithCells="1">
              <from>
                <xdr:col>0</xdr:col>
                <xdr:colOff>219075</xdr:colOff>
                <xdr:row>283</xdr:row>
                <xdr:rowOff>0</xdr:rowOff>
              </from>
              <to>
                <xdr:col>1</xdr:col>
                <xdr:colOff>400050</xdr:colOff>
                <xdr:row>285</xdr:row>
                <xdr:rowOff>104775</xdr:rowOff>
              </to>
            </anchor>
          </objectPr>
        </oleObject>
      </mc:Choice>
      <mc:Fallback>
        <oleObject progId="Equation.3" shapeId="17730" r:id="rId41"/>
      </mc:Fallback>
    </mc:AlternateContent>
    <mc:AlternateContent xmlns:mc="http://schemas.openxmlformats.org/markup-compatibility/2006">
      <mc:Choice Requires="x14">
        <oleObject progId="Equation.3" shapeId="17731" r:id="rId42">
          <objectPr defaultSize="0" autoPict="0" r:id="rId9">
            <anchor moveWithCells="1">
              <from>
                <xdr:col>0</xdr:col>
                <xdr:colOff>28575</xdr:colOff>
                <xdr:row>287</xdr:row>
                <xdr:rowOff>76200</xdr:rowOff>
              </from>
              <to>
                <xdr:col>0</xdr:col>
                <xdr:colOff>962025</xdr:colOff>
                <xdr:row>288</xdr:row>
                <xdr:rowOff>180975</xdr:rowOff>
              </to>
            </anchor>
          </objectPr>
        </oleObject>
      </mc:Choice>
      <mc:Fallback>
        <oleObject progId="Equation.3" shapeId="17731" r:id="rId42"/>
      </mc:Fallback>
    </mc:AlternateContent>
    <mc:AlternateContent xmlns:mc="http://schemas.openxmlformats.org/markup-compatibility/2006">
      <mc:Choice Requires="x14">
        <oleObject progId="Equation.3" shapeId="17732" r:id="rId43">
          <objectPr defaultSize="0" autoPict="0" r:id="rId5">
            <anchor moveWithCells="1">
              <from>
                <xdr:col>0</xdr:col>
                <xdr:colOff>238125</xdr:colOff>
                <xdr:row>304</xdr:row>
                <xdr:rowOff>19050</xdr:rowOff>
              </from>
              <to>
                <xdr:col>2</xdr:col>
                <xdr:colOff>76200</xdr:colOff>
                <xdr:row>305</xdr:row>
                <xdr:rowOff>161925</xdr:rowOff>
              </to>
            </anchor>
          </objectPr>
        </oleObject>
      </mc:Choice>
      <mc:Fallback>
        <oleObject progId="Equation.3" shapeId="17732" r:id="rId43"/>
      </mc:Fallback>
    </mc:AlternateContent>
    <mc:AlternateContent xmlns:mc="http://schemas.openxmlformats.org/markup-compatibility/2006">
      <mc:Choice Requires="x14">
        <oleObject progId="Equation.3" shapeId="17733" r:id="rId44">
          <objectPr defaultSize="0" autoPict="0" r:id="rId7">
            <anchor moveWithCells="1">
              <from>
                <xdr:col>0</xdr:col>
                <xdr:colOff>219075</xdr:colOff>
                <xdr:row>307</xdr:row>
                <xdr:rowOff>0</xdr:rowOff>
              </from>
              <to>
                <xdr:col>1</xdr:col>
                <xdr:colOff>400050</xdr:colOff>
                <xdr:row>309</xdr:row>
                <xdr:rowOff>104775</xdr:rowOff>
              </to>
            </anchor>
          </objectPr>
        </oleObject>
      </mc:Choice>
      <mc:Fallback>
        <oleObject progId="Equation.3" shapeId="17733" r:id="rId44"/>
      </mc:Fallback>
    </mc:AlternateContent>
    <mc:AlternateContent xmlns:mc="http://schemas.openxmlformats.org/markup-compatibility/2006">
      <mc:Choice Requires="x14">
        <oleObject progId="Equation.3" shapeId="17734" r:id="rId45">
          <objectPr defaultSize="0" autoPict="0" r:id="rId9">
            <anchor moveWithCells="1">
              <from>
                <xdr:col>0</xdr:col>
                <xdr:colOff>28575</xdr:colOff>
                <xdr:row>311</xdr:row>
                <xdr:rowOff>76200</xdr:rowOff>
              </from>
              <to>
                <xdr:col>0</xdr:col>
                <xdr:colOff>962025</xdr:colOff>
                <xdr:row>312</xdr:row>
                <xdr:rowOff>180975</xdr:rowOff>
              </to>
            </anchor>
          </objectPr>
        </oleObject>
      </mc:Choice>
      <mc:Fallback>
        <oleObject progId="Equation.3" shapeId="17734" r:id="rId4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8"/>
  <sheetViews>
    <sheetView zoomScale="91" zoomScaleNormal="91" workbookViewId="0">
      <selection activeCell="P14" sqref="P14"/>
    </sheetView>
  </sheetViews>
  <sheetFormatPr baseColWidth="10" defaultRowHeight="15" x14ac:dyDescent="0.25"/>
  <cols>
    <col min="1" max="1" width="14" customWidth="1"/>
    <col min="2" max="2" width="13.42578125" customWidth="1"/>
    <col min="3" max="3" width="12" customWidth="1"/>
    <col min="4" max="4" width="15.5703125" customWidth="1"/>
  </cols>
  <sheetData>
    <row r="1" spans="1:6" x14ac:dyDescent="0.25">
      <c r="A1" s="99" t="s">
        <v>50</v>
      </c>
      <c r="B1" s="99"/>
      <c r="C1" s="99"/>
      <c r="D1" s="99"/>
      <c r="E1" s="99"/>
      <c r="F1" s="99"/>
    </row>
    <row r="2" spans="1:6" x14ac:dyDescent="0.25">
      <c r="A2" t="s">
        <v>22</v>
      </c>
    </row>
    <row r="3" spans="1:6" x14ac:dyDescent="0.25">
      <c r="C3" t="s">
        <v>23</v>
      </c>
    </row>
    <row r="4" spans="1:6" x14ac:dyDescent="0.25">
      <c r="C4" t="s">
        <v>24</v>
      </c>
    </row>
    <row r="5" spans="1:6" x14ac:dyDescent="0.25">
      <c r="C5" t="s">
        <v>28</v>
      </c>
    </row>
    <row r="6" spans="1:6" x14ac:dyDescent="0.25">
      <c r="C6" t="s">
        <v>25</v>
      </c>
    </row>
    <row r="7" spans="1:6" x14ac:dyDescent="0.25">
      <c r="C7" t="s">
        <v>26</v>
      </c>
    </row>
    <row r="9" spans="1:6" x14ac:dyDescent="0.25">
      <c r="B9" t="s">
        <v>27</v>
      </c>
      <c r="C9" s="22">
        <f>'CUADRO DE CARGAS'!L5</f>
        <v>259.85689078186795</v>
      </c>
      <c r="D9" t="s">
        <v>29</v>
      </c>
      <c r="E9" t="s">
        <v>30</v>
      </c>
    </row>
    <row r="10" spans="1:6" x14ac:dyDescent="0.25">
      <c r="B10" s="23" t="s">
        <v>44</v>
      </c>
      <c r="C10" s="33">
        <f>1.25*C9</f>
        <v>324.82111347733496</v>
      </c>
      <c r="D10" s="23" t="s">
        <v>29</v>
      </c>
      <c r="E10" t="s">
        <v>51</v>
      </c>
    </row>
    <row r="11" spans="1:6" x14ac:dyDescent="0.25">
      <c r="B11" s="24" t="s">
        <v>31</v>
      </c>
      <c r="C11" s="24">
        <v>95</v>
      </c>
      <c r="D11" s="24" t="s">
        <v>32</v>
      </c>
    </row>
    <row r="12" spans="1:6" x14ac:dyDescent="0.25">
      <c r="A12" t="s">
        <v>52</v>
      </c>
    </row>
    <row r="13" spans="1:6" x14ac:dyDescent="0.25">
      <c r="B13" s="23" t="s">
        <v>36</v>
      </c>
      <c r="C13" s="23">
        <v>30</v>
      </c>
      <c r="D13" s="23" t="s">
        <v>37</v>
      </c>
      <c r="E13" s="32"/>
    </row>
    <row r="14" spans="1:6" x14ac:dyDescent="0.25">
      <c r="A14" t="s">
        <v>53</v>
      </c>
    </row>
    <row r="17" spans="1:6" x14ac:dyDescent="0.25">
      <c r="A17" t="s">
        <v>23</v>
      </c>
    </row>
    <row r="18" spans="1:6" x14ac:dyDescent="0.25">
      <c r="C18" t="s">
        <v>35</v>
      </c>
      <c r="E18">
        <v>1.7999999999999999E-2</v>
      </c>
    </row>
    <row r="19" spans="1:6" x14ac:dyDescent="0.25">
      <c r="C19" t="s">
        <v>34</v>
      </c>
      <c r="D19">
        <f>E18*C13/C11</f>
        <v>5.684210526315789E-3</v>
      </c>
    </row>
    <row r="21" spans="1:6" x14ac:dyDescent="0.25">
      <c r="A21" t="s">
        <v>33</v>
      </c>
    </row>
    <row r="23" spans="1:6" x14ac:dyDescent="0.25">
      <c r="B23" s="38">
        <f>1.732*C10*D19*0.9</f>
        <v>2.8780928622291957</v>
      </c>
      <c r="C23" t="s">
        <v>38</v>
      </c>
      <c r="D23" s="24" t="s">
        <v>39</v>
      </c>
    </row>
    <row r="26" spans="1:6" ht="15.75" x14ac:dyDescent="0.25">
      <c r="A26" s="95" t="s">
        <v>115</v>
      </c>
      <c r="B26" s="98"/>
      <c r="C26" s="98"/>
      <c r="D26" s="98"/>
      <c r="E26" s="98"/>
      <c r="F26" s="98"/>
    </row>
    <row r="27" spans="1:6" x14ac:dyDescent="0.25">
      <c r="A27" t="s">
        <v>22</v>
      </c>
    </row>
    <row r="28" spans="1:6" x14ac:dyDescent="0.25">
      <c r="C28" t="s">
        <v>23</v>
      </c>
    </row>
    <row r="29" spans="1:6" x14ac:dyDescent="0.25">
      <c r="C29" t="s">
        <v>24</v>
      </c>
    </row>
    <row r="30" spans="1:6" x14ac:dyDescent="0.25">
      <c r="C30" t="s">
        <v>28</v>
      </c>
    </row>
    <row r="31" spans="1:6" x14ac:dyDescent="0.25">
      <c r="C31" t="s">
        <v>25</v>
      </c>
    </row>
    <row r="32" spans="1:6" x14ac:dyDescent="0.25">
      <c r="C32" t="s">
        <v>26</v>
      </c>
    </row>
    <row r="34" spans="1:5" x14ac:dyDescent="0.25">
      <c r="B34" t="s">
        <v>27</v>
      </c>
      <c r="C34" s="22">
        <f>'CUADRO DE CARGAS'!L6</f>
        <v>30.839549741405534</v>
      </c>
      <c r="D34" t="s">
        <v>29</v>
      </c>
      <c r="E34" t="s">
        <v>30</v>
      </c>
    </row>
    <row r="35" spans="1:5" x14ac:dyDescent="0.25">
      <c r="B35" s="23" t="s">
        <v>44</v>
      </c>
      <c r="C35" s="33">
        <f>1.25*C34</f>
        <v>38.549437176756918</v>
      </c>
      <c r="D35" s="23" t="s">
        <v>29</v>
      </c>
      <c r="E35" t="s">
        <v>51</v>
      </c>
    </row>
    <row r="36" spans="1:5" x14ac:dyDescent="0.25">
      <c r="B36" s="24" t="s">
        <v>31</v>
      </c>
      <c r="C36" s="24">
        <v>10</v>
      </c>
      <c r="D36" s="24" t="s">
        <v>32</v>
      </c>
    </row>
    <row r="37" spans="1:5" x14ac:dyDescent="0.25">
      <c r="A37" t="s">
        <v>52</v>
      </c>
    </row>
    <row r="38" spans="1:5" x14ac:dyDescent="0.25">
      <c r="B38" s="23" t="s">
        <v>36</v>
      </c>
      <c r="C38" s="23">
        <v>7</v>
      </c>
      <c r="D38" s="23" t="s">
        <v>37</v>
      </c>
      <c r="E38" s="32"/>
    </row>
    <row r="39" spans="1:5" x14ac:dyDescent="0.25">
      <c r="A39" t="s">
        <v>53</v>
      </c>
    </row>
    <row r="42" spans="1:5" x14ac:dyDescent="0.25">
      <c r="A42" t="s">
        <v>23</v>
      </c>
    </row>
    <row r="43" spans="1:5" x14ac:dyDescent="0.25">
      <c r="C43" t="s">
        <v>35</v>
      </c>
      <c r="E43">
        <v>1.7999999999999999E-2</v>
      </c>
    </row>
    <row r="44" spans="1:5" x14ac:dyDescent="0.25">
      <c r="C44" t="s">
        <v>34</v>
      </c>
      <c r="D44">
        <f>E43*C38/C36</f>
        <v>1.26E-2</v>
      </c>
    </row>
    <row r="46" spans="1:5" x14ac:dyDescent="0.25">
      <c r="A46" t="s">
        <v>33</v>
      </c>
    </row>
    <row r="48" spans="1:5" x14ac:dyDescent="0.25">
      <c r="B48" s="38">
        <f>1.732*C35*D44*0.9</f>
        <v>0.75714486965622141</v>
      </c>
      <c r="C48" t="s">
        <v>38</v>
      </c>
      <c r="D48" s="24" t="s">
        <v>39</v>
      </c>
    </row>
  </sheetData>
  <mergeCells count="2">
    <mergeCell ref="A26:F26"/>
    <mergeCell ref="A1:F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2529" r:id="rId4">
          <objectPr defaultSize="0" autoPict="0" r:id="rId5">
            <anchor moveWithCells="1">
              <from>
                <xdr:col>0</xdr:col>
                <xdr:colOff>238125</xdr:colOff>
                <xdr:row>39</xdr:row>
                <xdr:rowOff>19050</xdr:rowOff>
              </from>
              <to>
                <xdr:col>2</xdr:col>
                <xdr:colOff>304800</xdr:colOff>
                <xdr:row>40</xdr:row>
                <xdr:rowOff>161925</xdr:rowOff>
              </to>
            </anchor>
          </objectPr>
        </oleObject>
      </mc:Choice>
      <mc:Fallback>
        <oleObject progId="Equation.3" shapeId="22529" r:id="rId4"/>
      </mc:Fallback>
    </mc:AlternateContent>
    <mc:AlternateContent xmlns:mc="http://schemas.openxmlformats.org/markup-compatibility/2006">
      <mc:Choice Requires="x14">
        <oleObject progId="Equation.3" shapeId="22530" r:id="rId6">
          <objectPr defaultSize="0" autoPict="0" r:id="rId7">
            <anchor moveWithCells="1">
              <from>
                <xdr:col>0</xdr:col>
                <xdr:colOff>219075</xdr:colOff>
                <xdr:row>42</xdr:row>
                <xdr:rowOff>0</xdr:rowOff>
              </from>
              <to>
                <xdr:col>1</xdr:col>
                <xdr:colOff>476250</xdr:colOff>
                <xdr:row>44</xdr:row>
                <xdr:rowOff>104775</xdr:rowOff>
              </to>
            </anchor>
          </objectPr>
        </oleObject>
      </mc:Choice>
      <mc:Fallback>
        <oleObject progId="Equation.3" shapeId="22530" r:id="rId6"/>
      </mc:Fallback>
    </mc:AlternateContent>
    <mc:AlternateContent xmlns:mc="http://schemas.openxmlformats.org/markup-compatibility/2006">
      <mc:Choice Requires="x14">
        <oleObject progId="Equation.3" shapeId="22531" r:id="rId8">
          <objectPr defaultSize="0" autoPict="0" r:id="rId9">
            <anchor moveWithCells="1">
              <from>
                <xdr:col>0</xdr:col>
                <xdr:colOff>28575</xdr:colOff>
                <xdr:row>46</xdr:row>
                <xdr:rowOff>76200</xdr:rowOff>
              </from>
              <to>
                <xdr:col>1</xdr:col>
                <xdr:colOff>28575</xdr:colOff>
                <xdr:row>47</xdr:row>
                <xdr:rowOff>180975</xdr:rowOff>
              </to>
            </anchor>
          </objectPr>
        </oleObject>
      </mc:Choice>
      <mc:Fallback>
        <oleObject progId="Equation.3" shapeId="22531" r:id="rId8"/>
      </mc:Fallback>
    </mc:AlternateContent>
    <mc:AlternateContent xmlns:mc="http://schemas.openxmlformats.org/markup-compatibility/2006">
      <mc:Choice Requires="x14">
        <oleObject progId="Equation.3" shapeId="22551" r:id="rId10">
          <objectPr defaultSize="0" autoPict="0" r:id="rId5">
            <anchor moveWithCells="1">
              <from>
                <xdr:col>0</xdr:col>
                <xdr:colOff>238125</xdr:colOff>
                <xdr:row>14</xdr:row>
                <xdr:rowOff>19050</xdr:rowOff>
              </from>
              <to>
                <xdr:col>2</xdr:col>
                <xdr:colOff>304800</xdr:colOff>
                <xdr:row>15</xdr:row>
                <xdr:rowOff>161925</xdr:rowOff>
              </to>
            </anchor>
          </objectPr>
        </oleObject>
      </mc:Choice>
      <mc:Fallback>
        <oleObject progId="Equation.3" shapeId="22551" r:id="rId10"/>
      </mc:Fallback>
    </mc:AlternateContent>
    <mc:AlternateContent xmlns:mc="http://schemas.openxmlformats.org/markup-compatibility/2006">
      <mc:Choice Requires="x14">
        <oleObject progId="Equation.3" shapeId="22552" r:id="rId11">
          <objectPr defaultSize="0" autoPict="0" r:id="rId7">
            <anchor moveWithCells="1">
              <from>
                <xdr:col>0</xdr:col>
                <xdr:colOff>219075</xdr:colOff>
                <xdr:row>17</xdr:row>
                <xdr:rowOff>0</xdr:rowOff>
              </from>
              <to>
                <xdr:col>1</xdr:col>
                <xdr:colOff>476250</xdr:colOff>
                <xdr:row>19</xdr:row>
                <xdr:rowOff>104775</xdr:rowOff>
              </to>
            </anchor>
          </objectPr>
        </oleObject>
      </mc:Choice>
      <mc:Fallback>
        <oleObject progId="Equation.3" shapeId="22552" r:id="rId11"/>
      </mc:Fallback>
    </mc:AlternateContent>
    <mc:AlternateContent xmlns:mc="http://schemas.openxmlformats.org/markup-compatibility/2006">
      <mc:Choice Requires="x14">
        <oleObject progId="Equation.3" shapeId="22553" r:id="rId12">
          <objectPr defaultSize="0" autoPict="0" r:id="rId9">
            <anchor moveWithCells="1">
              <from>
                <xdr:col>0</xdr:col>
                <xdr:colOff>28575</xdr:colOff>
                <xdr:row>21</xdr:row>
                <xdr:rowOff>76200</xdr:rowOff>
              </from>
              <to>
                <xdr:col>1</xdr:col>
                <xdr:colOff>28575</xdr:colOff>
                <xdr:row>22</xdr:row>
                <xdr:rowOff>180975</xdr:rowOff>
              </to>
            </anchor>
          </objectPr>
        </oleObject>
      </mc:Choice>
      <mc:Fallback>
        <oleObject progId="Equation.3" shapeId="22553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Computadoras</vt:lpstr>
      <vt:lpstr>CUADRO DE CARGAS</vt:lpstr>
      <vt:lpstr>CALCULO POR CIRCUITOS</vt:lpstr>
      <vt:lpstr>CALCULOS  TAB. DIS.</vt:lpstr>
      <vt:lpstr>CALCULO TAB. GEN. Y SUB. 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Limache</dc:creator>
  <cp:lastModifiedBy>LENOVO</cp:lastModifiedBy>
  <cp:lastPrinted>2015-03-04T17:21:47Z</cp:lastPrinted>
  <dcterms:created xsi:type="dcterms:W3CDTF">2015-02-27T04:48:09Z</dcterms:created>
  <dcterms:modified xsi:type="dcterms:W3CDTF">2023-02-20T18:36:16Z</dcterms:modified>
</cp:coreProperties>
</file>