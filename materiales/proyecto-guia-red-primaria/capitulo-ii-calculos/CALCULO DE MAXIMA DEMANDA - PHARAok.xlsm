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XP.GORE_INICIALES\EXPEDIENTE MEDIA TENSION PHARA\"/>
    </mc:Choice>
  </mc:AlternateContent>
  <bookViews>
    <workbookView xWindow="-105" yWindow="-105" windowWidth="23250" windowHeight="12570"/>
  </bookViews>
  <sheets>
    <sheet name="SELECCION DE EQUIPO E" sheetId="63" r:id="rId1"/>
    <sheet name="R-MD-TOTAL " sheetId="36" r:id="rId2"/>
    <sheet name="TGN" sheetId="6" r:id="rId3"/>
    <sheet name="TDN" sheetId="33" r:id="rId4"/>
    <sheet name="FACT. DE CORR" sheetId="5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TGN!$S$136:$BA$142</definedName>
    <definedName name="A">#REF!</definedName>
    <definedName name="AISLAMIENTO">#REF!</definedName>
    <definedName name="_xlnm.Print_Area" localSheetId="1">'R-MD-TOTAL '!$A$2:$K$18</definedName>
    <definedName name="_xlnm.Print_Area" localSheetId="0">'SELECCION DE EQUIPO E'!$A$1:$E$20</definedName>
    <definedName name="_xlnm.Print_Area" localSheetId="3">TDN!$B$1:$P$109</definedName>
    <definedName name="_xlnm.Print_Area" localSheetId="2">TGN!$V$130:$AU$143</definedName>
    <definedName name="arrancadorr">#REF!</definedName>
    <definedName name="Caja_Moldeada" localSheetId="2">TGN!$A$17:$A$80</definedName>
    <definedName name="caja_moldeada">[1]TGES.EI!$AL$108:$AL$137</definedName>
    <definedName name="CCCCCC">[2]DATOS!$L$113:$L$139</definedName>
    <definedName name="COND">TGN!$F$15:$F$77</definedName>
    <definedName name="conductor">#REF!</definedName>
    <definedName name="CONDUCTORR">TGN!$F$16:$F$77</definedName>
    <definedName name="DDD">#REF!</definedName>
    <definedName name="DFGHDFGJDJ">#REF!</definedName>
    <definedName name="din">#REF!</definedName>
    <definedName name="dinn">#REF!</definedName>
    <definedName name="DINNN">#REF!</definedName>
    <definedName name="eficiencia">#REF!</definedName>
    <definedName name="ELENA" localSheetId="1">#REF!</definedName>
    <definedName name="ELENA">#REF!</definedName>
    <definedName name="EN_BANDEJA">#REF!</definedName>
    <definedName name="EN_DUCTOS">'FACT. DE CORR'!$F$15:$Q$49</definedName>
    <definedName name="EN_PISOP">#REF!</definedName>
    <definedName name="ERICK">#REF!</definedName>
    <definedName name="ERICKJ">#REF!</definedName>
    <definedName name="GRUPOELEC">#REF!</definedName>
    <definedName name="Intalacion_cables">TGN!$T$126:$T$133</definedName>
    <definedName name="LLAB">#REF!</definedName>
    <definedName name="llave" localSheetId="3">TDN!$XDX$977884:$XDY$979133</definedName>
    <definedName name="llave">#REF!</definedName>
    <definedName name="MONOFASICO">#REF!</definedName>
    <definedName name="PUESTA">TGN!$AS$108:$AS$122</definedName>
    <definedName name="RIEL">#REF!</definedName>
    <definedName name="Riel_DIN">#REF!</definedName>
    <definedName name="SECCION2">[3]DATOS!$D$5:$D$37</definedName>
    <definedName name="Spanner_Auto_File">"C:\jockey\alim-aa.x2a"</definedName>
    <definedName name="Spanner_Auto_Select" localSheetId="1">#REF!</definedName>
    <definedName name="Spanner_Auto_Select">#REF!</definedName>
    <definedName name="TIERRA">#REF!</definedName>
    <definedName name="TIERRAA">TGN!$AS$105:$AV$122</definedName>
    <definedName name="tornillo">'[4]CT-TGN.1'!$B$3:$B$32</definedName>
    <definedName name="TRAFO">'R-MD-TOTAL '!#REF!</definedName>
    <definedName name="TRAFOM">#REF!</definedName>
    <definedName name="TRAFOSS">#REF!</definedName>
    <definedName name="TRAFOSSS">'SELECCION DE EQUIPO E'!#REF!</definedName>
    <definedName name="TRIFASICO">#REF!</definedName>
    <definedName name="UPS">#REF!</definedName>
    <definedName name="VARIADOR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42" i="6" l="1"/>
  <c r="AD141" i="6"/>
  <c r="AD140" i="6"/>
  <c r="AD138" i="6"/>
  <c r="E85" i="33"/>
  <c r="G85" i="33" s="1"/>
  <c r="E84" i="33"/>
  <c r="G84" i="33" s="1"/>
  <c r="E83" i="33"/>
  <c r="G83" i="33" s="1"/>
  <c r="E82" i="33"/>
  <c r="G82" i="33" s="1"/>
  <c r="E79" i="33"/>
  <c r="G79" i="33" s="1"/>
  <c r="E75" i="33"/>
  <c r="G75" i="33" s="1"/>
  <c r="E76" i="33"/>
  <c r="G76" i="33" s="1"/>
  <c r="E60" i="33"/>
  <c r="G60" i="33" s="1"/>
  <c r="E74" i="33"/>
  <c r="G74" i="33" s="1"/>
  <c r="E47" i="33"/>
  <c r="G47" i="33" s="1"/>
  <c r="E28" i="33"/>
  <c r="G28" i="33" s="1"/>
  <c r="J27" i="33" s="1"/>
  <c r="E18" i="33"/>
  <c r="G18" i="33" s="1"/>
  <c r="E92" i="33"/>
  <c r="G92" i="33" s="1"/>
  <c r="J81" i="33" l="1"/>
  <c r="L27" i="33"/>
  <c r="M27" i="33" s="1"/>
  <c r="BJ142" i="6"/>
  <c r="BI142" i="6"/>
  <c r="BF142" i="6"/>
  <c r="BE142" i="6"/>
  <c r="BD142" i="6"/>
  <c r="BC142" i="6"/>
  <c r="BB142" i="6"/>
  <c r="BA142" i="6"/>
  <c r="AQ142" i="6"/>
  <c r="AO142" i="6"/>
  <c r="AG142" i="6"/>
  <c r="AC142" i="6"/>
  <c r="AU142" i="6" s="1"/>
  <c r="BJ141" i="6"/>
  <c r="BI141" i="6"/>
  <c r="BF141" i="6"/>
  <c r="BE141" i="6"/>
  <c r="BD141" i="6"/>
  <c r="BC141" i="6"/>
  <c r="BB141" i="6"/>
  <c r="BA141" i="6"/>
  <c r="AQ141" i="6"/>
  <c r="AO141" i="6"/>
  <c r="AG141" i="6"/>
  <c r="AC141" i="6"/>
  <c r="AU141" i="6" s="1"/>
  <c r="E87" i="33"/>
  <c r="G87" i="33" s="1"/>
  <c r="E94" i="33"/>
  <c r="G94" i="33" s="1"/>
  <c r="E91" i="33"/>
  <c r="G91" i="33" s="1"/>
  <c r="J90" i="33" s="1"/>
  <c r="E89" i="33"/>
  <c r="G89" i="33" s="1"/>
  <c r="E88" i="33"/>
  <c r="G88" i="33" s="1"/>
  <c r="E80" i="33"/>
  <c r="G80" i="33" s="1"/>
  <c r="E77" i="33"/>
  <c r="G77" i="33" s="1"/>
  <c r="J72" i="33"/>
  <c r="J103" i="33"/>
  <c r="E56" i="33"/>
  <c r="G56" i="33" s="1"/>
  <c r="E55" i="33"/>
  <c r="G55" i="33" s="1"/>
  <c r="E42" i="33"/>
  <c r="G42" i="33" s="1"/>
  <c r="E23" i="33"/>
  <c r="G23" i="33" s="1"/>
  <c r="E22" i="33"/>
  <c r="G22" i="33" s="1"/>
  <c r="BH142" i="6" l="1"/>
  <c r="BK142" i="6" s="1"/>
  <c r="BG142" i="6" s="1"/>
  <c r="Z142" i="6" s="1"/>
  <c r="BH141" i="6"/>
  <c r="BK141" i="6" s="1"/>
  <c r="BG141" i="6" s="1"/>
  <c r="Z141" i="6" s="1"/>
  <c r="L81" i="33"/>
  <c r="M81" i="33" s="1"/>
  <c r="E95" i="33"/>
  <c r="J78" i="33"/>
  <c r="J86" i="33"/>
  <c r="L86" i="33" s="1"/>
  <c r="M86" i="33" s="1"/>
  <c r="J73" i="33"/>
  <c r="L90" i="33"/>
  <c r="M90" i="33" s="1"/>
  <c r="E107" i="33"/>
  <c r="G95" i="33" l="1"/>
  <c r="L78" i="33"/>
  <c r="M78" i="33" s="1"/>
  <c r="L73" i="33"/>
  <c r="M73" i="33" s="1"/>
  <c r="H10" i="36" l="1"/>
  <c r="J10" i="36" s="1"/>
  <c r="X141" i="6"/>
  <c r="K95" i="33"/>
  <c r="L95" i="33" s="1"/>
  <c r="E54" i="33"/>
  <c r="G54" i="33" s="1"/>
  <c r="E44" i="33"/>
  <c r="G44" i="33" s="1"/>
  <c r="E43" i="33"/>
  <c r="G43" i="33" s="1"/>
  <c r="E41" i="33"/>
  <c r="G41" i="33" s="1"/>
  <c r="E26" i="33"/>
  <c r="G26" i="33" s="1"/>
  <c r="E25" i="33"/>
  <c r="G25" i="33" s="1"/>
  <c r="E61" i="33"/>
  <c r="G61" i="33" s="1"/>
  <c r="J59" i="33" s="1"/>
  <c r="E51" i="33"/>
  <c r="G51" i="33" s="1"/>
  <c r="E52" i="33"/>
  <c r="G52" i="33" s="1"/>
  <c r="Y141" i="6" l="1"/>
  <c r="AZ141" i="6"/>
  <c r="AY141" i="6" s="1"/>
  <c r="J53" i="33"/>
  <c r="J40" i="33"/>
  <c r="J24" i="33"/>
  <c r="AT141" i="6" l="1"/>
  <c r="AB141" i="6"/>
  <c r="AN141" i="6" s="1"/>
  <c r="AX141" i="6" s="1"/>
  <c r="L53" i="33"/>
  <c r="M53" i="33" s="1"/>
  <c r="L40" i="33"/>
  <c r="M40" i="33" s="1"/>
  <c r="L59" i="33"/>
  <c r="M59" i="33" s="1"/>
  <c r="L24" i="33"/>
  <c r="M24" i="33" s="1"/>
  <c r="AV141" i="6" l="1"/>
  <c r="AW141" i="6" s="1"/>
  <c r="E105" i="33"/>
  <c r="G105" i="33" l="1"/>
  <c r="J104" i="33" s="1"/>
  <c r="E16" i="33"/>
  <c r="G16" i="33" s="1"/>
  <c r="L104" i="33" l="1"/>
  <c r="M104" i="33" s="1"/>
  <c r="E46" i="33"/>
  <c r="E17" i="33"/>
  <c r="G17" i="33" s="1"/>
  <c r="G46" i="33" l="1"/>
  <c r="E58" i="33"/>
  <c r="E63" i="33"/>
  <c r="G63" i="33" s="1"/>
  <c r="E50" i="33"/>
  <c r="G50" i="33" s="1"/>
  <c r="J49" i="33" s="1"/>
  <c r="E48" i="33"/>
  <c r="G48" i="33" s="1"/>
  <c r="J39" i="33"/>
  <c r="E108" i="33"/>
  <c r="E21" i="33"/>
  <c r="J45" i="33" l="1"/>
  <c r="L45" i="33" s="1"/>
  <c r="M45" i="33" s="1"/>
  <c r="E64" i="33"/>
  <c r="G107" i="33"/>
  <c r="L49" i="33"/>
  <c r="M49" i="33" s="1"/>
  <c r="G21" i="33"/>
  <c r="J20" i="33" s="1"/>
  <c r="G58" i="33"/>
  <c r="J57" i="33" s="1"/>
  <c r="L57" i="33" s="1"/>
  <c r="M57" i="33" s="1"/>
  <c r="G108" i="33" l="1"/>
  <c r="G64" i="33"/>
  <c r="L20" i="33"/>
  <c r="M20" i="33" s="1"/>
  <c r="K64" i="33"/>
  <c r="L64" i="33" s="1"/>
  <c r="H9" i="36" l="1"/>
  <c r="J9" i="36" s="1"/>
  <c r="X140" i="6"/>
  <c r="H11" i="36"/>
  <c r="J11" i="36" s="1"/>
  <c r="X142" i="6"/>
  <c r="K108" i="33"/>
  <c r="L108" i="33" s="1"/>
  <c r="Y142" i="6" l="1"/>
  <c r="AZ142" i="6"/>
  <c r="AY142" i="6" s="1"/>
  <c r="AT142" i="6" l="1"/>
  <c r="AB142" i="6"/>
  <c r="AN142" i="6" s="1"/>
  <c r="AX142" i="6" s="1"/>
  <c r="AV142" i="6" l="1"/>
  <c r="AW142" i="6" s="1"/>
  <c r="BL138" i="6" l="1"/>
  <c r="E19" i="33" l="1"/>
  <c r="G19" i="33" s="1"/>
  <c r="E15" i="33"/>
  <c r="C11" i="63"/>
  <c r="G15" i="33" l="1"/>
  <c r="J14" i="33" l="1"/>
  <c r="L14" i="33" l="1"/>
  <c r="M14" i="33" s="1"/>
  <c r="J13" i="33"/>
  <c r="E30" i="33" l="1"/>
  <c r="E31" i="33" s="1"/>
  <c r="G30" i="33" l="1"/>
  <c r="G31" i="33" s="1"/>
  <c r="H8" i="36" l="1"/>
  <c r="H12" i="36" s="1"/>
  <c r="X139" i="6"/>
  <c r="J8" i="36" l="1"/>
  <c r="H13" i="36"/>
  <c r="J14" i="36" s="1"/>
  <c r="J12" i="36"/>
  <c r="K31" i="33"/>
  <c r="L31" i="33" s="1"/>
  <c r="J13" i="36" l="1"/>
  <c r="J15" i="36" s="1"/>
  <c r="X138" i="6" s="1"/>
  <c r="BF140" i="6"/>
  <c r="BE140" i="6"/>
  <c r="BD140" i="6"/>
  <c r="BC140" i="6"/>
  <c r="BB140" i="6"/>
  <c r="BI140" i="6" s="1"/>
  <c r="BA140" i="6"/>
  <c r="AO140" i="6"/>
  <c r="AG140" i="6"/>
  <c r="AC140" i="6"/>
  <c r="AU140" i="6" s="1"/>
  <c r="BH140" i="6" l="1"/>
  <c r="BJ140" i="6"/>
  <c r="BK140" i="6" l="1"/>
  <c r="BG140" i="6" s="1"/>
  <c r="Z140" i="6" s="1"/>
  <c r="BF138" i="6" l="1"/>
  <c r="BF139" i="6"/>
  <c r="BB138" i="6" l="1"/>
  <c r="BB139" i="6"/>
  <c r="BA138" i="6"/>
  <c r="BA139" i="6"/>
  <c r="BC138" i="6"/>
  <c r="BD138" i="6"/>
  <c r="BH138" i="6" s="1"/>
  <c r="BE138" i="6"/>
  <c r="BC139" i="6"/>
  <c r="BD139" i="6"/>
  <c r="BE139" i="6"/>
  <c r="BH139" i="6"/>
  <c r="BJ139" i="6" l="1"/>
  <c r="BJ138" i="6"/>
  <c r="BI138" i="6"/>
  <c r="BI139" i="6"/>
  <c r="BK139" i="6" l="1"/>
  <c r="BG139" i="6" s="1"/>
  <c r="Z139" i="6" s="1"/>
  <c r="BK138" i="6"/>
  <c r="BG138" i="6" s="1"/>
  <c r="Z138" i="6" s="1"/>
  <c r="I118" i="5" l="1"/>
  <c r="I119" i="5" s="1"/>
  <c r="AG139" i="6" l="1"/>
  <c r="AO139" i="6"/>
  <c r="AO138" i="6" l="1"/>
  <c r="I129" i="5" l="1"/>
  <c r="F118" i="5"/>
  <c r="F119" i="5" s="1"/>
  <c r="I128" i="5"/>
  <c r="J119" i="5"/>
  <c r="J118" i="5"/>
  <c r="H118" i="5"/>
  <c r="H119" i="5" s="1"/>
  <c r="M119" i="6"/>
  <c r="G118" i="5"/>
  <c r="G119" i="5" s="1"/>
  <c r="I130" i="5" l="1"/>
  <c r="K119" i="5"/>
  <c r="K118" i="5"/>
  <c r="K120" i="5" s="1"/>
  <c r="J131" i="5" s="1"/>
  <c r="K131" i="5" l="1"/>
  <c r="E133" i="6" l="1"/>
  <c r="O9" i="5" l="1"/>
  <c r="AG138" i="6" l="1"/>
  <c r="N119" i="6" l="1"/>
  <c r="J17" i="36" l="1"/>
  <c r="L119" i="6" l="1"/>
  <c r="K133" i="6" s="1"/>
  <c r="Y138" i="6" l="1"/>
  <c r="L127" i="6"/>
  <c r="L125" i="6"/>
  <c r="L122" i="6"/>
  <c r="K130" i="6" s="1"/>
  <c r="K134" i="6" l="1"/>
  <c r="K131" i="6"/>
  <c r="O77" i="6" l="1"/>
  <c r="O76" i="6"/>
  <c r="O75" i="6"/>
  <c r="O74" i="6"/>
  <c r="O73" i="6"/>
  <c r="O72" i="6"/>
  <c r="O71" i="6"/>
  <c r="O69" i="6"/>
  <c r="O68" i="6"/>
  <c r="O67" i="6"/>
  <c r="O66" i="6"/>
  <c r="O65" i="6"/>
  <c r="O64" i="6"/>
  <c r="O63" i="6"/>
  <c r="O61" i="6"/>
  <c r="O60" i="6"/>
  <c r="O59" i="6"/>
  <c r="O58" i="6"/>
  <c r="O57" i="6"/>
  <c r="O56" i="6"/>
  <c r="O55" i="6"/>
  <c r="O53" i="6"/>
  <c r="O52" i="6"/>
  <c r="O51" i="6"/>
  <c r="O50" i="6"/>
  <c r="O49" i="6"/>
  <c r="O48" i="6"/>
  <c r="O47" i="6"/>
  <c r="O45" i="6"/>
  <c r="O44" i="6"/>
  <c r="O43" i="6"/>
  <c r="O42" i="6"/>
  <c r="AC138" i="6" s="1"/>
  <c r="O41" i="6"/>
  <c r="O40" i="6"/>
  <c r="O39" i="6"/>
  <c r="O37" i="6"/>
  <c r="O36" i="6"/>
  <c r="O35" i="6"/>
  <c r="O34" i="6"/>
  <c r="O33" i="6"/>
  <c r="O32" i="6"/>
  <c r="O31" i="6"/>
  <c r="H30" i="6"/>
  <c r="N30" i="6" s="1"/>
  <c r="H29" i="6"/>
  <c r="K29" i="6" s="1"/>
  <c r="H28" i="6"/>
  <c r="N28" i="6" s="1"/>
  <c r="H27" i="6"/>
  <c r="M27" i="6" s="1"/>
  <c r="H26" i="6"/>
  <c r="K26" i="6" s="1"/>
  <c r="K73" i="6" s="1"/>
  <c r="H25" i="6"/>
  <c r="N25" i="6" s="1"/>
  <c r="H24" i="6"/>
  <c r="L24" i="6" s="1"/>
  <c r="H23" i="6"/>
  <c r="K23" i="6" s="1"/>
  <c r="H22" i="6"/>
  <c r="N22" i="6" s="1"/>
  <c r="H21" i="6"/>
  <c r="K21" i="6" s="1"/>
  <c r="H20" i="6"/>
  <c r="N20" i="6" s="1"/>
  <c r="H19" i="6"/>
  <c r="M19" i="6" s="1"/>
  <c r="H18" i="6"/>
  <c r="M18" i="6" s="1"/>
  <c r="H17" i="6"/>
  <c r="K17" i="6" s="1"/>
  <c r="H16" i="6"/>
  <c r="N16" i="6" s="1"/>
  <c r="AC139" i="6" l="1"/>
  <c r="AU139" i="6" s="1"/>
  <c r="N24" i="6"/>
  <c r="N47" i="6" s="1"/>
  <c r="M24" i="6"/>
  <c r="L21" i="6"/>
  <c r="M21" i="6"/>
  <c r="N21" i="6"/>
  <c r="L25" i="6"/>
  <c r="L64" i="6" s="1"/>
  <c r="N18" i="6"/>
  <c r="K22" i="6"/>
  <c r="N27" i="6"/>
  <c r="N74" i="6" s="1"/>
  <c r="L26" i="6"/>
  <c r="L49" i="6" s="1"/>
  <c r="M29" i="6"/>
  <c r="M68" i="6" s="1"/>
  <c r="M26" i="6"/>
  <c r="N29" i="6"/>
  <c r="N60" i="6" s="1"/>
  <c r="N26" i="6"/>
  <c r="N49" i="6" s="1"/>
  <c r="K30" i="6"/>
  <c r="K37" i="6" s="1"/>
  <c r="L30" i="6"/>
  <c r="L69" i="6" s="1"/>
  <c r="N19" i="6"/>
  <c r="L22" i="6"/>
  <c r="L29" i="6"/>
  <c r="L76" i="6" s="1"/>
  <c r="K18" i="6"/>
  <c r="L17" i="6"/>
  <c r="M17" i="6"/>
  <c r="L18" i="6"/>
  <c r="N17" i="6"/>
  <c r="L47" i="6"/>
  <c r="L63" i="6"/>
  <c r="L39" i="6"/>
  <c r="L71" i="6"/>
  <c r="L55" i="6"/>
  <c r="L31" i="6"/>
  <c r="N53" i="6"/>
  <c r="N69" i="6"/>
  <c r="N45" i="6"/>
  <c r="N61" i="6"/>
  <c r="N37" i="6"/>
  <c r="N77" i="6"/>
  <c r="M34" i="6"/>
  <c r="M50" i="6"/>
  <c r="M66" i="6"/>
  <c r="M42" i="6"/>
  <c r="M74" i="6"/>
  <c r="M58" i="6"/>
  <c r="N56" i="6"/>
  <c r="N72" i="6"/>
  <c r="N64" i="6"/>
  <c r="N48" i="6"/>
  <c r="N32" i="6"/>
  <c r="N40" i="6"/>
  <c r="K52" i="6"/>
  <c r="K68" i="6"/>
  <c r="K36" i="6"/>
  <c r="K76" i="6"/>
  <c r="K44" i="6"/>
  <c r="K60" i="6"/>
  <c r="N35" i="6"/>
  <c r="N75" i="6"/>
  <c r="N51" i="6"/>
  <c r="N67" i="6"/>
  <c r="N43" i="6"/>
  <c r="N59" i="6"/>
  <c r="K16" i="6"/>
  <c r="K20" i="6"/>
  <c r="L23" i="6"/>
  <c r="K28" i="6"/>
  <c r="K33" i="6"/>
  <c r="L16" i="6"/>
  <c r="L20" i="6"/>
  <c r="M23" i="6"/>
  <c r="K25" i="6"/>
  <c r="L28" i="6"/>
  <c r="K57" i="6"/>
  <c r="N23" i="6"/>
  <c r="M28" i="6"/>
  <c r="M25" i="6"/>
  <c r="K27" i="6"/>
  <c r="K41" i="6"/>
  <c r="L19" i="6"/>
  <c r="M22" i="6"/>
  <c r="K24" i="6"/>
  <c r="L27" i="6"/>
  <c r="M30" i="6"/>
  <c r="K65" i="6"/>
  <c r="K49" i="6"/>
  <c r="M16" i="6"/>
  <c r="M20" i="6"/>
  <c r="K19" i="6"/>
  <c r="AF142" i="6" l="1"/>
  <c r="AI142" i="6"/>
  <c r="AJ142" i="6" s="1"/>
  <c r="AK142" i="6" s="1"/>
  <c r="AF141" i="6"/>
  <c r="AI141" i="6"/>
  <c r="AJ141" i="6" s="1"/>
  <c r="AK141" i="6" s="1"/>
  <c r="AF139" i="6"/>
  <c r="AF140" i="6"/>
  <c r="M49" i="6"/>
  <c r="M71" i="6"/>
  <c r="N39" i="6"/>
  <c r="N63" i="6"/>
  <c r="N55" i="6"/>
  <c r="N31" i="6"/>
  <c r="N71" i="6"/>
  <c r="L36" i="6"/>
  <c r="N50" i="6"/>
  <c r="L48" i="6"/>
  <c r="M55" i="6"/>
  <c r="M47" i="6"/>
  <c r="M31" i="6"/>
  <c r="L57" i="6"/>
  <c r="K77" i="6"/>
  <c r="M63" i="6"/>
  <c r="L72" i="6"/>
  <c r="L73" i="6"/>
  <c r="L32" i="6"/>
  <c r="L52" i="6"/>
  <c r="N52" i="6"/>
  <c r="K53" i="6"/>
  <c r="L33" i="6"/>
  <c r="K69" i="6"/>
  <c r="M39" i="6"/>
  <c r="N34" i="6"/>
  <c r="L44" i="6"/>
  <c r="M73" i="6"/>
  <c r="N42" i="6"/>
  <c r="N66" i="6"/>
  <c r="L60" i="6"/>
  <c r="L68" i="6"/>
  <c r="N58" i="6"/>
  <c r="L56" i="6"/>
  <c r="L40" i="6"/>
  <c r="M52" i="6"/>
  <c r="L65" i="6"/>
  <c r="N76" i="6"/>
  <c r="M36" i="6"/>
  <c r="M76" i="6"/>
  <c r="M44" i="6"/>
  <c r="L41" i="6"/>
  <c r="M60" i="6"/>
  <c r="M41" i="6"/>
  <c r="M33" i="6"/>
  <c r="M65" i="6"/>
  <c r="N44" i="6"/>
  <c r="N36" i="6"/>
  <c r="N68" i="6"/>
  <c r="L37" i="6"/>
  <c r="L61" i="6"/>
  <c r="L45" i="6"/>
  <c r="L53" i="6"/>
  <c r="L77" i="6"/>
  <c r="M57" i="6"/>
  <c r="K61" i="6"/>
  <c r="K45" i="6"/>
  <c r="N57" i="6"/>
  <c r="N73" i="6"/>
  <c r="N65" i="6"/>
  <c r="N41" i="6"/>
  <c r="N33" i="6"/>
  <c r="M59" i="6"/>
  <c r="M75" i="6"/>
  <c r="M51" i="6"/>
  <c r="M35" i="6"/>
  <c r="M43" i="6"/>
  <c r="M67" i="6"/>
  <c r="M61" i="6"/>
  <c r="M77" i="6"/>
  <c r="M69" i="6"/>
  <c r="M53" i="6"/>
  <c r="M37" i="6"/>
  <c r="M45" i="6"/>
  <c r="K64" i="6"/>
  <c r="K40" i="6"/>
  <c r="K32" i="6"/>
  <c r="K72" i="6"/>
  <c r="K56" i="6"/>
  <c r="K48" i="6"/>
  <c r="L58" i="6"/>
  <c r="L74" i="6"/>
  <c r="L66" i="6"/>
  <c r="L34" i="6"/>
  <c r="L50" i="6"/>
  <c r="L42" i="6"/>
  <c r="M56" i="6"/>
  <c r="M32" i="6"/>
  <c r="M72" i="6"/>
  <c r="M48" i="6"/>
  <c r="M64" i="6"/>
  <c r="M40" i="6"/>
  <c r="K55" i="6"/>
  <c r="K31" i="6"/>
  <c r="K71" i="6"/>
  <c r="K63" i="6"/>
  <c r="K47" i="6"/>
  <c r="K39" i="6"/>
  <c r="K34" i="6"/>
  <c r="K50" i="6"/>
  <c r="K58" i="6"/>
  <c r="K74" i="6"/>
  <c r="K66" i="6"/>
  <c r="K42" i="6"/>
  <c r="L67" i="6"/>
  <c r="L59" i="6"/>
  <c r="L35" i="6"/>
  <c r="L75" i="6"/>
  <c r="L43" i="6"/>
  <c r="L51" i="6"/>
  <c r="K43" i="6"/>
  <c r="K59" i="6"/>
  <c r="K35" i="6"/>
  <c r="K75" i="6"/>
  <c r="K51" i="6"/>
  <c r="K67" i="6"/>
  <c r="AF138" i="6" l="1"/>
  <c r="I133" i="6"/>
  <c r="J133" i="6"/>
  <c r="G133" i="6"/>
  <c r="H133" i="6" l="1"/>
  <c r="I131" i="6"/>
  <c r="H131" i="6"/>
  <c r="I130" i="6"/>
  <c r="J129" i="6"/>
  <c r="H129" i="6"/>
  <c r="G129" i="6"/>
  <c r="I129" i="6"/>
  <c r="K129" i="6" l="1"/>
  <c r="Q8" i="5" l="1"/>
  <c r="O37" i="5" l="1"/>
  <c r="O36" i="5"/>
  <c r="Y140" i="6" l="1"/>
  <c r="AZ140" i="6"/>
  <c r="AY140" i="6" s="1"/>
  <c r="AT140" i="6" l="1"/>
  <c r="AB140" i="6"/>
  <c r="AN140" i="6" s="1"/>
  <c r="AX140" i="6" s="1"/>
  <c r="AI140" i="6"/>
  <c r="AJ140" i="6" s="1"/>
  <c r="AK140" i="6" s="1"/>
  <c r="AV140" i="6" l="1"/>
  <c r="AQ140" i="6" l="1"/>
  <c r="AW140" i="6" s="1"/>
  <c r="O50" i="5" l="1"/>
  <c r="O35" i="5"/>
  <c r="N220" i="6" l="1"/>
  <c r="L220" i="6"/>
  <c r="K220" i="6"/>
  <c r="N219" i="6"/>
  <c r="L219" i="6"/>
  <c r="K219" i="6"/>
  <c r="N218" i="6"/>
  <c r="L218" i="6"/>
  <c r="K218" i="6"/>
  <c r="N217" i="6"/>
  <c r="L217" i="6"/>
  <c r="K217" i="6"/>
  <c r="N216" i="6"/>
  <c r="L216" i="6"/>
  <c r="K216" i="6"/>
  <c r="N215" i="6"/>
  <c r="L215" i="6"/>
  <c r="K215" i="6"/>
  <c r="N214" i="6"/>
  <c r="M214" i="6"/>
  <c r="L214" i="6"/>
  <c r="K214" i="6"/>
  <c r="N213" i="6"/>
  <c r="M213" i="6"/>
  <c r="L213" i="6"/>
  <c r="K213" i="6"/>
  <c r="N212" i="6"/>
  <c r="M212" i="6"/>
  <c r="L212" i="6"/>
  <c r="K212" i="6"/>
  <c r="N211" i="6"/>
  <c r="M211" i="6"/>
  <c r="L211" i="6"/>
  <c r="K211" i="6"/>
  <c r="N210" i="6"/>
  <c r="M210" i="6"/>
  <c r="L210" i="6"/>
  <c r="K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AI115" i="5"/>
  <c r="AC115" i="5"/>
  <c r="AA115" i="5"/>
  <c r="AF115" i="5" s="1"/>
  <c r="V115" i="5"/>
  <c r="AI114" i="5"/>
  <c r="AC114" i="5"/>
  <c r="AA114" i="5"/>
  <c r="Y114" i="5" s="1"/>
  <c r="V114" i="5"/>
  <c r="AI113" i="5"/>
  <c r="AC113" i="5"/>
  <c r="AA113" i="5"/>
  <c r="V113" i="5"/>
  <c r="AI112" i="5"/>
  <c r="AC112" i="5"/>
  <c r="AA112" i="5"/>
  <c r="Y112" i="5" s="1"/>
  <c r="V112" i="5"/>
  <c r="W110" i="5"/>
  <c r="O49" i="5"/>
  <c r="O48" i="5"/>
  <c r="O47" i="5"/>
  <c r="O46" i="5"/>
  <c r="O44" i="5"/>
  <c r="O43" i="5"/>
  <c r="O42" i="5"/>
  <c r="O41" i="5"/>
  <c r="O40" i="5"/>
  <c r="O39" i="5"/>
  <c r="O38" i="5"/>
  <c r="T37" i="5"/>
  <c r="O34" i="5"/>
  <c r="O33" i="5"/>
  <c r="O32" i="5"/>
  <c r="O31" i="5"/>
  <c r="O30" i="5"/>
  <c r="H29" i="5"/>
  <c r="M29" i="5" s="1"/>
  <c r="M45" i="5" s="1"/>
  <c r="H28" i="5"/>
  <c r="L28" i="5" s="1"/>
  <c r="H27" i="5"/>
  <c r="N27" i="5" s="1"/>
  <c r="N50" i="5" s="1"/>
  <c r="H26" i="5"/>
  <c r="K26" i="5" s="1"/>
  <c r="H25" i="5"/>
  <c r="M25" i="5" s="1"/>
  <c r="M38" i="5" s="1"/>
  <c r="H24" i="5"/>
  <c r="H23" i="5"/>
  <c r="N23" i="5" s="1"/>
  <c r="H22" i="5"/>
  <c r="N22" i="5" s="1"/>
  <c r="H21" i="5"/>
  <c r="M21" i="5" s="1"/>
  <c r="H20" i="5"/>
  <c r="L20" i="5" s="1"/>
  <c r="H19" i="5"/>
  <c r="N19" i="5" s="1"/>
  <c r="H18" i="5"/>
  <c r="K18" i="5" s="1"/>
  <c r="H17" i="5"/>
  <c r="M17" i="5" s="1"/>
  <c r="H16" i="5"/>
  <c r="H15" i="5"/>
  <c r="N15" i="5" s="1"/>
  <c r="Y115" i="5" l="1"/>
  <c r="Y113" i="5"/>
  <c r="AF114" i="5"/>
  <c r="AF112" i="5"/>
  <c r="L205" i="6"/>
  <c r="K207" i="6"/>
  <c r="M203" i="6"/>
  <c r="M198" i="6"/>
  <c r="M202" i="6"/>
  <c r="L207" i="6"/>
  <c r="L22" i="5"/>
  <c r="K28" i="5"/>
  <c r="K41" i="5" s="1"/>
  <c r="L19" i="5"/>
  <c r="AF113" i="5"/>
  <c r="L197" i="6"/>
  <c r="M199" i="6"/>
  <c r="L203" i="6"/>
  <c r="K20" i="5"/>
  <c r="N28" i="5"/>
  <c r="N44" i="5" s="1"/>
  <c r="N29" i="5"/>
  <c r="N49" i="5" s="1"/>
  <c r="N20" i="5"/>
  <c r="K27" i="5"/>
  <c r="K40" i="5" s="1"/>
  <c r="N21" i="5"/>
  <c r="K19" i="5"/>
  <c r="K22" i="5"/>
  <c r="L27" i="5"/>
  <c r="L43" i="5" s="1"/>
  <c r="K15" i="5"/>
  <c r="L18" i="5"/>
  <c r="K23" i="5"/>
  <c r="L26" i="5"/>
  <c r="L33" i="5" s="1"/>
  <c r="L15" i="5"/>
  <c r="M18" i="5"/>
  <c r="L23" i="5"/>
  <c r="M26" i="5"/>
  <c r="M42" i="5" s="1"/>
  <c r="M15" i="5"/>
  <c r="N18" i="5"/>
  <c r="M23" i="5"/>
  <c r="N26" i="5"/>
  <c r="N46" i="5" s="1"/>
  <c r="M49" i="5"/>
  <c r="M22" i="5"/>
  <c r="M215" i="6"/>
  <c r="M220" i="6"/>
  <c r="K202" i="6"/>
  <c r="K199" i="6"/>
  <c r="L202" i="6"/>
  <c r="K200" i="6"/>
  <c r="K205" i="6"/>
  <c r="K208" i="6"/>
  <c r="K197" i="6"/>
  <c r="M205" i="6"/>
  <c r="M197" i="6"/>
  <c r="L200" i="6"/>
  <c r="M206" i="6"/>
  <c r="L208" i="6"/>
  <c r="M207" i="6"/>
  <c r="L44" i="5"/>
  <c r="L48" i="5"/>
  <c r="L41" i="5"/>
  <c r="M32" i="5"/>
  <c r="W113" i="5"/>
  <c r="W115" i="5"/>
  <c r="K17" i="5"/>
  <c r="N17" i="5"/>
  <c r="L17" i="5"/>
  <c r="K25" i="5"/>
  <c r="K37" i="5" s="1"/>
  <c r="N25" i="5"/>
  <c r="N38" i="5" s="1"/>
  <c r="L25" i="5"/>
  <c r="K39" i="5"/>
  <c r="K42" i="5"/>
  <c r="K33" i="5"/>
  <c r="K46" i="5"/>
  <c r="N40" i="5"/>
  <c r="N43" i="5"/>
  <c r="N47" i="5"/>
  <c r="M216" i="6"/>
  <c r="N16" i="5"/>
  <c r="M16" i="5"/>
  <c r="L16" i="5"/>
  <c r="K16" i="5"/>
  <c r="N24" i="5"/>
  <c r="M24" i="5"/>
  <c r="L24" i="5"/>
  <c r="K24" i="5"/>
  <c r="M20" i="5"/>
  <c r="M28" i="5"/>
  <c r="M19" i="5"/>
  <c r="K21" i="5"/>
  <c r="M27" i="5"/>
  <c r="K29" i="5"/>
  <c r="L21" i="5"/>
  <c r="L29" i="5"/>
  <c r="M201" i="6"/>
  <c r="L201" i="6"/>
  <c r="K201" i="6"/>
  <c r="M209" i="6"/>
  <c r="L209" i="6"/>
  <c r="K209" i="6"/>
  <c r="O45" i="5"/>
  <c r="M204" i="6"/>
  <c r="L204" i="6"/>
  <c r="K204" i="6"/>
  <c r="M200" i="6"/>
  <c r="M208" i="6"/>
  <c r="L199" i="6"/>
  <c r="K198" i="6"/>
  <c r="K206" i="6"/>
  <c r="L198" i="6"/>
  <c r="K203" i="6"/>
  <c r="L206" i="6"/>
  <c r="AU138" i="6" l="1"/>
  <c r="K47" i="5"/>
  <c r="K34" i="5"/>
  <c r="M46" i="5"/>
  <c r="N48" i="5"/>
  <c r="L34" i="5"/>
  <c r="K44" i="5"/>
  <c r="K48" i="5"/>
  <c r="L40" i="5"/>
  <c r="M39" i="5"/>
  <c r="M33" i="5"/>
  <c r="N41" i="5"/>
  <c r="W112" i="5"/>
  <c r="X112" i="5" s="1"/>
  <c r="W114" i="5"/>
  <c r="X114" i="5" s="1"/>
  <c r="M217" i="6"/>
  <c r="N45" i="5"/>
  <c r="M219" i="6"/>
  <c r="M218" i="6"/>
  <c r="X115" i="5"/>
  <c r="AG115" i="5"/>
  <c r="L36" i="5"/>
  <c r="L37" i="5"/>
  <c r="M31" i="5"/>
  <c r="M36" i="5"/>
  <c r="K31" i="5"/>
  <c r="K36" i="5"/>
  <c r="M30" i="5"/>
  <c r="M35" i="5"/>
  <c r="L31" i="5"/>
  <c r="K30" i="5"/>
  <c r="K35" i="5"/>
  <c r="K43" i="5"/>
  <c r="K50" i="5"/>
  <c r="M50" i="5"/>
  <c r="M37" i="5"/>
  <c r="L30" i="5"/>
  <c r="L35" i="5"/>
  <c r="L50" i="5"/>
  <c r="L47" i="5"/>
  <c r="L42" i="5"/>
  <c r="L46" i="5"/>
  <c r="L39" i="5"/>
  <c r="N42" i="5"/>
  <c r="N39" i="5"/>
  <c r="L45" i="5"/>
  <c r="L49" i="5"/>
  <c r="AE114" i="5"/>
  <c r="AB112" i="5"/>
  <c r="L32" i="5"/>
  <c r="L38" i="5"/>
  <c r="M48" i="5"/>
  <c r="M44" i="5"/>
  <c r="M41" i="5"/>
  <c r="AE112" i="5"/>
  <c r="K32" i="5"/>
  <c r="K38" i="5"/>
  <c r="K49" i="5"/>
  <c r="K45" i="5"/>
  <c r="M47" i="5"/>
  <c r="M40" i="5"/>
  <c r="M43" i="5"/>
  <c r="M34" i="5"/>
  <c r="AB114" i="5"/>
  <c r="X113" i="5"/>
  <c r="AG113" i="5"/>
  <c r="AG114" i="5" l="1"/>
  <c r="AG112" i="5"/>
  <c r="AB113" i="5"/>
  <c r="AB115" i="5"/>
  <c r="AE113" i="5"/>
  <c r="AE115" i="5"/>
  <c r="Y139" i="6" l="1"/>
  <c r="AZ139" i="6"/>
  <c r="AY139" i="6" s="1"/>
  <c r="AT139" i="6" l="1"/>
  <c r="AB139" i="6"/>
  <c r="AN139" i="6" s="1"/>
  <c r="AX139" i="6" s="1"/>
  <c r="AI139" i="6"/>
  <c r="AJ139" i="6" s="1"/>
  <c r="AK139" i="6" s="1"/>
  <c r="AV139" i="6" l="1"/>
  <c r="AQ139" i="6" l="1"/>
  <c r="AW139" i="6" s="1"/>
  <c r="C10" i="63" l="1"/>
  <c r="C12" i="63" s="1"/>
  <c r="C13" i="63" s="1"/>
  <c r="C15" i="63" s="1"/>
  <c r="C9" i="63" l="1"/>
  <c r="AZ138" i="6" l="1"/>
  <c r="AY138" i="6" s="1"/>
  <c r="AT138" i="6" l="1"/>
  <c r="AB138" i="6"/>
  <c r="AN138" i="6" s="1"/>
  <c r="AI138" i="6"/>
  <c r="AJ138" i="6" s="1"/>
  <c r="AK138" i="6" s="1"/>
  <c r="AV138" i="6" l="1"/>
  <c r="AX138" i="6"/>
  <c r="AQ138" i="6" l="1"/>
  <c r="AW138" i="6" s="1"/>
  <c r="AO134" i="6" l="1"/>
  <c r="AP134" i="6" s="1"/>
</calcChain>
</file>

<file path=xl/sharedStrings.xml><?xml version="1.0" encoding="utf-8"?>
<sst xmlns="http://schemas.openxmlformats.org/spreadsheetml/2006/main" count="1294" uniqueCount="639">
  <si>
    <t>C. Dilatación:</t>
  </si>
  <si>
    <t>1/°C</t>
  </si>
  <si>
    <t>T1:</t>
  </si>
  <si>
    <t>°C</t>
  </si>
  <si>
    <t>T2:</t>
  </si>
  <si>
    <t>T3:</t>
  </si>
  <si>
    <t>Cos</t>
  </si>
  <si>
    <t>Sen</t>
  </si>
  <si>
    <t>TENSION DE SERVICIO</t>
  </si>
  <si>
    <t>V</t>
  </si>
  <si>
    <t>Sección</t>
  </si>
  <si>
    <t>R 20°C</t>
  </si>
  <si>
    <t>R 90°C</t>
  </si>
  <si>
    <t xml:space="preserve">FCT S.P. </t>
  </si>
  <si>
    <t>FCT  S.P.</t>
  </si>
  <si>
    <t>FCT S.P.</t>
  </si>
  <si>
    <t>FORMACION</t>
  </si>
  <si>
    <t>(mm2)</t>
  </si>
  <si>
    <t>Ohm/Km</t>
  </si>
  <si>
    <t>(Cos:0.8)</t>
  </si>
  <si>
    <t>(Cos:0.9)</t>
  </si>
  <si>
    <t>Cos(1.0)</t>
  </si>
  <si>
    <t>(A)</t>
  </si>
  <si>
    <t xml:space="preserve"> </t>
  </si>
  <si>
    <t>-</t>
  </si>
  <si>
    <t>CONDICIONES NOMINALES DE TRABAJO</t>
  </si>
  <si>
    <t>TEMPERATURA AMBIENTE</t>
  </si>
  <si>
    <t>ºC</t>
  </si>
  <si>
    <t>ALIMENTADOR</t>
  </si>
  <si>
    <t>M.D. (KW)</t>
  </si>
  <si>
    <t>Factor Corr. Ktot</t>
  </si>
  <si>
    <t>Corriente aparente a transportar I'b = Ib / ktot (A)</t>
  </si>
  <si>
    <t>Corriente admisible del cable (A)</t>
  </si>
  <si>
    <t>Long. Linea (m)</t>
  </si>
  <si>
    <t>Seccion cable (mm2)</t>
  </si>
  <si>
    <t>FCT (para cosØ = 0.8)</t>
  </si>
  <si>
    <t>D V Max. Admitida(V)</t>
  </si>
  <si>
    <t>D V (%)</t>
  </si>
  <si>
    <t>D V Max. Calculado (V)</t>
  </si>
  <si>
    <t>FORMACION Y TIPO DE CABLE</t>
  </si>
  <si>
    <t>REGLA 050-104(6): LAS REDUCCIONES DE LA CAPACIDAD DE CORRIENTE NOMINAL DE LOS CONDUCTORES SE APLICAN EN VARIAS SECCIONES DEL CODIGO.</t>
  </si>
  <si>
    <t>SOLO LAS MAYORES REDUCCIONES DE LA CAPACIDAD DE LA CORRIENTE NOMINAL DEBEN SER APLICADAS A CUALQUIER CONDUCTOR.</t>
  </si>
  <si>
    <t>REDUCCION DE CORRIENTE:</t>
  </si>
  <si>
    <t>SECCION 050 , REGLA 050-104(5), APROPIADO PARA OPERACIÓN CONTINUA AL 80% DE LA CAPACIDAD DE LA CORRIENTE NOMINAL DE SUS DISPOSITIVOS DE SOBRECORRIENTE</t>
  </si>
  <si>
    <t xml:space="preserve">SECCION 050 , REGLA 050-104(7), CUANDO CABLES SUBTERRANEOS ALIMENTAN A UN TABLERO, LA CARGA MAXIMA CONTINUA NO DEBE EXCEDER AL: 70% DE LA CORRIENTE NOMINAL </t>
  </si>
  <si>
    <t>DE LOS DISPOSITIVOS DE SOBRECORRIENTE, SI EL EQUIPO NO ESTA MARCADO.</t>
  </si>
  <si>
    <t>TEMPERATURA DEL SUELO</t>
  </si>
  <si>
    <t>PTO. DE ALIMENTACION</t>
  </si>
  <si>
    <t>TEMPERATURA EN EL COMDUCTOR</t>
  </si>
  <si>
    <t>(Cos:0.85)</t>
  </si>
  <si>
    <t>3 - 1 x 6 mm2  N2XOH</t>
  </si>
  <si>
    <t>Xl (Ohm/km)</t>
  </si>
  <si>
    <t>3 cables unipolares en plano</t>
  </si>
  <si>
    <t>3 cables unipolares en triangulo</t>
  </si>
  <si>
    <t>RESISTIVIDAD DEL SUELO</t>
  </si>
  <si>
    <t>°k-m/w</t>
  </si>
  <si>
    <t>Factores de correccion para temperatura ambiente distinta de 20°C para cables en ductos enterrados</t>
  </si>
  <si>
    <t>XLPE</t>
  </si>
  <si>
    <t>CABLES EN DUCTOS ENTERRADOS</t>
  </si>
  <si>
    <t>Temp. ambiente (°C)</t>
  </si>
  <si>
    <t>Tabla 5A</t>
  </si>
  <si>
    <t>Tabla 5B</t>
  </si>
  <si>
    <t>3 - 1 x 10 mm2  N2XOH</t>
  </si>
  <si>
    <t>3 - 1 x 16 mm2  N2XOH</t>
  </si>
  <si>
    <t>3 - 1 x 25 mm2  N2XOH</t>
  </si>
  <si>
    <t>3 - 1 x 35 mm2  N2XOH</t>
  </si>
  <si>
    <t>3 - 1 x 50 mm2  N2XOH</t>
  </si>
  <si>
    <t>3 - 1 x 70 mm2  N2XOH</t>
  </si>
  <si>
    <t>3 - 1 x 95 mm2  N2XOH</t>
  </si>
  <si>
    <t>3 - 1 x 120 mm2  N2XOH</t>
  </si>
  <si>
    <t>3 - 1 x 150 mm2  N2XOH</t>
  </si>
  <si>
    <t>3 - 1 x 185 mm2  N2XOH</t>
  </si>
  <si>
    <t>3 - 1 x 240 mm2  N2XOH</t>
  </si>
  <si>
    <t>Factores de correccion para cables embutidos en ductos para resistividades termicas del terreno</t>
  </si>
  <si>
    <t>Resistividad termica k-m/w</t>
  </si>
  <si>
    <t>Factor de correccion</t>
  </si>
  <si>
    <t>IEC 60287</t>
  </si>
  <si>
    <t>Estado del suelo</t>
  </si>
  <si>
    <t>Temperatura maxima (°C)</t>
  </si>
  <si>
    <t>muy humedo</t>
  </si>
  <si>
    <t>húmedo</t>
  </si>
  <si>
    <t>Seco</t>
  </si>
  <si>
    <t>Muy seco</t>
  </si>
  <si>
    <t>Muy lluvioso</t>
  </si>
  <si>
    <t>Lluvia frecuente</t>
  </si>
  <si>
    <t>Lluvia escasas</t>
  </si>
  <si>
    <t>Muy poca lluvia</t>
  </si>
  <si>
    <t>PROFUNDIDAD DE LA ZANJA</t>
  </si>
  <si>
    <t>Profundidad de la instalacion(m)</t>
  </si>
  <si>
    <t>factor de correccion</t>
  </si>
  <si>
    <t>(Método de instacion D)</t>
  </si>
  <si>
    <t>N° de circuitos unipolares de dos o tres cables</t>
  </si>
  <si>
    <t>Separacion entre ductos</t>
  </si>
  <si>
    <t>Ninguna (ductos en contacto)</t>
  </si>
  <si>
    <t>CABLE TIPO N2XOH UNIPOLAR EN TUBOS ENTERRADOS</t>
  </si>
  <si>
    <t>CGN1-1</t>
  </si>
  <si>
    <t>CGN1-2</t>
  </si>
  <si>
    <t>CGN1-3</t>
  </si>
  <si>
    <t>CGN1-4</t>
  </si>
  <si>
    <t>TDN-1P.1</t>
  </si>
  <si>
    <t>0.20m</t>
  </si>
  <si>
    <t>0.40m</t>
  </si>
  <si>
    <t>0.60m</t>
  </si>
  <si>
    <t>CIRCUITOS EN TUBOS ENTERRADOS (TUBOS DISPUESTOS EN UN PLANO HORIZONTAL)</t>
  </si>
  <si>
    <t>--</t>
  </si>
  <si>
    <t>CAPACIDAD DE CORRIENTE EN AMP. DE CONDUCTORES AISLADOS-TIPO N2XOH , EN DUCTOS</t>
  </si>
  <si>
    <t>N2XOH</t>
  </si>
  <si>
    <t>Ktot</t>
  </si>
  <si>
    <t xml:space="preserve">2(3 - 1 x 120) </t>
  </si>
  <si>
    <t xml:space="preserve">2(3 - 1 x 185) </t>
  </si>
  <si>
    <t xml:space="preserve">2(3 - 1 x 240) </t>
  </si>
  <si>
    <t xml:space="preserve">2(3 - 1 x 300) </t>
  </si>
  <si>
    <t xml:space="preserve">3(3 - 1 x 300) </t>
  </si>
  <si>
    <t xml:space="preserve">4(3 - 1 x 300) </t>
  </si>
  <si>
    <t xml:space="preserve">2(3 - 1 x 400) </t>
  </si>
  <si>
    <t xml:space="preserve">3(3 - 1 x 400) </t>
  </si>
  <si>
    <t xml:space="preserve">4(3 - 1 x 400) </t>
  </si>
  <si>
    <t xml:space="preserve">2(3 - 1 x 500) </t>
  </si>
  <si>
    <t xml:space="preserve">3(3 - 1 x 500) </t>
  </si>
  <si>
    <t xml:space="preserve">4(3 - 1 x 500) </t>
  </si>
  <si>
    <t xml:space="preserve">5(3 - 1 x 500) </t>
  </si>
  <si>
    <t>PROTECCIÓN CONTRA SOBRECARGA</t>
  </si>
  <si>
    <t>Ib ≤ In  ≤ Iz</t>
  </si>
  <si>
    <t xml:space="preserve">Ib </t>
  </si>
  <si>
    <t>Iz</t>
  </si>
  <si>
    <t>In</t>
  </si>
  <si>
    <r>
      <t>Corriente de carga</t>
    </r>
    <r>
      <rPr>
        <b/>
        <sz val="10"/>
        <rFont val="Arial Narrow"/>
        <family val="2"/>
      </rPr>
      <t xml:space="preserve"> Ib (A)</t>
    </r>
  </si>
  <si>
    <t>CORRIENTE PARA LA CUAL EL CIRCUITO HA SIDO DIMENSIONADO</t>
  </si>
  <si>
    <t>ES LA CAPACIDAD  ASIGNADA EN CONDICIONES DE REGIMEN PERMANENTE  DE LA CONDUCCION</t>
  </si>
  <si>
    <t xml:space="preserve">ES LA CORRIENTE ASIGNADA DEL DISPOSITIVO DE PROTECCIÓN, PARA LOS DISPOSITIVOS DE PROTECCIÓN </t>
  </si>
  <si>
    <t>REGULABLES, LA CORRIENTE In ES LA CORRIENTE REGULADA.</t>
  </si>
  <si>
    <r>
      <rPr>
        <b/>
        <sz val="10"/>
        <rFont val="Arial Narrow"/>
        <family val="2"/>
      </rPr>
      <t>Iz</t>
    </r>
    <r>
      <rPr>
        <sz val="10"/>
        <rFont val="Arial Narrow"/>
        <family val="2"/>
      </rPr>
      <t xml:space="preserve"> = Capacidad de corriente admisible efectiva del cable (A)</t>
    </r>
  </si>
  <si>
    <r>
      <rPr>
        <b/>
        <sz val="11"/>
        <color theme="1"/>
        <rFont val="Arial Narrow"/>
        <family val="2"/>
      </rPr>
      <t>In</t>
    </r>
    <r>
      <rPr>
        <sz val="11"/>
        <color theme="1"/>
        <rFont val="Arial Narrow"/>
        <family val="2"/>
      </rPr>
      <t>= Corriente asignada del dispositivo de protección (A)</t>
    </r>
  </si>
  <si>
    <t>Corriente regulada (A) CM-Reg. I1=0.88*In</t>
  </si>
  <si>
    <t>DIMENSIONAMIENTO DE CABLES ALIMENTADORES EN CIRCUITOS EN AUSENCIA DE ARMONICOS: TABLERO GENERAL NORMAL 1 (TGN-1)</t>
  </si>
  <si>
    <t>CAIDA DE TENSIÓN</t>
  </si>
  <si>
    <t>CAPACIDAD DE CONDUCCION</t>
  </si>
  <si>
    <t>BANDEJA PERFORADA: REFERENCIA DEL METODO DE INSTALACION E o F CON ITEM 4 DE LA TABLA 5C-5E</t>
  </si>
  <si>
    <t>Tabla 5C</t>
  </si>
  <si>
    <t>Item</t>
  </si>
  <si>
    <t>Disposicion (en cuanto a cables)</t>
  </si>
  <si>
    <t>NUMERO DE CIRCUITOS O CABLE MALTIPOLAR</t>
  </si>
  <si>
    <t>b</t>
  </si>
  <si>
    <t>FACTORES DE CORRECCION</t>
  </si>
  <si>
    <t>(k1) factor de correccion de la temparatura</t>
  </si>
  <si>
    <t>a usarse con</t>
  </si>
  <si>
    <t>capacidades de corriente nominal,referencia</t>
  </si>
  <si>
    <t>4 a 8 Métodos A a F</t>
  </si>
  <si>
    <t>(k2) factor de correccion Por agrupamiento de cables</t>
  </si>
  <si>
    <t>k total</t>
  </si>
  <si>
    <t>CABLES AL AIRE</t>
  </si>
  <si>
    <t>Agrupados en el aire, sobre una superficie empotrados o encerrados</t>
  </si>
  <si>
    <t>TABLA 5C</t>
  </si>
  <si>
    <t xml:space="preserve">3(3 - 1 x 240) </t>
  </si>
  <si>
    <t xml:space="preserve">4(3 - 1 x 185) </t>
  </si>
  <si>
    <t xml:space="preserve">4(3 - 1 x 240) </t>
  </si>
  <si>
    <t>L</t>
  </si>
  <si>
    <t>Ib</t>
  </si>
  <si>
    <t>K</t>
  </si>
  <si>
    <t>Vn</t>
  </si>
  <si>
    <t>ΔV%=</t>
  </si>
  <si>
    <t>Cos(0.95)</t>
  </si>
  <si>
    <t>C. TERMICO DE RESISTENCIA</t>
  </si>
  <si>
    <t>CUADRO DE ALIMENTADORES TIPO N2XOH: CUADRO DE FACTORES DE CAIDA DE TENSION</t>
  </si>
  <si>
    <r>
      <t>r (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>/km)</t>
    </r>
  </si>
  <si>
    <r>
      <t>X (</t>
    </r>
    <r>
      <rPr>
        <b/>
        <sz val="11"/>
        <rFont val="Calibri"/>
        <family val="2"/>
      </rPr>
      <t>Ω</t>
    </r>
    <r>
      <rPr>
        <b/>
        <sz val="11"/>
        <rFont val="Arial"/>
        <family val="2"/>
      </rPr>
      <t>/km)</t>
    </r>
  </si>
  <si>
    <t>20ºC DC</t>
  </si>
  <si>
    <t>90ºC</t>
  </si>
  <si>
    <t>(Cos:0.95)</t>
  </si>
  <si>
    <t>RADIO (mm)</t>
  </si>
  <si>
    <t>d.ejes (mm)</t>
  </si>
  <si>
    <t>3 - 1 x 300 mm2  N2XOH</t>
  </si>
  <si>
    <t>DMG=</t>
  </si>
  <si>
    <t>DIAMETRO EXTERIOR</t>
  </si>
  <si>
    <t xml:space="preserve">2 (3 - 1 x 120) </t>
  </si>
  <si>
    <t>2(3 - 1 x 120 mm2)  N2XOH</t>
  </si>
  <si>
    <t xml:space="preserve">2 (3 - 1 x 150) </t>
  </si>
  <si>
    <t>2(3 - 1 x 150 mm2)  N2XOH</t>
  </si>
  <si>
    <t xml:space="preserve">2 (3 - 1 x 185) </t>
  </si>
  <si>
    <t>2(3 - 1 x 185 mm2)  N2XOH</t>
  </si>
  <si>
    <t xml:space="preserve">2 (3 - 1 x 240) </t>
  </si>
  <si>
    <t>2(3 - 1 x 240 mm2)  N2XOH</t>
  </si>
  <si>
    <t xml:space="preserve">2 (3 - 1 x 300) </t>
  </si>
  <si>
    <t>2(3 - 1 x 300 mm2)  N2XOH</t>
  </si>
  <si>
    <t xml:space="preserve">3 (3 - 1 x 185) </t>
  </si>
  <si>
    <t>3(3 - 1 x 185 mm2)  N2XOH</t>
  </si>
  <si>
    <t xml:space="preserve">3 (3 - 1 x 240) </t>
  </si>
  <si>
    <t>3(3 - 1 x 240 mm2)  N2XOH</t>
  </si>
  <si>
    <t xml:space="preserve">3 (3 - 1 x 300) </t>
  </si>
  <si>
    <t>3(3 - 1 x 300 mm2)  N2XOH</t>
  </si>
  <si>
    <t xml:space="preserve">4 (3 - 1 x 185) </t>
  </si>
  <si>
    <t>4(3 - 1 x 185 mm2)  N2XOH</t>
  </si>
  <si>
    <t xml:space="preserve">4 (3 - 1 x 240) </t>
  </si>
  <si>
    <t>4(3 - 1 x 240 mm2)  N2XOH</t>
  </si>
  <si>
    <t xml:space="preserve">4 (3 - 1 x 300) </t>
  </si>
  <si>
    <t>4(3 - 1 x 300 mm2)  N2XOH</t>
  </si>
  <si>
    <t>METODO DE INSTALACION "D"</t>
  </si>
  <si>
    <t>AIRE</t>
  </si>
  <si>
    <t>CAIDA DE TENSION EN BARRAS:</t>
  </si>
  <si>
    <t xml:space="preserve">5(3 - 1 x 240) </t>
  </si>
  <si>
    <t xml:space="preserve">5(3 - 1 x 300) </t>
  </si>
  <si>
    <t xml:space="preserve">5(3 - 1 x 400) </t>
  </si>
  <si>
    <t>Iz = Capacidad de corriente admisible efectiva del cable (A)</t>
  </si>
  <si>
    <t>In= Corriente asignada del dispositivo de protección (A)</t>
  </si>
  <si>
    <t>ITEM</t>
  </si>
  <si>
    <t xml:space="preserve">3(3 - 1 x 185) </t>
  </si>
  <si>
    <t xml:space="preserve">3(3 - 1 x 120) </t>
  </si>
  <si>
    <t>380</t>
  </si>
  <si>
    <t>TENSION (V)</t>
  </si>
  <si>
    <t>INTERRUPTORES CAJA MOLDEADA (380V)</t>
  </si>
  <si>
    <t>EASY PACT (EZC 100N, CMF) -18KA</t>
  </si>
  <si>
    <t>EASY PACT (EZC 250N, CMF) -25KA</t>
  </si>
  <si>
    <t xml:space="preserve">COMPAC (NS, CMR 0.4-1.0) -50KA </t>
  </si>
  <si>
    <t xml:space="preserve">COMPAC (NS, CMR 0.4-1.0) -70KA </t>
  </si>
  <si>
    <t xml:space="preserve">COMPAC  (NS-N, CMR 0.8-1.0) -36KA </t>
  </si>
  <si>
    <t xml:space="preserve">COMPAC  (NS-F, CMR 0.8-1.0) -25KA </t>
  </si>
  <si>
    <t>INTERRUPTORES CAJA MOLDEADA (220V)</t>
  </si>
  <si>
    <t>EASY PACT (EZC 100N, CMF) -25KA</t>
  </si>
  <si>
    <t>EASY PACT (EZC 250N, CMF) -50KA</t>
  </si>
  <si>
    <t xml:space="preserve">COMPAC  (NS-F, CMR 0.8-1.0) -35KA </t>
  </si>
  <si>
    <t xml:space="preserve">COMPAC  (NS-F, CMR 0.8-1.0) -40KA </t>
  </si>
  <si>
    <t xml:space="preserve">COMPAC  (NS-N, CMR 0.8-1.0) -85KA </t>
  </si>
  <si>
    <t xml:space="preserve">COMPAC  (NS, CMR 0.4-1.0) -85KA </t>
  </si>
  <si>
    <t xml:space="preserve">2(3 - 1 x 150) </t>
  </si>
  <si>
    <t xml:space="preserve">COMPAC  (NS-F, CMR 0.8-1.0) -36KA </t>
  </si>
  <si>
    <t>Corriente de carga CONTINUA: Ib (A)</t>
  </si>
  <si>
    <t>3 - 1 x 6 mm2  N2XOH(F) +1 x 6mm2 N2XOH(N) 1x 10 mm2 N2XOH (T)</t>
  </si>
  <si>
    <t>LSOH</t>
  </si>
  <si>
    <t>3 - 1 x 10 mm2  N2XOH(F) + 1 x 10 mm2  N2XOH(N) + 1 x 10 mm2  N2XOH (T)</t>
  </si>
  <si>
    <t>3 - 1 x 35 mm2  N2XOH(F) + 1 x 35 mm2  N2XOH(N) + 1 x 25 mm2  N2XOH (T)</t>
  </si>
  <si>
    <t>3 - 1 x 150 mm2  N2XOH(F) + 1 x 150 mm2  N2XOH(N) + 1 x 95 mm2  N2XOH (T)</t>
  </si>
  <si>
    <t>3 - 1 x 185 mm2  N2XOH(F) + 1 x 185 mm2  N2XOH(N) + 1 x 95 mm2  N2XOH (T)</t>
  </si>
  <si>
    <t>3 - 1 x 240 mm2  N2XOH(F) + 1 x 240 mm2  N2XOH(N) + 1 x 95 mm2  N2XOH (T)</t>
  </si>
  <si>
    <t>3 - 1 x 300  mm2  N2XOH(F) + 1 x 300  mm2  N2XOH(N) + 1 x 95 mm2  N2XOH (T)</t>
  </si>
  <si>
    <t>3 - 1 x 400  mm2  N2XOH(F) + 1 x 400  mm2  N2XOH(N) + 1 x 95 mm2  N2XOH (T)</t>
  </si>
  <si>
    <t>3 - 1 x 500  mm2  N2XOH(F) + 1 x 500  mm2  N2XOH(N) + 1 x 95 mm2  N2XOH (T)</t>
  </si>
  <si>
    <t>2(3 - 1 x 120 mm2  N2XOH(F) + 1 x 120 mm2  N2XOH(N) + 1 x 70 mm2  N2XOH (T))</t>
  </si>
  <si>
    <t>2(3 - 1 x 150 mm2  N2XOH(F) + 1 x 150 mm2  N2XOH(N) + 1 x 95 mm2  N2XOH (T))</t>
  </si>
  <si>
    <t>2(3 - 1 x 185 mm2  N2XOH(F) + 1 x 185 mm2  N2XOH(N) + 1 x 95 mm2  N2XOH (T))</t>
  </si>
  <si>
    <t xml:space="preserve">2(3 - 1 x 240 mm2  N2XOH(F) + 1 x 240 mm2  N2XOH(N) + 1 x 95 mm2  N2XOH (T)) </t>
  </si>
  <si>
    <t>3(3 - 1 x 185 mm2  N2XOH(F) + 1 x 185 mm2  N2XOH(N) + 1 x 95 mm2  N2XOH (T))</t>
  </si>
  <si>
    <t>3(3 - 1 x 240 mm2  N2XOH(F) + 1 x 240 mm2  N2XOH(N) + 1 x 95 mm2  N2XOH (T))</t>
  </si>
  <si>
    <t>3(3 - 1 x 400  mm2  N2XOH(F) + 1 x 400  mm2  N2XOH(N) + 1 x 95 mm2  N2XOH (T))</t>
  </si>
  <si>
    <t>3(3 - 1 x 500  mm2  N2XOH(F) + 1 x 500  mm2  N2XOH(N) + 1 x 95 mm2  N2XOH (T))</t>
  </si>
  <si>
    <t>4(3 - 1 x 240 mm2  N2XOH(F) + 1 x 240 mm2  N2XOH(N) + 1 x 95 mm2  N2XOH (T))</t>
  </si>
  <si>
    <t>4(3 - 1 x 400  mm2  N2XOH(F) + 1 x 400  mm2  N2XOH(N) + 1 x 95 mm2  N2XOH (T))</t>
  </si>
  <si>
    <t>4(3 - 1 x 500  mm2  N2XOH(F) + 1 x 500  mm2  N2XOH(N) + 1 x 95 mm2  N2XOH (T))</t>
  </si>
  <si>
    <t>5(3 - 1 x 240 mm2  N2XOH(F) + 1 x 240 mm2  N2XOH(N) + 1 x 95 mm2  N2XOH (T))</t>
  </si>
  <si>
    <t>5(3 - 1 x 400  mm2  N2XOH(F) + 1 x 400  mm2  N2XOH(N) + 1 x 95 mm2  N2XOH (T))</t>
  </si>
  <si>
    <t>Caja Moldeada</t>
  </si>
  <si>
    <t>Tornillo</t>
  </si>
  <si>
    <t>Riel DIN</t>
  </si>
  <si>
    <t>INT. TERMOMAGNETICO</t>
  </si>
  <si>
    <t xml:space="preserve">Fac. Cab. </t>
  </si>
  <si>
    <t xml:space="preserve">Fac. Int. </t>
  </si>
  <si>
    <t>MAXIMA DEMANDA (KW)</t>
  </si>
  <si>
    <t>Modo Instalacion</t>
  </si>
  <si>
    <t>Tuberia (mm)</t>
  </si>
  <si>
    <t>Enterrado</t>
  </si>
  <si>
    <t>Ducto Concreto</t>
  </si>
  <si>
    <t>3 - 1 x 500  mm2  N2XOH(F) + 1 x 95 mm2  N2XOH (T)</t>
  </si>
  <si>
    <t>5(3 - 1 x 500  mm2  N2XOH(F) + 1 x 500  mm2  N2XOH(N) + 1 x 95 mm2  N2XOH (T))</t>
  </si>
  <si>
    <t>2(3 - 1 x 300  mm2  N2XOH(F) + 1 x 300  mm2  N2XOH(N) + 1 x 95 mm2  N2XOH (T))</t>
  </si>
  <si>
    <t>3(3 - 1 x 300  mm2  N2XOH(F) + 1 x 300  mm2  N2XOH(N) + 1 x 95 mm2  N2XOH (T))</t>
  </si>
  <si>
    <t>4(3 - 1 x 300  mm2  N2XOH(F) + 1 x 300  mm2  N2XOH(N) + 1 x 95 mm2  N2XOH (T))</t>
  </si>
  <si>
    <t>5(3 - 1 x 300  mm2  N2XOH(F) + 1 x 300  mm2  N2XOH(N) + 1 x 95 mm2  N2XOH (T))</t>
  </si>
  <si>
    <t>3 - 1 x 16 mm2  N2XOH(F) + 1 x 16 mm2  N2XOH(N) + 1 x 10 mm2  N2XOH (T)</t>
  </si>
  <si>
    <t>3 - 1 x 25 mm2  N2XOH(F) + 1 x 25 mm2  N2XOH(N) + 1 x 16 mm2  N2XOH (T)</t>
  </si>
  <si>
    <t>3 - 1 x 50 mm2  N2XOH(F) + 1 x 50 mm2  N2XOH(N) + 1 x 25 mm2  N2XOH (T)</t>
  </si>
  <si>
    <t>3 - 1 x 70 mm2  N2XOH(F) + 1 x 70 mm2  N2XOH(N) + 1 x 35 mm2  N2XOH (T)</t>
  </si>
  <si>
    <t>3 - 1 x 95 mm2  N2XOH(F) + 1 x 95 mm2  N2XOH(N) + 1 x 50 mm2  N2XOH (T)</t>
  </si>
  <si>
    <t>3 - 1 x 120 mm2  N2XOH(F) + 1 x 120 mm2  N2XOH(N) + 1 x 50 mm2  N2XOH (T)</t>
  </si>
  <si>
    <t>TOTAL (W)</t>
  </si>
  <si>
    <t>POTENCIA INSTALADA (KW)</t>
  </si>
  <si>
    <t>3(3 - 1 x 120 mm2  N2XOH(F) + 1 x 120 mm2  N2XOH(N) + 1 x 70 mm2  N2XOH (T))</t>
  </si>
  <si>
    <t xml:space="preserve">6(3 - 1 x 300) </t>
  </si>
  <si>
    <t>6(3 - 1 x 300  mm2  N2XOH(F) + 1 x 300  mm2  N2XOH(N) + 1 x 95 mm2  N2XOH (T))</t>
  </si>
  <si>
    <t>ZONA O CARGA</t>
  </si>
  <si>
    <t>Puntos</t>
  </si>
  <si>
    <t>C.U.</t>
  </si>
  <si>
    <t>Pot. Inst.</t>
  </si>
  <si>
    <t>Máx. Dem.</t>
  </si>
  <si>
    <t>Longitud</t>
  </si>
  <si>
    <t>Corriente</t>
  </si>
  <si>
    <t xml:space="preserve">Caída </t>
  </si>
  <si>
    <t>ITM</t>
  </si>
  <si>
    <t>(w/pto)</t>
  </si>
  <si>
    <t>(w)</t>
  </si>
  <si>
    <t>Conductor</t>
  </si>
  <si>
    <t>Tensión (V)</t>
  </si>
  <si>
    <t>Tensión(%)</t>
  </si>
  <si>
    <t>2x20</t>
  </si>
  <si>
    <t>Reserva 4 polos</t>
  </si>
  <si>
    <t>TOTAL</t>
  </si>
  <si>
    <t>P.I. =</t>
  </si>
  <si>
    <t>M.D. =</t>
  </si>
  <si>
    <t>Caída de Tensión obtenida (%)  =</t>
  </si>
  <si>
    <t>La máxima caída de tensión crítica para circuito derivado es 2.5%</t>
  </si>
  <si>
    <t>1Ø</t>
  </si>
  <si>
    <t>25 mm</t>
  </si>
  <si>
    <t>35 mm</t>
  </si>
  <si>
    <t>40 mm</t>
  </si>
  <si>
    <t>monofasico</t>
  </si>
  <si>
    <t>50 mm</t>
  </si>
  <si>
    <t>trifasico</t>
  </si>
  <si>
    <t xml:space="preserve">50 mm </t>
  </si>
  <si>
    <t>BANDEJA</t>
  </si>
  <si>
    <t>105 mm</t>
  </si>
  <si>
    <t>1Ø /3Ø</t>
  </si>
  <si>
    <t xml:space="preserve">Sistema </t>
  </si>
  <si>
    <t>F.S. (%)   =</t>
  </si>
  <si>
    <t>F.P.    =</t>
  </si>
  <si>
    <t>Tension (V) =</t>
  </si>
  <si>
    <t>CALCULO DE CAIDA DE TENSION</t>
  </si>
  <si>
    <t xml:space="preserve">3(3 - 1 x 150) </t>
  </si>
  <si>
    <t>3(3 - 1 x 150 mm2  N2XOH(F) + 1 x 150 mm2  N2XOH(N) + 1 x 95 mm2  N2XOH (T))</t>
  </si>
  <si>
    <t>DUCTO</t>
  </si>
  <si>
    <t>Ktot1</t>
  </si>
  <si>
    <t>Ktot 2</t>
  </si>
  <si>
    <t>DUCTOS</t>
  </si>
  <si>
    <t>ENTERRADO</t>
  </si>
  <si>
    <t>I Interruptor (A) de Id</t>
  </si>
  <si>
    <t>Corriente aparente  corregida            I'b = Ib / ktot (A)</t>
  </si>
  <si>
    <t>CAPACIDAD DE CORRIENTE EN AMP. DE CONDUCTORES AISLADOS-TIPO N2XOH , EN DUCTO</t>
  </si>
  <si>
    <t>3 - 1 x 6 mm2  N2XOH(F)  + 1 x 10 mm2  N2XOH (T)</t>
  </si>
  <si>
    <t>3 - 1 x 10 mm2  N2XOH(F)  + 1 x 10 mm2  N2XOH (T)</t>
  </si>
  <si>
    <t>3 - 1 x 16 mm2  N2XOH(F) + 1 x 10 mm2  N2XOH (T)</t>
  </si>
  <si>
    <t>3 - 1 x 25 mm2  N2XOH(F) + 1 x 16 mm2  N2XOH (T)</t>
  </si>
  <si>
    <t>3 - 1 x 35 mm2  N2XOH(F) + 1 x 16 mm2  N2XOH (T)</t>
  </si>
  <si>
    <t>3 - 1 x 50 mm2  N2XOH(F) + 1 x 25 mm2  N2XOH (T)</t>
  </si>
  <si>
    <t>3 - 1 x 70 mm2  N2XOH(F) + 1 x 35 mm2  N2XOH (T)</t>
  </si>
  <si>
    <t>3 - 1 x 95 mm2  N2XOH(F) ) + 1 x 50 mm2  N2XOH (T)</t>
  </si>
  <si>
    <t>3 - 1 x 120 mm2  N2XOH(F)  + 1 x 70 mm2  N2XOH (T)</t>
  </si>
  <si>
    <t>3 - 1 x 150 mm2  N2XOH(F)  + 1 x 70 mm2  N2XOH (T)</t>
  </si>
  <si>
    <t>3 - 1 x 185 mm2  N2XOH(F) + 1 x 95 mm2  N2XOH (T)</t>
  </si>
  <si>
    <t>3 - 1 x 240 mm2  N2XOH(F) + 1 x 95 mm2  N2XOH (T)</t>
  </si>
  <si>
    <t>3 - 1 x 300  mm2  N2XOH(F)  + 1 x 95 mm2  N2XOH (T)</t>
  </si>
  <si>
    <t>3 - 1 x 400  mm2  N2XOH(F) + 1 x 95 mm2  N2XOH (T)</t>
  </si>
  <si>
    <t>2(3 - 1 x 120 mm2  N2XOH(F) +  1 x 70 mm2  N2XOH (T))</t>
  </si>
  <si>
    <t>2(3 - 1 x 150 mm2  N2XOH(F) + 1 x 95 mm2  N2XOH (T))</t>
  </si>
  <si>
    <t>2(3 - 1 x 185 mm2  N2XOH(F)  + 1 x 95 mm2  N2XOH (T))</t>
  </si>
  <si>
    <t xml:space="preserve">2(3 - 1 x 240 mm2  N2XOH(F)  + 1 x 95 mm2  N2XOH (T)) </t>
  </si>
  <si>
    <t>2('3 - 1 x 300  mm2  N2XOH(F)  + 1 x 95 mm2  N2XOH (T))</t>
  </si>
  <si>
    <t>2(3 - 1 x 400  mm2  N2XOH(F) + 1 x 95 mm2  N2XOH (T))</t>
  </si>
  <si>
    <t>2(3 - 1 x 500  mm2  N2XOH(F) + 1 x 95 mm2  N2XOH (T))</t>
  </si>
  <si>
    <t>3(3 - 1 x 120 mm2  N2XOH(F)  + 1 x 70 mm2  N2XOH (T))</t>
  </si>
  <si>
    <t>3(3 - 1 x 150 mm2  N2XOH(F) + 1 x 95 mm2  N2XOH (T))</t>
  </si>
  <si>
    <t>3(3 - 1 x 185 mm2  N2XOH(F)  + 1 x 95 mm2  N2XOH (T))</t>
  </si>
  <si>
    <t>3(3 - 1 x 240 mm2  N2XOH(F)  + 1 x 95 mm2  N2XOH (T))</t>
  </si>
  <si>
    <t>3('3 - 1 x 300  mm2  N2XOH(F)  + 1 x 95 mm2  N2XOH (T))</t>
  </si>
  <si>
    <t>3(3 - 1 x 400  mm2  N2XOH(F)  + 1 x 95 mm2  N2XOH (T))</t>
  </si>
  <si>
    <t>3(3 - 1 x 500  mm2  N2XOH(F) + 1 x 95 mm2  N2XOH (T))</t>
  </si>
  <si>
    <t xml:space="preserve">4(3 - 1 x 120) </t>
  </si>
  <si>
    <t>4(3 - 1 x 120 mm2  N2XOH(F)  + 1 x 70 mm2  N2XOH (T))</t>
  </si>
  <si>
    <t xml:space="preserve">4(3 - 1 x 150) </t>
  </si>
  <si>
    <t>4(3 - 1 x 150 mm2  N2XOH(F)  + 1 x 95 mm2  N2XOH (T))</t>
  </si>
  <si>
    <t>4(3 - 1 x 185 mm2  N2XOH(F)  + 1 x 95 mm2  N2XOH (T))</t>
  </si>
  <si>
    <t>4(3 - 1 x 240 mm2  N2XOH(F) + 1 x 95 mm2  N2XOH (T))</t>
  </si>
  <si>
    <t>4('3 - 1 x 300  mm2  N2XOH(F)  + 1 x 95 mm2  N2XOH (T))</t>
  </si>
  <si>
    <t>4(3 - 1 x 400  mm2  N2XOH(F)  + 1 x 95 mm2  N2XOH (T))</t>
  </si>
  <si>
    <t>4(3 - 1 x 500  mm2  N2XOH(F)  + 1 x 95 mm2  N2XOH (T))</t>
  </si>
  <si>
    <t xml:space="preserve">5(3 - 1 x 120) </t>
  </si>
  <si>
    <t>5(3 - 1 x 120 mm2  N2XOH(F)  + 1 x 70 mm2  N2XOH (T))</t>
  </si>
  <si>
    <t xml:space="preserve">5(3 - 1 x 150) </t>
  </si>
  <si>
    <t>5(3 - 1 x 150 mm2  N2XOH(F) + 1 x 95 mm2  N2XOH (T))</t>
  </si>
  <si>
    <t xml:space="preserve">5(3 - 1 x 185) </t>
  </si>
  <si>
    <t>5(3 - 1 x 185 mm2  N2XOH(F)  + 1 x 95 mm2  N2XOH (T))</t>
  </si>
  <si>
    <t>5(3 - 1 x 240 mm2  N2XOH(F) + 1 x 95 mm2  N2XOH (T))</t>
  </si>
  <si>
    <t>5('3 - 1 x 300  mm2  N2XOH(F) + 1 x 95 mm2  N2XOH (T))</t>
  </si>
  <si>
    <t>5(3 - 1 x 400  mm2  N2XOH(F) + 1 x 95 mm2  N2XOH (T))</t>
  </si>
  <si>
    <t>5(3 - 1 x 500  mm2  N2XOH(F)  + 1 x 95 mm2  N2XOH (T))</t>
  </si>
  <si>
    <t xml:space="preserve">6(3 - 1 x 120) </t>
  </si>
  <si>
    <t>6(3 - 1 x 120 mm2  N2XOH(F)  + 1 x 70 mm2  N2XOH (T))</t>
  </si>
  <si>
    <t xml:space="preserve">6(3 - 1 x 150) </t>
  </si>
  <si>
    <t>6(3 - 1 x 150 mm2  N2XOH(F) + 1 x 95 mm2  N2XOH (T))</t>
  </si>
  <si>
    <t xml:space="preserve">6(3 - 1 x 185) </t>
  </si>
  <si>
    <t>6(3 - 1 x 185 mm2  N2XOH(F)  + 1 x 95 mm2  N2XOH (T))</t>
  </si>
  <si>
    <t xml:space="preserve">6(3 - 1 x 240) </t>
  </si>
  <si>
    <t>6(3 - 1 x 240 mm2  N2XOH(F)  + 1 x 95 mm2  N2XOH (T))</t>
  </si>
  <si>
    <t>6('3 - 1 x 300  mm2  N2XOH(F) + 1 x 95 mm2  N2XOH (T))</t>
  </si>
  <si>
    <t xml:space="preserve">6(3 - 1 x 400) </t>
  </si>
  <si>
    <t>6(3 - 1 x 400  mm2  N2XOH(F) + 1 x 95 mm2  N2XOH (T))</t>
  </si>
  <si>
    <t xml:space="preserve">6(3 - 1 x 500) </t>
  </si>
  <si>
    <t>6(3 - 1 x 500  mm2  N2XOH(F) + 1 x 95 mm2  N2XOH (T))</t>
  </si>
  <si>
    <t xml:space="preserve">7(3 - 1 x 120) </t>
  </si>
  <si>
    <t xml:space="preserve">7(3 - 1 x 150) </t>
  </si>
  <si>
    <t xml:space="preserve">7(3 - 1 x 185) </t>
  </si>
  <si>
    <t xml:space="preserve">7(3 - 1 x 240) </t>
  </si>
  <si>
    <t xml:space="preserve">7(3 - 1 x 300) </t>
  </si>
  <si>
    <t xml:space="preserve">7(3 - 1 x 400) </t>
  </si>
  <si>
    <t xml:space="preserve">7(3 - 1 x 500) </t>
  </si>
  <si>
    <t>FCT (para cosØ = 0.9)</t>
  </si>
  <si>
    <t>DV Max. Calculado (%)</t>
  </si>
  <si>
    <r>
      <rPr>
        <sz val="10"/>
        <rFont val="Calibri"/>
        <family val="2"/>
      </rPr>
      <t>∆</t>
    </r>
    <r>
      <rPr>
        <sz val="10"/>
        <rFont val="Arial Narrow"/>
        <family val="2"/>
      </rPr>
      <t>V Max. Calculado (V)</t>
    </r>
  </si>
  <si>
    <r>
      <rPr>
        <sz val="10"/>
        <rFont val="Calibri"/>
        <family val="2"/>
      </rPr>
      <t xml:space="preserve">Σ </t>
    </r>
    <r>
      <rPr>
        <sz val="10"/>
        <rFont val="Arial Narrow"/>
        <family val="2"/>
      </rPr>
      <t>DV Max. Calculado (%)</t>
    </r>
  </si>
  <si>
    <r>
      <t>f.d.p. (cos</t>
    </r>
    <r>
      <rPr>
        <b/>
        <sz val="10"/>
        <rFont val="Calibri"/>
        <family val="2"/>
      </rPr>
      <t>φ)</t>
    </r>
  </si>
  <si>
    <t>Maxima demanda</t>
  </si>
  <si>
    <t>Factor de simultaneidad</t>
  </si>
  <si>
    <t xml:space="preserve">Potencia Diversificada </t>
  </si>
  <si>
    <t>RECOMENDADO</t>
  </si>
  <si>
    <t>K3</t>
  </si>
  <si>
    <t>K1</t>
  </si>
  <si>
    <t>K2</t>
  </si>
  <si>
    <t>K4</t>
  </si>
  <si>
    <t xml:space="preserve">PROFUNDIDAD DE LA ZANJA </t>
  </si>
  <si>
    <t>TEMPERATURA EN EL CONDUCTOR</t>
  </si>
  <si>
    <t>BANDEJA TABLERO GENERAL</t>
  </si>
  <si>
    <t>BANDEJA STG</t>
  </si>
  <si>
    <t>Sistema  1Ø /3Ø</t>
  </si>
  <si>
    <t>65 mm</t>
  </si>
  <si>
    <t>80 mm</t>
  </si>
  <si>
    <t>100 mm</t>
  </si>
  <si>
    <t>125 mm</t>
  </si>
  <si>
    <t>CAPACIDAD DE CONDUCCION DEL CONDUCTOR DE ACOMETIDA DE MAYOR SECCION O EQUIVALENTE PARA CONDUCTORES MULTIPLES</t>
  </si>
  <si>
    <t>SECCION DEL CONDUCTOR DE COBRE  DE PUESTA ATIERRA</t>
  </si>
  <si>
    <t>10  mm2  N2XOH (T)</t>
  </si>
  <si>
    <t>16  mm2  N2XOH (T)</t>
  </si>
  <si>
    <t>25  mm2  N2XOH (T)</t>
  </si>
  <si>
    <t>35  mm2  N2XOH (T)</t>
  </si>
  <si>
    <t>50  mm2  N2XOH (T)</t>
  </si>
  <si>
    <t>70  mm2  N2XOH (T)</t>
  </si>
  <si>
    <t>95  mm2  N2XOH (T)</t>
  </si>
  <si>
    <t xml:space="preserve">3 - 1 x 10 mm2  N2XOH(F) + 1 x 10 mm2  N2XOH(N) </t>
  </si>
  <si>
    <t xml:space="preserve">3 - 1 x 16 mm2  N2XOH(F) + 1 x 16 mm2  N2XOH(N) </t>
  </si>
  <si>
    <t xml:space="preserve">3 - 1 x 25 mm2  N2XOH(F) + 1 x 25 mm2  N2XOH(N) </t>
  </si>
  <si>
    <t xml:space="preserve">3 - 1 x 35 mm2  N2XOH(F) + 1 x 35 mm2  N2XOH(N) </t>
  </si>
  <si>
    <t xml:space="preserve">3 - 1 x 50 mm2  N2XOH(F) + 1 x 50 mm2  N2XOH(N) </t>
  </si>
  <si>
    <t xml:space="preserve">3 - 1 x 70 mm2  N2XOH(F) + 1 x 70 mm2  N2XOH(N) </t>
  </si>
  <si>
    <t xml:space="preserve">3 - 1 x 95 mm2  N2XOH(F) + 1 x 95 mm2  N2XOH(N) </t>
  </si>
  <si>
    <t xml:space="preserve">3 - 1 x 120 mm2  N2XOH(F) + 1 x 120 mm2  N2XOH(N) </t>
  </si>
  <si>
    <t xml:space="preserve">3 - 1 x 150 mm2  N2XOH(F) + 1 x 150 mm2  N2XOH(N) </t>
  </si>
  <si>
    <t xml:space="preserve">3 - 1 x 185 mm2  N2XOH(F) + 1 x 185 mm2  N2XOH(N) </t>
  </si>
  <si>
    <t xml:space="preserve">3 - 1 x 240 mm2  N2XOH(F) + 1 x 240 mm2  N2XOH(N) </t>
  </si>
  <si>
    <t xml:space="preserve">3 - 1 x 300  mm2  N2XOH(F) + 1 x 300  mm2  N2XOH(N) </t>
  </si>
  <si>
    <t xml:space="preserve">3 - 1 x 400  mm2  N2XOH(F) + 1 x 400  mm2  N2XOH(N) </t>
  </si>
  <si>
    <t>3 - 1 x 500  mm2  N2XOH(F) + 1 x 500  mm2  N2XOH(N)</t>
  </si>
  <si>
    <t>2(3 - 1 x 185 mm2  N2XOH(F) + 1 x 185 mm2  N2XOH(N))</t>
  </si>
  <si>
    <t xml:space="preserve">2(3 - 1 x 240 mm2  N2XOH(F) + 1 x 240 mm2  N2XOH(N)) </t>
  </si>
  <si>
    <t>2('3 - 1 x 300  mm2  N2XOH(F) + 1 x 300  mm2  N2XOH(N))</t>
  </si>
  <si>
    <t>2(3 - 1 x 400  mm2  N2XOH(F) + 1 x 400  mm2  N2XOH(N))</t>
  </si>
  <si>
    <t>2(3 - 1 x 500  mm2  N2XOH(F) + 1 x 500  mm2  N2XOH(N))</t>
  </si>
  <si>
    <t>3(3 - 1 x 120 mm2  N2XOH(F) + 1 x 120 mm2  N2XOH(N))</t>
  </si>
  <si>
    <t>3(3 - 1 x 150 mm2  N2XOH(F) + 1 x 150 mm2  N2XOH(N))</t>
  </si>
  <si>
    <t>3(3 - 1 x 185 mm2  N2XOH(F) + 1 x 185 mm2  N2XOH(N))</t>
  </si>
  <si>
    <t>3(3 - 1 x 240 mm2  N2XOH(F) + 1 x 240 mm2  N2XOH(N))</t>
  </si>
  <si>
    <t>3('3 - 1 x 300  mm2  N2XOH(F) + 1 x 300  mm2  N2XOH(N))</t>
  </si>
  <si>
    <t>3(3 - 1 x 400  mm2  N2XOH(F) + 1 x 400  mm2  N2XOH(N))</t>
  </si>
  <si>
    <t>3(3 - 1 x 500  mm2  N2XOH(F) + 1 x 500  mm2  N2XOH(N))</t>
  </si>
  <si>
    <t>4(3 - 1 x 120 mm2  N2XOH(F) + 1 x 120 mm2  N2XOH(N))</t>
  </si>
  <si>
    <t>4(3 - 1 x 150 mm2  N2XOH(F) + 1 x 150 mm2  N2XOH(N))</t>
  </si>
  <si>
    <t>4(3 - 1 x 185 mm2  N2XOH(F) + 1 x 185 mm2  N2XOH(N))</t>
  </si>
  <si>
    <t>4(3 - 1 x 240 mm2  N2XOH(F) + 1 x 240 mm2  N2XOH(N))</t>
  </si>
  <si>
    <t>4('3 - 1 x 300  mm2  N2XOH(F) + 1 x 300  mm2  N2XOH(N))</t>
  </si>
  <si>
    <t>4(3 - 1 x 400  mm2  N2XOH(F) + 1 x 400  mm2  N2XOH(N))</t>
  </si>
  <si>
    <t>4(3 - 1 x 500  mm2  N2XOH(F) + 1 x 500  mm2  N2XOH(N))</t>
  </si>
  <si>
    <t>5(3 - 1 x 120 mm2  N2XOH(F) + 1 x 120 mm2  N2XOH(N))</t>
  </si>
  <si>
    <t>5(3 - 1 x 150 mm2  N2XOH(F) + 1 x 150 mm2  N2XOH(N))</t>
  </si>
  <si>
    <t>5(3 - 1 x 185 mm2  N2XOH(F) + 1 x 185 mm2  N2XOH(N))</t>
  </si>
  <si>
    <t>5(3 - 1 x 240 mm2  N2XOH(F) + 1 x 240 mm2  N2XOH(N))</t>
  </si>
  <si>
    <t>5('3 - 1 x 300  mm2  N2XOH(F) + 1 x 300  mm2  N2XOH(N))</t>
  </si>
  <si>
    <t>5(3 - 1 x 400  mm2  N2XOH(F) + 1 x 400  mm2  N2XOH(N))</t>
  </si>
  <si>
    <t>5(3 - 1 x 500  mm2  N2XOH(F) + 1 x 500  mm2  N2XOH(N))</t>
  </si>
  <si>
    <t>6(3 - 1 x 120 mm2  N2XOH(F) + 1 x 120 mm2  N2XOH(N))</t>
  </si>
  <si>
    <t>6(3 - 1 x 150 mm2  N2XOH(F) + 1 x 150 mm2  N2XOH(N))</t>
  </si>
  <si>
    <t>6(3 - 1 x 185 mm2  N2XOH(F) + 1 x 185 mm2  N2XOH(N))</t>
  </si>
  <si>
    <t>6(3 - 1 x 240 mm2  N2XOH(F) + 1 x 240 mm2  N2XOH(N))</t>
  </si>
  <si>
    <t>6('3 - 1 x 300  mm2  N2XOH(F) + 1 x 300  mm2  N2XOH(N))</t>
  </si>
  <si>
    <t>6(3 - 1 x 400  mm2  N2XOH(F) + 1 x 400  mm2  N2XOH(N))</t>
  </si>
  <si>
    <t>6(3 - 1 x 500  mm2  N2XOH(F) + 1 x 500  mm2  N2XOH(N))</t>
  </si>
  <si>
    <t>7(3 - 1 x 120 mm2  N2XOH(F) + 1 x 120 mm2  N2XOH(N))</t>
  </si>
  <si>
    <t>7(3 - 1 x 150 mm2  N2XOH(F) + 1 x 150 mm2  N2XOH(N))</t>
  </si>
  <si>
    <t>7(3 - 1 x 185 mm2  N2XOH(F) + 1 x 185 mm2  N2XOH(N))</t>
  </si>
  <si>
    <t>7(3 - 1 x 240 mm2  N2XOH(F) + 1 x 240 mm2  N2XOH(N))</t>
  </si>
  <si>
    <t>7('3 - 1 x 300  mm2  N2XOH(F) + 1 x 300  mm2  N2XOH(N))</t>
  </si>
  <si>
    <t>7(3 - 1 x 400  mm2  N2XOH(F) + 1 x 400  mm2  N2XOH(N))</t>
  </si>
  <si>
    <t>7(3 - 1 x 500  mm2  N2XOH(F) + 1 x 500  mm2  N2XOH(N))</t>
  </si>
  <si>
    <t>2(3 - 1 x 120 mm2  N2XOH(F) + 1 x 120 mm2  N2XOH(N))</t>
  </si>
  <si>
    <t>2(3 - 1 x 150 mm2  N2XOH(F) + 1 x 150 mm2  N2XOH(N))</t>
  </si>
  <si>
    <t xml:space="preserve">SECCION DE CONDUCTOR DE PUESTA TIERRA </t>
  </si>
  <si>
    <t xml:space="preserve">1 - 1 x 6 mm2  N2XOH(F) + 1 x 6 mm2  N2XOH(N) </t>
  </si>
  <si>
    <t>1 - 1 x 10 mm2  N2XOH(F) + 1 x 10 mm2  N2XOH(N)</t>
  </si>
  <si>
    <t>1 - 1 x 16 mm2  N2XOH(F) + 1 x 16 mm2  N2XOH(N)</t>
  </si>
  <si>
    <t>1 - 1 x 25 mm2  N2XOH(F) + 1 x 25 mm2  N2XOH(N)</t>
  </si>
  <si>
    <t>1 - 1 x 35 mm2  N2XOH(F) + 1 x 35 mm2  N2XOH(N)</t>
  </si>
  <si>
    <t>1 - 1 x 50 mm2  N2XOH(F) + 1 x 50 mm2  N2XOH(N)</t>
  </si>
  <si>
    <t>1 - 1 x 70 mm2  N2XOH(F) + 1 x 70 mm2  N2XOH(N)</t>
  </si>
  <si>
    <t>1 - 1 x 95 mm2  N2XOH(F) + 1 x 95 mm2  N2XOH(N)</t>
  </si>
  <si>
    <t>1 - 1 x 120 mm2  N2XOH(F) + 1 x 120 mm2  N2XOH(N)</t>
  </si>
  <si>
    <t>1 - 1 x 150 mm2  N2XOH(F) + 1 x 150 mm2  N2XOH(N)</t>
  </si>
  <si>
    <t>1 - 1 x 185 mm2  N2XOH(F) + 1 x 185 mm2  N2XOH(N)</t>
  </si>
  <si>
    <t xml:space="preserve">1 - 1 x 240 mm2  N2XOH(F) + 1 x 240 mm2  N2XOH(N) </t>
  </si>
  <si>
    <t>1 - 1 x 300  mm2  N2XOH(F) + 1 x 300  mm2  N2XOH(N)</t>
  </si>
  <si>
    <t xml:space="preserve">3 - 1 x 6 mm2  N2XOH(F) + 1 x 6 mm2  N2XOH(N) </t>
  </si>
  <si>
    <t>20 mm</t>
  </si>
  <si>
    <t>calibre</t>
  </si>
  <si>
    <t>TUBERIA</t>
  </si>
  <si>
    <t>(mm)</t>
  </si>
  <si>
    <t xml:space="preserve">Seccion cable </t>
  </si>
  <si>
    <t>Seccion cable (mm2)  Calculado</t>
  </si>
  <si>
    <t>kW</t>
  </si>
  <si>
    <t>Maxima Demanda :</t>
  </si>
  <si>
    <t>Factor de Simultaneidad :</t>
  </si>
  <si>
    <t>Factor de Potencia</t>
  </si>
  <si>
    <t>Maxima Demanda (kVA)</t>
  </si>
  <si>
    <t>kVA</t>
  </si>
  <si>
    <t>TRANSFORMADOR DE POTENCIA</t>
  </si>
  <si>
    <t>Trafo de potencia :</t>
  </si>
  <si>
    <t>Relación de transformación   :</t>
  </si>
  <si>
    <t>kV</t>
  </si>
  <si>
    <t>SELECCION DE EQUIPOS</t>
  </si>
  <si>
    <t xml:space="preserve">40 mm </t>
  </si>
  <si>
    <t>85 mm</t>
  </si>
  <si>
    <t xml:space="preserve">N° DE POLOS (min) </t>
  </si>
  <si>
    <t>Maxima Demanda Diversificada total:</t>
  </si>
  <si>
    <t>FACTOR DE SIMULTANEIDAD</t>
  </si>
  <si>
    <t>D V Max. Permitida (%)</t>
  </si>
  <si>
    <t>D V Max. Permitida (V)</t>
  </si>
  <si>
    <t>TRIFASICO</t>
  </si>
  <si>
    <t>MONOFASICO</t>
  </si>
  <si>
    <t>10 mm2  LSOH (T)</t>
  </si>
  <si>
    <t>16 mm2  LSOH (T)</t>
  </si>
  <si>
    <t>25 mm2  LSOH (T)</t>
  </si>
  <si>
    <t>35 mm2  LSOH (T)</t>
  </si>
  <si>
    <t>50 mm2  LSOH (T)</t>
  </si>
  <si>
    <t>70 mm2  LSOH (T)</t>
  </si>
  <si>
    <t>95 mm2  LSOH (T)</t>
  </si>
  <si>
    <t>TD-09</t>
  </si>
  <si>
    <t>TD-10</t>
  </si>
  <si>
    <t>TD-11</t>
  </si>
  <si>
    <t>TD-12</t>
  </si>
  <si>
    <t>TD-13</t>
  </si>
  <si>
    <t>TD-14</t>
  </si>
  <si>
    <t>S.E.  TG</t>
  </si>
  <si>
    <r>
      <t>Ib      ≤      IR</t>
    </r>
    <r>
      <rPr>
        <b/>
        <sz val="12"/>
        <color rgb="FFFF0000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   ≤       Iz</t>
    </r>
  </si>
  <si>
    <t>k1</t>
  </si>
  <si>
    <t>k2</t>
  </si>
  <si>
    <t>k3</t>
  </si>
  <si>
    <t>Ktot.</t>
  </si>
  <si>
    <t>k4</t>
  </si>
  <si>
    <t>CAIDA DE TENSION OBTENIDA (%)  =</t>
  </si>
  <si>
    <t>Tuberia</t>
  </si>
  <si>
    <t>Corriente regulada (A) CM-Reg. I1=In</t>
  </si>
  <si>
    <t>Método de instacion D)</t>
  </si>
  <si>
    <t>2CIRCUITOS</t>
  </si>
  <si>
    <t>MAS DE 10 CIRCUITOS</t>
  </si>
  <si>
    <t>TG1</t>
  </si>
  <si>
    <t>PRIMER NIVEL</t>
  </si>
  <si>
    <t>SEGUNDO NIVEL</t>
  </si>
  <si>
    <t>EQUIPO SELECCIONADO TRANSFORMADOR TG</t>
  </si>
  <si>
    <t>FTR-SIMULT</t>
  </si>
  <si>
    <t>MAXIMA DEMANDA DIVERSIFICADA TOTAL (KW)</t>
  </si>
  <si>
    <t>profundidad</t>
  </si>
  <si>
    <t xml:space="preserve">AIRE </t>
  </si>
  <si>
    <t>FACTOR DE CORRECCION</t>
  </si>
  <si>
    <t>K2.1</t>
  </si>
  <si>
    <t>CIRCUITOS EN TUBOS ENTERRADOS (Método de instacion D</t>
  </si>
  <si>
    <t>TABLA 5C agrupamiento (INSTALACION EN AIRE)</t>
  </si>
  <si>
    <t>Tabla 5B (ENTERRADO)</t>
  </si>
  <si>
    <t>PROFUNDIDAD DE LA ZANJA (ENTERRADO)</t>
  </si>
  <si>
    <t>Enterrado/Tuberia</t>
  </si>
  <si>
    <t>total</t>
  </si>
  <si>
    <t>K1.1</t>
  </si>
  <si>
    <t xml:space="preserve">Tabla 5A (ENTERRADO) </t>
  </si>
  <si>
    <t xml:space="preserve">Tabla 5A (AIRE) </t>
  </si>
  <si>
    <t>I  cable (A) de Id</t>
  </si>
  <si>
    <t>TG</t>
  </si>
  <si>
    <t>Carga Instalada TG :</t>
  </si>
  <si>
    <t>f.s.</t>
  </si>
  <si>
    <t>MÁXIMA CAIDA DE TENSION PARA CIRCUITOS DE ALIMENTADORES ES 1.5%</t>
  </si>
  <si>
    <t>2x10</t>
  </si>
  <si>
    <t>DIMENSIONAMIENTO DE CABLES ALIMENTADORES : TABLERO GENERAL NORMAL  (TG)</t>
  </si>
  <si>
    <t>TABLERO DE DISTRIBUCION TDN-101</t>
  </si>
  <si>
    <t>CUADRO DE DEMANDA MAXIMA TABLERO DE DISTRIBUCION TDN-101</t>
  </si>
  <si>
    <t>TABLERO DE DISTRIBUCION NORMAL</t>
  </si>
  <si>
    <t>Tipo conductor</t>
  </si>
  <si>
    <t>C-01 ALUMBRADO INTERIOR</t>
  </si>
  <si>
    <t>C-02 ALUMBRADO INTERIOR</t>
  </si>
  <si>
    <t>TDN-101</t>
  </si>
  <si>
    <t>MAXIMA DEMANDA</t>
  </si>
  <si>
    <t>CALCULO DE ALIMENTADORES: CAIDA DE TENSION, DIMENSIONAMIENTO DE CONDUCTORES, TUBERIAS Y EQUIPOS DE PROTECCION.</t>
  </si>
  <si>
    <t>TOMACORRIENTE BIPOLAR DOBLE DEL TIPO UNIVERSAL 16A, 250V  (F+N+T), CON BORNE A TIERRA DE USO GENERAL (SISTEMA NORMAL)</t>
  </si>
  <si>
    <t>TABLERO DE DISTRIBUCION TDN-102</t>
  </si>
  <si>
    <t>CUADRO DE DEMANDA MAXIMA TABLERO DE DISTRIBUCION TDN-102</t>
  </si>
  <si>
    <t>SALIDA DE FUERZA PARA ELECTROBOMBA</t>
  </si>
  <si>
    <t>C-02 TOMACORRIENTE</t>
  </si>
  <si>
    <t>MEDIDOR</t>
  </si>
  <si>
    <t>TDN-102</t>
  </si>
  <si>
    <t>LUCES DE EMERGENCIA DE 7W DE 350lm</t>
  </si>
  <si>
    <t>TOMACORRIENTE DUPLEX 3 EN LINEA CON PUESTA TIERRA, 10A/16A, 250V PARA USO GENERAL EMPOTRADO EN MURO.</t>
  </si>
  <si>
    <t>LUMINARIA LED TIPO SPOT LIGHT 10W IP44 PARA EMPOTRAR EN FCR O SIMILAR</t>
  </si>
  <si>
    <t>LUMINARIA EMERGENCIA 7 W O SIMILAR</t>
  </si>
  <si>
    <t>LUMINARIA LED TIPO PANEL CUADRADO 0.60x0.60x0.60m DE 34W</t>
  </si>
  <si>
    <t>LUMINARIA LED TIPO SPOT LITE 10W</t>
  </si>
  <si>
    <t>CUADRO DE DEMANDA MAXIMA TABLERO DE DISTRIBUCION TDN-103</t>
  </si>
  <si>
    <t>LUMINARIA LED TIPO PANEL CUADRADO 0.60X0.60m DE 34W IP40</t>
  </si>
  <si>
    <t xml:space="preserve">LUMINARIA LED TIPO LINEAL 32W IP65 </t>
  </si>
  <si>
    <t>A-01 TABLERO DE DISTRIBUCION TDN-101</t>
  </si>
  <si>
    <t>C-01 SALIDA DE FUERZA</t>
  </si>
  <si>
    <t>TOMACORRIENTE PARA REFRIGERADORA</t>
  </si>
  <si>
    <t>LUMINARIA BRAQUET DE 28 W</t>
  </si>
  <si>
    <t>LUMINARIA LED TIPO DOWNLIGHT PARA ADOSAR DE 21W IP55</t>
  </si>
  <si>
    <t>C-03 ALUMBRADO EXTERIOR</t>
  </si>
  <si>
    <t>C-04 TOMACORRIENTE</t>
  </si>
  <si>
    <t>C-06 ALUMBRADO EXTERIOR</t>
  </si>
  <si>
    <t>TOMACORRIENTE PARA COMPUTADORA</t>
  </si>
  <si>
    <t>TOMACORRIENTE PARA LICUADORA</t>
  </si>
  <si>
    <t>TOMACORRIENTE PARA MICROONDAS</t>
  </si>
  <si>
    <t>SALIDA DE FUERZA PARA COMUNICACIONES</t>
  </si>
  <si>
    <t>Maxima Demanda Diversificada:</t>
  </si>
  <si>
    <t>TOMACORRIENTE PARA IMPRESORA</t>
  </si>
  <si>
    <t>TOMACORRIENTE PARA EQUIPO DE SONIDO</t>
  </si>
  <si>
    <t>TOMACORRIENTE PARA TV 75"</t>
  </si>
  <si>
    <t xml:space="preserve">CUADRO DE MAXIMA DEMANDA DEL PROYECTO </t>
  </si>
  <si>
    <t>LUMINARIA LED TIPO DOWNLIGHT EMBUTIR 21W  IP54</t>
  </si>
  <si>
    <t>LUMINARIA LED TIPO DOWNLIGHT EMBUTIR 21W IP54 PARA EMPOTRAR EN FCR</t>
  </si>
  <si>
    <t>TABLERO DE DISTRIBUCION TDN-103</t>
  </si>
  <si>
    <t>TDN-103</t>
  </si>
  <si>
    <t>TDN-104</t>
  </si>
  <si>
    <t>TABLERO DE DISTRIBUCION TDN-104</t>
  </si>
  <si>
    <t>CUADRO DE DEMANDA MAXIMA TABLERO DE DISTRIBUCION TDN-104</t>
  </si>
  <si>
    <t>A-02 TABLERO DE DISTRIBUCION TDN-102</t>
  </si>
  <si>
    <t>A-03 TABLERO DE DISTRIBUCION TDN-103</t>
  </si>
  <si>
    <t>A-04 TABLERO DE DISTRIBUCION TDN-104</t>
  </si>
  <si>
    <t>A-05 RESERVA 5%</t>
  </si>
  <si>
    <t>C-03 TOMACORRIENTE</t>
  </si>
  <si>
    <t>C-05 ALUMBRADO EXTERIOR</t>
  </si>
  <si>
    <t xml:space="preserve">C-07 RESERVA </t>
  </si>
  <si>
    <t>C-04 ALUMBRADO EXTERIOR</t>
  </si>
  <si>
    <t xml:space="preserve">C-05 RESERVA </t>
  </si>
  <si>
    <t>C-05 SALIDA PARA GABINETE DE COMUNICACIONES</t>
  </si>
  <si>
    <t xml:space="preserve">C-06 RESERVA </t>
  </si>
  <si>
    <t xml:space="preserve">C-02 RESERVA </t>
  </si>
  <si>
    <t>MEJORAMIENTO DEL SERVICIO DE EDUCACIÓN INICIAL EN I.E. ARICATO DISTRITO DE PHARA DE LA PROVINCIA DE SANDIA DEL DEPARTAMENTO DE PUNO</t>
  </si>
  <si>
    <t>2x6</t>
  </si>
  <si>
    <t>3x6</t>
  </si>
  <si>
    <t>2x16</t>
  </si>
  <si>
    <t>13.2/0.40-0.23</t>
  </si>
  <si>
    <t>TRANSFORMADOR DE DISTRIBUCION</t>
  </si>
  <si>
    <t>RESUMEN SISTEMA DE ENERGIA TRANSFORMADOR 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</si>
</sst>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-* #,##0.00\ _€_-;\-* #,##0.00\ _€_-;_-* &quot;-&quot;??\ _€_-;_-@_-"/>
    <numFmt numFmtId="165" formatCode="_ * #,##0.00_ ;_ * \-#,##0.00_ ;_ * &quot;-&quot;??_ ;_ @_ "/>
    <numFmt numFmtId="166" formatCode="0.0000"/>
    <numFmt numFmtId="167" formatCode="0.000"/>
    <numFmt numFmtId="168" formatCode="0.0"/>
    <numFmt numFmtId="169" formatCode="0.00000"/>
    <numFmt numFmtId="170" formatCode="0.000000"/>
    <numFmt numFmtId="171" formatCode="0.0000000"/>
    <numFmt numFmtId="172" formatCode="0.00000000"/>
    <numFmt numFmtId="173" formatCode="_-* #,##0.00\ _P_t_s_-;\-* #,##0.00\ _P_t_s_-;_-* &quot;-&quot;??\ _P_t_s_-;_-@_-"/>
    <numFmt numFmtId="174" formatCode="00"/>
  </numFmts>
  <fonts count="61" x14ac:knownFonts="1">
    <font>
      <sz val="11"/>
      <color theme="1"/>
      <name val="Calibri"/>
      <family val="2"/>
      <scheme val="minor"/>
    </font>
    <font>
      <sz val="10"/>
      <name val="Arial Narrow"/>
      <family val="2"/>
    </font>
    <font>
      <sz val="11"/>
      <color theme="1"/>
      <name val="Arial Narrow"/>
      <family val="2"/>
    </font>
    <font>
      <u/>
      <sz val="10"/>
      <name val="Arial Narrow"/>
      <family val="2"/>
    </font>
    <font>
      <b/>
      <sz val="10"/>
      <name val="Arial Narrow"/>
      <family val="2"/>
    </font>
    <font>
      <sz val="12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sz val="10"/>
      <color theme="1"/>
      <name val="Arial Narrow"/>
      <family val="2"/>
    </font>
    <font>
      <b/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2"/>
      <name val="Calibri"/>
      <family val="2"/>
    </font>
    <font>
      <b/>
      <sz val="11"/>
      <name val="Arial"/>
      <family val="2"/>
    </font>
    <font>
      <b/>
      <sz val="11"/>
      <name val="Calibri"/>
      <family val="2"/>
    </font>
    <font>
      <sz val="11"/>
      <color rgb="FFFFFF0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0"/>
      <name val="Calibri"/>
      <family val="2"/>
    </font>
    <font>
      <sz val="12"/>
      <name val="Calibri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</font>
    <font>
      <b/>
      <sz val="12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u/>
      <sz val="11"/>
      <name val="Arial Narrow"/>
      <family val="2"/>
    </font>
    <font>
      <sz val="8"/>
      <name val="Calibri"/>
      <family val="2"/>
      <scheme val="minor"/>
    </font>
    <font>
      <b/>
      <sz val="8"/>
      <name val="Arial"/>
      <family val="2"/>
    </font>
    <font>
      <sz val="10"/>
      <color rgb="FFFFFF00"/>
      <name val="Arial Narrow"/>
      <family val="2"/>
    </font>
    <font>
      <sz val="11"/>
      <color theme="4" tint="-0.249977111117893"/>
      <name val="Arial Narrow"/>
      <family val="2"/>
    </font>
    <font>
      <b/>
      <sz val="12"/>
      <color theme="1"/>
      <name val="Calibri"/>
      <family val="2"/>
      <scheme val="minor"/>
    </font>
    <font>
      <sz val="16"/>
      <color theme="4" tint="-0.249977111117893"/>
      <name val="Arial Narrow"/>
      <family val="2"/>
    </font>
    <font>
      <sz val="10"/>
      <color theme="4" tint="-0.249977111117893"/>
      <name val="Arial Narrow"/>
      <family val="2"/>
    </font>
    <font>
      <sz val="11"/>
      <color theme="4" tint="-0.249977111117893"/>
      <name val="Calibri"/>
      <family val="2"/>
      <scheme val="minor"/>
    </font>
    <font>
      <sz val="10"/>
      <color theme="4" tint="-0.249977111117893"/>
      <name val="Arial"/>
      <family val="2"/>
    </font>
    <font>
      <b/>
      <sz val="2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name val="Arial"/>
      <family val="2"/>
    </font>
    <font>
      <b/>
      <sz val="16"/>
      <color theme="1"/>
      <name val="Arial Narrow"/>
      <family val="2"/>
    </font>
    <font>
      <b/>
      <sz val="28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4"/>
      <color theme="1"/>
      <name val="Arial Narrow"/>
      <family val="2"/>
    </font>
    <font>
      <sz val="8"/>
      <name val="Arial Narrow"/>
      <family val="2"/>
    </font>
    <font>
      <b/>
      <sz val="8"/>
      <color rgb="FFFF0000"/>
      <name val="Arial Narrow"/>
      <family val="2"/>
    </font>
    <font>
      <b/>
      <sz val="8"/>
      <name val="Arial Narrow"/>
      <family val="2"/>
    </font>
    <font>
      <b/>
      <sz val="12"/>
      <color theme="1"/>
      <name val="Arial Narrow"/>
      <family val="2"/>
    </font>
    <font>
      <b/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</fills>
  <borders count="72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27" fillId="0" borderId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7" fillId="0" borderId="0"/>
    <xf numFmtId="0" fontId="30" fillId="0" borderId="0"/>
    <xf numFmtId="0" fontId="30" fillId="0" borderId="0"/>
    <xf numFmtId="0" fontId="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65" fontId="30" fillId="0" borderId="0" applyFont="0" applyFill="0" applyBorder="0" applyAlignment="0" applyProtection="0"/>
    <xf numFmtId="164" fontId="30" fillId="0" borderId="0" applyFont="0" applyFill="0" applyBorder="0" applyAlignment="0" applyProtection="0"/>
  </cellStyleXfs>
  <cellXfs count="786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166" fontId="2" fillId="0" borderId="10" xfId="0" applyNumberFormat="1" applyFont="1" applyBorder="1"/>
    <xf numFmtId="167" fontId="2" fillId="0" borderId="10" xfId="0" applyNumberFormat="1" applyFont="1" applyBorder="1"/>
    <xf numFmtId="0" fontId="2" fillId="0" borderId="11" xfId="0" applyFont="1" applyBorder="1"/>
    <xf numFmtId="166" fontId="2" fillId="0" borderId="0" xfId="0" applyNumberFormat="1" applyFont="1"/>
    <xf numFmtId="166" fontId="2" fillId="0" borderId="11" xfId="0" applyNumberFormat="1" applyFont="1" applyBorder="1"/>
    <xf numFmtId="0" fontId="2" fillId="0" borderId="10" xfId="0" quotePrefix="1" applyFont="1" applyBorder="1" applyAlignment="1">
      <alignment horizontal="center"/>
    </xf>
    <xf numFmtId="2" fontId="2" fillId="0" borderId="10" xfId="0" quotePrefix="1" applyNumberFormat="1" applyFont="1" applyBorder="1" applyAlignment="1">
      <alignment horizontal="center"/>
    </xf>
    <xf numFmtId="166" fontId="2" fillId="0" borderId="10" xfId="0" quotePrefix="1" applyNumberFormat="1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1" fontId="2" fillId="0" borderId="11" xfId="0" applyNumberFormat="1" applyFont="1" applyBorder="1"/>
    <xf numFmtId="0" fontId="2" fillId="0" borderId="12" xfId="0" quotePrefix="1" applyFont="1" applyBorder="1" applyAlignment="1">
      <alignment horizontal="center"/>
    </xf>
    <xf numFmtId="2" fontId="2" fillId="0" borderId="12" xfId="0" quotePrefix="1" applyNumberFormat="1" applyFont="1" applyBorder="1" applyAlignment="1">
      <alignment horizontal="center"/>
    </xf>
    <xf numFmtId="0" fontId="2" fillId="0" borderId="13" xfId="0" applyFont="1" applyBorder="1" applyAlignment="1">
      <alignment horizontal="right"/>
    </xf>
    <xf numFmtId="166" fontId="2" fillId="0" borderId="13" xfId="0" applyNumberFormat="1" applyFont="1" applyBorder="1"/>
    <xf numFmtId="166" fontId="2" fillId="0" borderId="13" xfId="0" quotePrefix="1" applyNumberFormat="1" applyFont="1" applyBorder="1" applyAlignment="1">
      <alignment horizontal="right"/>
    </xf>
    <xf numFmtId="1" fontId="2" fillId="0" borderId="13" xfId="0" applyNumberFormat="1" applyFont="1" applyBorder="1"/>
    <xf numFmtId="0" fontId="2" fillId="0" borderId="11" xfId="0" quotePrefix="1" applyFont="1" applyBorder="1" applyAlignment="1">
      <alignment horizontal="center"/>
    </xf>
    <xf numFmtId="2" fontId="2" fillId="0" borderId="11" xfId="0" quotePrefix="1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left"/>
    </xf>
    <xf numFmtId="0" fontId="1" fillId="0" borderId="11" xfId="0" applyFont="1" applyBorder="1"/>
    <xf numFmtId="0" fontId="1" fillId="0" borderId="0" xfId="0" applyFont="1" applyAlignment="1">
      <alignment horizontal="left"/>
    </xf>
    <xf numFmtId="0" fontId="1" fillId="0" borderId="11" xfId="0" applyFont="1" applyBorder="1" applyAlignment="1">
      <alignment horizontal="center" wrapText="1"/>
    </xf>
    <xf numFmtId="2" fontId="2" fillId="0" borderId="0" xfId="0" applyNumberFormat="1" applyFont="1"/>
    <xf numFmtId="0" fontId="2" fillId="0" borderId="13" xfId="0" applyFont="1" applyBorder="1"/>
    <xf numFmtId="0" fontId="1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167" fontId="2" fillId="0" borderId="0" xfId="0" applyNumberFormat="1" applyFont="1"/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8" fontId="2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horizontal="center"/>
    </xf>
    <xf numFmtId="0" fontId="2" fillId="0" borderId="20" xfId="0" applyFont="1" applyBorder="1"/>
    <xf numFmtId="0" fontId="2" fillId="0" borderId="21" xfId="0" applyFont="1" applyBorder="1"/>
    <xf numFmtId="0" fontId="1" fillId="0" borderId="16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2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169" fontId="1" fillId="0" borderId="11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0" fontId="5" fillId="0" borderId="0" xfId="0" applyFont="1" applyAlignment="1">
      <alignment horizontal="center" wrapText="1"/>
    </xf>
    <xf numFmtId="0" fontId="2" fillId="0" borderId="0" xfId="0" applyFont="1" applyAlignment="1">
      <alignment horizontal="right"/>
    </xf>
    <xf numFmtId="166" fontId="2" fillId="0" borderId="0" xfId="0" quotePrefix="1" applyNumberFormat="1" applyFont="1" applyAlignment="1">
      <alignment horizontal="right"/>
    </xf>
    <xf numFmtId="2" fontId="2" fillId="0" borderId="0" xfId="0" quotePrefix="1" applyNumberFormat="1" applyFont="1" applyAlignment="1">
      <alignment horizontal="center"/>
    </xf>
    <xf numFmtId="10" fontId="2" fillId="0" borderId="0" xfId="0" applyNumberFormat="1" applyFont="1"/>
    <xf numFmtId="0" fontId="2" fillId="0" borderId="10" xfId="0" applyFont="1" applyBorder="1"/>
    <xf numFmtId="0" fontId="1" fillId="0" borderId="0" xfId="0" quotePrefix="1" applyFont="1" applyAlignment="1">
      <alignment horizontal="center"/>
    </xf>
    <xf numFmtId="166" fontId="0" fillId="0" borderId="10" xfId="0" applyNumberFormat="1" applyBorder="1"/>
    <xf numFmtId="167" fontId="0" fillId="0" borderId="10" xfId="0" applyNumberFormat="1" applyBorder="1"/>
    <xf numFmtId="0" fontId="0" fillId="0" borderId="11" xfId="0" applyBorder="1"/>
    <xf numFmtId="0" fontId="1" fillId="0" borderId="1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2" fillId="0" borderId="7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1" fillId="0" borderId="17" xfId="0" applyFont="1" applyBorder="1"/>
    <xf numFmtId="0" fontId="2" fillId="0" borderId="18" xfId="0" applyFont="1" applyBorder="1"/>
    <xf numFmtId="0" fontId="2" fillId="0" borderId="12" xfId="0" applyFont="1" applyBorder="1"/>
    <xf numFmtId="0" fontId="1" fillId="0" borderId="19" xfId="0" applyFont="1" applyBorder="1" applyAlignment="1">
      <alignment wrapText="1"/>
    </xf>
    <xf numFmtId="0" fontId="2" fillId="0" borderId="20" xfId="0" applyFont="1" applyBorder="1" applyAlignment="1">
      <alignment wrapText="1"/>
    </xf>
    <xf numFmtId="2" fontId="2" fillId="0" borderId="11" xfId="0" applyNumberFormat="1" applyFont="1" applyBorder="1" applyAlignment="1">
      <alignment horizontal="center"/>
    </xf>
    <xf numFmtId="0" fontId="4" fillId="0" borderId="0" xfId="0" applyFont="1"/>
    <xf numFmtId="2" fontId="2" fillId="0" borderId="11" xfId="0" applyNumberFormat="1" applyFont="1" applyBorder="1"/>
    <xf numFmtId="167" fontId="2" fillId="0" borderId="11" xfId="0" applyNumberFormat="1" applyFont="1" applyBorder="1"/>
    <xf numFmtId="167" fontId="2" fillId="0" borderId="11" xfId="0" applyNumberFormat="1" applyFont="1" applyBorder="1" applyAlignment="1">
      <alignment horizontal="center" wrapText="1"/>
    </xf>
    <xf numFmtId="167" fontId="2" fillId="0" borderId="11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 wrapText="1"/>
    </xf>
    <xf numFmtId="0" fontId="2" fillId="0" borderId="27" xfId="0" applyFont="1" applyBorder="1"/>
    <xf numFmtId="0" fontId="2" fillId="0" borderId="27" xfId="0" quotePrefix="1" applyFont="1" applyBorder="1" applyAlignment="1">
      <alignment horizontal="center"/>
    </xf>
    <xf numFmtId="0" fontId="2" fillId="0" borderId="29" xfId="0" quotePrefix="1" applyFont="1" applyBorder="1" applyAlignment="1">
      <alignment horizontal="center"/>
    </xf>
    <xf numFmtId="167" fontId="2" fillId="0" borderId="13" xfId="0" applyNumberFormat="1" applyFont="1" applyBorder="1" applyAlignment="1">
      <alignment wrapText="1"/>
    </xf>
    <xf numFmtId="0" fontId="10" fillId="0" borderId="33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5" xfId="0" applyFont="1" applyBorder="1"/>
    <xf numFmtId="1" fontId="8" fillId="0" borderId="11" xfId="0" applyNumberFormat="1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168" fontId="2" fillId="0" borderId="11" xfId="0" applyNumberFormat="1" applyFont="1" applyBorder="1" applyAlignment="1">
      <alignment horizontal="center" wrapText="1"/>
    </xf>
    <xf numFmtId="1" fontId="2" fillId="0" borderId="11" xfId="0" applyNumberFormat="1" applyFont="1" applyBorder="1" applyAlignment="1">
      <alignment horizontal="center"/>
    </xf>
    <xf numFmtId="168" fontId="2" fillId="0" borderId="13" xfId="0" applyNumberFormat="1" applyFont="1" applyBorder="1"/>
    <xf numFmtId="1" fontId="2" fillId="0" borderId="16" xfId="0" applyNumberFormat="1" applyFont="1" applyBorder="1" applyAlignment="1">
      <alignment horizontal="center" wrapText="1"/>
    </xf>
    <xf numFmtId="1" fontId="2" fillId="0" borderId="10" xfId="0" applyNumberFormat="1" applyFont="1" applyBorder="1" applyAlignment="1">
      <alignment horizontal="center"/>
    </xf>
    <xf numFmtId="0" fontId="2" fillId="0" borderId="19" xfId="0" applyFont="1" applyBorder="1"/>
    <xf numFmtId="2" fontId="2" fillId="0" borderId="13" xfId="0" applyNumberFormat="1" applyFont="1" applyBorder="1"/>
    <xf numFmtId="2" fontId="2" fillId="0" borderId="17" xfId="0" applyNumberFormat="1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2" fontId="2" fillId="0" borderId="14" xfId="0" applyNumberFormat="1" applyFont="1" applyBorder="1"/>
    <xf numFmtId="0" fontId="2" fillId="4" borderId="11" xfId="0" quotePrefix="1" applyFont="1" applyFill="1" applyBorder="1" applyAlignment="1">
      <alignment horizontal="center"/>
    </xf>
    <xf numFmtId="2" fontId="2" fillId="4" borderId="11" xfId="0" quotePrefix="1" applyNumberFormat="1" applyFont="1" applyFill="1" applyBorder="1" applyAlignment="1">
      <alignment horizontal="center"/>
    </xf>
    <xf numFmtId="170" fontId="2" fillId="4" borderId="11" xfId="0" applyNumberFormat="1" applyFont="1" applyFill="1" applyBorder="1"/>
    <xf numFmtId="1" fontId="2" fillId="4" borderId="11" xfId="0" applyNumberFormat="1" applyFont="1" applyFill="1" applyBorder="1"/>
    <xf numFmtId="0" fontId="2" fillId="5" borderId="27" xfId="0" quotePrefix="1" applyFont="1" applyFill="1" applyBorder="1" applyAlignment="1">
      <alignment horizontal="center"/>
    </xf>
    <xf numFmtId="0" fontId="2" fillId="5" borderId="12" xfId="0" quotePrefix="1" applyFont="1" applyFill="1" applyBorder="1" applyAlignment="1">
      <alignment horizontal="center"/>
    </xf>
    <xf numFmtId="2" fontId="2" fillId="5" borderId="12" xfId="0" quotePrefix="1" applyNumberFormat="1" applyFont="1" applyFill="1" applyBorder="1" applyAlignment="1">
      <alignment horizontal="center"/>
    </xf>
    <xf numFmtId="170" fontId="2" fillId="5" borderId="13" xfId="0" applyNumberFormat="1" applyFont="1" applyFill="1" applyBorder="1"/>
    <xf numFmtId="1" fontId="2" fillId="5" borderId="13" xfId="0" applyNumberFormat="1" applyFont="1" applyFill="1" applyBorder="1"/>
    <xf numFmtId="0" fontId="2" fillId="5" borderId="29" xfId="0" quotePrefix="1" applyFont="1" applyFill="1" applyBorder="1" applyAlignment="1">
      <alignment horizontal="center"/>
    </xf>
    <xf numFmtId="0" fontId="2" fillId="5" borderId="11" xfId="0" quotePrefix="1" applyFont="1" applyFill="1" applyBorder="1" applyAlignment="1">
      <alignment horizontal="center"/>
    </xf>
    <xf numFmtId="167" fontId="2" fillId="5" borderId="0" xfId="0" applyNumberFormat="1" applyFont="1" applyFill="1"/>
    <xf numFmtId="2" fontId="2" fillId="5" borderId="0" xfId="0" applyNumberFormat="1" applyFont="1" applyFill="1"/>
    <xf numFmtId="2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168" fontId="2" fillId="5" borderId="0" xfId="0" applyNumberFormat="1" applyFont="1" applyFill="1"/>
    <xf numFmtId="2" fontId="18" fillId="5" borderId="0" xfId="0" applyNumberFormat="1" applyFont="1" applyFill="1" applyAlignment="1">
      <alignment horizontal="center"/>
    </xf>
    <xf numFmtId="2" fontId="18" fillId="5" borderId="0" xfId="0" applyNumberFormat="1" applyFont="1" applyFill="1"/>
    <xf numFmtId="0" fontId="2" fillId="5" borderId="0" xfId="0" applyFont="1" applyFill="1"/>
    <xf numFmtId="2" fontId="6" fillId="5" borderId="0" xfId="0" applyNumberFormat="1" applyFont="1" applyFill="1"/>
    <xf numFmtId="0" fontId="6" fillId="5" borderId="0" xfId="0" applyFont="1" applyFill="1"/>
    <xf numFmtId="0" fontId="9" fillId="5" borderId="0" xfId="0" applyFont="1" applyFill="1"/>
    <xf numFmtId="2" fontId="4" fillId="5" borderId="0" xfId="0" applyNumberFormat="1" applyFont="1" applyFill="1" applyAlignment="1">
      <alignment horizontal="center"/>
    </xf>
    <xf numFmtId="1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 applyAlignment="1">
      <alignment horizontal="center"/>
    </xf>
    <xf numFmtId="0" fontId="2" fillId="5" borderId="0" xfId="0" quotePrefix="1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2" fontId="1" fillId="5" borderId="0" xfId="0" applyNumberFormat="1" applyFont="1" applyFill="1" applyAlignment="1">
      <alignment horizontal="center"/>
    </xf>
    <xf numFmtId="3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2" fontId="19" fillId="5" borderId="0" xfId="0" applyNumberFormat="1" applyFont="1" applyFill="1" applyAlignment="1">
      <alignment horizontal="center"/>
    </xf>
    <xf numFmtId="1" fontId="2" fillId="0" borderId="28" xfId="0" applyNumberFormat="1" applyFont="1" applyBorder="1" applyAlignment="1">
      <alignment horizontal="center"/>
    </xf>
    <xf numFmtId="1" fontId="2" fillId="0" borderId="27" xfId="0" applyNumberFormat="1" applyFont="1" applyBorder="1" applyAlignment="1">
      <alignment horizontal="center"/>
    </xf>
    <xf numFmtId="0" fontId="1" fillId="0" borderId="28" xfId="0" quotePrefix="1" applyFont="1" applyBorder="1" applyAlignment="1">
      <alignment horizontal="left"/>
    </xf>
    <xf numFmtId="0" fontId="7" fillId="0" borderId="28" xfId="0" quotePrefix="1" applyFont="1" applyBorder="1" applyAlignment="1">
      <alignment horizontal="left"/>
    </xf>
    <xf numFmtId="0" fontId="1" fillId="0" borderId="30" xfId="0" quotePrefix="1" applyFont="1" applyBorder="1" applyAlignment="1">
      <alignment horizontal="left"/>
    </xf>
    <xf numFmtId="0" fontId="2" fillId="0" borderId="5" xfId="0" quotePrefix="1" applyFont="1" applyBorder="1" applyAlignment="1">
      <alignment horizontal="left"/>
    </xf>
    <xf numFmtId="0" fontId="1" fillId="4" borderId="30" xfId="0" quotePrefix="1" applyFont="1" applyFill="1" applyBorder="1" applyAlignment="1">
      <alignment horizontal="left"/>
    </xf>
    <xf numFmtId="168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left"/>
    </xf>
    <xf numFmtId="169" fontId="1" fillId="5" borderId="0" xfId="0" applyNumberFormat="1" applyFont="1" applyFill="1" applyAlignment="1">
      <alignment horizontal="left"/>
    </xf>
    <xf numFmtId="168" fontId="2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0" fontId="2" fillId="5" borderId="11" xfId="0" applyFont="1" applyFill="1" applyBorder="1"/>
    <xf numFmtId="0" fontId="1" fillId="5" borderId="11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/>
    </xf>
    <xf numFmtId="0" fontId="33" fillId="0" borderId="0" xfId="0" applyFont="1"/>
    <xf numFmtId="1" fontId="33" fillId="0" borderId="0" xfId="0" applyNumberFormat="1" applyFont="1"/>
    <xf numFmtId="0" fontId="0" fillId="5" borderId="0" xfId="0" applyFill="1"/>
    <xf numFmtId="1" fontId="32" fillId="0" borderId="11" xfId="0" applyNumberFormat="1" applyFont="1" applyBorder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2" fontId="1" fillId="5" borderId="0" xfId="0" applyNumberFormat="1" applyFont="1" applyFill="1" applyAlignment="1">
      <alignment horizontal="center" wrapText="1"/>
    </xf>
    <xf numFmtId="0" fontId="2" fillId="0" borderId="14" xfId="0" applyFont="1" applyBorder="1" applyAlignment="1">
      <alignment horizontal="center"/>
    </xf>
    <xf numFmtId="0" fontId="7" fillId="5" borderId="0" xfId="0" applyFont="1" applyFill="1" applyAlignment="1">
      <alignment wrapText="1"/>
    </xf>
    <xf numFmtId="2" fontId="0" fillId="5" borderId="0" xfId="0" applyNumberFormat="1" applyFill="1"/>
    <xf numFmtId="166" fontId="0" fillId="5" borderId="0" xfId="0" applyNumberFormat="1" applyFill="1"/>
    <xf numFmtId="0" fontId="1" fillId="5" borderId="0" xfId="0" applyFont="1" applyFill="1"/>
    <xf numFmtId="0" fontId="1" fillId="5" borderId="0" xfId="0" quotePrefix="1" applyFont="1" applyFill="1" applyAlignment="1">
      <alignment horizontal="left"/>
    </xf>
    <xf numFmtId="0" fontId="0" fillId="5" borderId="0" xfId="0" quotePrefix="1" applyFill="1" applyAlignment="1">
      <alignment horizontal="right"/>
    </xf>
    <xf numFmtId="0" fontId="28" fillId="5" borderId="20" xfId="1" applyFont="1" applyFill="1" applyBorder="1"/>
    <xf numFmtId="0" fontId="29" fillId="5" borderId="20" xfId="1" applyFont="1" applyFill="1" applyBorder="1"/>
    <xf numFmtId="0" fontId="13" fillId="5" borderId="50" xfId="1" applyFont="1" applyFill="1" applyBorder="1" applyAlignment="1">
      <alignment horizontal="center" vertical="center"/>
    </xf>
    <xf numFmtId="0" fontId="13" fillId="5" borderId="51" xfId="1" applyFont="1" applyFill="1" applyBorder="1" applyAlignment="1">
      <alignment horizontal="center" vertical="center"/>
    </xf>
    <xf numFmtId="0" fontId="7" fillId="5" borderId="56" xfId="1" applyFont="1" applyFill="1" applyBorder="1" applyAlignment="1">
      <alignment horizontal="center" vertical="center"/>
    </xf>
    <xf numFmtId="0" fontId="7" fillId="5" borderId="57" xfId="1" applyFont="1" applyFill="1" applyBorder="1" applyAlignment="1">
      <alignment horizontal="center" vertical="center"/>
    </xf>
    <xf numFmtId="0" fontId="7" fillId="5" borderId="58" xfId="1" applyFont="1" applyFill="1" applyBorder="1" applyAlignment="1">
      <alignment horizontal="center" vertical="center"/>
    </xf>
    <xf numFmtId="166" fontId="2" fillId="5" borderId="0" xfId="0" applyNumberFormat="1" applyFont="1" applyFill="1"/>
    <xf numFmtId="0" fontId="0" fillId="5" borderId="11" xfId="0" applyFill="1" applyBorder="1"/>
    <xf numFmtId="1" fontId="2" fillId="5" borderId="11" xfId="0" applyNumberFormat="1" applyFont="1" applyFill="1" applyBorder="1"/>
    <xf numFmtId="0" fontId="7" fillId="5" borderId="0" xfId="1" applyFont="1" applyFill="1"/>
    <xf numFmtId="0" fontId="7" fillId="5" borderId="59" xfId="1" applyFont="1" applyFill="1" applyBorder="1" applyAlignment="1">
      <alignment horizontal="center" vertical="center"/>
    </xf>
    <xf numFmtId="0" fontId="7" fillId="5" borderId="20" xfId="1" applyFont="1" applyFill="1" applyBorder="1"/>
    <xf numFmtId="0" fontId="7" fillId="5" borderId="60" xfId="1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/>
    </xf>
    <xf numFmtId="0" fontId="3" fillId="5" borderId="0" xfId="0" applyFont="1" applyFill="1"/>
    <xf numFmtId="0" fontId="2" fillId="5" borderId="0" xfId="0" applyFont="1" applyFill="1" applyAlignment="1">
      <alignment horizontal="left"/>
    </xf>
    <xf numFmtId="0" fontId="1" fillId="5" borderId="0" xfId="0" applyFont="1" applyFill="1" applyAlignment="1">
      <alignment horizontal="left"/>
    </xf>
    <xf numFmtId="0" fontId="8" fillId="5" borderId="0" xfId="0" applyFont="1" applyFill="1"/>
    <xf numFmtId="0" fontId="4" fillId="5" borderId="0" xfId="0" applyFont="1" applyFill="1"/>
    <xf numFmtId="0" fontId="1" fillId="5" borderId="17" xfId="0" applyFont="1" applyFill="1" applyBorder="1"/>
    <xf numFmtId="0" fontId="2" fillId="5" borderId="18" xfId="0" applyFont="1" applyFill="1" applyBorder="1"/>
    <xf numFmtId="0" fontId="2" fillId="5" borderId="12" xfId="0" applyFont="1" applyFill="1" applyBorder="1"/>
    <xf numFmtId="0" fontId="1" fillId="5" borderId="19" xfId="0" applyFont="1" applyFill="1" applyBorder="1" applyAlignment="1">
      <alignment wrapText="1"/>
    </xf>
    <xf numFmtId="0" fontId="2" fillId="5" borderId="20" xfId="0" applyFont="1" applyFill="1" applyBorder="1" applyAlignment="1">
      <alignment wrapText="1"/>
    </xf>
    <xf numFmtId="0" fontId="2" fillId="5" borderId="20" xfId="0" applyFont="1" applyFill="1" applyBorder="1"/>
    <xf numFmtId="0" fontId="2" fillId="5" borderId="21" xfId="0" applyFont="1" applyFill="1" applyBorder="1"/>
    <xf numFmtId="0" fontId="2" fillId="5" borderId="0" xfId="0" applyFont="1" applyFill="1" applyAlignment="1">
      <alignment horizontal="center" wrapText="1"/>
    </xf>
    <xf numFmtId="2" fontId="2" fillId="5" borderId="11" xfId="0" applyNumberFormat="1" applyFont="1" applyFill="1" applyBorder="1" applyAlignment="1">
      <alignment horizontal="center"/>
    </xf>
    <xf numFmtId="0" fontId="1" fillId="5" borderId="14" xfId="0" applyFont="1" applyFill="1" applyBorder="1"/>
    <xf numFmtId="0" fontId="2" fillId="5" borderId="15" xfId="0" applyFont="1" applyFill="1" applyBorder="1"/>
    <xf numFmtId="0" fontId="2" fillId="5" borderId="10" xfId="0" applyFont="1" applyFill="1" applyBorder="1"/>
    <xf numFmtId="167" fontId="2" fillId="5" borderId="11" xfId="0" applyNumberFormat="1" applyFont="1" applyFill="1" applyBorder="1"/>
    <xf numFmtId="1" fontId="2" fillId="5" borderId="0" xfId="0" applyNumberFormat="1" applyFont="1" applyFill="1" applyAlignment="1">
      <alignment horizontal="center"/>
    </xf>
    <xf numFmtId="1" fontId="2" fillId="5" borderId="0" xfId="0" applyNumberFormat="1" applyFont="1" applyFill="1"/>
    <xf numFmtId="167" fontId="2" fillId="5" borderId="11" xfId="0" applyNumberFormat="1" applyFont="1" applyFill="1" applyBorder="1" applyAlignment="1">
      <alignment horizontal="center" wrapText="1"/>
    </xf>
    <xf numFmtId="167" fontId="2" fillId="5" borderId="13" xfId="0" applyNumberFormat="1" applyFont="1" applyFill="1" applyBorder="1" applyAlignment="1">
      <alignment wrapText="1"/>
    </xf>
    <xf numFmtId="2" fontId="2" fillId="5" borderId="11" xfId="0" applyNumberFormat="1" applyFont="1" applyFill="1" applyBorder="1"/>
    <xf numFmtId="0" fontId="2" fillId="5" borderId="0" xfId="0" applyFont="1" applyFill="1" applyAlignment="1">
      <alignment horizontal="center"/>
    </xf>
    <xf numFmtId="168" fontId="9" fillId="5" borderId="11" xfId="0" applyNumberFormat="1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wrapText="1"/>
    </xf>
    <xf numFmtId="1" fontId="10" fillId="5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0" fillId="5" borderId="39" xfId="0" applyFill="1" applyBorder="1"/>
    <xf numFmtId="0" fontId="13" fillId="5" borderId="0" xfId="0" quotePrefix="1" applyFont="1" applyFill="1" applyAlignment="1">
      <alignment horizontal="center"/>
    </xf>
    <xf numFmtId="0" fontId="13" fillId="5" borderId="29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6" fillId="5" borderId="12" xfId="0" applyFont="1" applyFill="1" applyBorder="1" applyAlignment="1">
      <alignment horizontal="center"/>
    </xf>
    <xf numFmtId="0" fontId="13" fillId="5" borderId="13" xfId="0" applyFont="1" applyFill="1" applyBorder="1" applyAlignment="1">
      <alignment horizontal="center"/>
    </xf>
    <xf numFmtId="0" fontId="13" fillId="5" borderId="17" xfId="0" applyFont="1" applyFill="1" applyBorder="1" applyAlignment="1">
      <alignment horizontal="center" wrapText="1"/>
    </xf>
    <xf numFmtId="0" fontId="13" fillId="5" borderId="30" xfId="0" quotePrefix="1" applyFont="1" applyFill="1" applyBorder="1" applyAlignment="1">
      <alignment horizontal="center"/>
    </xf>
    <xf numFmtId="0" fontId="13" fillId="5" borderId="41" xfId="0" applyFont="1" applyFill="1" applyBorder="1" applyAlignment="1">
      <alignment horizontal="center"/>
    </xf>
    <xf numFmtId="0" fontId="13" fillId="5" borderId="21" xfId="0" applyFont="1" applyFill="1" applyBorder="1" applyAlignment="1">
      <alignment horizontal="center"/>
    </xf>
    <xf numFmtId="0" fontId="13" fillId="5" borderId="16" xfId="0" applyFont="1" applyFill="1" applyBorder="1" applyAlignment="1">
      <alignment horizontal="center"/>
    </xf>
    <xf numFmtId="0" fontId="13" fillId="5" borderId="19" xfId="0" applyFont="1" applyFill="1" applyBorder="1" applyAlignment="1">
      <alignment horizontal="center"/>
    </xf>
    <xf numFmtId="0" fontId="13" fillId="5" borderId="42" xfId="0" applyFont="1" applyFill="1" applyBorder="1" applyAlignment="1">
      <alignment horizontal="center"/>
    </xf>
    <xf numFmtId="0" fontId="7" fillId="5" borderId="11" xfId="0" applyFont="1" applyFill="1" applyBorder="1"/>
    <xf numFmtId="0" fontId="13" fillId="5" borderId="43" xfId="0" applyFont="1" applyFill="1" applyBorder="1" applyAlignment="1">
      <alignment horizontal="center"/>
    </xf>
    <xf numFmtId="0" fontId="13" fillId="5" borderId="40" xfId="0" applyFont="1" applyFill="1" applyBorder="1" applyAlignment="1">
      <alignment horizontal="center"/>
    </xf>
    <xf numFmtId="167" fontId="0" fillId="5" borderId="0" xfId="0" applyNumberFormat="1" applyFill="1"/>
    <xf numFmtId="2" fontId="0" fillId="5" borderId="11" xfId="0" applyNumberFormat="1" applyFill="1" applyBorder="1"/>
    <xf numFmtId="0" fontId="0" fillId="5" borderId="27" xfId="0" applyFill="1" applyBorder="1" applyAlignment="1">
      <alignment horizontal="center"/>
    </xf>
    <xf numFmtId="167" fontId="0" fillId="5" borderId="10" xfId="0" applyNumberFormat="1" applyFill="1" applyBorder="1" applyAlignment="1">
      <alignment horizontal="center"/>
    </xf>
    <xf numFmtId="167" fontId="7" fillId="5" borderId="11" xfId="0" applyNumberFormat="1" applyFont="1" applyFill="1" applyBorder="1" applyAlignment="1">
      <alignment horizontal="center"/>
    </xf>
    <xf numFmtId="166" fontId="0" fillId="5" borderId="10" xfId="0" applyNumberFormat="1" applyFill="1" applyBorder="1" applyAlignment="1">
      <alignment horizontal="center"/>
    </xf>
    <xf numFmtId="169" fontId="0" fillId="5" borderId="11" xfId="0" applyNumberFormat="1" applyFill="1" applyBorder="1" applyAlignment="1">
      <alignment horizontal="center"/>
    </xf>
    <xf numFmtId="0" fontId="2" fillId="5" borderId="14" xfId="0" applyFont="1" applyFill="1" applyBorder="1"/>
    <xf numFmtId="166" fontId="7" fillId="5" borderId="11" xfId="0" applyNumberFormat="1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166" fontId="0" fillId="5" borderId="12" xfId="0" applyNumberFormat="1" applyFill="1" applyBorder="1" applyAlignment="1">
      <alignment horizontal="center"/>
    </xf>
    <xf numFmtId="169" fontId="0" fillId="5" borderId="13" xfId="0" applyNumberFormat="1" applyFill="1" applyBorder="1" applyAlignment="1">
      <alignment horizontal="center"/>
    </xf>
    <xf numFmtId="0" fontId="7" fillId="5" borderId="0" xfId="0" applyFont="1" applyFill="1" applyAlignment="1">
      <alignment horizontal="right"/>
    </xf>
    <xf numFmtId="0" fontId="7" fillId="5" borderId="0" xfId="0" applyFont="1" applyFill="1"/>
    <xf numFmtId="0" fontId="7" fillId="5" borderId="11" xfId="0" quotePrefix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1" xfId="0" quotePrefix="1" applyFill="1" applyBorder="1" applyAlignment="1">
      <alignment horizontal="center"/>
    </xf>
    <xf numFmtId="166" fontId="0" fillId="5" borderId="11" xfId="0" applyNumberFormat="1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4" xfId="0" applyNumberFormat="1" applyFill="1" applyBorder="1" applyAlignment="1">
      <alignment horizontal="center"/>
    </xf>
    <xf numFmtId="170" fontId="0" fillId="5" borderId="11" xfId="0" applyNumberFormat="1" applyFill="1" applyBorder="1" applyAlignment="1">
      <alignment horizontal="center"/>
    </xf>
    <xf numFmtId="171" fontId="0" fillId="5" borderId="11" xfId="0" applyNumberFormat="1" applyFill="1" applyBorder="1" applyAlignment="1">
      <alignment horizontal="center"/>
    </xf>
    <xf numFmtId="172" fontId="0" fillId="5" borderId="11" xfId="0" applyNumberFormat="1" applyFill="1" applyBorder="1" applyAlignment="1">
      <alignment horizontal="center"/>
    </xf>
    <xf numFmtId="0" fontId="0" fillId="5" borderId="18" xfId="0" applyFill="1" applyBorder="1"/>
    <xf numFmtId="0" fontId="1" fillId="5" borderId="0" xfId="0" quotePrefix="1" applyFont="1" applyFill="1" applyAlignment="1">
      <alignment horizontal="center"/>
    </xf>
    <xf numFmtId="2" fontId="2" fillId="5" borderId="0" xfId="0" quotePrefix="1" applyNumberFormat="1" applyFont="1" applyFill="1" applyAlignment="1">
      <alignment horizontal="center"/>
    </xf>
    <xf numFmtId="169" fontId="2" fillId="5" borderId="0" xfId="0" applyNumberFormat="1" applyFont="1" applyFill="1"/>
    <xf numFmtId="0" fontId="0" fillId="5" borderId="0" xfId="0" applyFill="1" applyAlignment="1">
      <alignment horizontal="left"/>
    </xf>
    <xf numFmtId="0" fontId="0" fillId="5" borderId="0" xfId="0" quotePrefix="1" applyFill="1" applyAlignment="1">
      <alignment horizontal="left"/>
    </xf>
    <xf numFmtId="0" fontId="7" fillId="5" borderId="28" xfId="0" quotePrefix="1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 wrapText="1"/>
    </xf>
    <xf numFmtId="0" fontId="4" fillId="5" borderId="11" xfId="0" applyFont="1" applyFill="1" applyBorder="1" applyAlignment="1">
      <alignment horizontal="center" wrapText="1"/>
    </xf>
    <xf numFmtId="0" fontId="4" fillId="5" borderId="28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/>
    </xf>
    <xf numFmtId="1" fontId="1" fillId="5" borderId="0" xfId="0" applyNumberFormat="1" applyFont="1" applyFill="1" applyAlignment="1">
      <alignment horizontal="left"/>
    </xf>
    <xf numFmtId="0" fontId="10" fillId="5" borderId="11" xfId="0" applyFont="1" applyFill="1" applyBorder="1" applyAlignment="1">
      <alignment horizontal="center"/>
    </xf>
    <xf numFmtId="0" fontId="5" fillId="5" borderId="0" xfId="0" applyFont="1" applyFill="1" applyAlignment="1">
      <alignment horizontal="center" wrapText="1"/>
    </xf>
    <xf numFmtId="0" fontId="12" fillId="5" borderId="33" xfId="0" applyFont="1" applyFill="1" applyBorder="1" applyAlignment="1">
      <alignment horizontal="center"/>
    </xf>
    <xf numFmtId="0" fontId="8" fillId="5" borderId="11" xfId="0" applyFont="1" applyFill="1" applyBorder="1" applyAlignment="1">
      <alignment horizontal="right"/>
    </xf>
    <xf numFmtId="0" fontId="8" fillId="5" borderId="11" xfId="0" applyFont="1" applyFill="1" applyBorder="1"/>
    <xf numFmtId="0" fontId="1" fillId="5" borderId="11" xfId="0" applyFont="1" applyFill="1" applyBorder="1"/>
    <xf numFmtId="0" fontId="11" fillId="5" borderId="0" xfId="0" applyFont="1" applyFill="1"/>
    <xf numFmtId="168" fontId="11" fillId="5" borderId="0" xfId="0" applyNumberFormat="1" applyFont="1" applyFill="1"/>
    <xf numFmtId="168" fontId="2" fillId="5" borderId="11" xfId="0" applyNumberFormat="1" applyFont="1" applyFill="1" applyBorder="1"/>
    <xf numFmtId="0" fontId="2" fillId="5" borderId="0" xfId="0" applyFont="1" applyFill="1" applyAlignment="1">
      <alignment horizontal="right"/>
    </xf>
    <xf numFmtId="0" fontId="0" fillId="5" borderId="0" xfId="0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40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1" fontId="2" fillId="5" borderId="17" xfId="0" applyNumberFormat="1" applyFont="1" applyFill="1" applyBorder="1"/>
    <xf numFmtId="1" fontId="2" fillId="4" borderId="17" xfId="0" applyNumberFormat="1" applyFont="1" applyFill="1" applyBorder="1"/>
    <xf numFmtId="0" fontId="0" fillId="0" borderId="14" xfId="0" applyBorder="1" applyAlignment="1">
      <alignment horizontal="center"/>
    </xf>
    <xf numFmtId="0" fontId="2" fillId="0" borderId="11" xfId="0" applyFont="1" applyBorder="1" applyAlignment="1">
      <alignment horizontal="center"/>
    </xf>
    <xf numFmtId="1" fontId="2" fillId="0" borderId="17" xfId="0" applyNumberFormat="1" applyFont="1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14" xfId="0" applyNumberFormat="1" applyFont="1" applyBorder="1"/>
    <xf numFmtId="1" fontId="31" fillId="5" borderId="11" xfId="0" applyNumberFormat="1" applyFont="1" applyFill="1" applyBorder="1" applyAlignment="1">
      <alignment horizontal="center"/>
    </xf>
    <xf numFmtId="0" fontId="35" fillId="5" borderId="0" xfId="0" applyFont="1" applyFill="1"/>
    <xf numFmtId="0" fontId="6" fillId="5" borderId="11" xfId="0" applyFont="1" applyFill="1" applyBorder="1"/>
    <xf numFmtId="0" fontId="13" fillId="5" borderId="0" xfId="0" applyFont="1" applyFill="1" applyAlignment="1">
      <alignment horizontal="left"/>
    </xf>
    <xf numFmtId="2" fontId="2" fillId="0" borderId="13" xfId="0" quotePrefix="1" applyNumberFormat="1" applyFont="1" applyBorder="1" applyAlignment="1">
      <alignment horizontal="center"/>
    </xf>
    <xf numFmtId="170" fontId="2" fillId="5" borderId="11" xfId="0" applyNumberFormat="1" applyFont="1" applyFill="1" applyBorder="1"/>
    <xf numFmtId="1" fontId="2" fillId="5" borderId="14" xfId="0" applyNumberFormat="1" applyFont="1" applyFill="1" applyBorder="1"/>
    <xf numFmtId="0" fontId="1" fillId="0" borderId="11" xfId="0" quotePrefix="1" applyFont="1" applyBorder="1" applyAlignment="1">
      <alignment horizontal="left"/>
    </xf>
    <xf numFmtId="1" fontId="33" fillId="0" borderId="0" xfId="0" applyNumberFormat="1" applyFont="1" applyAlignment="1">
      <alignment horizontal="center"/>
    </xf>
    <xf numFmtId="0" fontId="2" fillId="0" borderId="64" xfId="0" applyFont="1" applyBorder="1" applyAlignment="1">
      <alignment horizontal="left"/>
    </xf>
    <xf numFmtId="3" fontId="33" fillId="0" borderId="11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0" fontId="18" fillId="5" borderId="11" xfId="0" applyFont="1" applyFill="1" applyBorder="1"/>
    <xf numFmtId="0" fontId="38" fillId="5" borderId="11" xfId="0" applyFont="1" applyFill="1" applyBorder="1" applyAlignment="1">
      <alignment horizontal="center"/>
    </xf>
    <xf numFmtId="167" fontId="18" fillId="5" borderId="11" xfId="0" applyNumberFormat="1" applyFont="1" applyFill="1" applyBorder="1"/>
    <xf numFmtId="2" fontId="18" fillId="5" borderId="11" xfId="0" applyNumberFormat="1" applyFont="1" applyFill="1" applyBorder="1"/>
    <xf numFmtId="167" fontId="39" fillId="0" borderId="11" xfId="0" applyNumberFormat="1" applyFont="1" applyBorder="1" applyAlignment="1">
      <alignment horizontal="center"/>
    </xf>
    <xf numFmtId="2" fontId="31" fillId="0" borderId="11" xfId="0" applyNumberFormat="1" applyFont="1" applyBorder="1" applyAlignment="1">
      <alignment horizontal="center"/>
    </xf>
    <xf numFmtId="0" fontId="31" fillId="0" borderId="11" xfId="0" applyFont="1" applyBorder="1"/>
    <xf numFmtId="2" fontId="18" fillId="0" borderId="11" xfId="0" applyNumberFormat="1" applyFont="1" applyBorder="1" applyAlignment="1">
      <alignment horizontal="center"/>
    </xf>
    <xf numFmtId="0" fontId="8" fillId="5" borderId="11" xfId="0" applyFont="1" applyFill="1" applyBorder="1" applyAlignment="1">
      <alignment horizontal="center"/>
    </xf>
    <xf numFmtId="0" fontId="41" fillId="0" borderId="0" xfId="0" applyFont="1"/>
    <xf numFmtId="0" fontId="39" fillId="0" borderId="0" xfId="0" applyFont="1" applyAlignment="1">
      <alignment horizontal="center"/>
    </xf>
    <xf numFmtId="0" fontId="39" fillId="0" borderId="0" xfId="0" applyFont="1"/>
    <xf numFmtId="0" fontId="42" fillId="0" borderId="0" xfId="0" applyFont="1"/>
    <xf numFmtId="0" fontId="42" fillId="0" borderId="0" xfId="0" quotePrefix="1" applyFont="1" applyAlignment="1">
      <alignment horizontal="left"/>
    </xf>
    <xf numFmtId="0" fontId="39" fillId="0" borderId="1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42" fillId="0" borderId="22" xfId="0" applyFont="1" applyBorder="1" applyAlignment="1">
      <alignment horizontal="center"/>
    </xf>
    <xf numFmtId="0" fontId="39" fillId="0" borderId="3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39" fillId="0" borderId="6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9" fillId="0" borderId="7" xfId="0" applyFont="1" applyBorder="1" applyAlignment="1">
      <alignment horizontal="center" wrapText="1"/>
    </xf>
    <xf numFmtId="0" fontId="39" fillId="0" borderId="8" xfId="0" applyFont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9" fillId="0" borderId="25" xfId="0" applyFont="1" applyBorder="1" applyAlignment="1">
      <alignment horizontal="center"/>
    </xf>
    <xf numFmtId="0" fontId="39" fillId="0" borderId="27" xfId="0" applyFont="1" applyBorder="1" applyAlignment="1">
      <alignment horizontal="center"/>
    </xf>
    <xf numFmtId="166" fontId="39" fillId="0" borderId="10" xfId="0" applyNumberFormat="1" applyFont="1" applyBorder="1" applyAlignment="1">
      <alignment horizontal="center"/>
    </xf>
    <xf numFmtId="167" fontId="39" fillId="0" borderId="10" xfId="0" applyNumberFormat="1" applyFont="1" applyBorder="1" applyAlignment="1">
      <alignment horizontal="center"/>
    </xf>
    <xf numFmtId="169" fontId="39" fillId="0" borderId="10" xfId="0" applyNumberFormat="1" applyFont="1" applyBorder="1" applyAlignment="1">
      <alignment horizontal="center"/>
    </xf>
    <xf numFmtId="0" fontId="39" fillId="0" borderId="11" xfId="0" applyFont="1" applyBorder="1" applyAlignment="1">
      <alignment horizontal="center"/>
    </xf>
    <xf numFmtId="0" fontId="42" fillId="0" borderId="28" xfId="0" quotePrefix="1" applyFont="1" applyBorder="1" applyAlignment="1">
      <alignment horizontal="left" vertical="center"/>
    </xf>
    <xf numFmtId="166" fontId="39" fillId="0" borderId="0" xfId="0" applyNumberFormat="1" applyFont="1" applyAlignment="1">
      <alignment horizontal="center"/>
    </xf>
    <xf numFmtId="166" fontId="43" fillId="0" borderId="10" xfId="0" applyNumberFormat="1" applyFont="1" applyBorder="1" applyAlignment="1">
      <alignment horizontal="center"/>
    </xf>
    <xf numFmtId="167" fontId="43" fillId="0" borderId="10" xfId="0" applyNumberFormat="1" applyFont="1" applyBorder="1" applyAlignment="1">
      <alignment horizontal="center"/>
    </xf>
    <xf numFmtId="0" fontId="43" fillId="0" borderId="11" xfId="0" applyFont="1" applyBorder="1" applyAlignment="1">
      <alignment horizontal="center"/>
    </xf>
    <xf numFmtId="0" fontId="39" fillId="0" borderId="27" xfId="0" quotePrefix="1" applyFont="1" applyBorder="1" applyAlignment="1">
      <alignment horizontal="center"/>
    </xf>
    <xf numFmtId="0" fontId="39" fillId="0" borderId="10" xfId="0" quotePrefix="1" applyFont="1" applyBorder="1" applyAlignment="1">
      <alignment horizontal="center"/>
    </xf>
    <xf numFmtId="2" fontId="39" fillId="0" borderId="10" xfId="0" quotePrefix="1" applyNumberFormat="1" applyFont="1" applyBorder="1" applyAlignment="1">
      <alignment horizontal="center"/>
    </xf>
    <xf numFmtId="170" fontId="39" fillId="0" borderId="10" xfId="0" applyNumberFormat="1" applyFont="1" applyBorder="1" applyAlignment="1">
      <alignment horizontal="center"/>
    </xf>
    <xf numFmtId="170" fontId="39" fillId="0" borderId="10" xfId="0" quotePrefix="1" applyNumberFormat="1" applyFont="1" applyBorder="1" applyAlignment="1">
      <alignment horizontal="center"/>
    </xf>
    <xf numFmtId="1" fontId="39" fillId="0" borderId="11" xfId="0" applyNumberFormat="1" applyFont="1" applyBorder="1" applyAlignment="1">
      <alignment horizontal="center"/>
    </xf>
    <xf numFmtId="0" fontId="39" fillId="0" borderId="12" xfId="0" quotePrefix="1" applyFont="1" applyBorder="1" applyAlignment="1">
      <alignment horizontal="center"/>
    </xf>
    <xf numFmtId="2" fontId="39" fillId="0" borderId="12" xfId="0" quotePrefix="1" applyNumberFormat="1" applyFont="1" applyBorder="1" applyAlignment="1">
      <alignment horizontal="center"/>
    </xf>
    <xf numFmtId="0" fontId="39" fillId="0" borderId="29" xfId="0" quotePrefix="1" applyFont="1" applyBorder="1" applyAlignment="1">
      <alignment horizontal="center"/>
    </xf>
    <xf numFmtId="0" fontId="42" fillId="0" borderId="30" xfId="0" quotePrefix="1" applyFont="1" applyBorder="1" applyAlignment="1">
      <alignment horizontal="left" vertical="center"/>
    </xf>
    <xf numFmtId="170" fontId="39" fillId="0" borderId="13" xfId="0" applyNumberFormat="1" applyFont="1" applyBorder="1" applyAlignment="1">
      <alignment horizontal="center"/>
    </xf>
    <xf numFmtId="170" fontId="39" fillId="0" borderId="13" xfId="0" quotePrefix="1" applyNumberFormat="1" applyFont="1" applyBorder="1" applyAlignment="1">
      <alignment horizontal="center"/>
    </xf>
    <xf numFmtId="1" fontId="39" fillId="0" borderId="13" xfId="0" applyNumberFormat="1" applyFont="1" applyBorder="1" applyAlignment="1">
      <alignment horizontal="center"/>
    </xf>
    <xf numFmtId="170" fontId="39" fillId="0" borderId="12" xfId="0" applyNumberFormat="1" applyFont="1" applyBorder="1" applyAlignment="1">
      <alignment horizontal="center"/>
    </xf>
    <xf numFmtId="170" fontId="39" fillId="0" borderId="12" xfId="0" quotePrefix="1" applyNumberFormat="1" applyFont="1" applyBorder="1" applyAlignment="1">
      <alignment horizontal="center"/>
    </xf>
    <xf numFmtId="0" fontId="39" fillId="0" borderId="31" xfId="0" quotePrefix="1" applyFont="1" applyBorder="1" applyAlignment="1">
      <alignment horizontal="center"/>
    </xf>
    <xf numFmtId="0" fontId="39" fillId="0" borderId="45" xfId="0" quotePrefix="1" applyFont="1" applyBorder="1" applyAlignment="1">
      <alignment horizontal="center"/>
    </xf>
    <xf numFmtId="2" fontId="39" fillId="0" borderId="45" xfId="0" quotePrefix="1" applyNumberFormat="1" applyFont="1" applyBorder="1" applyAlignment="1">
      <alignment horizontal="center"/>
    </xf>
    <xf numFmtId="0" fontId="42" fillId="0" borderId="32" xfId="0" quotePrefix="1" applyFont="1" applyBorder="1" applyAlignment="1">
      <alignment horizontal="left" vertical="center"/>
    </xf>
    <xf numFmtId="0" fontId="39" fillId="0" borderId="0" xfId="0" applyFont="1" applyAlignment="1">
      <alignment horizontal="left"/>
    </xf>
    <xf numFmtId="0" fontId="39" fillId="0" borderId="26" xfId="0" applyFont="1" applyBorder="1" applyAlignment="1">
      <alignment horizontal="left"/>
    </xf>
    <xf numFmtId="0" fontId="42" fillId="0" borderId="28" xfId="0" quotePrefix="1" applyFont="1" applyBorder="1" applyAlignment="1">
      <alignment horizontal="left"/>
    </xf>
    <xf numFmtId="0" fontId="44" fillId="0" borderId="0" xfId="0" quotePrefix="1" applyFont="1" applyAlignment="1">
      <alignment horizontal="left"/>
    </xf>
    <xf numFmtId="0" fontId="42" fillId="0" borderId="30" xfId="0" quotePrefix="1" applyFont="1" applyBorder="1" applyAlignment="1">
      <alignment horizontal="left"/>
    </xf>
    <xf numFmtId="0" fontId="42" fillId="0" borderId="32" xfId="0" quotePrefix="1" applyFont="1" applyBorder="1" applyAlignment="1">
      <alignment horizontal="left"/>
    </xf>
    <xf numFmtId="169" fontId="2" fillId="5" borderId="0" xfId="0" applyNumberFormat="1" applyFont="1" applyFill="1" applyAlignment="1">
      <alignment horizontal="left"/>
    </xf>
    <xf numFmtId="167" fontId="2" fillId="5" borderId="0" xfId="0" applyNumberFormat="1" applyFont="1" applyFill="1" applyAlignment="1">
      <alignment horizontal="left"/>
    </xf>
    <xf numFmtId="0" fontId="9" fillId="5" borderId="0" xfId="0" applyFont="1" applyFill="1" applyAlignment="1">
      <alignment horizontal="left"/>
    </xf>
    <xf numFmtId="168" fontId="2" fillId="5" borderId="0" xfId="0" applyNumberFormat="1" applyFont="1" applyFill="1" applyAlignment="1">
      <alignment horizontal="left"/>
    </xf>
    <xf numFmtId="166" fontId="2" fillId="5" borderId="0" xfId="0" applyNumberFormat="1" applyFont="1" applyFill="1" applyAlignment="1">
      <alignment horizontal="left"/>
    </xf>
    <xf numFmtId="0" fontId="13" fillId="5" borderId="17" xfId="0" applyFont="1" applyFill="1" applyBorder="1" applyAlignment="1">
      <alignment horizontal="left" wrapText="1"/>
    </xf>
    <xf numFmtId="0" fontId="13" fillId="5" borderId="1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0" fillId="5" borderId="17" xfId="0" applyFill="1" applyBorder="1" applyAlignment="1">
      <alignment horizontal="left"/>
    </xf>
    <xf numFmtId="1" fontId="0" fillId="5" borderId="14" xfId="0" applyNumberFormat="1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13" fillId="5" borderId="52" xfId="1" applyFont="1" applyFill="1" applyBorder="1" applyAlignment="1">
      <alignment vertical="center"/>
    </xf>
    <xf numFmtId="0" fontId="7" fillId="5" borderId="53" xfId="1" applyFont="1" applyFill="1" applyBorder="1" applyAlignment="1">
      <alignment horizontal="center" vertical="center"/>
    </xf>
    <xf numFmtId="0" fontId="7" fillId="5" borderId="54" xfId="1" applyFont="1" applyFill="1" applyBorder="1" applyAlignment="1">
      <alignment horizontal="center" vertical="center"/>
    </xf>
    <xf numFmtId="0" fontId="7" fillId="5" borderId="55" xfId="1" applyFont="1" applyFill="1" applyBorder="1" applyAlignment="1">
      <alignment horizontal="center" vertical="center"/>
    </xf>
    <xf numFmtId="0" fontId="13" fillId="5" borderId="11" xfId="1" applyFont="1" applyFill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/>
    </xf>
    <xf numFmtId="0" fontId="1" fillId="7" borderId="16" xfId="0" applyFont="1" applyFill="1" applyBorder="1" applyAlignment="1">
      <alignment horizontal="center" vertical="center" wrapText="1"/>
    </xf>
    <xf numFmtId="0" fontId="1" fillId="7" borderId="44" xfId="0" applyFont="1" applyFill="1" applyBorder="1" applyAlignment="1">
      <alignment horizontal="center" vertical="center" wrapText="1"/>
    </xf>
    <xf numFmtId="0" fontId="26" fillId="8" borderId="0" xfId="0" applyFont="1" applyFill="1" applyAlignment="1">
      <alignment vertical="center"/>
    </xf>
    <xf numFmtId="0" fontId="26" fillId="8" borderId="20" xfId="0" applyFont="1" applyFill="1" applyBorder="1" applyAlignment="1">
      <alignment vertical="center"/>
    </xf>
    <xf numFmtId="0" fontId="4" fillId="8" borderId="0" xfId="0" applyFont="1" applyFill="1" applyAlignment="1">
      <alignment vertical="center"/>
    </xf>
    <xf numFmtId="0" fontId="4" fillId="8" borderId="20" xfId="0" applyFont="1" applyFill="1" applyBorder="1" applyAlignment="1">
      <alignment vertical="center"/>
    </xf>
    <xf numFmtId="0" fontId="1" fillId="5" borderId="0" xfId="0" applyFont="1" applyFill="1" applyAlignment="1">
      <alignment wrapText="1"/>
    </xf>
    <xf numFmtId="2" fontId="6" fillId="5" borderId="11" xfId="0" applyNumberFormat="1" applyFont="1" applyFill="1" applyBorder="1" applyAlignment="1">
      <alignment horizontal="center"/>
    </xf>
    <xf numFmtId="0" fontId="38" fillId="0" borderId="11" xfId="0" applyFont="1" applyBorder="1" applyAlignment="1">
      <alignment horizontal="center"/>
    </xf>
    <xf numFmtId="0" fontId="42" fillId="0" borderId="14" xfId="0" quotePrefix="1" applyFont="1" applyBorder="1" applyAlignment="1">
      <alignment horizontal="left" vertical="center"/>
    </xf>
    <xf numFmtId="0" fontId="44" fillId="0" borderId="14" xfId="0" quotePrefix="1" applyFont="1" applyBorder="1" applyAlignment="1">
      <alignment horizontal="left" vertical="center"/>
    </xf>
    <xf numFmtId="0" fontId="39" fillId="0" borderId="46" xfId="0" applyFont="1" applyBorder="1" applyAlignment="1">
      <alignment horizontal="left" vertical="center"/>
    </xf>
    <xf numFmtId="0" fontId="0" fillId="11" borderId="11" xfId="0" applyFill="1" applyBorder="1" applyAlignment="1">
      <alignment horizontal="center" vertical="center" wrapText="1"/>
    </xf>
    <xf numFmtId="0" fontId="42" fillId="0" borderId="11" xfId="0" quotePrefix="1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11" borderId="0" xfId="0" applyFill="1" applyAlignment="1">
      <alignment horizontal="center" vertical="center" wrapText="1"/>
    </xf>
    <xf numFmtId="0" fontId="6" fillId="0" borderId="11" xfId="0" applyFont="1" applyBorder="1" applyAlignment="1">
      <alignment horizontal="center"/>
    </xf>
    <xf numFmtId="2" fontId="7" fillId="0" borderId="11" xfId="8" applyNumberFormat="1" applyBorder="1" applyAlignment="1">
      <alignment horizontal="center" vertical="center"/>
    </xf>
    <xf numFmtId="2" fontId="13" fillId="0" borderId="11" xfId="8" applyNumberFormat="1" applyFont="1" applyBorder="1" applyAlignment="1">
      <alignment horizontal="center" vertical="center"/>
    </xf>
    <xf numFmtId="0" fontId="7" fillId="0" borderId="0" xfId="8"/>
    <xf numFmtId="174" fontId="46" fillId="0" borderId="0" xfId="0" applyNumberFormat="1" applyFont="1"/>
    <xf numFmtId="0" fontId="24" fillId="0" borderId="11" xfId="0" applyFont="1" applyBorder="1" applyAlignment="1">
      <alignment horizontal="center"/>
    </xf>
    <xf numFmtId="0" fontId="46" fillId="0" borderId="0" xfId="0" applyFont="1" applyAlignment="1">
      <alignment horizontal="left"/>
    </xf>
    <xf numFmtId="2" fontId="13" fillId="0" borderId="0" xfId="8" applyNumberFormat="1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3" fontId="37" fillId="8" borderId="11" xfId="0" applyNumberFormat="1" applyFont="1" applyFill="1" applyBorder="1" applyAlignment="1">
      <alignment horizontal="center" vertical="center"/>
    </xf>
    <xf numFmtId="0" fontId="26" fillId="8" borderId="18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" fillId="8" borderId="18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 wrapText="1"/>
    </xf>
    <xf numFmtId="0" fontId="18" fillId="5" borderId="0" xfId="0" applyFont="1" applyFill="1"/>
    <xf numFmtId="167" fontId="18" fillId="5" borderId="0" xfId="0" applyNumberFormat="1" applyFont="1" applyFill="1"/>
    <xf numFmtId="0" fontId="4" fillId="8" borderId="11" xfId="0" applyFont="1" applyFill="1" applyBorder="1" applyAlignment="1">
      <alignment horizontal="center" vertical="center"/>
    </xf>
    <xf numFmtId="0" fontId="20" fillId="5" borderId="14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2" fontId="1" fillId="8" borderId="11" xfId="0" applyNumberFormat="1" applyFont="1" applyFill="1" applyBorder="1" applyAlignment="1">
      <alignment horizontal="left" vertical="center"/>
    </xf>
    <xf numFmtId="0" fontId="4" fillId="8" borderId="17" xfId="0" applyFont="1" applyFill="1" applyBorder="1" applyAlignment="1">
      <alignment vertical="center"/>
    </xf>
    <xf numFmtId="0" fontId="26" fillId="8" borderId="12" xfId="0" applyFont="1" applyFill="1" applyBorder="1" applyAlignment="1">
      <alignment vertical="center"/>
    </xf>
    <xf numFmtId="0" fontId="4" fillId="8" borderId="34" xfId="0" applyFont="1" applyFill="1" applyBorder="1" applyAlignment="1">
      <alignment vertical="center"/>
    </xf>
    <xf numFmtId="0" fontId="26" fillId="8" borderId="35" xfId="0" applyFont="1" applyFill="1" applyBorder="1" applyAlignment="1">
      <alignment vertical="center"/>
    </xf>
    <xf numFmtId="0" fontId="4" fillId="8" borderId="19" xfId="0" applyFont="1" applyFill="1" applyBorder="1" applyAlignment="1">
      <alignment vertical="center"/>
    </xf>
    <xf numFmtId="0" fontId="26" fillId="8" borderId="21" xfId="0" applyFont="1" applyFill="1" applyBorder="1" applyAlignment="1">
      <alignment vertical="center"/>
    </xf>
    <xf numFmtId="167" fontId="51" fillId="10" borderId="11" xfId="0" applyNumberFormat="1" applyFont="1" applyFill="1" applyBorder="1"/>
    <xf numFmtId="167" fontId="2" fillId="10" borderId="11" xfId="0" applyNumberFormat="1" applyFont="1" applyFill="1" applyBorder="1"/>
    <xf numFmtId="0" fontId="2" fillId="10" borderId="11" xfId="0" applyFont="1" applyFill="1" applyBorder="1"/>
    <xf numFmtId="167" fontId="31" fillId="5" borderId="11" xfId="0" applyNumberFormat="1" applyFont="1" applyFill="1" applyBorder="1"/>
    <xf numFmtId="2" fontId="31" fillId="5" borderId="11" xfId="0" applyNumberFormat="1" applyFont="1" applyFill="1" applyBorder="1"/>
    <xf numFmtId="2" fontId="31" fillId="5" borderId="11" xfId="0" applyNumberFormat="1" applyFont="1" applyFill="1" applyBorder="1" applyAlignment="1">
      <alignment horizontal="center"/>
    </xf>
    <xf numFmtId="167" fontId="31" fillId="5" borderId="0" xfId="0" applyNumberFormat="1" applyFont="1" applyFill="1"/>
    <xf numFmtId="166" fontId="31" fillId="5" borderId="0" xfId="0" applyNumberFormat="1" applyFont="1" applyFill="1"/>
    <xf numFmtId="1" fontId="31" fillId="5" borderId="0" xfId="0" applyNumberFormat="1" applyFont="1" applyFill="1" applyAlignment="1">
      <alignment horizontal="center"/>
    </xf>
    <xf numFmtId="167" fontId="31" fillId="5" borderId="0" xfId="0" applyNumberFormat="1" applyFont="1" applyFill="1" applyAlignment="1">
      <alignment horizontal="center"/>
    </xf>
    <xf numFmtId="167" fontId="31" fillId="5" borderId="11" xfId="0" applyNumberFormat="1" applyFont="1" applyFill="1" applyBorder="1" applyAlignment="1">
      <alignment horizontal="center" wrapText="1"/>
    </xf>
    <xf numFmtId="167" fontId="31" fillId="5" borderId="11" xfId="0" applyNumberFormat="1" applyFont="1" applyFill="1" applyBorder="1" applyAlignment="1">
      <alignment horizontal="center"/>
    </xf>
    <xf numFmtId="0" fontId="31" fillId="5" borderId="0" xfId="0" applyFont="1" applyFill="1"/>
    <xf numFmtId="166" fontId="31" fillId="5" borderId="11" xfId="0" applyNumberFormat="1" applyFont="1" applyFill="1" applyBorder="1" applyAlignment="1">
      <alignment horizontal="center"/>
    </xf>
    <xf numFmtId="166" fontId="31" fillId="5" borderId="11" xfId="0" applyNumberFormat="1" applyFont="1" applyFill="1" applyBorder="1"/>
    <xf numFmtId="2" fontId="31" fillId="5" borderId="11" xfId="0" quotePrefix="1" applyNumberFormat="1" applyFont="1" applyFill="1" applyBorder="1" applyAlignment="1">
      <alignment horizontal="center"/>
    </xf>
    <xf numFmtId="2" fontId="31" fillId="0" borderId="11" xfId="0" applyNumberFormat="1" applyFont="1" applyBorder="1" applyAlignment="1">
      <alignment horizontal="center" vertical="center"/>
    </xf>
    <xf numFmtId="2" fontId="31" fillId="5" borderId="11" xfId="0" applyNumberFormat="1" applyFont="1" applyFill="1" applyBorder="1" applyAlignment="1">
      <alignment horizontal="center" vertical="center"/>
    </xf>
    <xf numFmtId="0" fontId="2" fillId="0" borderId="37" xfId="0" applyFont="1" applyBorder="1"/>
    <xf numFmtId="167" fontId="2" fillId="0" borderId="38" xfId="0" applyNumberFormat="1" applyFont="1" applyBorder="1" applyAlignment="1">
      <alignment horizontal="center"/>
    </xf>
    <xf numFmtId="0" fontId="2" fillId="0" borderId="39" xfId="0" applyFont="1" applyBorder="1"/>
    <xf numFmtId="167" fontId="2" fillId="0" borderId="40" xfId="0" applyNumberFormat="1" applyFont="1" applyBorder="1" applyAlignment="1">
      <alignment horizontal="center"/>
    </xf>
    <xf numFmtId="166" fontId="2" fillId="0" borderId="40" xfId="0" applyNumberFormat="1" applyFont="1" applyBorder="1"/>
    <xf numFmtId="0" fontId="2" fillId="0" borderId="61" xfId="0" applyFont="1" applyBorder="1"/>
    <xf numFmtId="0" fontId="2" fillId="0" borderId="62" xfId="0" applyFont="1" applyBorder="1"/>
    <xf numFmtId="167" fontId="51" fillId="0" borderId="11" xfId="0" applyNumberFormat="1" applyFont="1" applyBorder="1"/>
    <xf numFmtId="2" fontId="2" fillId="0" borderId="71" xfId="0" applyNumberFormat="1" applyFont="1" applyBorder="1"/>
    <xf numFmtId="2" fontId="2" fillId="10" borderId="37" xfId="0" applyNumberFormat="1" applyFont="1" applyFill="1" applyBorder="1"/>
    <xf numFmtId="0" fontId="2" fillId="0" borderId="40" xfId="0" applyFont="1" applyBorder="1"/>
    <xf numFmtId="0" fontId="2" fillId="0" borderId="63" xfId="0" applyFont="1" applyBorder="1"/>
    <xf numFmtId="167" fontId="2" fillId="0" borderId="14" xfId="0" applyNumberFormat="1" applyFont="1" applyBorder="1"/>
    <xf numFmtId="2" fontId="9" fillId="0" borderId="71" xfId="0" applyNumberFormat="1" applyFont="1" applyBorder="1"/>
    <xf numFmtId="0" fontId="2" fillId="9" borderId="27" xfId="0" applyFont="1" applyFill="1" applyBorder="1"/>
    <xf numFmtId="0" fontId="2" fillId="9" borderId="11" xfId="0" applyFont="1" applyFill="1" applyBorder="1"/>
    <xf numFmtId="2" fontId="2" fillId="9" borderId="11" xfId="0" applyNumberFormat="1" applyFont="1" applyFill="1" applyBorder="1"/>
    <xf numFmtId="167" fontId="2" fillId="9" borderId="28" xfId="0" applyNumberFormat="1" applyFont="1" applyFill="1" applyBorder="1" applyAlignment="1">
      <alignment horizontal="center"/>
    </xf>
    <xf numFmtId="0" fontId="2" fillId="9" borderId="0" xfId="0" applyFont="1" applyFill="1"/>
    <xf numFmtId="166" fontId="2" fillId="9" borderId="40" xfId="0" applyNumberFormat="1" applyFont="1" applyFill="1" applyBorder="1"/>
    <xf numFmtId="0" fontId="9" fillId="0" borderId="11" xfId="0" applyFont="1" applyBorder="1"/>
    <xf numFmtId="0" fontId="53" fillId="10" borderId="39" xfId="0" applyFont="1" applyFill="1" applyBorder="1"/>
    <xf numFmtId="0" fontId="53" fillId="10" borderId="27" xfId="0" applyFont="1" applyFill="1" applyBorder="1"/>
    <xf numFmtId="0" fontId="4" fillId="0" borderId="11" xfId="0" applyFont="1" applyBorder="1"/>
    <xf numFmtId="0" fontId="1" fillId="3" borderId="11" xfId="0" quotePrefix="1" applyFont="1" applyFill="1" applyBorder="1" applyAlignment="1">
      <alignment horizontal="left"/>
    </xf>
    <xf numFmtId="3" fontId="13" fillId="8" borderId="11" xfId="0" applyNumberFormat="1" applyFont="1" applyFill="1" applyBorder="1" applyAlignment="1">
      <alignment horizontal="center" vertical="center"/>
    </xf>
    <xf numFmtId="3" fontId="13" fillId="8" borderId="11" xfId="0" applyNumberFormat="1" applyFont="1" applyFill="1" applyBorder="1" applyAlignment="1">
      <alignment horizontal="center" vertical="center" wrapText="1"/>
    </xf>
    <xf numFmtId="0" fontId="7" fillId="5" borderId="11" xfId="8" applyFill="1" applyBorder="1" applyAlignment="1">
      <alignment horizontal="left"/>
    </xf>
    <xf numFmtId="0" fontId="7" fillId="0" borderId="11" xfId="8" applyBorder="1"/>
    <xf numFmtId="0" fontId="7" fillId="5" borderId="11" xfId="8" applyFill="1" applyBorder="1" applyAlignment="1">
      <alignment vertical="center"/>
    </xf>
    <xf numFmtId="4" fontId="33" fillId="0" borderId="0" xfId="0" applyNumberFormat="1" applyFont="1" applyAlignment="1">
      <alignment horizontal="center" vertical="center"/>
    </xf>
    <xf numFmtId="4" fontId="32" fillId="0" borderId="11" xfId="0" applyNumberFormat="1" applyFont="1" applyBorder="1" applyAlignment="1">
      <alignment horizontal="center" vertical="center"/>
    </xf>
    <xf numFmtId="0" fontId="40" fillId="7" borderId="11" xfId="0" applyFont="1" applyFill="1" applyBorder="1" applyAlignment="1">
      <alignment horizontal="center" vertical="center"/>
    </xf>
    <xf numFmtId="0" fontId="2" fillId="3" borderId="0" xfId="0" applyFont="1" applyFill="1"/>
    <xf numFmtId="2" fontId="2" fillId="0" borderId="67" xfId="0" applyNumberFormat="1" applyFont="1" applyBorder="1"/>
    <xf numFmtId="2" fontId="2" fillId="0" borderId="70" xfId="0" applyNumberFormat="1" applyFont="1" applyBorder="1"/>
    <xf numFmtId="0" fontId="40" fillId="7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7" borderId="11" xfId="0" applyFont="1" applyFill="1" applyBorder="1" applyAlignment="1">
      <alignment horizontal="center"/>
    </xf>
    <xf numFmtId="2" fontId="2" fillId="7" borderId="11" xfId="0" applyNumberFormat="1" applyFont="1" applyFill="1" applyBorder="1" applyAlignment="1">
      <alignment horizontal="center"/>
    </xf>
    <xf numFmtId="2" fontId="2" fillId="7" borderId="11" xfId="0" applyNumberFormat="1" applyFont="1" applyFill="1" applyBorder="1"/>
    <xf numFmtId="0" fontId="12" fillId="7" borderId="13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168" fontId="8" fillId="0" borderId="11" xfId="0" applyNumberFormat="1" applyFont="1" applyBorder="1" applyAlignment="1">
      <alignment horizontal="center"/>
    </xf>
    <xf numFmtId="0" fontId="2" fillId="7" borderId="11" xfId="0" applyFont="1" applyFill="1" applyBorder="1"/>
    <xf numFmtId="0" fontId="9" fillId="7" borderId="11" xfId="0" applyFont="1" applyFill="1" applyBorder="1" applyAlignment="1">
      <alignment textRotation="90"/>
    </xf>
    <xf numFmtId="0" fontId="4" fillId="8" borderId="17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center"/>
    </xf>
    <xf numFmtId="0" fontId="8" fillId="0" borderId="0" xfId="0" applyFont="1" applyAlignment="1">
      <alignment horizontal="center" wrapText="1"/>
    </xf>
    <xf numFmtId="2" fontId="54" fillId="0" borderId="0" xfId="0" applyNumberFormat="1" applyFont="1" applyAlignment="1">
      <alignment horizontal="center" wrapText="1"/>
    </xf>
    <xf numFmtId="0" fontId="45" fillId="0" borderId="0" xfId="0" applyFont="1" applyAlignment="1">
      <alignment horizontal="center"/>
    </xf>
    <xf numFmtId="173" fontId="7" fillId="0" borderId="11" xfId="8" applyNumberFormat="1" applyBorder="1" applyAlignment="1">
      <alignment horizontal="center" vertical="center"/>
    </xf>
    <xf numFmtId="1" fontId="7" fillId="0" borderId="11" xfId="8" applyNumberFormat="1" applyBorder="1" applyAlignment="1">
      <alignment horizontal="center"/>
    </xf>
    <xf numFmtId="0" fontId="7" fillId="5" borderId="0" xfId="8" applyFill="1" applyAlignment="1">
      <alignment horizontal="left"/>
    </xf>
    <xf numFmtId="3" fontId="33" fillId="0" borderId="0" xfId="0" applyNumberFormat="1" applyFont="1"/>
    <xf numFmtId="2" fontId="54" fillId="0" borderId="11" xfId="0" applyNumberFormat="1" applyFont="1" applyBorder="1" applyAlignment="1">
      <alignment horizontal="center" vertical="center" wrapText="1"/>
    </xf>
    <xf numFmtId="4" fontId="33" fillId="0" borderId="11" xfId="0" applyNumberFormat="1" applyFont="1" applyBorder="1" applyAlignment="1">
      <alignment horizontal="center" vertical="center"/>
    </xf>
    <xf numFmtId="0" fontId="7" fillId="5" borderId="11" xfId="8" applyFill="1" applyBorder="1" applyAlignment="1">
      <alignment horizontal="left" vertical="center"/>
    </xf>
    <xf numFmtId="2" fontId="32" fillId="10" borderId="1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vertical="center"/>
    </xf>
    <xf numFmtId="0" fontId="18" fillId="6" borderId="0" xfId="0" applyFont="1" applyFill="1" applyAlignment="1">
      <alignment horizontal="right"/>
    </xf>
    <xf numFmtId="167" fontId="2" fillId="6" borderId="11" xfId="0" applyNumberFormat="1" applyFont="1" applyFill="1" applyBorder="1" applyAlignment="1">
      <alignment horizontal="center"/>
    </xf>
    <xf numFmtId="2" fontId="31" fillId="6" borderId="11" xfId="0" applyNumberFormat="1" applyFont="1" applyFill="1" applyBorder="1" applyAlignment="1">
      <alignment horizontal="center"/>
    </xf>
    <xf numFmtId="0" fontId="31" fillId="6" borderId="11" xfId="0" applyFont="1" applyFill="1" applyBorder="1"/>
    <xf numFmtId="2" fontId="31" fillId="6" borderId="11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7" fontId="31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left"/>
    </xf>
    <xf numFmtId="168" fontId="2" fillId="6" borderId="0" xfId="0" applyNumberFormat="1" applyFont="1" applyFill="1" applyAlignment="1">
      <alignment horizontal="center"/>
    </xf>
    <xf numFmtId="0" fontId="2" fillId="6" borderId="0" xfId="0" applyFont="1" applyFill="1"/>
    <xf numFmtId="0" fontId="2" fillId="6" borderId="0" xfId="0" applyFont="1" applyFill="1" applyAlignment="1">
      <alignment horizontal="left"/>
    </xf>
    <xf numFmtId="0" fontId="6" fillId="6" borderId="0" xfId="0" applyFont="1" applyFill="1"/>
    <xf numFmtId="168" fontId="2" fillId="6" borderId="0" xfId="0" applyNumberFormat="1" applyFont="1" applyFill="1"/>
    <xf numFmtId="0" fontId="13" fillId="13" borderId="11" xfId="8" applyFont="1" applyFill="1" applyBorder="1" applyAlignment="1">
      <alignment horizontal="left"/>
    </xf>
    <xf numFmtId="2" fontId="13" fillId="13" borderId="11" xfId="8" applyNumberFormat="1" applyFont="1" applyFill="1" applyBorder="1" applyAlignment="1">
      <alignment horizontal="center" vertical="center"/>
    </xf>
    <xf numFmtId="0" fontId="13" fillId="13" borderId="11" xfId="8" applyFont="1" applyFill="1" applyBorder="1"/>
    <xf numFmtId="0" fontId="2" fillId="0" borderId="0" xfId="0" applyFont="1" applyAlignment="1">
      <alignment vertical="center"/>
    </xf>
    <xf numFmtId="1" fontId="2" fillId="0" borderId="27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28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2" fontId="8" fillId="0" borderId="11" xfId="0" applyNumberFormat="1" applyFont="1" applyBorder="1" applyAlignment="1">
      <alignment horizontal="center" vertical="center"/>
    </xf>
    <xf numFmtId="1" fontId="8" fillId="0" borderId="11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168" fontId="8" fillId="0" borderId="11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vertical="center"/>
    </xf>
    <xf numFmtId="2" fontId="2" fillId="0" borderId="14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 vertical="center"/>
    </xf>
    <xf numFmtId="2" fontId="50" fillId="14" borderId="11" xfId="8" applyNumberFormat="1" applyFont="1" applyFill="1" applyBorder="1" applyAlignment="1">
      <alignment horizontal="center"/>
    </xf>
    <xf numFmtId="2" fontId="8" fillId="0" borderId="11" xfId="0" applyNumberFormat="1" applyFont="1" applyFill="1" applyBorder="1" applyAlignment="1">
      <alignment horizontal="center"/>
    </xf>
    <xf numFmtId="167" fontId="8" fillId="0" borderId="11" xfId="0" applyNumberFormat="1" applyFont="1" applyFill="1" applyBorder="1" applyAlignment="1">
      <alignment horizontal="center"/>
    </xf>
    <xf numFmtId="1" fontId="8" fillId="0" borderId="11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69" fontId="8" fillId="0" borderId="11" xfId="0" applyNumberFormat="1" applyFont="1" applyFill="1" applyBorder="1" applyAlignment="1">
      <alignment horizontal="center"/>
    </xf>
    <xf numFmtId="169" fontId="8" fillId="0" borderId="11" xfId="0" applyNumberFormat="1" applyFont="1" applyFill="1" applyBorder="1" applyAlignment="1">
      <alignment horizontal="left"/>
    </xf>
    <xf numFmtId="169" fontId="8" fillId="0" borderId="11" xfId="0" applyNumberFormat="1" applyFont="1" applyFill="1" applyBorder="1" applyAlignment="1">
      <alignment horizontal="center" vertical="center"/>
    </xf>
    <xf numFmtId="1" fontId="8" fillId="0" borderId="12" xfId="0" applyNumberFormat="1" applyFont="1" applyFill="1" applyBorder="1" applyAlignment="1">
      <alignment horizontal="left"/>
    </xf>
    <xf numFmtId="0" fontId="8" fillId="0" borderId="11" xfId="0" applyFont="1" applyFill="1" applyBorder="1" applyAlignment="1">
      <alignment horizontal="center"/>
    </xf>
    <xf numFmtId="1" fontId="8" fillId="0" borderId="14" xfId="0" applyNumberFormat="1" applyFont="1" applyFill="1" applyBorder="1" applyAlignment="1">
      <alignment horizontal="right"/>
    </xf>
    <xf numFmtId="0" fontId="8" fillId="0" borderId="13" xfId="0" applyFont="1" applyFill="1" applyBorder="1" applyAlignment="1">
      <alignment horizontal="center"/>
    </xf>
    <xf numFmtId="2" fontId="8" fillId="0" borderId="11" xfId="0" applyNumberFormat="1" applyFont="1" applyFill="1" applyBorder="1" applyAlignment="1">
      <alignment horizontal="center" vertical="center"/>
    </xf>
    <xf numFmtId="167" fontId="8" fillId="0" borderId="11" xfId="0" applyNumberFormat="1" applyFont="1" applyFill="1" applyBorder="1" applyAlignment="1">
      <alignment horizontal="center" vertical="center"/>
    </xf>
    <xf numFmtId="1" fontId="8" fillId="0" borderId="11" xfId="0" applyNumberFormat="1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9" fontId="8" fillId="0" borderId="11" xfId="0" applyNumberFormat="1" applyFont="1" applyFill="1" applyBorder="1" applyAlignment="1">
      <alignment horizontal="left" vertical="center"/>
    </xf>
    <xf numFmtId="1" fontId="8" fillId="0" borderId="19" xfId="0" applyNumberFormat="1" applyFont="1" applyFill="1" applyBorder="1" applyAlignment="1">
      <alignment horizontal="right" vertical="center"/>
    </xf>
    <xf numFmtId="1" fontId="8" fillId="0" borderId="12" xfId="0" applyNumberFormat="1" applyFont="1" applyFill="1" applyBorder="1" applyAlignment="1">
      <alignment horizontal="left" vertical="center"/>
    </xf>
    <xf numFmtId="0" fontId="8" fillId="0" borderId="11" xfId="0" applyFont="1" applyFill="1" applyBorder="1" applyAlignment="1">
      <alignment horizontal="center" vertical="center"/>
    </xf>
    <xf numFmtId="3" fontId="33" fillId="0" borderId="11" xfId="0" applyNumberFormat="1" applyFont="1" applyBorder="1" applyAlignment="1">
      <alignment horizontal="right" vertical="center"/>
    </xf>
    <xf numFmtId="0" fontId="2" fillId="0" borderId="0" xfId="0" applyFont="1" applyFill="1"/>
    <xf numFmtId="1" fontId="2" fillId="0" borderId="27" xfId="0" applyNumberFormat="1" applyFont="1" applyFill="1" applyBorder="1" applyAlignment="1">
      <alignment horizontal="center"/>
    </xf>
    <xf numFmtId="1" fontId="2" fillId="0" borderId="11" xfId="0" applyNumberFormat="1" applyFont="1" applyFill="1" applyBorder="1" applyAlignment="1">
      <alignment horizontal="center"/>
    </xf>
    <xf numFmtId="1" fontId="2" fillId="0" borderId="28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6" fillId="0" borderId="14" xfId="0" applyFont="1" applyFill="1" applyBorder="1" applyAlignment="1">
      <alignment horizontal="center" vertical="center"/>
    </xf>
    <xf numFmtId="1" fontId="8" fillId="0" borderId="19" xfId="0" applyNumberFormat="1" applyFont="1" applyFill="1" applyBorder="1" applyAlignment="1">
      <alignment horizontal="right"/>
    </xf>
    <xf numFmtId="168" fontId="8" fillId="0" borderId="11" xfId="0" applyNumberFormat="1" applyFont="1" applyFill="1" applyBorder="1" applyAlignment="1">
      <alignment horizontal="center"/>
    </xf>
    <xf numFmtId="2" fontId="2" fillId="0" borderId="11" xfId="0" applyNumberFormat="1" applyFont="1" applyFill="1" applyBorder="1"/>
    <xf numFmtId="2" fontId="2" fillId="0" borderId="11" xfId="0" applyNumberFormat="1" applyFont="1" applyFill="1" applyBorder="1" applyAlignment="1">
      <alignment horizontal="center"/>
    </xf>
    <xf numFmtId="2" fontId="2" fillId="0" borderId="14" xfId="0" applyNumberFormat="1" applyFont="1" applyFill="1" applyBorder="1" applyAlignment="1">
      <alignment horizontal="center"/>
    </xf>
    <xf numFmtId="2" fontId="2" fillId="0" borderId="11" xfId="0" applyNumberFormat="1" applyFont="1" applyFill="1" applyBorder="1" applyAlignment="1">
      <alignment horizontal="center" vertical="center"/>
    </xf>
    <xf numFmtId="2" fontId="54" fillId="0" borderId="11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Alignment="1">
      <alignment horizontal="center"/>
    </xf>
    <xf numFmtId="0" fontId="56" fillId="0" borderId="0" xfId="0" applyFont="1"/>
    <xf numFmtId="3" fontId="57" fillId="0" borderId="0" xfId="0" applyNumberFormat="1" applyFont="1" applyBorder="1" applyAlignment="1">
      <alignment horizontal="right" vertical="center"/>
    </xf>
    <xf numFmtId="0" fontId="57" fillId="0" borderId="0" xfId="0" applyFont="1" applyBorder="1" applyAlignment="1">
      <alignment horizontal="center" vertical="center"/>
    </xf>
    <xf numFmtId="4" fontId="57" fillId="0" borderId="0" xfId="0" applyNumberFormat="1" applyFont="1" applyBorder="1" applyAlignment="1">
      <alignment horizontal="center" vertical="center"/>
    </xf>
    <xf numFmtId="0" fontId="56" fillId="0" borderId="0" xfId="0" applyFont="1" applyBorder="1" applyAlignment="1">
      <alignment vertical="center"/>
    </xf>
    <xf numFmtId="2" fontId="56" fillId="0" borderId="0" xfId="0" applyNumberFormat="1" applyFont="1" applyBorder="1" applyAlignment="1">
      <alignment horizontal="center" vertical="center"/>
    </xf>
    <xf numFmtId="0" fontId="56" fillId="0" borderId="0" xfId="0" applyFont="1" applyBorder="1" applyAlignment="1">
      <alignment horizontal="left" vertical="center"/>
    </xf>
    <xf numFmtId="0" fontId="5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8" fillId="7" borderId="11" xfId="0" applyFont="1" applyFill="1" applyBorder="1" applyAlignment="1">
      <alignment vertical="center"/>
    </xf>
    <xf numFmtId="0" fontId="56" fillId="7" borderId="11" xfId="0" applyFont="1" applyFill="1" applyBorder="1" applyAlignment="1">
      <alignment horizontal="center" vertical="center"/>
    </xf>
    <xf numFmtId="0" fontId="58" fillId="7" borderId="11" xfId="0" applyFont="1" applyFill="1" applyBorder="1" applyAlignment="1">
      <alignment horizontal="right" vertical="center"/>
    </xf>
    <xf numFmtId="0" fontId="56" fillId="7" borderId="11" xfId="0" applyFont="1" applyFill="1" applyBorder="1" applyAlignment="1">
      <alignment vertical="center"/>
    </xf>
    <xf numFmtId="0" fontId="58" fillId="8" borderId="11" xfId="0" applyFont="1" applyFill="1" applyBorder="1" applyAlignment="1">
      <alignment horizontal="center" vertical="center"/>
    </xf>
    <xf numFmtId="3" fontId="58" fillId="8" borderId="11" xfId="0" applyNumberFormat="1" applyFont="1" applyFill="1" applyBorder="1" applyAlignment="1">
      <alignment horizontal="center" vertical="center"/>
    </xf>
    <xf numFmtId="3" fontId="58" fillId="8" borderId="11" xfId="0" applyNumberFormat="1" applyFont="1" applyFill="1" applyBorder="1" applyAlignment="1">
      <alignment horizontal="center"/>
    </xf>
    <xf numFmtId="3" fontId="58" fillId="8" borderId="13" xfId="0" applyNumberFormat="1" applyFont="1" applyFill="1" applyBorder="1" applyAlignment="1">
      <alignment horizontal="center"/>
    </xf>
    <xf numFmtId="3" fontId="58" fillId="8" borderId="16" xfId="0" applyNumberFormat="1" applyFont="1" applyFill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2" fontId="56" fillId="0" borderId="11" xfId="0" applyNumberFormat="1" applyFont="1" applyBorder="1" applyAlignment="1">
      <alignment horizontal="center"/>
    </xf>
    <xf numFmtId="0" fontId="56" fillId="0" borderId="11" xfId="0" applyFont="1" applyBorder="1" applyAlignment="1">
      <alignment horizontal="center"/>
    </xf>
    <xf numFmtId="0" fontId="56" fillId="0" borderId="11" xfId="0" applyFont="1" applyFill="1" applyBorder="1" applyAlignment="1">
      <alignment horizontal="left" vertical="center" wrapText="1" indent="1"/>
    </xf>
    <xf numFmtId="2" fontId="56" fillId="0" borderId="11" xfId="0" applyNumberFormat="1" applyFont="1" applyFill="1" applyBorder="1" applyAlignment="1">
      <alignment horizontal="center" vertical="center"/>
    </xf>
    <xf numFmtId="4" fontId="56" fillId="0" borderId="11" xfId="0" applyNumberFormat="1" applyFont="1" applyFill="1" applyBorder="1" applyAlignment="1">
      <alignment horizontal="center" vertical="center"/>
    </xf>
    <xf numFmtId="3" fontId="58" fillId="0" borderId="11" xfId="0" applyNumberFormat="1" applyFont="1" applyBorder="1" applyAlignment="1">
      <alignment horizontal="center" vertical="center"/>
    </xf>
    <xf numFmtId="3" fontId="58" fillId="0" borderId="16" xfId="0" applyNumberFormat="1" applyFont="1" applyBorder="1" applyAlignment="1">
      <alignment horizontal="center" vertical="center"/>
    </xf>
    <xf numFmtId="0" fontId="56" fillId="0" borderId="11" xfId="0" applyFont="1" applyFill="1" applyBorder="1" applyAlignment="1">
      <alignment horizontal="left" vertical="center" indent="1"/>
    </xf>
    <xf numFmtId="0" fontId="56" fillId="0" borderId="11" xfId="0" applyFont="1" applyBorder="1" applyAlignment="1">
      <alignment horizontal="left" vertical="center" wrapText="1" indent="1"/>
    </xf>
    <xf numFmtId="0" fontId="56" fillId="0" borderId="13" xfId="0" applyFont="1" applyBorder="1" applyAlignment="1">
      <alignment horizontal="center"/>
    </xf>
    <xf numFmtId="2" fontId="56" fillId="0" borderId="11" xfId="0" applyNumberFormat="1" applyFont="1" applyFill="1" applyBorder="1" applyAlignment="1">
      <alignment horizontal="center"/>
    </xf>
    <xf numFmtId="3" fontId="58" fillId="0" borderId="11" xfId="0" applyNumberFormat="1" applyFont="1" applyFill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56" fillId="0" borderId="11" xfId="0" applyFont="1" applyBorder="1" applyAlignment="1">
      <alignment horizontal="left" vertical="center" indent="1"/>
    </xf>
    <xf numFmtId="0" fontId="58" fillId="9" borderId="0" xfId="0" applyFont="1" applyFill="1" applyBorder="1" applyAlignment="1">
      <alignment horizontal="left" vertical="center"/>
    </xf>
    <xf numFmtId="0" fontId="56" fillId="9" borderId="11" xfId="0" applyFont="1" applyFill="1" applyBorder="1" applyAlignment="1">
      <alignment horizontal="center"/>
    </xf>
    <xf numFmtId="0" fontId="56" fillId="9" borderId="11" xfId="0" applyFont="1" applyFill="1" applyBorder="1"/>
    <xf numFmtId="0" fontId="58" fillId="0" borderId="11" xfId="0" applyFont="1" applyBorder="1" applyAlignment="1">
      <alignment horizontal="center" vertical="center"/>
    </xf>
    <xf numFmtId="4" fontId="58" fillId="0" borderId="11" xfId="0" applyNumberFormat="1" applyFont="1" applyBorder="1" applyAlignment="1">
      <alignment horizontal="center" vertical="center"/>
    </xf>
    <xf numFmtId="0" fontId="56" fillId="0" borderId="14" xfId="0" applyFont="1" applyBorder="1" applyAlignment="1">
      <alignment vertical="center"/>
    </xf>
    <xf numFmtId="0" fontId="56" fillId="0" borderId="15" xfId="0" applyFont="1" applyBorder="1" applyAlignment="1">
      <alignment vertical="center"/>
    </xf>
    <xf numFmtId="2" fontId="56" fillId="0" borderId="15" xfId="0" applyNumberFormat="1" applyFont="1" applyBorder="1" applyAlignment="1">
      <alignment horizontal="center" vertical="center"/>
    </xf>
    <xf numFmtId="0" fontId="56" fillId="0" borderId="11" xfId="0" applyFont="1" applyFill="1" applyBorder="1" applyAlignment="1">
      <alignment horizontal="center"/>
    </xf>
    <xf numFmtId="2" fontId="16" fillId="0" borderId="11" xfId="0" applyNumberFormat="1" applyFont="1" applyBorder="1" applyAlignment="1">
      <alignment horizontal="center" vertical="center"/>
    </xf>
    <xf numFmtId="0" fontId="2" fillId="12" borderId="11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 vertical="center"/>
    </xf>
    <xf numFmtId="2" fontId="32" fillId="0" borderId="11" xfId="0" applyNumberFormat="1" applyFont="1" applyFill="1" applyBorder="1" applyAlignment="1">
      <alignment horizontal="center" vertical="center"/>
    </xf>
    <xf numFmtId="0" fontId="13" fillId="0" borderId="11" xfId="8" applyFont="1" applyFill="1" applyBorder="1" applyAlignment="1">
      <alignment horizontal="left"/>
    </xf>
    <xf numFmtId="2" fontId="13" fillId="0" borderId="11" xfId="8" applyNumberFormat="1" applyFont="1" applyFill="1" applyBorder="1" applyAlignment="1">
      <alignment horizontal="center" vertical="center"/>
    </xf>
    <xf numFmtId="0" fontId="13" fillId="0" borderId="11" xfId="8" applyFont="1" applyFill="1" applyBorder="1"/>
    <xf numFmtId="0" fontId="56" fillId="0" borderId="0" xfId="0" applyFont="1" applyFill="1"/>
    <xf numFmtId="0" fontId="58" fillId="8" borderId="11" xfId="0" applyFont="1" applyFill="1" applyBorder="1" applyAlignment="1">
      <alignment horizontal="center" vertical="center"/>
    </xf>
    <xf numFmtId="0" fontId="58" fillId="0" borderId="11" xfId="0" applyFont="1" applyBorder="1" applyAlignment="1">
      <alignment horizontal="center" vertical="center"/>
    </xf>
    <xf numFmtId="3" fontId="58" fillId="8" borderId="11" xfId="0" applyNumberFormat="1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/>
    </xf>
    <xf numFmtId="1" fontId="8" fillId="0" borderId="10" xfId="0" applyNumberFormat="1" applyFont="1" applyFill="1" applyBorder="1" applyAlignment="1">
      <alignment horizontal="left"/>
    </xf>
    <xf numFmtId="3" fontId="58" fillId="0" borderId="16" xfId="0" applyNumberFormat="1" applyFont="1" applyFill="1" applyBorder="1" applyAlignment="1">
      <alignment horizontal="center" vertical="center"/>
    </xf>
    <xf numFmtId="0" fontId="56" fillId="0" borderId="13" xfId="0" applyFont="1" applyFill="1" applyBorder="1" applyAlignment="1">
      <alignment horizontal="center"/>
    </xf>
    <xf numFmtId="0" fontId="47" fillId="0" borderId="0" xfId="0" applyFont="1" applyAlignment="1">
      <alignment horizontal="center" vertical="center"/>
    </xf>
    <xf numFmtId="0" fontId="48" fillId="7" borderId="47" xfId="0" applyFont="1" applyFill="1" applyBorder="1" applyAlignment="1">
      <alignment horizontal="center"/>
    </xf>
    <xf numFmtId="0" fontId="48" fillId="7" borderId="48" xfId="0" applyFont="1" applyFill="1" applyBorder="1" applyAlignment="1">
      <alignment horizontal="center"/>
    </xf>
    <xf numFmtId="0" fontId="48" fillId="7" borderId="49" xfId="0" applyFont="1" applyFill="1" applyBorder="1" applyAlignment="1">
      <alignment horizontal="center"/>
    </xf>
    <xf numFmtId="0" fontId="13" fillId="8" borderId="11" xfId="8" applyFont="1" applyFill="1" applyBorder="1" applyAlignment="1">
      <alignment horizontal="center" vertical="center" wrapText="1"/>
    </xf>
    <xf numFmtId="0" fontId="13" fillId="8" borderId="11" xfId="8" applyFont="1" applyFill="1" applyBorder="1" applyAlignment="1">
      <alignment horizontal="center" vertical="center"/>
    </xf>
    <xf numFmtId="0" fontId="13" fillId="9" borderId="11" xfId="8" applyFont="1" applyFill="1" applyBorder="1" applyAlignment="1">
      <alignment horizontal="center"/>
    </xf>
    <xf numFmtId="0" fontId="37" fillId="0" borderId="14" xfId="0" applyFont="1" applyBorder="1" applyAlignment="1">
      <alignment horizontal="left" vertical="center"/>
    </xf>
    <xf numFmtId="0" fontId="37" fillId="0" borderId="15" xfId="0" applyFont="1" applyBorder="1" applyAlignment="1">
      <alignment horizontal="left" vertical="center"/>
    </xf>
    <xf numFmtId="0" fontId="37" fillId="0" borderId="10" xfId="0" applyFont="1" applyBorder="1" applyAlignment="1">
      <alignment horizontal="left" vertical="center"/>
    </xf>
    <xf numFmtId="0" fontId="13" fillId="8" borderId="17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0" fontId="13" fillId="8" borderId="20" xfId="0" applyFont="1" applyFill="1" applyBorder="1" applyAlignment="1">
      <alignment horizontal="center" vertical="center"/>
    </xf>
    <xf numFmtId="0" fontId="13" fillId="8" borderId="21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center" vertical="center" wrapText="1"/>
    </xf>
    <xf numFmtId="0" fontId="32" fillId="0" borderId="4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/>
    </xf>
    <xf numFmtId="0" fontId="34" fillId="0" borderId="11" xfId="0" applyFont="1" applyBorder="1" applyAlignment="1">
      <alignment horizontal="left" vertical="center"/>
    </xf>
    <xf numFmtId="0" fontId="60" fillId="0" borderId="0" xfId="0" applyFont="1" applyAlignment="1">
      <alignment horizontal="center"/>
    </xf>
    <xf numFmtId="0" fontId="34" fillId="10" borderId="14" xfId="0" applyFont="1" applyFill="1" applyBorder="1" applyAlignment="1">
      <alignment horizontal="left" vertical="center"/>
    </xf>
    <xf numFmtId="0" fontId="34" fillId="10" borderId="15" xfId="0" applyFont="1" applyFill="1" applyBorder="1" applyAlignment="1">
      <alignment horizontal="left" vertical="center"/>
    </xf>
    <xf numFmtId="0" fontId="34" fillId="10" borderId="10" xfId="0" applyFont="1" applyFill="1" applyBorder="1" applyAlignment="1">
      <alignment horizontal="left" vertical="center"/>
    </xf>
    <xf numFmtId="0" fontId="32" fillId="8" borderId="11" xfId="0" applyFont="1" applyFill="1" applyBorder="1" applyAlignment="1">
      <alignment horizontal="center" vertical="center" wrapText="1"/>
    </xf>
    <xf numFmtId="4" fontId="13" fillId="8" borderId="11" xfId="0" applyNumberFormat="1" applyFont="1" applyFill="1" applyBorder="1" applyAlignment="1">
      <alignment horizontal="center" vertical="center" wrapText="1"/>
    </xf>
    <xf numFmtId="0" fontId="37" fillId="0" borderId="11" xfId="0" applyFont="1" applyBorder="1" applyAlignment="1">
      <alignment horizontal="left" vertical="center"/>
    </xf>
    <xf numFmtId="0" fontId="32" fillId="0" borderId="0" xfId="0" applyFont="1" applyAlignment="1">
      <alignment horizontal="center" wrapText="1"/>
    </xf>
    <xf numFmtId="0" fontId="2" fillId="8" borderId="17" xfId="0" applyFont="1" applyFill="1" applyBorder="1" applyAlignment="1">
      <alignment horizontal="center"/>
    </xf>
    <xf numFmtId="0" fontId="2" fillId="8" borderId="18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34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right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/>
    </xf>
    <xf numFmtId="0" fontId="13" fillId="5" borderId="37" xfId="0" applyFont="1" applyFill="1" applyBorder="1" applyAlignment="1">
      <alignment horizontal="center"/>
    </xf>
    <xf numFmtId="0" fontId="13" fillId="5" borderId="38" xfId="0" applyFont="1" applyFill="1" applyBorder="1" applyAlignment="1">
      <alignment horizontal="center"/>
    </xf>
    <xf numFmtId="0" fontId="39" fillId="0" borderId="14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167" fontId="31" fillId="5" borderId="17" xfId="0" applyNumberFormat="1" applyFont="1" applyFill="1" applyBorder="1" applyAlignment="1">
      <alignment horizontal="center"/>
    </xf>
    <xf numFmtId="167" fontId="31" fillId="5" borderId="18" xfId="0" applyNumberFormat="1" applyFont="1" applyFill="1" applyBorder="1" applyAlignment="1">
      <alignment horizontal="center"/>
    </xf>
    <xf numFmtId="167" fontId="31" fillId="5" borderId="12" xfId="0" applyNumberFormat="1" applyFont="1" applyFill="1" applyBorder="1" applyAlignment="1">
      <alignment horizontal="center"/>
    </xf>
    <xf numFmtId="0" fontId="39" fillId="0" borderId="4" xfId="0" quotePrefix="1" applyFont="1" applyBorder="1" applyAlignment="1">
      <alignment horizontal="left" vertical="center"/>
    </xf>
    <xf numFmtId="0" fontId="39" fillId="0" borderId="68" xfId="0" quotePrefix="1" applyFont="1" applyBorder="1" applyAlignment="1">
      <alignment horizontal="left" vertical="center"/>
    </xf>
    <xf numFmtId="0" fontId="39" fillId="0" borderId="9" xfId="0" quotePrefix="1" applyFont="1" applyBorder="1" applyAlignment="1">
      <alignment horizontal="left" vertical="center"/>
    </xf>
    <xf numFmtId="0" fontId="39" fillId="0" borderId="69" xfId="0" quotePrefix="1" applyFont="1" applyBorder="1" applyAlignment="1">
      <alignment horizontal="left" vertical="center"/>
    </xf>
    <xf numFmtId="167" fontId="2" fillId="5" borderId="23" xfId="0" applyNumberFormat="1" applyFont="1" applyFill="1" applyBorder="1" applyAlignment="1">
      <alignment horizontal="center" vertical="center"/>
    </xf>
    <xf numFmtId="167" fontId="2" fillId="5" borderId="25" xfId="0" applyNumberFormat="1" applyFont="1" applyFill="1" applyBorder="1" applyAlignment="1">
      <alignment horizontal="center" vertical="center"/>
    </xf>
    <xf numFmtId="167" fontId="2" fillId="5" borderId="46" xfId="0" applyNumberFormat="1" applyFont="1" applyFill="1" applyBorder="1" applyAlignment="1">
      <alignment horizontal="center" vertical="center"/>
    </xf>
    <xf numFmtId="167" fontId="2" fillId="5" borderId="11" xfId="0" applyNumberFormat="1" applyFont="1" applyFill="1" applyBorder="1" applyAlignment="1">
      <alignment horizontal="center" vertical="center"/>
    </xf>
    <xf numFmtId="168" fontId="4" fillId="7" borderId="11" xfId="0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5" borderId="14" xfId="0" applyNumberFormat="1" applyFont="1" applyFill="1" applyBorder="1" applyAlignment="1">
      <alignment horizontal="center"/>
    </xf>
    <xf numFmtId="49" fontId="1" fillId="5" borderId="15" xfId="0" applyNumberFormat="1" applyFont="1" applyFill="1" applyBorder="1" applyAlignment="1">
      <alignment horizontal="center"/>
    </xf>
    <xf numFmtId="49" fontId="1" fillId="5" borderId="10" xfId="0" applyNumberFormat="1" applyFont="1" applyFill="1" applyBorder="1" applyAlignment="1">
      <alignment horizontal="center"/>
    </xf>
    <xf numFmtId="0" fontId="0" fillId="11" borderId="11" xfId="0" applyFill="1" applyBorder="1" applyAlignment="1">
      <alignment horizontal="center" vertical="center" wrapText="1"/>
    </xf>
    <xf numFmtId="2" fontId="54" fillId="0" borderId="13" xfId="0" applyNumberFormat="1" applyFont="1" applyBorder="1" applyAlignment="1">
      <alignment horizontal="center" vertical="center" wrapText="1"/>
    </xf>
    <xf numFmtId="2" fontId="54" fillId="0" borderId="44" xfId="0" applyNumberFormat="1" applyFont="1" applyBorder="1" applyAlignment="1">
      <alignment horizontal="center" vertical="center" wrapText="1"/>
    </xf>
    <xf numFmtId="2" fontId="54" fillId="0" borderId="16" xfId="0" applyNumberFormat="1" applyFont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left" vertical="center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 wrapText="1"/>
    </xf>
    <xf numFmtId="0" fontId="40" fillId="7" borderId="11" xfId="0" applyFont="1" applyFill="1" applyBorder="1" applyAlignment="1">
      <alignment horizontal="center" vertical="center"/>
    </xf>
    <xf numFmtId="0" fontId="55" fillId="5" borderId="20" xfId="0" applyFont="1" applyFill="1" applyBorder="1" applyAlignment="1">
      <alignment horizontal="center" vertical="center"/>
    </xf>
    <xf numFmtId="0" fontId="59" fillId="15" borderId="0" xfId="0" applyFont="1" applyFill="1" applyAlignment="1">
      <alignment horizontal="center" vertical="center"/>
    </xf>
    <xf numFmtId="0" fontId="58" fillId="0" borderId="11" xfId="0" applyFont="1" applyBorder="1" applyAlignment="1">
      <alignment horizontal="center" vertical="center"/>
    </xf>
    <xf numFmtId="0" fontId="58" fillId="0" borderId="11" xfId="0" applyFont="1" applyFill="1" applyBorder="1" applyAlignment="1">
      <alignment horizontal="left" vertical="center"/>
    </xf>
    <xf numFmtId="3" fontId="58" fillId="8" borderId="13" xfId="0" applyNumberFormat="1" applyFont="1" applyFill="1" applyBorder="1" applyAlignment="1">
      <alignment horizontal="center" vertical="center" wrapText="1"/>
    </xf>
    <xf numFmtId="3" fontId="58" fillId="8" borderId="44" xfId="0" applyNumberFormat="1" applyFont="1" applyFill="1" applyBorder="1" applyAlignment="1">
      <alignment horizontal="center" vertical="center" wrapText="1"/>
    </xf>
    <xf numFmtId="3" fontId="58" fillId="8" borderId="16" xfId="0" applyNumberFormat="1" applyFont="1" applyFill="1" applyBorder="1" applyAlignment="1">
      <alignment horizontal="center" vertical="center" wrapText="1"/>
    </xf>
    <xf numFmtId="0" fontId="58" fillId="0" borderId="11" xfId="0" applyFont="1" applyBorder="1" applyAlignment="1">
      <alignment horizontal="left" vertical="center"/>
    </xf>
    <xf numFmtId="0" fontId="58" fillId="8" borderId="11" xfId="0" applyFont="1" applyFill="1" applyBorder="1" applyAlignment="1">
      <alignment horizontal="center" vertical="center"/>
    </xf>
    <xf numFmtId="3" fontId="58" fillId="8" borderId="11" xfId="0" applyNumberFormat="1" applyFont="1" applyFill="1" applyBorder="1" applyAlignment="1">
      <alignment horizontal="center" vertical="center"/>
    </xf>
    <xf numFmtId="4" fontId="58" fillId="8" borderId="11" xfId="0" applyNumberFormat="1" applyFont="1" applyFill="1" applyBorder="1" applyAlignment="1">
      <alignment horizontal="center" vertical="center"/>
    </xf>
    <xf numFmtId="0" fontId="58" fillId="0" borderId="14" xfId="0" applyFont="1" applyFill="1" applyBorder="1" applyAlignment="1">
      <alignment horizontal="left" vertical="center"/>
    </xf>
    <xf numFmtId="0" fontId="58" fillId="0" borderId="15" xfId="0" applyFont="1" applyFill="1" applyBorder="1" applyAlignment="1">
      <alignment horizontal="left" vertical="center"/>
    </xf>
    <xf numFmtId="0" fontId="58" fillId="0" borderId="10" xfId="0" applyFont="1" applyFill="1" applyBorder="1" applyAlignment="1">
      <alignment horizontal="left" vertical="center"/>
    </xf>
    <xf numFmtId="3" fontId="58" fillId="0" borderId="14" xfId="0" applyNumberFormat="1" applyFont="1" applyBorder="1" applyAlignment="1">
      <alignment horizontal="right" vertical="center"/>
    </xf>
    <xf numFmtId="3" fontId="58" fillId="0" borderId="10" xfId="0" applyNumberFormat="1" applyFont="1" applyBorder="1" applyAlignment="1">
      <alignment horizontal="right" vertical="center"/>
    </xf>
    <xf numFmtId="0" fontId="56" fillId="0" borderId="15" xfId="0" applyFont="1" applyBorder="1" applyAlignment="1">
      <alignment horizontal="left" vertical="center"/>
    </xf>
    <xf numFmtId="0" fontId="56" fillId="0" borderId="10" xfId="0" applyFont="1" applyBorder="1" applyAlignment="1">
      <alignment horizontal="left" vertical="center"/>
    </xf>
    <xf numFmtId="0" fontId="58" fillId="9" borderId="14" xfId="0" applyFont="1" applyFill="1" applyBorder="1" applyAlignment="1">
      <alignment horizontal="left" vertical="center"/>
    </xf>
    <xf numFmtId="0" fontId="58" fillId="9" borderId="15" xfId="0" applyFont="1" applyFill="1" applyBorder="1" applyAlignment="1">
      <alignment horizontal="left" vertical="center"/>
    </xf>
    <xf numFmtId="0" fontId="58" fillId="9" borderId="10" xfId="0" applyFont="1" applyFill="1" applyBorder="1" applyAlignment="1">
      <alignment horizontal="left" vertical="center"/>
    </xf>
    <xf numFmtId="0" fontId="58" fillId="0" borderId="14" xfId="0" applyFont="1" applyBorder="1" applyAlignment="1">
      <alignment horizontal="left" vertical="center"/>
    </xf>
    <xf numFmtId="0" fontId="58" fillId="0" borderId="15" xfId="0" applyFont="1" applyBorder="1" applyAlignment="1">
      <alignment horizontal="left" vertical="center"/>
    </xf>
    <xf numFmtId="0" fontId="58" fillId="0" borderId="10" xfId="0" applyFont="1" applyBorder="1" applyAlignment="1">
      <alignment horizontal="left" vertical="center"/>
    </xf>
    <xf numFmtId="0" fontId="56" fillId="0" borderId="0" xfId="0" applyFont="1" applyBorder="1" applyAlignment="1">
      <alignment horizontal="center" vertical="center"/>
    </xf>
    <xf numFmtId="0" fontId="58" fillId="0" borderId="14" xfId="0" applyFont="1" applyBorder="1" applyAlignment="1">
      <alignment horizontal="center" vertical="center"/>
    </xf>
    <xf numFmtId="0" fontId="58" fillId="0" borderId="15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 vertical="center"/>
    </xf>
    <xf numFmtId="0" fontId="58" fillId="0" borderId="17" xfId="0" applyFont="1" applyBorder="1" applyAlignment="1">
      <alignment horizontal="center" vertical="center"/>
    </xf>
    <xf numFmtId="0" fontId="58" fillId="0" borderId="18" xfId="0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58" fillId="0" borderId="20" xfId="0" applyFont="1" applyBorder="1" applyAlignment="1">
      <alignment horizontal="center" vertical="center"/>
    </xf>
    <xf numFmtId="0" fontId="58" fillId="0" borderId="21" xfId="0" applyFont="1" applyBorder="1" applyAlignment="1">
      <alignment horizontal="center" vertical="center"/>
    </xf>
    <xf numFmtId="0" fontId="58" fillId="8" borderId="17" xfId="0" applyFont="1" applyFill="1" applyBorder="1" applyAlignment="1">
      <alignment horizontal="center" vertical="center"/>
    </xf>
    <xf numFmtId="0" fontId="58" fillId="8" borderId="18" xfId="0" applyFont="1" applyFill="1" applyBorder="1" applyAlignment="1">
      <alignment horizontal="center" vertical="center"/>
    </xf>
    <xf numFmtId="0" fontId="58" fillId="8" borderId="12" xfId="0" applyFont="1" applyFill="1" applyBorder="1" applyAlignment="1">
      <alignment horizontal="center" vertical="center"/>
    </xf>
    <xf numFmtId="0" fontId="58" fillId="8" borderId="19" xfId="0" applyFont="1" applyFill="1" applyBorder="1" applyAlignment="1">
      <alignment horizontal="center" vertical="center"/>
    </xf>
    <xf numFmtId="0" fontId="58" fillId="8" borderId="20" xfId="0" applyFont="1" applyFill="1" applyBorder="1" applyAlignment="1">
      <alignment horizontal="center" vertical="center"/>
    </xf>
    <xf numFmtId="0" fontId="58" fillId="8" borderId="21" xfId="0" applyFont="1" applyFill="1" applyBorder="1" applyAlignment="1">
      <alignment horizontal="center" vertical="center"/>
    </xf>
    <xf numFmtId="4" fontId="58" fillId="8" borderId="13" xfId="0" applyNumberFormat="1" applyFont="1" applyFill="1" applyBorder="1" applyAlignment="1">
      <alignment horizontal="center" vertical="center"/>
    </xf>
    <xf numFmtId="4" fontId="58" fillId="8" borderId="16" xfId="0" applyNumberFormat="1" applyFont="1" applyFill="1" applyBorder="1" applyAlignment="1">
      <alignment horizontal="center" vertical="center"/>
    </xf>
    <xf numFmtId="3" fontId="58" fillId="8" borderId="13" xfId="0" applyNumberFormat="1" applyFont="1" applyFill="1" applyBorder="1" applyAlignment="1">
      <alignment horizontal="center" vertical="center"/>
    </xf>
    <xf numFmtId="3" fontId="58" fillId="8" borderId="16" xfId="0" applyNumberFormat="1" applyFont="1" applyFill="1" applyBorder="1" applyAlignment="1">
      <alignment horizontal="center" vertical="center"/>
    </xf>
    <xf numFmtId="0" fontId="58" fillId="8" borderId="13" xfId="0" applyFont="1" applyFill="1" applyBorder="1" applyAlignment="1">
      <alignment horizontal="center" vertical="center"/>
    </xf>
    <xf numFmtId="0" fontId="58" fillId="8" borderId="16" xfId="0" applyFont="1" applyFill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wrapText="1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2" fillId="0" borderId="66" xfId="0" applyFont="1" applyBorder="1" applyAlignment="1">
      <alignment horizontal="center"/>
    </xf>
    <xf numFmtId="0" fontId="52" fillId="0" borderId="6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67" fontId="2" fillId="0" borderId="17" xfId="0" applyNumberFormat="1" applyFont="1" applyBorder="1" applyAlignment="1">
      <alignment horizontal="center"/>
    </xf>
    <xf numFmtId="167" fontId="2" fillId="0" borderId="18" xfId="0" applyNumberFormat="1" applyFont="1" applyBorder="1" applyAlignment="1">
      <alignment horizontal="center"/>
    </xf>
    <xf numFmtId="167" fontId="2" fillId="0" borderId="12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" fillId="0" borderId="14" xfId="0" applyFont="1" applyBorder="1" applyAlignment="1">
      <alignment horizontal="center" wrapText="1"/>
    </xf>
    <xf numFmtId="0" fontId="1" fillId="0" borderId="15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6" fillId="0" borderId="0" xfId="0" applyFont="1" applyAlignment="1"/>
    <xf numFmtId="0" fontId="46" fillId="0" borderId="0" xfId="0" applyFont="1" applyAlignment="1">
      <alignment horizontal="center"/>
    </xf>
  </cellXfs>
  <cellStyles count="19">
    <cellStyle name="Millares 2" xfId="2"/>
    <cellStyle name="Millares 3" xfId="3"/>
    <cellStyle name="Millares 4" xfId="17"/>
    <cellStyle name="Millares 5" xfId="18"/>
    <cellStyle name="Normal" xfId="0" builtinId="0"/>
    <cellStyle name="Normal 10" xfId="4"/>
    <cellStyle name="Normal 11" xfId="5"/>
    <cellStyle name="Normal 12" xfId="6"/>
    <cellStyle name="Normal 13" xfId="7"/>
    <cellStyle name="Normal 14" xfId="1"/>
    <cellStyle name="Normal 2" xfId="8"/>
    <cellStyle name="Normal 2 2" xfId="9"/>
    <cellStyle name="Normal 3" xfId="10"/>
    <cellStyle name="Normal 3 2" xfId="11"/>
    <cellStyle name="Normal 4" xfId="12"/>
    <cellStyle name="Normal 5" xfId="13"/>
    <cellStyle name="Normal 6" xfId="14"/>
    <cellStyle name="Normal 8" xfId="15"/>
    <cellStyle name="Normal 9" xfId="16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E4E4E4"/>
      <color rgb="FF66FF33"/>
      <color rgb="FFD5D5D5"/>
      <color rgb="FF66FF66"/>
      <color rgb="FFFF9999"/>
      <color rgb="FFFF6600"/>
      <color rgb="FFE2E2E2"/>
      <color rgb="FFE8E8E8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137998</xdr:colOff>
      <xdr:row>92</xdr:row>
      <xdr:rowOff>99348</xdr:rowOff>
    </xdr:from>
    <xdr:to>
      <xdr:col>16</xdr:col>
      <xdr:colOff>2056092</xdr:colOff>
      <xdr:row>111</xdr:row>
      <xdr:rowOff>63692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7827" y="17919262"/>
          <a:ext cx="3837181" cy="3611059"/>
        </a:xfrm>
        <a:prstGeom prst="rect">
          <a:avLst/>
        </a:prstGeom>
      </xdr:spPr>
    </xdr:pic>
    <xdr:clientData/>
  </xdr:twoCellAnchor>
  <xdr:twoCellAnchor editAs="oneCell">
    <xdr:from>
      <xdr:col>19</xdr:col>
      <xdr:colOff>1492431</xdr:colOff>
      <xdr:row>102</xdr:row>
      <xdr:rowOff>131299</xdr:rowOff>
    </xdr:from>
    <xdr:to>
      <xdr:col>24</xdr:col>
      <xdr:colOff>110895</xdr:colOff>
      <xdr:row>123</xdr:row>
      <xdr:rowOff>37431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84288" y="19790899"/>
          <a:ext cx="3797553" cy="42713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62753</xdr:rowOff>
    </xdr:from>
    <xdr:to>
      <xdr:col>4</xdr:col>
      <xdr:colOff>238213</xdr:colOff>
      <xdr:row>128</xdr:row>
      <xdr:rowOff>83245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92682"/>
          <a:ext cx="4039248" cy="3863789"/>
        </a:xfrm>
        <a:prstGeom prst="rect">
          <a:avLst/>
        </a:prstGeom>
      </xdr:spPr>
    </xdr:pic>
    <xdr:clientData/>
  </xdr:twoCellAnchor>
  <xdr:oneCellAnchor>
    <xdr:from>
      <xdr:col>15</xdr:col>
      <xdr:colOff>174836</xdr:colOff>
      <xdr:row>111</xdr:row>
      <xdr:rowOff>78034</xdr:rowOff>
    </xdr:from>
    <xdr:ext cx="775424" cy="593304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967471" y="20804434"/>
          <a:ext cx="775424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K2</a:t>
          </a:r>
        </a:p>
      </xdr:txBody>
    </xdr:sp>
    <xdr:clientData/>
  </xdr:oneCellAnchor>
  <xdr:oneCellAnchor>
    <xdr:from>
      <xdr:col>14</xdr:col>
      <xdr:colOff>138977</xdr:colOff>
      <xdr:row>93</xdr:row>
      <xdr:rowOff>55038</xdr:rowOff>
    </xdr:from>
    <xdr:ext cx="775424" cy="593304"/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45447" y="18038238"/>
          <a:ext cx="775424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K2</a:t>
          </a:r>
        </a:p>
      </xdr:txBody>
    </xdr:sp>
    <xdr:clientData/>
  </xdr:oneCellAnchor>
  <xdr:oneCellAnchor>
    <xdr:from>
      <xdr:col>0</xdr:col>
      <xdr:colOff>617220</xdr:colOff>
      <xdr:row>105</xdr:row>
      <xdr:rowOff>0</xdr:rowOff>
    </xdr:from>
    <xdr:ext cx="775424" cy="593304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" y="20147280"/>
          <a:ext cx="775424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K4</a:t>
          </a:r>
        </a:p>
      </xdr:txBody>
    </xdr:sp>
    <xdr:clientData/>
  </xdr:oneCellAnchor>
  <xdr:oneCellAnchor>
    <xdr:from>
      <xdr:col>4</xdr:col>
      <xdr:colOff>53789</xdr:colOff>
      <xdr:row>108</xdr:row>
      <xdr:rowOff>125507</xdr:rowOff>
    </xdr:from>
    <xdr:ext cx="775424" cy="530658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854824" y="20314025"/>
          <a:ext cx="775424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K3</a:t>
          </a:r>
        </a:p>
      </xdr:txBody>
    </xdr:sp>
    <xdr:clientData/>
  </xdr:oneCellAnchor>
  <xdr:oneCellAnchor>
    <xdr:from>
      <xdr:col>3</xdr:col>
      <xdr:colOff>753036</xdr:colOff>
      <xdr:row>98</xdr:row>
      <xdr:rowOff>17929</xdr:rowOff>
    </xdr:from>
    <xdr:ext cx="775424" cy="530658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765177" y="18243176"/>
          <a:ext cx="775424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FF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K2</a:t>
          </a:r>
        </a:p>
      </xdr:txBody>
    </xdr:sp>
    <xdr:clientData/>
  </xdr:oneCellAnchor>
  <xdr:oneCellAnchor>
    <xdr:from>
      <xdr:col>3</xdr:col>
      <xdr:colOff>738948</xdr:colOff>
      <xdr:row>85</xdr:row>
      <xdr:rowOff>42262</xdr:rowOff>
    </xdr:from>
    <xdr:ext cx="775424" cy="530658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43405" y="16196662"/>
          <a:ext cx="775424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K1</a:t>
          </a:r>
        </a:p>
      </xdr:txBody>
    </xdr:sp>
    <xdr:clientData/>
  </xdr:oneCellAnchor>
  <xdr:twoCellAnchor editAs="oneCell">
    <xdr:from>
      <xdr:col>13</xdr:col>
      <xdr:colOff>511267</xdr:colOff>
      <xdr:row>76</xdr:row>
      <xdr:rowOff>178163</xdr:rowOff>
    </xdr:from>
    <xdr:to>
      <xdr:col>16</xdr:col>
      <xdr:colOff>418012</xdr:colOff>
      <xdr:row>90</xdr:row>
      <xdr:rowOff>145860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19347" y="14503763"/>
          <a:ext cx="3267165" cy="2901397"/>
        </a:xfrm>
        <a:prstGeom prst="rect">
          <a:avLst/>
        </a:prstGeom>
      </xdr:spPr>
    </xdr:pic>
    <xdr:clientData/>
  </xdr:twoCellAnchor>
  <xdr:twoCellAnchor editAs="oneCell">
    <xdr:from>
      <xdr:col>72</xdr:col>
      <xdr:colOff>221179</xdr:colOff>
      <xdr:row>132</xdr:row>
      <xdr:rowOff>274865</xdr:rowOff>
    </xdr:from>
    <xdr:to>
      <xdr:col>76</xdr:col>
      <xdr:colOff>238478</xdr:colOff>
      <xdr:row>140</xdr:row>
      <xdr:rowOff>53935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-246" t="4169" r="246" b="22991"/>
        <a:stretch/>
      </xdr:blipFill>
      <xdr:spPr>
        <a:xfrm>
          <a:off x="55139608" y="25910722"/>
          <a:ext cx="3152384" cy="2282784"/>
        </a:xfrm>
        <a:prstGeom prst="rect">
          <a:avLst/>
        </a:prstGeom>
      </xdr:spPr>
    </xdr:pic>
    <xdr:clientData/>
  </xdr:twoCellAnchor>
  <xdr:twoCellAnchor editAs="oneCell">
    <xdr:from>
      <xdr:col>72</xdr:col>
      <xdr:colOff>298215</xdr:colOff>
      <xdr:row>143</xdr:row>
      <xdr:rowOff>0</xdr:rowOff>
    </xdr:from>
    <xdr:to>
      <xdr:col>76</xdr:col>
      <xdr:colOff>332852</xdr:colOff>
      <xdr:row>152</xdr:row>
      <xdr:rowOff>125025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162215" y="31717265"/>
          <a:ext cx="3180960" cy="2329090"/>
        </a:xfrm>
        <a:prstGeom prst="rect">
          <a:avLst/>
        </a:prstGeom>
      </xdr:spPr>
    </xdr:pic>
    <xdr:clientData/>
  </xdr:twoCellAnchor>
  <xdr:twoCellAnchor editAs="oneCell">
    <xdr:from>
      <xdr:col>72</xdr:col>
      <xdr:colOff>219198</xdr:colOff>
      <xdr:row>142</xdr:row>
      <xdr:rowOff>0</xdr:rowOff>
    </xdr:from>
    <xdr:to>
      <xdr:col>76</xdr:col>
      <xdr:colOff>379793</xdr:colOff>
      <xdr:row>154</xdr:row>
      <xdr:rowOff>59259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137627" y="28281333"/>
          <a:ext cx="3295680" cy="30424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457200</xdr:colOff>
      <xdr:row>65</xdr:row>
      <xdr:rowOff>138570</xdr:rowOff>
    </xdr:from>
    <xdr:ext cx="775424" cy="593304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3411200" y="11339970"/>
          <a:ext cx="775424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K2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SHON\Users\Public\2017\PICHANAKI%20LEVANTAMIENTO%20DE%20OBSERVACIONES\Hermes\BT\UNIFILARES%20CERRO%20DE%20PASCO\CAIDA%20DE%20TENSION%20TABLEROS%20ESTABLIZADOS+%20T-IMAG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S/HOSPITAL%20ABRIL/MAXIMA%20DEMANDA%20PROYECTADO/MAXIMA%20DEMANDA%20TABLEROS%20%20GENERALES-PROYECTADO%20HHUT%20-%20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XIMA%20DEMANDA%20HOSPITAL/MAXIMA%20DEMANDA%20Y%20DIAGRAMA%20ACTUAL/MAXIMA%20DEMANDA%20HOSPITAL/IE%20CALCULO%20TG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SHON\Public\2016\SUNAT%20ARENALES\SUNAT%20(09-01-2016)\CALCULOS\CAIDA%20DE%20TENSION%20DUCTO%2021-DIC-15%20(para%20s.e.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 DUCTOS"/>
      <sheetName val="en canal de piso"/>
      <sheetName val="EN BANDEJA "/>
      <sheetName val="TGE"/>
      <sheetName val="TGN"/>
      <sheetName val="TGES.EI"/>
      <sheetName val="TGES.EM"/>
      <sheetName val="TGNF"/>
      <sheetName val="TGEF"/>
      <sheetName val="TTA-3"/>
      <sheetName val="TFN-IMAG"/>
      <sheetName val="T GENERA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08">
          <cell r="AL108" t="str">
            <v>Caja Moldeada</v>
          </cell>
        </row>
        <row r="109">
          <cell r="AL109">
            <v>0</v>
          </cell>
        </row>
        <row r="110">
          <cell r="AL110">
            <v>0</v>
          </cell>
        </row>
        <row r="111">
          <cell r="AL111">
            <v>16</v>
          </cell>
        </row>
        <row r="112">
          <cell r="AL112">
            <v>25</v>
          </cell>
        </row>
        <row r="113">
          <cell r="AL113">
            <v>32</v>
          </cell>
        </row>
        <row r="114">
          <cell r="AL114">
            <v>40</v>
          </cell>
        </row>
        <row r="115">
          <cell r="AL115">
            <v>50</v>
          </cell>
        </row>
        <row r="116">
          <cell r="AL116">
            <v>63</v>
          </cell>
        </row>
        <row r="117">
          <cell r="AL117">
            <v>80</v>
          </cell>
        </row>
        <row r="118">
          <cell r="AL118">
            <v>100</v>
          </cell>
        </row>
        <row r="119">
          <cell r="AL119">
            <v>125</v>
          </cell>
        </row>
        <row r="120">
          <cell r="AL120">
            <v>160</v>
          </cell>
        </row>
        <row r="121">
          <cell r="AL121">
            <v>200</v>
          </cell>
        </row>
        <row r="122">
          <cell r="AL122">
            <v>250</v>
          </cell>
        </row>
        <row r="123">
          <cell r="AL123">
            <v>400</v>
          </cell>
        </row>
        <row r="124">
          <cell r="AL124">
            <v>630</v>
          </cell>
        </row>
        <row r="125">
          <cell r="AL125">
            <v>800</v>
          </cell>
        </row>
        <row r="126">
          <cell r="AL126">
            <v>1000</v>
          </cell>
        </row>
        <row r="127">
          <cell r="AL127">
            <v>1250</v>
          </cell>
        </row>
        <row r="128">
          <cell r="AL128">
            <v>1600</v>
          </cell>
        </row>
        <row r="129">
          <cell r="AL129">
            <v>2000</v>
          </cell>
        </row>
        <row r="130">
          <cell r="AL130">
            <v>2500</v>
          </cell>
        </row>
        <row r="131">
          <cell r="AL131">
            <v>3000</v>
          </cell>
        </row>
        <row r="132">
          <cell r="AL132">
            <v>3500</v>
          </cell>
        </row>
        <row r="133">
          <cell r="AL133">
            <v>4000</v>
          </cell>
        </row>
        <row r="134">
          <cell r="AL134">
            <v>5000</v>
          </cell>
        </row>
        <row r="135">
          <cell r="AL135">
            <v>6000</v>
          </cell>
        </row>
        <row r="136">
          <cell r="AL136">
            <v>8000</v>
          </cell>
        </row>
        <row r="137">
          <cell r="AL137">
            <v>8500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EQUIPOS"/>
      <sheetName val="EQUIPOS  ( AISLADOS)"/>
      <sheetName val="R-MD-TOTAL "/>
      <sheetName val="TGN"/>
      <sheetName val="TGE"/>
      <sheetName val="TGES.EI"/>
      <sheetName val="TGES.EM"/>
      <sheetName val="TGFN"/>
      <sheetName val="TGFE"/>
      <sheetName val="SECT. TG"/>
      <sheetName val="P.A.T. EN"/>
      <sheetName val="P.A.T. MI"/>
      <sheetName val="MD-TGN"/>
      <sheetName val="MD-TGE"/>
      <sheetName val="MD-TGES-EI"/>
      <sheetName val="MD-TGES-EM"/>
      <sheetName val="MD-TGNF"/>
      <sheetName val="MD-TGEF"/>
      <sheetName val="TTA-3"/>
      <sheetName val="TG.EM-R"/>
      <sheetName val="SECT. TD"/>
      <sheetName val="calculo de ducto barra"/>
      <sheetName val="DATOS"/>
      <sheetName val="EN DUCTOS"/>
      <sheetName val="EN CANAL PISO"/>
      <sheetName val="EN BANDEJA "/>
      <sheetName val="SECT. TD (2)"/>
      <sheetName val="GRUPO ELECTROGEN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13">
          <cell r="L113">
            <v>750</v>
          </cell>
        </row>
        <row r="114">
          <cell r="L114">
            <v>1100</v>
          </cell>
        </row>
        <row r="115">
          <cell r="L115">
            <v>1500</v>
          </cell>
        </row>
        <row r="116">
          <cell r="L116">
            <v>2200</v>
          </cell>
        </row>
        <row r="117">
          <cell r="L117">
            <v>3000</v>
          </cell>
        </row>
        <row r="118">
          <cell r="L118">
            <v>3700</v>
          </cell>
        </row>
        <row r="119">
          <cell r="L119">
            <v>4000</v>
          </cell>
        </row>
        <row r="120">
          <cell r="L120">
            <v>5500</v>
          </cell>
        </row>
        <row r="121">
          <cell r="L121">
            <v>7500</v>
          </cell>
        </row>
        <row r="122">
          <cell r="L122">
            <v>11000</v>
          </cell>
        </row>
        <row r="123">
          <cell r="L123">
            <v>15000</v>
          </cell>
        </row>
        <row r="124">
          <cell r="L124">
            <v>18500</v>
          </cell>
        </row>
        <row r="125">
          <cell r="L125">
            <v>22000</v>
          </cell>
        </row>
        <row r="126">
          <cell r="L126">
            <v>30000</v>
          </cell>
        </row>
        <row r="127">
          <cell r="L127">
            <v>37000</v>
          </cell>
        </row>
        <row r="128">
          <cell r="L128">
            <v>45000</v>
          </cell>
        </row>
        <row r="129">
          <cell r="L129">
            <v>55000</v>
          </cell>
        </row>
        <row r="130">
          <cell r="L130">
            <v>75000</v>
          </cell>
        </row>
        <row r="131">
          <cell r="L131">
            <v>90000</v>
          </cell>
        </row>
        <row r="132">
          <cell r="L132">
            <v>110000</v>
          </cell>
        </row>
        <row r="133">
          <cell r="L133">
            <v>132000</v>
          </cell>
        </row>
        <row r="134">
          <cell r="L134">
            <v>150000</v>
          </cell>
        </row>
        <row r="135">
          <cell r="L135">
            <v>160000</v>
          </cell>
        </row>
        <row r="136">
          <cell r="L136">
            <v>185000</v>
          </cell>
        </row>
        <row r="137">
          <cell r="L137">
            <v>200000</v>
          </cell>
        </row>
        <row r="138">
          <cell r="L138">
            <v>220000</v>
          </cell>
        </row>
        <row r="139">
          <cell r="L139">
            <v>335000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G-4 (2)"/>
      <sheetName val="TGE"/>
      <sheetName val="TDE-MT OK"/>
      <sheetName val="TDE-RH OK"/>
      <sheetName val="TE- AUX OK"/>
      <sheetName val="TEA-RX"/>
      <sheetName val="STGE-S.1"/>
      <sheetName val="TDE-S.1A OK"/>
      <sheetName val="TDE-S.1B OK"/>
      <sheetName val="TDE-C3 OK"/>
      <sheetName val="TDE-C4 OK"/>
      <sheetName val="TDE-1P.1 OK"/>
      <sheetName val="TDE-2P.1 OK"/>
      <sheetName val="TDE-3P.1 OK"/>
      <sheetName val="TDE-4P.1 OK"/>
      <sheetName val="TDE-5P1.1 OK"/>
      <sheetName val="TDE-6P1.1 OK"/>
      <sheetName val="TES.EI-DC"/>
      <sheetName val="STGE-S.2"/>
      <sheetName val="TDE-S.2A OK"/>
      <sheetName val="TDE-S.2B OK"/>
      <sheetName val="TDE-1P.2 OK"/>
      <sheetName val="TDE-2P.2 OK"/>
      <sheetName val="TDE-3P.2 OK"/>
      <sheetName val="TDE-4P.2 OK"/>
      <sheetName val="TDE-5P.2 OK"/>
      <sheetName val="TDE-6P.2 OK"/>
      <sheetName val="STGE-S.3"/>
      <sheetName val="TDE-AUD OK"/>
      <sheetName val="TDE-CF OK"/>
      <sheetName val="TDE-BN FALTA"/>
      <sheetName val="TDE-C1 OK"/>
      <sheetName val="TEB-02"/>
      <sheetName val="TEB-03"/>
      <sheetName val="TDE-TBC OK"/>
      <sheetName val="TDE-C5 OK"/>
      <sheetName val="TDE-VIH OK"/>
      <sheetName val="TC-BS.3"/>
      <sheetName val="STGE.EM-S.1"/>
      <sheetName val="TE.EM-1P.1"/>
      <sheetName val="TE.EM-1P.1A"/>
      <sheetName val="TE.EM-1P.1B"/>
      <sheetName val="TE.EM-2P.1"/>
      <sheetName val="TEA-CIG.1"/>
      <sheetName val="TEA-CIG.2"/>
      <sheetName val="TEA-CIG.3"/>
      <sheetName val="TEA-CIG.4"/>
      <sheetName val="TEA-CIG.5"/>
      <sheetName val="TEA-CIG.6"/>
      <sheetName val="TEA-CIN.1"/>
      <sheetName val="TEA-CIN.2"/>
      <sheetName val="TEA-CIN.3"/>
      <sheetName val="TEA-CIN.4"/>
      <sheetName val="TE-EM.CINN"/>
      <sheetName val="TE.EM-SP"/>
      <sheetName val="TEM-3P.1= TE.M-CING"/>
      <sheetName val="TE.EM-4P.1"/>
      <sheetName val="TE.EM-4P.1A"/>
      <sheetName val="TE.EM-5P.1"/>
      <sheetName val="TE.EM-6P.1"/>
      <sheetName val="TGES.EM-S.2"/>
      <sheetName val="TE.EM-S.2A"/>
      <sheetName val="TE.EM-1P.2"/>
      <sheetName val="TE.EM-2P.2"/>
      <sheetName val="TUPS-S0.1"/>
      <sheetName val="TUPS-S0.2"/>
      <sheetName val="TUPS-S0.3"/>
      <sheetName val="TUPS-S0.4"/>
      <sheetName val="TUPS-S0.5"/>
      <sheetName val="TUPS-LC"/>
      <sheetName val="TE.EM-SR"/>
      <sheetName val="TUPS-SO.6"/>
      <sheetName val="TE,EM-2P.2A"/>
      <sheetName val="TE.EM-4P.2"/>
      <sheetName val="TE.EM-5P.2 "/>
      <sheetName val="TE.EM-6P.2 "/>
      <sheetName val="DATOS"/>
      <sheetName val=" TEA - RX"/>
    </sheetNames>
    <sheetDataSet>
      <sheetData sheetId="0"/>
      <sheetData sheetId="1">
        <row r="20">
          <cell r="F20">
            <v>552092.70600000001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>
        <row r="6">
          <cell r="D6">
            <v>6</v>
          </cell>
        </row>
        <row r="7">
          <cell r="D7">
            <v>10</v>
          </cell>
        </row>
        <row r="8">
          <cell r="D8">
            <v>16</v>
          </cell>
        </row>
        <row r="9">
          <cell r="D9">
            <v>25</v>
          </cell>
        </row>
        <row r="10">
          <cell r="D10">
            <v>35</v>
          </cell>
        </row>
        <row r="11">
          <cell r="D11">
            <v>50</v>
          </cell>
        </row>
        <row r="12">
          <cell r="D12">
            <v>70</v>
          </cell>
        </row>
        <row r="13">
          <cell r="D13">
            <v>95</v>
          </cell>
        </row>
        <row r="14">
          <cell r="D14">
            <v>120</v>
          </cell>
        </row>
        <row r="15">
          <cell r="D15">
            <v>150</v>
          </cell>
        </row>
        <row r="16">
          <cell r="D16">
            <v>185</v>
          </cell>
        </row>
        <row r="17">
          <cell r="D17">
            <v>240</v>
          </cell>
        </row>
        <row r="18">
          <cell r="D18">
            <v>300</v>
          </cell>
        </row>
        <row r="19">
          <cell r="D19">
            <v>400</v>
          </cell>
        </row>
        <row r="20">
          <cell r="D20">
            <v>500</v>
          </cell>
        </row>
        <row r="21">
          <cell r="D21" t="str">
            <v xml:space="preserve">2(3 - 1 x 120) </v>
          </cell>
        </row>
        <row r="22">
          <cell r="D22" t="str">
            <v xml:space="preserve">2(3 - 1 x 150) </v>
          </cell>
        </row>
        <row r="23">
          <cell r="D23" t="str">
            <v xml:space="preserve">2(3 - 1 x 185) </v>
          </cell>
        </row>
        <row r="24">
          <cell r="D24" t="str">
            <v xml:space="preserve">2(3 - 1 x 240) </v>
          </cell>
        </row>
        <row r="25">
          <cell r="D25" t="str">
            <v xml:space="preserve">2(3 - 1 x 300) </v>
          </cell>
        </row>
        <row r="26">
          <cell r="D26" t="str">
            <v xml:space="preserve">3(3 - 1 x 185) </v>
          </cell>
        </row>
        <row r="27">
          <cell r="D27" t="str">
            <v xml:space="preserve">3(3 - 1 x 240) </v>
          </cell>
        </row>
        <row r="28">
          <cell r="D28" t="str">
            <v xml:space="preserve">3(3 - 1 x 300) </v>
          </cell>
        </row>
        <row r="29">
          <cell r="D29" t="str">
            <v xml:space="preserve">3(3 - 1 x 400) </v>
          </cell>
        </row>
        <row r="30">
          <cell r="D30" t="str">
            <v xml:space="preserve">3(3 - 1 x 500) </v>
          </cell>
        </row>
        <row r="31">
          <cell r="D31" t="str">
            <v xml:space="preserve">4(3 - 1 x 240) </v>
          </cell>
        </row>
        <row r="32">
          <cell r="D32" t="str">
            <v xml:space="preserve">4(3 - 1 x 300) </v>
          </cell>
        </row>
        <row r="33">
          <cell r="D33" t="str">
            <v xml:space="preserve">4(3 - 1 x 400) </v>
          </cell>
        </row>
        <row r="34">
          <cell r="D34" t="str">
            <v xml:space="preserve">4(3 - 1 x 500) </v>
          </cell>
        </row>
        <row r="35">
          <cell r="D35" t="str">
            <v xml:space="preserve">5(3 - 1 x 240) </v>
          </cell>
        </row>
        <row r="36">
          <cell r="D36" t="str">
            <v xml:space="preserve">5(3 - 1 x 300) </v>
          </cell>
        </row>
        <row r="37">
          <cell r="D37" t="str">
            <v xml:space="preserve">5(3 - 1 x 400) </v>
          </cell>
        </row>
      </sheetData>
      <sheetData sheetId="7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MR"/>
      <sheetName val="DATOS SCP (3F+N+T)"/>
      <sheetName val="DATOS SCP (3F+N+T+FE)"/>
      <sheetName val="DATOS LSOH-90"/>
      <sheetName val="DATOS N2XOH"/>
      <sheetName val="C.C. GENERAL (TGN)"/>
      <sheetName val="CT-TGN.1"/>
      <sheetName val="CT-TGE"/>
      <sheetName val="CT-TGES"/>
      <sheetName val="C.C. GENERAL (TGNF)"/>
      <sheetName val="CT-TGN.2"/>
      <sheetName val="BC1"/>
      <sheetName val="BC2"/>
      <sheetName val="CT-BC"/>
      <sheetName val="ELECTROBOMBAS"/>
      <sheetName val="SOTANO 8"/>
      <sheetName val="SOTANO 7"/>
      <sheetName val="SOTANO 6"/>
      <sheetName val="SOTANO 5"/>
      <sheetName val="SOTANO 4"/>
      <sheetName val="SOTANO 3"/>
      <sheetName val="SOTANO 2"/>
      <sheetName val="SOTANO 1"/>
      <sheetName val="1er PISO"/>
      <sheetName val="2do PISO"/>
      <sheetName val="3er PISO"/>
      <sheetName val="4to PISO"/>
      <sheetName val="5to PISO"/>
      <sheetName val="6to PISO"/>
      <sheetName val="7mo PISO"/>
      <sheetName val="8vo PISO"/>
      <sheetName val="9no PISO"/>
      <sheetName val="10mo PISO"/>
      <sheetName val="11avo PISO"/>
      <sheetName val="12avo PISO"/>
      <sheetName val="13avo PISO"/>
      <sheetName val="14avo PISO"/>
      <sheetName val="15avo PISO "/>
      <sheetName val="16avo PISO"/>
      <sheetName val="17avo PISO"/>
      <sheetName val="18avo PISO"/>
      <sheetName val="19avo PISO"/>
      <sheetName val="20avo PISO"/>
      <sheetName val="AZOTEA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3">
            <v>1</v>
          </cell>
        </row>
        <row r="4">
          <cell r="B4">
            <v>2</v>
          </cell>
        </row>
        <row r="5">
          <cell r="B5">
            <v>4</v>
          </cell>
        </row>
        <row r="6">
          <cell r="B6">
            <v>6</v>
          </cell>
        </row>
        <row r="7">
          <cell r="B7">
            <v>10</v>
          </cell>
        </row>
        <row r="8">
          <cell r="B8">
            <v>16</v>
          </cell>
        </row>
        <row r="9">
          <cell r="B9">
            <v>20</v>
          </cell>
        </row>
        <row r="10">
          <cell r="B10">
            <v>25</v>
          </cell>
        </row>
        <row r="11">
          <cell r="B11">
            <v>32</v>
          </cell>
        </row>
        <row r="12">
          <cell r="B12">
            <v>40</v>
          </cell>
        </row>
        <row r="13">
          <cell r="B13">
            <v>50</v>
          </cell>
        </row>
        <row r="14">
          <cell r="B14">
            <v>63</v>
          </cell>
        </row>
        <row r="15">
          <cell r="B15">
            <v>80</v>
          </cell>
        </row>
        <row r="16">
          <cell r="B16">
            <v>100</v>
          </cell>
        </row>
        <row r="17">
          <cell r="B17">
            <v>125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21"/>
  <sheetViews>
    <sheetView tabSelected="1" view="pageBreakPreview" zoomScaleNormal="100" zoomScaleSheetLayoutView="100" workbookViewId="0">
      <selection activeCell="G16" sqref="G16"/>
    </sheetView>
  </sheetViews>
  <sheetFormatPr baseColWidth="10" defaultRowHeight="15" x14ac:dyDescent="0.25"/>
  <cols>
    <col min="1" max="1" width="2.42578125" customWidth="1"/>
    <col min="2" max="2" width="41.140625" customWidth="1"/>
    <col min="3" max="3" width="15.5703125" customWidth="1"/>
    <col min="5" max="5" width="2.5703125" customWidth="1"/>
  </cols>
  <sheetData>
    <row r="1" spans="1:6" ht="9" customHeight="1" x14ac:dyDescent="0.25"/>
    <row r="2" spans="1:6" ht="21.6" customHeight="1" x14ac:dyDescent="0.25">
      <c r="B2" s="632" t="s">
        <v>509</v>
      </c>
      <c r="C2" s="632"/>
      <c r="D2" s="632"/>
      <c r="E2" s="411"/>
      <c r="F2" s="411"/>
    </row>
    <row r="3" spans="1:6" ht="4.5" customHeight="1" x14ac:dyDescent="0.25"/>
    <row r="4" spans="1:6" ht="21" x14ac:dyDescent="0.35">
      <c r="A4" s="403"/>
      <c r="B4" s="785" t="s">
        <v>637</v>
      </c>
      <c r="C4" s="785"/>
      <c r="D4" s="785"/>
      <c r="E4" s="784"/>
      <c r="F4" s="784"/>
    </row>
    <row r="5" spans="1:6" ht="6" customHeight="1" thickBot="1" x14ac:dyDescent="0.4">
      <c r="A5" s="403"/>
      <c r="B5" s="405"/>
      <c r="C5" s="405"/>
      <c r="D5" s="405"/>
      <c r="E5" s="405"/>
      <c r="F5" s="405"/>
    </row>
    <row r="6" spans="1:6" ht="27" thickBot="1" x14ac:dyDescent="0.45">
      <c r="A6" s="403"/>
      <c r="B6" s="633" t="s">
        <v>532</v>
      </c>
      <c r="C6" s="634"/>
      <c r="D6" s="635"/>
      <c r="E6" s="405"/>
      <c r="F6" s="405"/>
    </row>
    <row r="7" spans="1:6" ht="9.6" hidden="1" customHeight="1" x14ac:dyDescent="0.4">
      <c r="A7" s="403"/>
      <c r="B7" s="407"/>
      <c r="C7" s="407"/>
      <c r="D7" s="407"/>
      <c r="E7" s="407"/>
      <c r="F7" s="407"/>
    </row>
    <row r="8" spans="1:6" ht="18" customHeight="1" x14ac:dyDescent="0.35">
      <c r="A8" s="403"/>
      <c r="B8" s="636" t="s">
        <v>638</v>
      </c>
      <c r="C8" s="636"/>
      <c r="D8" s="636"/>
      <c r="E8" s="405"/>
    </row>
    <row r="9" spans="1:6" ht="14.45" customHeight="1" x14ac:dyDescent="0.35">
      <c r="A9" s="403"/>
      <c r="B9" s="473" t="s">
        <v>566</v>
      </c>
      <c r="C9" s="500">
        <f>'R-MD-TOTAL '!J14</f>
        <v>8.1385500000000004</v>
      </c>
      <c r="D9" s="474" t="s">
        <v>499</v>
      </c>
      <c r="E9" s="405"/>
    </row>
    <row r="10" spans="1:6" ht="16.899999999999999" customHeight="1" x14ac:dyDescent="0.35">
      <c r="A10" s="403"/>
      <c r="B10" s="473" t="s">
        <v>500</v>
      </c>
      <c r="C10" s="500">
        <f>'R-MD-TOTAL '!J15</f>
        <v>5.5188000000000006</v>
      </c>
      <c r="D10" s="474" t="s">
        <v>499</v>
      </c>
      <c r="E10" s="405"/>
    </row>
    <row r="11" spans="1:6" ht="14.45" customHeight="1" x14ac:dyDescent="0.35">
      <c r="A11" s="403"/>
      <c r="B11" s="473" t="s">
        <v>501</v>
      </c>
      <c r="C11" s="400">
        <f>'R-MD-TOTAL '!J16</f>
        <v>0.6</v>
      </c>
      <c r="D11" s="474"/>
      <c r="E11" s="405"/>
    </row>
    <row r="12" spans="1:6" ht="14.45" customHeight="1" x14ac:dyDescent="0.35">
      <c r="A12" s="403"/>
      <c r="B12" s="621" t="s">
        <v>608</v>
      </c>
      <c r="C12" s="622">
        <f>(C10*C11)</f>
        <v>3.3112800000000004</v>
      </c>
      <c r="D12" s="623" t="s">
        <v>499</v>
      </c>
      <c r="E12" s="405"/>
    </row>
    <row r="13" spans="1:6" ht="18.600000000000001" customHeight="1" x14ac:dyDescent="0.35">
      <c r="A13" s="403"/>
      <c r="B13" s="522" t="s">
        <v>513</v>
      </c>
      <c r="C13" s="523">
        <f>C12</f>
        <v>3.3112800000000004</v>
      </c>
      <c r="D13" s="524" t="s">
        <v>499</v>
      </c>
      <c r="E13" s="405"/>
    </row>
    <row r="14" spans="1:6" ht="14.45" customHeight="1" x14ac:dyDescent="0.35">
      <c r="A14" s="403"/>
      <c r="B14" s="473" t="s">
        <v>502</v>
      </c>
      <c r="C14" s="400">
        <v>0.8</v>
      </c>
      <c r="D14" s="474"/>
      <c r="E14" s="405"/>
      <c r="F14" s="405"/>
    </row>
    <row r="15" spans="1:6" ht="14.45" customHeight="1" x14ac:dyDescent="0.35">
      <c r="A15" s="403"/>
      <c r="B15" s="473" t="s">
        <v>503</v>
      </c>
      <c r="C15" s="401">
        <f>+C13/C14</f>
        <v>4.1391</v>
      </c>
      <c r="D15" s="474" t="s">
        <v>504</v>
      </c>
      <c r="E15" s="405"/>
      <c r="F15" s="408"/>
    </row>
    <row r="16" spans="1:6" ht="14.45" customHeight="1" x14ac:dyDescent="0.35">
      <c r="A16" s="403"/>
      <c r="B16" s="637" t="s">
        <v>548</v>
      </c>
      <c r="C16" s="637"/>
      <c r="D16" s="637"/>
      <c r="E16" s="405"/>
      <c r="F16" s="405"/>
    </row>
    <row r="17" spans="1:6" ht="14.45" customHeight="1" x14ac:dyDescent="0.35">
      <c r="A17" s="403"/>
      <c r="B17" s="638" t="s">
        <v>505</v>
      </c>
      <c r="C17" s="638"/>
      <c r="D17" s="638"/>
      <c r="E17" s="405"/>
      <c r="F17" s="405"/>
    </row>
    <row r="18" spans="1:6" ht="21" customHeight="1" x14ac:dyDescent="0.35">
      <c r="A18" s="403"/>
      <c r="B18" s="475" t="s">
        <v>506</v>
      </c>
      <c r="C18" s="538">
        <v>5</v>
      </c>
      <c r="D18" s="474" t="s">
        <v>504</v>
      </c>
      <c r="E18" s="405"/>
      <c r="F18" s="405"/>
    </row>
    <row r="19" spans="1:6" ht="21" customHeight="1" x14ac:dyDescent="0.35">
      <c r="A19" s="403"/>
      <c r="B19" s="506" t="s">
        <v>507</v>
      </c>
      <c r="C19" s="501" t="s">
        <v>636</v>
      </c>
      <c r="D19" s="474" t="s">
        <v>508</v>
      </c>
      <c r="E19" s="405"/>
      <c r="F19" s="405"/>
    </row>
    <row r="20" spans="1:6" ht="14.45" customHeight="1" x14ac:dyDescent="0.35">
      <c r="A20" s="403"/>
      <c r="E20" s="405"/>
      <c r="F20" s="405"/>
    </row>
    <row r="21" spans="1:6" ht="14.45" customHeight="1" x14ac:dyDescent="0.35">
      <c r="A21" s="403"/>
      <c r="B21" s="502"/>
      <c r="C21" s="406"/>
      <c r="D21" s="402"/>
      <c r="E21" s="405"/>
      <c r="F21" s="405"/>
    </row>
  </sheetData>
  <mergeCells count="6">
    <mergeCell ref="B17:D17"/>
    <mergeCell ref="B4:D4"/>
    <mergeCell ref="B2:D2"/>
    <mergeCell ref="B6:D6"/>
    <mergeCell ref="B8:D8"/>
    <mergeCell ref="B16:D16"/>
  </mergeCells>
  <pageMargins left="0.7" right="0.7" top="0.75" bottom="0.75" header="0.3" footer="0.3"/>
  <pageSetup paperSize="9"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B2:L19"/>
  <sheetViews>
    <sheetView view="pageBreakPreview" zoomScale="85" zoomScaleNormal="85" zoomScaleSheetLayoutView="85" zoomScalePageLayoutView="40" workbookViewId="0">
      <selection activeCell="A2" sqref="A2:K18"/>
    </sheetView>
  </sheetViews>
  <sheetFormatPr baseColWidth="10" defaultColWidth="11.42578125" defaultRowHeight="14.25" x14ac:dyDescent="0.2"/>
  <cols>
    <col min="1" max="1" width="2.28515625" style="157" customWidth="1"/>
    <col min="2" max="2" width="8.28515625" style="157" customWidth="1"/>
    <col min="3" max="3" width="18.28515625" style="157" customWidth="1"/>
    <col min="4" max="4" width="17.28515625" style="157" customWidth="1"/>
    <col min="5" max="5" width="10.140625" style="157" customWidth="1"/>
    <col min="6" max="6" width="6.140625" style="157" customWidth="1"/>
    <col min="7" max="7" width="8.7109375" style="157" customWidth="1"/>
    <col min="8" max="8" width="10.7109375" style="161" customWidth="1"/>
    <col min="9" max="9" width="13.42578125" style="476" customWidth="1"/>
    <col min="10" max="10" width="13.140625" style="158" customWidth="1"/>
    <col min="11" max="11" width="2.28515625" style="158" customWidth="1"/>
    <col min="12" max="12" width="4.5703125" style="157" customWidth="1"/>
    <col min="13" max="13" width="0.140625" style="157" customWidth="1"/>
    <col min="14" max="16384" width="11.42578125" style="157"/>
  </cols>
  <sheetData>
    <row r="2" spans="2:12" ht="15.75" x14ac:dyDescent="0.25">
      <c r="B2" s="653" t="s">
        <v>578</v>
      </c>
      <c r="C2" s="653"/>
      <c r="D2" s="653"/>
      <c r="E2" s="653"/>
      <c r="F2" s="653"/>
      <c r="G2" s="653"/>
      <c r="H2" s="653"/>
      <c r="I2" s="653"/>
      <c r="J2" s="653"/>
    </row>
    <row r="3" spans="2:12" ht="30" customHeight="1" x14ac:dyDescent="0.25">
      <c r="B3" s="660" t="s">
        <v>632</v>
      </c>
      <c r="C3" s="660"/>
      <c r="D3" s="660"/>
      <c r="E3" s="660"/>
      <c r="F3" s="660"/>
      <c r="G3" s="660"/>
      <c r="H3" s="660"/>
      <c r="I3" s="660"/>
      <c r="J3" s="660"/>
    </row>
    <row r="4" spans="2:12" ht="13.9" customHeight="1" x14ac:dyDescent="0.4">
      <c r="B4" s="499"/>
      <c r="C4" s="499"/>
      <c r="D4" s="499"/>
      <c r="E4" s="499"/>
      <c r="F4" s="499"/>
      <c r="G4" s="499"/>
      <c r="H4" s="499"/>
      <c r="I4" s="499"/>
      <c r="J4" s="499"/>
    </row>
    <row r="5" spans="2:12" ht="19.149999999999999" customHeight="1" x14ac:dyDescent="0.2">
      <c r="B5" s="657" t="s">
        <v>612</v>
      </c>
      <c r="C5" s="657"/>
      <c r="D5" s="657"/>
      <c r="E5" s="657"/>
      <c r="F5" s="657"/>
      <c r="G5" s="657"/>
      <c r="H5" s="657"/>
      <c r="I5" s="657"/>
      <c r="J5" s="657"/>
    </row>
    <row r="6" spans="2:12" ht="27.6" customHeight="1" x14ac:dyDescent="0.2">
      <c r="B6" s="642" t="s">
        <v>277</v>
      </c>
      <c r="C6" s="643"/>
      <c r="D6" s="643"/>
      <c r="E6" s="643"/>
      <c r="F6" s="644"/>
      <c r="G6" s="471" t="s">
        <v>309</v>
      </c>
      <c r="H6" s="472" t="s">
        <v>396</v>
      </c>
      <c r="I6" s="658" t="s">
        <v>397</v>
      </c>
      <c r="J6" s="472" t="s">
        <v>398</v>
      </c>
    </row>
    <row r="7" spans="2:12" ht="13.9" customHeight="1" x14ac:dyDescent="0.2">
      <c r="B7" s="645"/>
      <c r="C7" s="646"/>
      <c r="D7" s="646"/>
      <c r="E7" s="646"/>
      <c r="F7" s="647"/>
      <c r="G7" s="409" t="s">
        <v>308</v>
      </c>
      <c r="H7" s="471" t="s">
        <v>287</v>
      </c>
      <c r="I7" s="658"/>
      <c r="J7" s="471" t="s">
        <v>287</v>
      </c>
    </row>
    <row r="8" spans="2:12" ht="13.9" customHeight="1" x14ac:dyDescent="0.2">
      <c r="B8" s="648" t="s">
        <v>565</v>
      </c>
      <c r="C8" s="639" t="s">
        <v>596</v>
      </c>
      <c r="D8" s="640"/>
      <c r="E8" s="640"/>
      <c r="F8" s="641"/>
      <c r="G8" s="303" t="s">
        <v>298</v>
      </c>
      <c r="H8" s="558">
        <f>+TDN!G31</f>
        <v>1119</v>
      </c>
      <c r="I8" s="505">
        <v>0.7</v>
      </c>
      <c r="J8" s="302">
        <f>I8*H8</f>
        <v>783.3</v>
      </c>
    </row>
    <row r="9" spans="2:12" ht="13.9" customHeight="1" x14ac:dyDescent="0.2">
      <c r="B9" s="649"/>
      <c r="C9" s="639" t="s">
        <v>620</v>
      </c>
      <c r="D9" s="640"/>
      <c r="E9" s="640"/>
      <c r="F9" s="641"/>
      <c r="G9" s="303" t="s">
        <v>298</v>
      </c>
      <c r="H9" s="558">
        <f>+TDN!G64</f>
        <v>3337</v>
      </c>
      <c r="I9" s="505">
        <v>0.65</v>
      </c>
      <c r="J9" s="302">
        <f t="shared" ref="J9:J11" si="0">I9*H9</f>
        <v>2169.0500000000002</v>
      </c>
    </row>
    <row r="10" spans="2:12" ht="13.9" customHeight="1" x14ac:dyDescent="0.2">
      <c r="B10" s="649"/>
      <c r="C10" s="639" t="s">
        <v>621</v>
      </c>
      <c r="D10" s="640"/>
      <c r="E10" s="640"/>
      <c r="F10" s="641"/>
      <c r="G10" s="303" t="s">
        <v>298</v>
      </c>
      <c r="H10" s="558">
        <f>+TDN!G95</f>
        <v>2622</v>
      </c>
      <c r="I10" s="505">
        <v>0.6</v>
      </c>
      <c r="J10" s="302">
        <f t="shared" si="0"/>
        <v>1573.2</v>
      </c>
    </row>
    <row r="11" spans="2:12" ht="13.9" customHeight="1" x14ac:dyDescent="0.2">
      <c r="B11" s="649"/>
      <c r="C11" s="639" t="s">
        <v>622</v>
      </c>
      <c r="D11" s="640"/>
      <c r="E11" s="640"/>
      <c r="F11" s="641"/>
      <c r="G11" s="303" t="s">
        <v>298</v>
      </c>
      <c r="H11" s="558">
        <f>+TDN!G108</f>
        <v>673</v>
      </c>
      <c r="I11" s="505">
        <v>0.9</v>
      </c>
      <c r="J11" s="302">
        <f t="shared" si="0"/>
        <v>605.70000000000005</v>
      </c>
    </row>
    <row r="12" spans="2:12" ht="14.45" customHeight="1" x14ac:dyDescent="0.2">
      <c r="B12" s="649"/>
      <c r="C12" s="659" t="s">
        <v>623</v>
      </c>
      <c r="D12" s="659"/>
      <c r="E12" s="659"/>
      <c r="F12" s="659"/>
      <c r="G12" s="303" t="s">
        <v>298</v>
      </c>
      <c r="H12" s="558">
        <f>+SUM(H8:H11)*0.05</f>
        <v>387.55</v>
      </c>
      <c r="I12" s="505">
        <v>1</v>
      </c>
      <c r="J12" s="302">
        <f>I12*H12</f>
        <v>387.55</v>
      </c>
    </row>
    <row r="13" spans="2:12" ht="13.9" customHeight="1" x14ac:dyDescent="0.2">
      <c r="B13" s="649"/>
      <c r="C13" s="651" t="s">
        <v>272</v>
      </c>
      <c r="D13" s="651"/>
      <c r="E13" s="651"/>
      <c r="F13" s="651"/>
      <c r="G13" s="303"/>
      <c r="H13" s="160">
        <f>SUM(H8:H12)</f>
        <v>8138.55</v>
      </c>
      <c r="I13" s="477"/>
      <c r="J13" s="160">
        <f>SUM(J8:J12)</f>
        <v>5518.8</v>
      </c>
      <c r="L13" s="503"/>
    </row>
    <row r="14" spans="2:12" ht="13.9" customHeight="1" x14ac:dyDescent="0.2">
      <c r="B14" s="649"/>
      <c r="C14" s="652" t="s">
        <v>273</v>
      </c>
      <c r="D14" s="652"/>
      <c r="E14" s="652"/>
      <c r="F14" s="652"/>
      <c r="G14" s="652"/>
      <c r="H14" s="652"/>
      <c r="I14" s="652"/>
      <c r="J14" s="617">
        <f>H13/1000</f>
        <v>8.1385500000000004</v>
      </c>
    </row>
    <row r="15" spans="2:12" ht="13.9" customHeight="1" x14ac:dyDescent="0.2">
      <c r="B15" s="649"/>
      <c r="C15" s="652" t="s">
        <v>255</v>
      </c>
      <c r="D15" s="652"/>
      <c r="E15" s="652"/>
      <c r="F15" s="652"/>
      <c r="G15" s="652"/>
      <c r="H15" s="652"/>
      <c r="I15" s="652"/>
      <c r="J15" s="617">
        <f>J13/1000</f>
        <v>5.5188000000000006</v>
      </c>
    </row>
    <row r="16" spans="2:12" ht="13.9" customHeight="1" x14ac:dyDescent="0.2">
      <c r="B16" s="649"/>
      <c r="C16" s="652" t="s">
        <v>514</v>
      </c>
      <c r="D16" s="652"/>
      <c r="E16" s="652"/>
      <c r="F16" s="652"/>
      <c r="G16" s="652"/>
      <c r="H16" s="652"/>
      <c r="I16" s="652"/>
      <c r="J16" s="620">
        <v>0.6</v>
      </c>
    </row>
    <row r="17" spans="2:11" ht="21.6" customHeight="1" x14ac:dyDescent="0.2">
      <c r="B17" s="650"/>
      <c r="C17" s="654" t="s">
        <v>550</v>
      </c>
      <c r="D17" s="655"/>
      <c r="E17" s="655"/>
      <c r="F17" s="655"/>
      <c r="G17" s="655"/>
      <c r="H17" s="655"/>
      <c r="I17" s="656"/>
      <c r="J17" s="507">
        <f>J15*J16</f>
        <v>3.3112800000000004</v>
      </c>
    </row>
    <row r="18" spans="2:11" ht="13.9" customHeight="1" x14ac:dyDescent="0.4">
      <c r="B18" s="499"/>
      <c r="C18" s="499"/>
      <c r="D18" s="499"/>
      <c r="E18" s="499"/>
      <c r="F18" s="499"/>
      <c r="G18" s="499"/>
      <c r="H18" s="499"/>
      <c r="I18" s="499"/>
      <c r="J18" s="499"/>
    </row>
    <row r="19" spans="2:11" ht="24" customHeight="1" x14ac:dyDescent="0.2">
      <c r="K19" s="300"/>
    </row>
  </sheetData>
  <mergeCells count="16">
    <mergeCell ref="B2:J2"/>
    <mergeCell ref="C16:I16"/>
    <mergeCell ref="C17:I17"/>
    <mergeCell ref="B5:J5"/>
    <mergeCell ref="I6:I7"/>
    <mergeCell ref="C12:F12"/>
    <mergeCell ref="B3:J3"/>
    <mergeCell ref="C11:F11"/>
    <mergeCell ref="C8:F8"/>
    <mergeCell ref="C10:F10"/>
    <mergeCell ref="C9:F9"/>
    <mergeCell ref="B6:F7"/>
    <mergeCell ref="B8:B17"/>
    <mergeCell ref="C13:F13"/>
    <mergeCell ref="C14:I14"/>
    <mergeCell ref="C15:I15"/>
  </mergeCells>
  <phoneticPr fontId="36" type="noConversion"/>
  <dataValidations disablePrompts="1" count="1">
    <dataValidation type="list" allowBlank="1" showInputMessage="1" showErrorMessage="1" sqref="G8:G13">
      <formula1>#REF!</formula1>
    </dataValidation>
  </dataValidations>
  <pageMargins left="1.46" right="1.18" top="0.82" bottom="0.74803149606299213" header="0.31496062992125984" footer="0.31496062992125984"/>
  <pageSetup paperSize="9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  <pageSetUpPr fitToPage="1"/>
  </sheetPr>
  <dimension ref="A1:BL223"/>
  <sheetViews>
    <sheetView view="pageBreakPreview" topLeftCell="V130" zoomScale="60" zoomScaleNormal="70" workbookViewId="0">
      <pane xSplit="2" ySplit="8" topLeftCell="X138" activePane="bottomRight" state="frozen"/>
      <selection activeCell="V130" sqref="V130"/>
      <selection pane="topRight" activeCell="X130" sqref="X130"/>
      <selection pane="bottomLeft" activeCell="V137" sqref="V137"/>
      <selection pane="bottomRight" activeCell="AM148" sqref="AM148"/>
    </sheetView>
  </sheetViews>
  <sheetFormatPr baseColWidth="10" defaultColWidth="11.42578125" defaultRowHeight="16.5" x14ac:dyDescent="0.3"/>
  <cols>
    <col min="1" max="1" width="16.42578125" style="128" customWidth="1"/>
    <col min="2" max="2" width="15.85546875" style="128" customWidth="1"/>
    <col min="3" max="4" width="11.42578125" style="128"/>
    <col min="5" max="5" width="8.85546875" style="128" customWidth="1"/>
    <col min="6" max="6" width="15.7109375" style="128" customWidth="1"/>
    <col min="7" max="7" width="14.28515625" style="128" customWidth="1"/>
    <col min="8" max="8" width="12" style="128" customWidth="1"/>
    <col min="9" max="9" width="12.5703125" style="128" customWidth="1"/>
    <col min="10" max="10" width="13.7109375" style="128" customWidth="1"/>
    <col min="11" max="11" width="11.42578125" style="128"/>
    <col min="12" max="15" width="10.5703125" style="128" customWidth="1"/>
    <col min="16" max="16" width="27.85546875" style="186" customWidth="1"/>
    <col min="17" max="17" width="41.7109375" style="186" customWidth="1"/>
    <col min="18" max="18" width="54" style="186" customWidth="1"/>
    <col min="19" max="19" width="26.140625" style="208" customWidth="1"/>
    <col min="20" max="20" width="25.42578125" style="208" customWidth="1"/>
    <col min="21" max="21" width="10.85546875" style="128" customWidth="1"/>
    <col min="22" max="22" width="15.7109375" style="128" customWidth="1"/>
    <col min="23" max="23" width="13.28515625" style="128" customWidth="1"/>
    <col min="24" max="24" width="10" style="128" customWidth="1"/>
    <col min="25" max="25" width="11" style="128" customWidth="1"/>
    <col min="26" max="26" width="8.140625" style="128" customWidth="1"/>
    <col min="27" max="27" width="8.28515625" style="128" customWidth="1"/>
    <col min="28" max="28" width="8.7109375" style="128" customWidth="1"/>
    <col min="29" max="29" width="8.85546875" style="128" customWidth="1"/>
    <col min="30" max="30" width="7.28515625" style="128" customWidth="1"/>
    <col min="31" max="31" width="9.28515625" style="128" customWidth="1"/>
    <col min="32" max="32" width="10.85546875" style="128" customWidth="1"/>
    <col min="33" max="33" width="10.5703125" style="128" customWidth="1"/>
    <col min="34" max="34" width="10.7109375" style="128" customWidth="1"/>
    <col min="35" max="35" width="10.28515625" style="128" customWidth="1"/>
    <col min="36" max="36" width="10.85546875" style="128" customWidth="1"/>
    <col min="37" max="37" width="11.42578125" style="128" customWidth="1"/>
    <col min="38" max="38" width="43.5703125" style="128" customWidth="1"/>
    <col min="39" max="39" width="20.140625" style="128" customWidth="1"/>
    <col min="40" max="40" width="12.140625" style="128" customWidth="1"/>
    <col min="41" max="41" width="5" style="128" customWidth="1"/>
    <col min="42" max="42" width="6.28515625" style="186" customWidth="1"/>
    <col min="43" max="43" width="6" style="128" customWidth="1"/>
    <col min="44" max="44" width="17.85546875" style="128" customWidth="1"/>
    <col min="45" max="46" width="11.7109375" style="128" customWidth="1"/>
    <col min="47" max="47" width="10.42578125" style="128" customWidth="1"/>
    <col min="48" max="48" width="8.7109375" style="130" hidden="1" customWidth="1"/>
    <col min="49" max="49" width="8.7109375" style="125" hidden="1" customWidth="1"/>
    <col min="50" max="50" width="8.7109375" style="128" hidden="1" customWidth="1"/>
    <col min="51" max="51" width="12.7109375" style="128" hidden="1" customWidth="1"/>
    <col min="52" max="52" width="13.85546875" style="128" hidden="1" customWidth="1"/>
    <col min="53" max="53" width="10.5703125" style="128" hidden="1" customWidth="1"/>
    <col min="54" max="54" width="11.28515625" style="128" hidden="1" customWidth="1"/>
    <col min="55" max="55" width="11.7109375" style="128" hidden="1" customWidth="1"/>
    <col min="56" max="56" width="15.140625" style="128" hidden="1" customWidth="1"/>
    <col min="57" max="57" width="18.7109375" style="128" hidden="1" customWidth="1"/>
    <col min="58" max="58" width="20.7109375" style="128" hidden="1" customWidth="1"/>
    <col min="59" max="59" width="11.5703125" style="128" hidden="1" customWidth="1"/>
    <col min="60" max="62" width="9.140625" style="128" hidden="1" customWidth="1"/>
    <col min="63" max="63" width="7" style="128" hidden="1" customWidth="1"/>
    <col min="64" max="64" width="0" style="128" hidden="1" customWidth="1"/>
    <col min="65" max="16384" width="11.42578125" style="128"/>
  </cols>
  <sheetData>
    <row r="1" spans="1:42" ht="20.25" x14ac:dyDescent="0.3">
      <c r="A1" s="313" t="s">
        <v>137</v>
      </c>
      <c r="B1" s="313"/>
      <c r="C1" s="313"/>
      <c r="D1" s="313"/>
      <c r="E1" s="313"/>
    </row>
    <row r="2" spans="1:42" x14ac:dyDescent="0.3">
      <c r="A2" s="314" t="s">
        <v>0</v>
      </c>
      <c r="B2" s="315">
        <v>3.9300000000000003E-3</v>
      </c>
      <c r="C2" s="315" t="s">
        <v>1</v>
      </c>
      <c r="D2" s="315"/>
      <c r="E2" s="315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258"/>
    </row>
    <row r="3" spans="1:42" x14ac:dyDescent="0.3">
      <c r="A3" s="315" t="s">
        <v>2</v>
      </c>
      <c r="B3" s="315">
        <v>20</v>
      </c>
      <c r="C3" s="315" t="s">
        <v>3</v>
      </c>
      <c r="D3" s="315"/>
      <c r="E3" s="315"/>
      <c r="W3" s="164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258"/>
    </row>
    <row r="4" spans="1:42" x14ac:dyDescent="0.3">
      <c r="A4" s="315" t="s">
        <v>4</v>
      </c>
      <c r="B4" s="315">
        <v>35</v>
      </c>
      <c r="C4" s="315" t="s">
        <v>3</v>
      </c>
      <c r="D4" s="315"/>
      <c r="E4" s="315"/>
      <c r="W4" s="159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258"/>
    </row>
    <row r="5" spans="1:42" x14ac:dyDescent="0.3">
      <c r="A5" s="315" t="s">
        <v>5</v>
      </c>
      <c r="B5" s="315">
        <v>90</v>
      </c>
      <c r="C5" s="315" t="s">
        <v>3</v>
      </c>
      <c r="D5" s="315"/>
      <c r="E5" s="315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258"/>
    </row>
    <row r="6" spans="1:42" x14ac:dyDescent="0.3">
      <c r="A6" s="315" t="s">
        <v>6</v>
      </c>
      <c r="B6" s="315">
        <v>0.8</v>
      </c>
      <c r="C6" s="315" t="s">
        <v>7</v>
      </c>
      <c r="D6" s="315">
        <v>0.6</v>
      </c>
      <c r="E6" s="315"/>
      <c r="S6" s="128"/>
      <c r="T6" s="128"/>
      <c r="AP6" s="128"/>
    </row>
    <row r="7" spans="1:42" x14ac:dyDescent="0.3">
      <c r="A7" s="315" t="s">
        <v>6</v>
      </c>
      <c r="B7" s="315">
        <v>0.85</v>
      </c>
      <c r="C7" s="315"/>
      <c r="D7" s="315">
        <v>0.52680000000000005</v>
      </c>
      <c r="E7" s="315"/>
      <c r="S7" s="128"/>
      <c r="T7" s="128"/>
      <c r="AP7" s="128"/>
    </row>
    <row r="8" spans="1:42" x14ac:dyDescent="0.3">
      <c r="A8" s="315" t="s">
        <v>6</v>
      </c>
      <c r="B8" s="315">
        <v>0.9</v>
      </c>
      <c r="C8" s="315" t="s">
        <v>7</v>
      </c>
      <c r="D8" s="315">
        <v>0.43590000000000001</v>
      </c>
      <c r="E8" s="315"/>
      <c r="S8" s="128"/>
      <c r="T8" s="128"/>
      <c r="AP8" s="128"/>
    </row>
    <row r="9" spans="1:42" x14ac:dyDescent="0.3">
      <c r="A9" s="315" t="s">
        <v>6</v>
      </c>
      <c r="B9" s="315">
        <v>0.96</v>
      </c>
      <c r="C9" s="315" t="s">
        <v>7</v>
      </c>
      <c r="D9" s="128">
        <v>0.31224990000000002</v>
      </c>
      <c r="E9" s="315"/>
      <c r="S9" s="128"/>
      <c r="T9" s="128"/>
      <c r="AP9" s="128"/>
    </row>
    <row r="10" spans="1:42" x14ac:dyDescent="0.3">
      <c r="A10" s="316" t="s">
        <v>8</v>
      </c>
      <c r="B10" s="315"/>
      <c r="C10" s="315"/>
      <c r="D10" s="315"/>
      <c r="E10" s="315"/>
      <c r="F10" s="317" t="s">
        <v>323</v>
      </c>
      <c r="G10" s="315"/>
      <c r="H10" s="315"/>
      <c r="I10" s="315"/>
      <c r="J10" s="315"/>
      <c r="K10" s="315"/>
      <c r="L10" s="315"/>
      <c r="M10" s="315"/>
      <c r="N10" s="315"/>
      <c r="O10" s="315"/>
      <c r="P10" s="360"/>
      <c r="Q10" s="360"/>
      <c r="R10" s="34"/>
      <c r="S10" s="128"/>
      <c r="T10" s="128"/>
      <c r="AP10" s="128"/>
    </row>
    <row r="11" spans="1:42" ht="17.25" thickBot="1" x14ac:dyDescent="0.35">
      <c r="A11" s="315"/>
      <c r="B11" s="315"/>
      <c r="C11" s="316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60"/>
      <c r="Q11" s="360"/>
      <c r="R11" s="34"/>
      <c r="S11" s="128"/>
      <c r="T11" s="128"/>
      <c r="AP11" s="128"/>
    </row>
    <row r="12" spans="1:42" ht="17.25" thickTop="1" x14ac:dyDescent="0.3">
      <c r="A12" s="315"/>
      <c r="B12" s="315">
        <v>220</v>
      </c>
      <c r="C12" s="316" t="s">
        <v>9</v>
      </c>
      <c r="D12" s="315"/>
      <c r="E12" s="315"/>
      <c r="F12" s="318" t="s">
        <v>10</v>
      </c>
      <c r="G12" s="319" t="s">
        <v>11</v>
      </c>
      <c r="H12" s="320" t="s">
        <v>12</v>
      </c>
      <c r="I12" s="683" t="s">
        <v>51</v>
      </c>
      <c r="J12" s="684"/>
      <c r="K12" s="319" t="s">
        <v>13</v>
      </c>
      <c r="L12" s="321" t="s">
        <v>13</v>
      </c>
      <c r="M12" s="321" t="s">
        <v>14</v>
      </c>
      <c r="N12" s="321" t="s">
        <v>15</v>
      </c>
      <c r="O12" s="322" t="s">
        <v>106</v>
      </c>
      <c r="P12" s="688" t="s">
        <v>16</v>
      </c>
      <c r="Q12" s="689"/>
      <c r="R12" s="150"/>
      <c r="S12" s="128"/>
      <c r="T12" s="128"/>
      <c r="AP12" s="128"/>
    </row>
    <row r="13" spans="1:42" ht="50.25" thickBot="1" x14ac:dyDescent="0.35">
      <c r="A13" s="315"/>
      <c r="B13" s="315">
        <v>380</v>
      </c>
      <c r="C13" s="316" t="s">
        <v>9</v>
      </c>
      <c r="D13" s="315"/>
      <c r="E13" s="315"/>
      <c r="F13" s="323" t="s">
        <v>17</v>
      </c>
      <c r="G13" s="324" t="s">
        <v>18</v>
      </c>
      <c r="H13" s="324" t="s">
        <v>18</v>
      </c>
      <c r="I13" s="325" t="s">
        <v>52</v>
      </c>
      <c r="J13" s="325" t="s">
        <v>53</v>
      </c>
      <c r="K13" s="326" t="s">
        <v>19</v>
      </c>
      <c r="L13" s="326" t="s">
        <v>49</v>
      </c>
      <c r="M13" s="326" t="s">
        <v>20</v>
      </c>
      <c r="N13" s="327" t="s">
        <v>161</v>
      </c>
      <c r="O13" s="327" t="s">
        <v>22</v>
      </c>
      <c r="P13" s="690"/>
      <c r="Q13" s="691"/>
      <c r="R13" s="34"/>
      <c r="S13" s="128"/>
      <c r="T13" s="128" t="s">
        <v>517</v>
      </c>
      <c r="U13" s="128" t="s">
        <v>518</v>
      </c>
      <c r="AP13" s="128"/>
    </row>
    <row r="14" spans="1:42" ht="18" thickTop="1" thickBot="1" x14ac:dyDescent="0.35">
      <c r="F14" s="315" t="s">
        <v>23</v>
      </c>
      <c r="G14" s="315"/>
      <c r="H14" s="315"/>
      <c r="I14" s="315"/>
      <c r="J14" s="315"/>
      <c r="K14" s="315"/>
      <c r="L14" s="315"/>
      <c r="M14" s="315"/>
      <c r="N14" s="315"/>
      <c r="O14" s="315"/>
      <c r="P14" s="360"/>
      <c r="Q14" s="360"/>
      <c r="R14" s="34"/>
      <c r="S14" s="128"/>
      <c r="T14" s="128"/>
      <c r="AP14" s="128"/>
    </row>
    <row r="15" spans="1:42" x14ac:dyDescent="0.3">
      <c r="F15" s="328">
        <v>1</v>
      </c>
      <c r="G15" s="329">
        <v>2</v>
      </c>
      <c r="H15" s="329">
        <v>3</v>
      </c>
      <c r="I15" s="329">
        <v>4</v>
      </c>
      <c r="J15" s="329">
        <v>5</v>
      </c>
      <c r="K15" s="329">
        <v>6</v>
      </c>
      <c r="L15" s="329">
        <v>7</v>
      </c>
      <c r="M15" s="329">
        <v>8</v>
      </c>
      <c r="N15" s="330">
        <v>9</v>
      </c>
      <c r="O15" s="330">
        <v>10</v>
      </c>
      <c r="P15" s="361">
        <v>11</v>
      </c>
      <c r="Q15" s="361">
        <v>12</v>
      </c>
      <c r="R15" s="394">
        <v>13</v>
      </c>
      <c r="S15" s="304">
        <v>14</v>
      </c>
      <c r="T15" s="208">
        <v>15</v>
      </c>
      <c r="U15" s="128">
        <v>16</v>
      </c>
      <c r="AP15" s="128"/>
    </row>
    <row r="16" spans="1:42" x14ac:dyDescent="0.3">
      <c r="F16" s="331">
        <v>6</v>
      </c>
      <c r="G16" s="332">
        <v>3.08</v>
      </c>
      <c r="H16" s="333">
        <f t="shared" ref="H16:H30" si="0">+G16*(1+($B$5-$B$3)*$B$2)</f>
        <v>3.9273080000000005</v>
      </c>
      <c r="I16" s="332">
        <v>0.215</v>
      </c>
      <c r="J16" s="332">
        <v>0.14499999999999999</v>
      </c>
      <c r="K16" s="332">
        <f>+SQRT(3)*(H16*$B$6+J16*$D$6)/1000</f>
        <v>5.5925260146358624E-3</v>
      </c>
      <c r="L16" s="332">
        <f>+SQRT(3)*(H16*$B$7+J16*$D$7)/1000</f>
        <v>5.9142568770129116E-3</v>
      </c>
      <c r="M16" s="332">
        <f>+SQRT(3)*(H16*$B$8+J16*$D$8)/1000</f>
        <v>6.2315424309923361E-3</v>
      </c>
      <c r="N16" s="334">
        <f>+SQRT(3)*(H16*$B$9+J16*$D$9)/1000</f>
        <v>6.6086258535142973E-3</v>
      </c>
      <c r="O16" s="335">
        <v>65</v>
      </c>
      <c r="P16" s="362" t="s">
        <v>492</v>
      </c>
      <c r="Q16" s="362" t="s">
        <v>479</v>
      </c>
      <c r="R16" s="392" t="s">
        <v>324</v>
      </c>
      <c r="S16" s="396" t="s">
        <v>519</v>
      </c>
      <c r="T16" s="419" t="s">
        <v>300</v>
      </c>
      <c r="U16" s="284" t="s">
        <v>299</v>
      </c>
      <c r="AP16" s="128"/>
    </row>
    <row r="17" spans="1:42" x14ac:dyDescent="0.3">
      <c r="A17" s="170" t="s">
        <v>252</v>
      </c>
      <c r="B17" s="171"/>
      <c r="C17" s="171"/>
      <c r="F17" s="331">
        <v>10</v>
      </c>
      <c r="G17" s="332">
        <v>1.83</v>
      </c>
      <c r="H17" s="333">
        <f t="shared" si="0"/>
        <v>2.3334330000000003</v>
      </c>
      <c r="I17" s="332">
        <v>0.20499999999999999</v>
      </c>
      <c r="J17" s="332">
        <v>0.13600000000000001</v>
      </c>
      <c r="K17" s="332">
        <f t="shared" ref="K17:K29" si="1">+SQRT(3)*(H17*$B$6+J17*$D$6)/1000</f>
        <v>3.3746349555439149E-3</v>
      </c>
      <c r="L17" s="332">
        <f t="shared" ref="L17:L30" si="2">+SQRT(3)*(H17*$B$7+J17*$D$7)/1000</f>
        <v>3.5594732689472985E-3</v>
      </c>
      <c r="M17" s="332">
        <f t="shared" ref="M17:M30" si="3">+SQRT(3)*(H17*$B$8+J17*$D$8)/1000</f>
        <v>3.7401421896467025E-3</v>
      </c>
      <c r="N17" s="334">
        <f t="shared" ref="N17:N30" si="4">+SQRT(3)*(H17*$B$9+J17*$D$9)/1000</f>
        <v>3.9535127776138823E-3</v>
      </c>
      <c r="O17" s="335">
        <v>90</v>
      </c>
      <c r="P17" s="362" t="s">
        <v>422</v>
      </c>
      <c r="Q17" s="362" t="s">
        <v>480</v>
      </c>
      <c r="R17" s="392" t="s">
        <v>325</v>
      </c>
      <c r="S17" s="396" t="s">
        <v>519</v>
      </c>
      <c r="T17" s="399" t="s">
        <v>301</v>
      </c>
      <c r="U17" s="284" t="s">
        <v>300</v>
      </c>
      <c r="V17" s="208"/>
      <c r="W17" s="208"/>
      <c r="AP17" s="128"/>
    </row>
    <row r="18" spans="1:42" x14ac:dyDescent="0.3">
      <c r="A18" s="172" t="s">
        <v>249</v>
      </c>
      <c r="B18" s="173" t="s">
        <v>250</v>
      </c>
      <c r="C18" s="377" t="s">
        <v>251</v>
      </c>
      <c r="F18" s="331">
        <v>16</v>
      </c>
      <c r="G18" s="332">
        <v>1.1499999999999999</v>
      </c>
      <c r="H18" s="333">
        <f t="shared" si="0"/>
        <v>1.4663649999999999</v>
      </c>
      <c r="I18" s="332">
        <v>0.192</v>
      </c>
      <c r="J18" s="332">
        <v>0.122</v>
      </c>
      <c r="K18" s="332">
        <f t="shared" si="1"/>
        <v>2.1586410650666311E-3</v>
      </c>
      <c r="L18" s="332">
        <f t="shared" si="2"/>
        <v>2.2701640926567545E-3</v>
      </c>
      <c r="M18" s="332">
        <f t="shared" si="3"/>
        <v>2.3779469297330138E-3</v>
      </c>
      <c r="N18" s="334">
        <f t="shared" si="4"/>
        <v>2.5042075235010195E-3</v>
      </c>
      <c r="O18" s="335">
        <v>125</v>
      </c>
      <c r="P18" s="362" t="s">
        <v>423</v>
      </c>
      <c r="Q18" s="362" t="s">
        <v>481</v>
      </c>
      <c r="R18" s="392" t="s">
        <v>326</v>
      </c>
      <c r="S18" s="299" t="s">
        <v>520</v>
      </c>
      <c r="T18" s="399" t="s">
        <v>305</v>
      </c>
      <c r="U18" s="284" t="s">
        <v>300</v>
      </c>
      <c r="W18" s="331"/>
      <c r="X18" s="335"/>
      <c r="Y18" s="331">
        <v>6</v>
      </c>
      <c r="Z18" s="335">
        <v>65</v>
      </c>
      <c r="AP18" s="128"/>
    </row>
    <row r="19" spans="1:42" x14ac:dyDescent="0.3">
      <c r="A19" s="381">
        <v>0</v>
      </c>
      <c r="B19" s="381">
        <v>0</v>
      </c>
      <c r="C19" s="381">
        <v>0</v>
      </c>
      <c r="F19" s="331">
        <v>25</v>
      </c>
      <c r="G19" s="332">
        <v>0.72699999999999998</v>
      </c>
      <c r="H19" s="333">
        <f t="shared" si="0"/>
        <v>0.92699770000000004</v>
      </c>
      <c r="I19" s="332">
        <v>0.185</v>
      </c>
      <c r="J19" s="332">
        <v>0.11600000000000001</v>
      </c>
      <c r="K19" s="332">
        <f t="shared" si="1"/>
        <v>1.4050364281263873E-3</v>
      </c>
      <c r="L19" s="332">
        <f t="shared" si="2"/>
        <v>1.470609594054133E-3</v>
      </c>
      <c r="M19" s="332">
        <f t="shared" si="3"/>
        <v>1.5326265132637783E-3</v>
      </c>
      <c r="N19" s="334">
        <f t="shared" si="4"/>
        <v>1.604119422512675E-3</v>
      </c>
      <c r="O19" s="335">
        <v>160</v>
      </c>
      <c r="P19" s="362" t="s">
        <v>424</v>
      </c>
      <c r="Q19" s="362" t="s">
        <v>482</v>
      </c>
      <c r="R19" s="392" t="s">
        <v>327</v>
      </c>
      <c r="S19" s="299" t="s">
        <v>521</v>
      </c>
      <c r="T19" s="399" t="s">
        <v>305</v>
      </c>
      <c r="U19" s="284" t="s">
        <v>510</v>
      </c>
      <c r="W19" s="331"/>
      <c r="X19" s="335"/>
      <c r="Y19" s="331">
        <v>10</v>
      </c>
      <c r="Z19" s="335">
        <v>90</v>
      </c>
      <c r="AP19" s="128"/>
    </row>
    <row r="20" spans="1:42" x14ac:dyDescent="0.3">
      <c r="A20" s="378">
        <v>16</v>
      </c>
      <c r="B20" s="379">
        <v>15</v>
      </c>
      <c r="C20" s="380">
        <v>6</v>
      </c>
      <c r="F20" s="331">
        <v>35</v>
      </c>
      <c r="G20" s="332">
        <v>0.52500000000000002</v>
      </c>
      <c r="H20" s="333">
        <f t="shared" si="0"/>
        <v>0.66942750000000006</v>
      </c>
      <c r="I20" s="332">
        <v>0.18</v>
      </c>
      <c r="J20" s="332">
        <v>0.111</v>
      </c>
      <c r="K20" s="332">
        <f t="shared" si="1"/>
        <v>1.0429405373711389E-3</v>
      </c>
      <c r="L20" s="332">
        <f t="shared" si="2"/>
        <v>1.0868414002486711E-3</v>
      </c>
      <c r="M20" s="332">
        <f t="shared" si="3"/>
        <v>1.1273393029045727E-3</v>
      </c>
      <c r="N20" s="334">
        <f t="shared" si="4"/>
        <v>1.1731355730563336E-3</v>
      </c>
      <c r="O20" s="335">
        <v>200</v>
      </c>
      <c r="P20" s="362" t="s">
        <v>425</v>
      </c>
      <c r="Q20" s="362" t="s">
        <v>483</v>
      </c>
      <c r="R20" s="392" t="s">
        <v>328</v>
      </c>
      <c r="S20" s="299" t="s">
        <v>521</v>
      </c>
      <c r="T20" s="399" t="s">
        <v>409</v>
      </c>
      <c r="U20" s="284" t="s">
        <v>510</v>
      </c>
      <c r="W20" s="331"/>
      <c r="X20" s="335"/>
      <c r="Y20" s="331">
        <v>16</v>
      </c>
      <c r="Z20" s="335">
        <v>125</v>
      </c>
      <c r="AP20" s="128"/>
    </row>
    <row r="21" spans="1:42" x14ac:dyDescent="0.3">
      <c r="A21" s="174">
        <v>25</v>
      </c>
      <c r="B21" s="175">
        <v>20</v>
      </c>
      <c r="C21" s="176">
        <v>10</v>
      </c>
      <c r="F21" s="331">
        <v>50</v>
      </c>
      <c r="G21" s="332">
        <v>0.38700000000000001</v>
      </c>
      <c r="H21" s="333">
        <f t="shared" si="0"/>
        <v>0.49346370000000006</v>
      </c>
      <c r="I21" s="332">
        <v>0.17799999999999999</v>
      </c>
      <c r="J21" s="332">
        <v>0.109</v>
      </c>
      <c r="K21" s="332">
        <f t="shared" si="1"/>
        <v>7.9703948288774567E-4</v>
      </c>
      <c r="L21" s="332">
        <f t="shared" si="2"/>
        <v>8.2595500590886125E-4</v>
      </c>
      <c r="M21" s="332">
        <f t="shared" si="3"/>
        <v>8.5152888330693448E-4</v>
      </c>
      <c r="N21" s="334">
        <f t="shared" si="4"/>
        <v>8.7946679545624392E-4</v>
      </c>
      <c r="O21" s="335">
        <v>240</v>
      </c>
      <c r="P21" s="362" t="s">
        <v>426</v>
      </c>
      <c r="Q21" s="362" t="s">
        <v>484</v>
      </c>
      <c r="R21" s="392" t="s">
        <v>329</v>
      </c>
      <c r="S21" s="470" t="s">
        <v>522</v>
      </c>
      <c r="T21" s="284" t="s">
        <v>409</v>
      </c>
      <c r="U21" s="399" t="s">
        <v>305</v>
      </c>
      <c r="W21" s="331"/>
      <c r="X21" s="335"/>
      <c r="Y21" s="331">
        <v>25</v>
      </c>
      <c r="Z21" s="335">
        <v>160</v>
      </c>
      <c r="AP21" s="128"/>
    </row>
    <row r="22" spans="1:42" x14ac:dyDescent="0.3">
      <c r="A22" s="174">
        <v>32</v>
      </c>
      <c r="B22" s="175">
        <v>30</v>
      </c>
      <c r="C22" s="176">
        <v>16</v>
      </c>
      <c r="F22" s="331">
        <v>70</v>
      </c>
      <c r="G22" s="332">
        <v>0.26800000000000002</v>
      </c>
      <c r="H22" s="333">
        <f t="shared" si="0"/>
        <v>0.34172680000000005</v>
      </c>
      <c r="I22" s="332">
        <v>0.17399999999999999</v>
      </c>
      <c r="J22" s="332">
        <v>0.105</v>
      </c>
      <c r="K22" s="332">
        <f t="shared" si="1"/>
        <v>5.8262974480318189E-4</v>
      </c>
      <c r="L22" s="332">
        <f t="shared" si="2"/>
        <v>5.9891161129160386E-4</v>
      </c>
      <c r="M22" s="332">
        <f t="shared" si="3"/>
        <v>6.1197446135415924E-4</v>
      </c>
      <c r="N22" s="334">
        <f t="shared" si="4"/>
        <v>6.2500008531473272E-4</v>
      </c>
      <c r="O22" s="335">
        <v>305</v>
      </c>
      <c r="P22" s="362" t="s">
        <v>427</v>
      </c>
      <c r="Q22" s="362" t="s">
        <v>485</v>
      </c>
      <c r="R22" s="392" t="s">
        <v>330</v>
      </c>
      <c r="S22" s="299" t="s">
        <v>523</v>
      </c>
      <c r="T22" s="284" t="s">
        <v>410</v>
      </c>
      <c r="U22" s="284" t="s">
        <v>409</v>
      </c>
      <c r="W22" s="331"/>
      <c r="X22" s="335"/>
      <c r="Y22" s="331">
        <v>35</v>
      </c>
      <c r="Z22" s="335">
        <v>200</v>
      </c>
      <c r="AP22" s="128"/>
    </row>
    <row r="23" spans="1:42" x14ac:dyDescent="0.3">
      <c r="A23" s="174">
        <v>40</v>
      </c>
      <c r="B23" s="175">
        <v>40</v>
      </c>
      <c r="C23" s="176">
        <v>20</v>
      </c>
      <c r="F23" s="331">
        <v>95</v>
      </c>
      <c r="G23" s="332">
        <v>0.193</v>
      </c>
      <c r="H23" s="333">
        <f t="shared" si="0"/>
        <v>0.24609430000000004</v>
      </c>
      <c r="I23" s="332">
        <v>0.17199999999999999</v>
      </c>
      <c r="J23" s="332">
        <v>0.10199999999999999</v>
      </c>
      <c r="K23" s="332">
        <f t="shared" si="1"/>
        <v>4.469997742656934E-4</v>
      </c>
      <c r="L23" s="332">
        <f t="shared" si="2"/>
        <v>4.5537998166871594E-4</v>
      </c>
      <c r="M23" s="332">
        <f t="shared" si="3"/>
        <v>4.6063314454375376E-4</v>
      </c>
      <c r="N23" s="334">
        <f t="shared" si="4"/>
        <v>4.6436285233972041E-4</v>
      </c>
      <c r="O23" s="335">
        <v>375</v>
      </c>
      <c r="P23" s="362" t="s">
        <v>428</v>
      </c>
      <c r="Q23" s="362" t="s">
        <v>486</v>
      </c>
      <c r="R23" s="392" t="s">
        <v>331</v>
      </c>
      <c r="S23" s="299" t="s">
        <v>524</v>
      </c>
      <c r="T23" s="284" t="s">
        <v>307</v>
      </c>
      <c r="U23" s="284" t="s">
        <v>409</v>
      </c>
      <c r="W23" s="331"/>
      <c r="X23" s="335"/>
      <c r="Y23" s="331">
        <v>50</v>
      </c>
      <c r="Z23" s="335">
        <v>240</v>
      </c>
      <c r="AP23" s="128"/>
    </row>
    <row r="24" spans="1:42" x14ac:dyDescent="0.3">
      <c r="A24" s="174">
        <v>50</v>
      </c>
      <c r="B24" s="175">
        <v>50</v>
      </c>
      <c r="C24" s="176">
        <v>25</v>
      </c>
      <c r="F24" s="331">
        <v>120</v>
      </c>
      <c r="G24" s="332">
        <v>0.153</v>
      </c>
      <c r="H24" s="333">
        <f t="shared" si="0"/>
        <v>0.19509030000000002</v>
      </c>
      <c r="I24" s="332">
        <v>0.17</v>
      </c>
      <c r="J24" s="332">
        <v>9.9599999999999994E-2</v>
      </c>
      <c r="K24" s="332">
        <f t="shared" si="1"/>
        <v>3.7383240559139976E-4</v>
      </c>
      <c r="L24" s="332">
        <f t="shared" si="2"/>
        <v>3.7809982371083393E-4</v>
      </c>
      <c r="M24" s="332">
        <f t="shared" si="3"/>
        <v>3.7931377482058876E-4</v>
      </c>
      <c r="N24" s="334">
        <f t="shared" si="4"/>
        <v>3.7825699526654717E-4</v>
      </c>
      <c r="O24" s="335">
        <v>435</v>
      </c>
      <c r="P24" s="362" t="s">
        <v>429</v>
      </c>
      <c r="Q24" s="362" t="s">
        <v>487</v>
      </c>
      <c r="R24" s="392" t="s">
        <v>332</v>
      </c>
      <c r="S24" s="299" t="s">
        <v>524</v>
      </c>
      <c r="T24" s="284" t="s">
        <v>307</v>
      </c>
      <c r="U24" s="284" t="s">
        <v>409</v>
      </c>
      <c r="W24" s="331"/>
      <c r="X24" s="335"/>
      <c r="Y24" s="331">
        <v>70</v>
      </c>
      <c r="Z24" s="335">
        <v>305</v>
      </c>
      <c r="AP24" s="128"/>
    </row>
    <row r="25" spans="1:42" x14ac:dyDescent="0.3">
      <c r="A25" s="174">
        <v>63</v>
      </c>
      <c r="B25" s="175">
        <v>60</v>
      </c>
      <c r="C25" s="176">
        <v>32</v>
      </c>
      <c r="F25" s="331">
        <v>150</v>
      </c>
      <c r="G25" s="332">
        <v>0.124</v>
      </c>
      <c r="H25" s="333">
        <f t="shared" si="0"/>
        <v>0.15811240000000001</v>
      </c>
      <c r="I25" s="337">
        <v>0.16900000000000001</v>
      </c>
      <c r="J25" s="337">
        <v>9.9000000000000005E-2</v>
      </c>
      <c r="K25" s="332">
        <f t="shared" si="1"/>
        <v>3.2197078605491401E-4</v>
      </c>
      <c r="L25" s="332">
        <f t="shared" si="2"/>
        <v>3.231118957679565E-4</v>
      </c>
      <c r="M25" s="332">
        <f t="shared" si="3"/>
        <v>3.2121793285089614E-4</v>
      </c>
      <c r="N25" s="334">
        <f t="shared" si="4"/>
        <v>3.1644679815675901E-4</v>
      </c>
      <c r="O25" s="335">
        <v>510</v>
      </c>
      <c r="P25" s="362" t="s">
        <v>430</v>
      </c>
      <c r="Q25" s="362" t="s">
        <v>488</v>
      </c>
      <c r="R25" s="392" t="s">
        <v>333</v>
      </c>
      <c r="S25" s="299" t="s">
        <v>525</v>
      </c>
      <c r="T25" s="284" t="s">
        <v>307</v>
      </c>
      <c r="U25" s="284" t="s">
        <v>410</v>
      </c>
      <c r="W25" s="331"/>
      <c r="X25" s="335"/>
      <c r="Y25" s="331">
        <v>95</v>
      </c>
      <c r="Z25" s="335">
        <v>375</v>
      </c>
      <c r="AP25" s="128"/>
    </row>
    <row r="26" spans="1:42" x14ac:dyDescent="0.3">
      <c r="A26" s="174">
        <v>80</v>
      </c>
      <c r="B26" s="175">
        <v>70</v>
      </c>
      <c r="C26" s="176">
        <v>40</v>
      </c>
      <c r="F26" s="331">
        <v>185</v>
      </c>
      <c r="G26" s="332">
        <v>9.9099999999999994E-2</v>
      </c>
      <c r="H26" s="333">
        <f t="shared" si="0"/>
        <v>0.12636241000000001</v>
      </c>
      <c r="I26" s="332">
        <v>0.16900000000000001</v>
      </c>
      <c r="J26" s="332">
        <v>9.9000000000000005E-2</v>
      </c>
      <c r="K26" s="332">
        <f t="shared" si="1"/>
        <v>2.7797670939907099E-4</v>
      </c>
      <c r="L26" s="332">
        <f t="shared" si="2"/>
        <v>2.7636818932112327E-4</v>
      </c>
      <c r="M26" s="332">
        <f t="shared" si="3"/>
        <v>2.7172459661307274E-4</v>
      </c>
      <c r="N26" s="334">
        <f t="shared" si="4"/>
        <v>2.636539061697474E-4</v>
      </c>
      <c r="O26" s="335">
        <v>575</v>
      </c>
      <c r="P26" s="362" t="s">
        <v>431</v>
      </c>
      <c r="Q26" s="362" t="s">
        <v>489</v>
      </c>
      <c r="R26" s="392" t="s">
        <v>334</v>
      </c>
      <c r="S26" s="299" t="s">
        <v>525</v>
      </c>
      <c r="T26" s="284" t="s">
        <v>307</v>
      </c>
      <c r="U26" s="284" t="s">
        <v>410</v>
      </c>
      <c r="W26" s="331"/>
      <c r="X26" s="335"/>
      <c r="Y26" s="331">
        <v>120</v>
      </c>
      <c r="Z26" s="335">
        <v>435</v>
      </c>
      <c r="AP26" s="128"/>
    </row>
    <row r="27" spans="1:42" x14ac:dyDescent="0.3">
      <c r="A27" s="174">
        <v>100</v>
      </c>
      <c r="B27" s="175">
        <v>90</v>
      </c>
      <c r="C27" s="176">
        <v>50</v>
      </c>
      <c r="F27" s="331">
        <v>240</v>
      </c>
      <c r="G27" s="332">
        <v>7.5399999999999995E-2</v>
      </c>
      <c r="H27" s="333">
        <f t="shared" si="0"/>
        <v>9.6142539999999999E-2</v>
      </c>
      <c r="I27" s="332">
        <v>0.16700000000000001</v>
      </c>
      <c r="J27" s="332">
        <v>9.6699999999999994E-2</v>
      </c>
      <c r="K27" s="332">
        <f t="shared" si="1"/>
        <v>2.3371259909412472E-4</v>
      </c>
      <c r="L27" s="332">
        <f t="shared" si="2"/>
        <v>2.2977856957823306E-4</v>
      </c>
      <c r="M27" s="332">
        <f t="shared" si="3"/>
        <v>2.2287997922061453E-4</v>
      </c>
      <c r="N27" s="334">
        <f t="shared" si="4"/>
        <v>2.1216133475079188E-4</v>
      </c>
      <c r="O27" s="335">
        <v>690</v>
      </c>
      <c r="P27" s="362" t="s">
        <v>432</v>
      </c>
      <c r="Q27" s="362" t="s">
        <v>490</v>
      </c>
      <c r="R27" s="392" t="s">
        <v>335</v>
      </c>
      <c r="S27" s="396" t="s">
        <v>525</v>
      </c>
      <c r="T27" s="284" t="s">
        <v>307</v>
      </c>
      <c r="U27" s="284" t="s">
        <v>410</v>
      </c>
      <c r="W27" s="331"/>
      <c r="X27" s="335"/>
      <c r="Y27" s="331">
        <v>150</v>
      </c>
      <c r="Z27" s="335">
        <v>510</v>
      </c>
      <c r="AP27" s="128"/>
    </row>
    <row r="28" spans="1:42" x14ac:dyDescent="0.3">
      <c r="A28" s="174">
        <v>125</v>
      </c>
      <c r="B28" s="175">
        <v>100</v>
      </c>
      <c r="C28" s="176">
        <v>63</v>
      </c>
      <c r="F28" s="331">
        <v>300</v>
      </c>
      <c r="G28" s="332">
        <v>6.0100000000000001E-2</v>
      </c>
      <c r="H28" s="333">
        <f t="shared" si="0"/>
        <v>7.6633510000000002E-2</v>
      </c>
      <c r="I28" s="332">
        <v>0.16500000000000001</v>
      </c>
      <c r="J28" s="332">
        <v>9.4799999999999995E-2</v>
      </c>
      <c r="K28" s="332">
        <f t="shared" si="1"/>
        <v>2.0470555624038783E-4</v>
      </c>
      <c r="L28" s="332">
        <f t="shared" si="2"/>
        <v>1.9932288879249356E-4</v>
      </c>
      <c r="M28" s="332">
        <f t="shared" si="3"/>
        <v>1.91033909371531E-4</v>
      </c>
      <c r="N28" s="334">
        <f t="shared" si="4"/>
        <v>1.7869474671729108E-4</v>
      </c>
      <c r="O28" s="335">
        <v>790</v>
      </c>
      <c r="P28" s="362" t="s">
        <v>433</v>
      </c>
      <c r="Q28" s="362" t="s">
        <v>491</v>
      </c>
      <c r="R28" s="392" t="s">
        <v>336</v>
      </c>
      <c r="S28" s="396" t="s">
        <v>525</v>
      </c>
      <c r="T28" s="284" t="s">
        <v>307</v>
      </c>
      <c r="U28" s="284" t="s">
        <v>410</v>
      </c>
      <c r="W28" s="331"/>
      <c r="X28" s="335"/>
      <c r="Y28" s="331">
        <v>185</v>
      </c>
      <c r="Z28" s="335">
        <v>575</v>
      </c>
      <c r="AP28" s="128"/>
    </row>
    <row r="29" spans="1:42" x14ac:dyDescent="0.3">
      <c r="A29" s="174">
        <v>160</v>
      </c>
      <c r="B29" s="175"/>
      <c r="C29" s="176"/>
      <c r="F29" s="331">
        <v>400</v>
      </c>
      <c r="G29" s="338">
        <v>4.7E-2</v>
      </c>
      <c r="H29" s="339">
        <f t="shared" si="0"/>
        <v>5.9929700000000009E-2</v>
      </c>
      <c r="I29" s="338">
        <v>0.16400000000000001</v>
      </c>
      <c r="J29" s="338">
        <v>9.4299999999999995E-2</v>
      </c>
      <c r="K29" s="332">
        <f t="shared" si="1"/>
        <v>1.8104046291813551E-4</v>
      </c>
      <c r="L29" s="332">
        <f t="shared" si="2"/>
        <v>1.742745961497994E-4</v>
      </c>
      <c r="M29" s="332">
        <f t="shared" si="3"/>
        <v>1.6461774605804199E-4</v>
      </c>
      <c r="N29" s="334">
        <f t="shared" si="4"/>
        <v>1.5064975667558391E-4</v>
      </c>
      <c r="O29" s="340">
        <v>955</v>
      </c>
      <c r="P29" s="362" t="s">
        <v>434</v>
      </c>
      <c r="Q29" s="363"/>
      <c r="R29" s="393" t="s">
        <v>337</v>
      </c>
      <c r="S29" s="396" t="s">
        <v>525</v>
      </c>
      <c r="T29" s="404" t="s">
        <v>412</v>
      </c>
      <c r="U29" s="399" t="s">
        <v>411</v>
      </c>
      <c r="W29" s="331"/>
      <c r="X29" s="335"/>
      <c r="Y29" s="331">
        <v>240</v>
      </c>
      <c r="Z29" s="335">
        <v>690</v>
      </c>
      <c r="AP29" s="128"/>
    </row>
    <row r="30" spans="1:42" x14ac:dyDescent="0.3">
      <c r="A30" s="174">
        <v>200</v>
      </c>
      <c r="B30" s="175"/>
      <c r="C30" s="176"/>
      <c r="F30" s="331">
        <v>500</v>
      </c>
      <c r="G30" s="338">
        <v>3.6600000000000001E-2</v>
      </c>
      <c r="H30" s="339">
        <f t="shared" si="0"/>
        <v>4.6668660000000008E-2</v>
      </c>
      <c r="I30" s="338">
        <v>0.16400000000000001</v>
      </c>
      <c r="J30" s="338">
        <v>9.4299999999999995E-2</v>
      </c>
      <c r="K30" s="332">
        <f>+SQRT(3)*(H30*$B$6+J30*$D$6)/1000</f>
        <v>1.6266542688517298E-4</v>
      </c>
      <c r="L30" s="332">
        <f t="shared" si="2"/>
        <v>1.5475112036477669E-4</v>
      </c>
      <c r="M30" s="332">
        <f t="shared" si="3"/>
        <v>1.4394583052095914E-4</v>
      </c>
      <c r="N30" s="334">
        <f t="shared" si="4"/>
        <v>1.2859971343602889E-4</v>
      </c>
      <c r="O30" s="340">
        <v>1100</v>
      </c>
      <c r="P30" s="362" t="s">
        <v>435</v>
      </c>
      <c r="Q30" s="363"/>
      <c r="R30" s="393" t="s">
        <v>260</v>
      </c>
      <c r="S30" s="396" t="s">
        <v>525</v>
      </c>
      <c r="T30" s="404" t="s">
        <v>412</v>
      </c>
      <c r="U30" s="404" t="s">
        <v>412</v>
      </c>
      <c r="W30" s="341"/>
      <c r="X30" s="335"/>
      <c r="Y30" s="341" t="s">
        <v>108</v>
      </c>
      <c r="Z30" s="335">
        <v>783</v>
      </c>
      <c r="AP30" s="128"/>
    </row>
    <row r="31" spans="1:42" x14ac:dyDescent="0.3">
      <c r="A31" s="174">
        <v>250</v>
      </c>
      <c r="B31" s="175"/>
      <c r="C31" s="176"/>
      <c r="F31" s="341" t="s">
        <v>108</v>
      </c>
      <c r="G31" s="342"/>
      <c r="H31" s="343"/>
      <c r="I31" s="343"/>
      <c r="J31" s="343"/>
      <c r="K31" s="344">
        <f>+K24/2</f>
        <v>1.8691620279569988E-4</v>
      </c>
      <c r="L31" s="344">
        <f>+L24/2</f>
        <v>1.8904991185541696E-4</v>
      </c>
      <c r="M31" s="345">
        <f>+M24/2</f>
        <v>1.8965688741029438E-4</v>
      </c>
      <c r="N31" s="345">
        <f>+N24/2</f>
        <v>1.8912849763327359E-4</v>
      </c>
      <c r="O31" s="346">
        <f>O24*2*0.9</f>
        <v>783</v>
      </c>
      <c r="P31" s="362" t="s">
        <v>476</v>
      </c>
      <c r="Q31" s="317"/>
      <c r="R31" s="336" t="s">
        <v>338</v>
      </c>
      <c r="S31" s="396" t="s">
        <v>524</v>
      </c>
      <c r="T31" s="128"/>
      <c r="W31" s="331"/>
      <c r="X31" s="335"/>
      <c r="Y31" s="331">
        <v>300</v>
      </c>
      <c r="Z31" s="335">
        <v>790</v>
      </c>
      <c r="AP31" s="128"/>
    </row>
    <row r="32" spans="1:42" x14ac:dyDescent="0.3">
      <c r="A32" s="174">
        <v>320</v>
      </c>
      <c r="B32" s="175"/>
      <c r="C32" s="176"/>
      <c r="F32" s="341" t="s">
        <v>223</v>
      </c>
      <c r="G32" s="342"/>
      <c r="H32" s="343"/>
      <c r="I32" s="343"/>
      <c r="J32" s="343"/>
      <c r="K32" s="344">
        <f t="shared" ref="K32:N37" si="5">+K25/2</f>
        <v>1.6098539302745701E-4</v>
      </c>
      <c r="L32" s="344">
        <f t="shared" si="5"/>
        <v>1.6155594788397825E-4</v>
      </c>
      <c r="M32" s="345">
        <f t="shared" si="5"/>
        <v>1.6060896642544807E-4</v>
      </c>
      <c r="N32" s="345">
        <f t="shared" si="5"/>
        <v>1.5822339907837951E-4</v>
      </c>
      <c r="O32" s="346">
        <f t="shared" ref="O32:O37" si="6">O25*2*0.9</f>
        <v>918</v>
      </c>
      <c r="P32" s="362" t="s">
        <v>477</v>
      </c>
      <c r="Q32" s="317"/>
      <c r="R32" s="336" t="s">
        <v>339</v>
      </c>
      <c r="S32" s="396" t="s">
        <v>525</v>
      </c>
      <c r="T32" s="128"/>
      <c r="W32" s="341"/>
      <c r="X32" s="335"/>
      <c r="Y32" s="341" t="s">
        <v>223</v>
      </c>
      <c r="Z32" s="335">
        <v>918</v>
      </c>
      <c r="AP32" s="128"/>
    </row>
    <row r="33" spans="1:42" x14ac:dyDescent="0.3">
      <c r="A33" s="174">
        <v>400</v>
      </c>
      <c r="B33" s="175"/>
      <c r="C33" s="176"/>
      <c r="F33" s="341" t="s">
        <v>109</v>
      </c>
      <c r="G33" s="342"/>
      <c r="H33" s="343"/>
      <c r="I33" s="343"/>
      <c r="J33" s="343"/>
      <c r="K33" s="344">
        <f t="shared" si="5"/>
        <v>1.389883546995355E-4</v>
      </c>
      <c r="L33" s="344">
        <f t="shared" si="5"/>
        <v>1.3818409466056163E-4</v>
      </c>
      <c r="M33" s="345">
        <f t="shared" si="5"/>
        <v>1.3586229830653637E-4</v>
      </c>
      <c r="N33" s="345">
        <f t="shared" si="5"/>
        <v>1.318269530848737E-4</v>
      </c>
      <c r="O33" s="346">
        <f t="shared" si="6"/>
        <v>1035</v>
      </c>
      <c r="P33" s="362" t="s">
        <v>436</v>
      </c>
      <c r="Q33" s="317"/>
      <c r="R33" s="336" t="s">
        <v>340</v>
      </c>
      <c r="S33" s="396" t="s">
        <v>525</v>
      </c>
      <c r="T33" s="128"/>
      <c r="W33" s="331"/>
      <c r="X33" s="335"/>
      <c r="Y33" s="331">
        <v>400</v>
      </c>
      <c r="Z33" s="335">
        <v>955</v>
      </c>
      <c r="AD33" s="397" t="s">
        <v>494</v>
      </c>
      <c r="AE33" s="397" t="s">
        <v>304</v>
      </c>
      <c r="AF33" s="397" t="s">
        <v>302</v>
      </c>
      <c r="AP33" s="128"/>
    </row>
    <row r="34" spans="1:42" x14ac:dyDescent="0.3">
      <c r="A34" s="174">
        <v>500</v>
      </c>
      <c r="B34" s="175"/>
      <c r="C34" s="176"/>
      <c r="F34" s="341" t="s">
        <v>110</v>
      </c>
      <c r="G34" s="347"/>
      <c r="H34" s="348"/>
      <c r="I34" s="348"/>
      <c r="J34" s="348"/>
      <c r="K34" s="344">
        <f t="shared" si="5"/>
        <v>1.1685629954706236E-4</v>
      </c>
      <c r="L34" s="344">
        <f t="shared" si="5"/>
        <v>1.1488928478911653E-4</v>
      </c>
      <c r="M34" s="345">
        <f t="shared" si="5"/>
        <v>1.1143998961030726E-4</v>
      </c>
      <c r="N34" s="345">
        <f t="shared" si="5"/>
        <v>1.0608066737539594E-4</v>
      </c>
      <c r="O34" s="346">
        <f t="shared" si="6"/>
        <v>1242</v>
      </c>
      <c r="P34" s="362" t="s">
        <v>437</v>
      </c>
      <c r="Q34" s="317"/>
      <c r="R34" s="336" t="s">
        <v>341</v>
      </c>
      <c r="S34" s="396" t="s">
        <v>525</v>
      </c>
      <c r="W34" s="341"/>
      <c r="X34" s="335"/>
      <c r="Y34" s="341" t="s">
        <v>109</v>
      </c>
      <c r="Z34" s="335">
        <v>1035</v>
      </c>
      <c r="AD34" s="331">
        <v>6</v>
      </c>
      <c r="AE34" s="399" t="s">
        <v>300</v>
      </c>
      <c r="AF34" s="399" t="s">
        <v>299</v>
      </c>
      <c r="AP34" s="128"/>
    </row>
    <row r="35" spans="1:42" x14ac:dyDescent="0.3">
      <c r="A35" s="174">
        <v>630</v>
      </c>
      <c r="B35" s="175"/>
      <c r="C35" s="176"/>
      <c r="F35" s="349" t="s">
        <v>111</v>
      </c>
      <c r="G35" s="347"/>
      <c r="H35" s="348"/>
      <c r="I35" s="348"/>
      <c r="J35" s="348"/>
      <c r="K35" s="344">
        <f t="shared" si="5"/>
        <v>1.0235277812019391E-4</v>
      </c>
      <c r="L35" s="344">
        <f t="shared" si="5"/>
        <v>9.9661444396246778E-5</v>
      </c>
      <c r="M35" s="345">
        <f t="shared" si="5"/>
        <v>9.5516954685765499E-5</v>
      </c>
      <c r="N35" s="345">
        <f t="shared" si="5"/>
        <v>8.9347373358645538E-5</v>
      </c>
      <c r="O35" s="346">
        <f t="shared" si="6"/>
        <v>1422</v>
      </c>
      <c r="P35" s="364" t="s">
        <v>438</v>
      </c>
      <c r="Q35" s="317"/>
      <c r="R35" s="350" t="s">
        <v>342</v>
      </c>
      <c r="S35" s="396" t="s">
        <v>525</v>
      </c>
      <c r="W35" s="331"/>
      <c r="X35" s="335"/>
      <c r="Y35" s="331">
        <v>500</v>
      </c>
      <c r="Z35" s="335">
        <v>1100</v>
      </c>
      <c r="AD35" s="331">
        <v>10</v>
      </c>
      <c r="AE35" s="399" t="s">
        <v>301</v>
      </c>
      <c r="AF35" s="399" t="s">
        <v>300</v>
      </c>
      <c r="AP35" s="128"/>
    </row>
    <row r="36" spans="1:42" x14ac:dyDescent="0.3">
      <c r="A36" s="174">
        <v>800</v>
      </c>
      <c r="B36" s="175"/>
      <c r="C36" s="176"/>
      <c r="F36" s="349" t="s">
        <v>114</v>
      </c>
      <c r="G36" s="347"/>
      <c r="H36" s="348"/>
      <c r="I36" s="348"/>
      <c r="J36" s="348"/>
      <c r="K36" s="344">
        <f t="shared" si="5"/>
        <v>9.0520231459067753E-5</v>
      </c>
      <c r="L36" s="344">
        <f t="shared" si="5"/>
        <v>8.7137298074899699E-5</v>
      </c>
      <c r="M36" s="345">
        <f t="shared" si="5"/>
        <v>8.2308873029020996E-5</v>
      </c>
      <c r="N36" s="345">
        <f t="shared" si="5"/>
        <v>7.5324878337791956E-5</v>
      </c>
      <c r="O36" s="346">
        <f t="shared" si="6"/>
        <v>1719</v>
      </c>
      <c r="P36" s="364" t="s">
        <v>439</v>
      </c>
      <c r="Q36" s="317"/>
      <c r="R36" s="350" t="s">
        <v>343</v>
      </c>
      <c r="S36" s="396" t="s">
        <v>525</v>
      </c>
      <c r="W36" s="341"/>
      <c r="X36" s="335"/>
      <c r="Y36" s="341" t="s">
        <v>206</v>
      </c>
      <c r="Z36" s="335">
        <v>1174.5</v>
      </c>
      <c r="AD36" s="331">
        <v>16</v>
      </c>
      <c r="AE36" s="399" t="s">
        <v>510</v>
      </c>
      <c r="AF36" s="399" t="s">
        <v>300</v>
      </c>
      <c r="AP36" s="128"/>
    </row>
    <row r="37" spans="1:42" x14ac:dyDescent="0.3">
      <c r="A37" s="174">
        <v>1000</v>
      </c>
      <c r="B37" s="175"/>
      <c r="C37" s="176"/>
      <c r="F37" s="349" t="s">
        <v>117</v>
      </c>
      <c r="G37" s="347"/>
      <c r="H37" s="348"/>
      <c r="I37" s="348"/>
      <c r="J37" s="348"/>
      <c r="K37" s="344">
        <f t="shared" si="5"/>
        <v>8.1332713442586489E-5</v>
      </c>
      <c r="L37" s="344">
        <f t="shared" si="5"/>
        <v>7.7375560182388347E-5</v>
      </c>
      <c r="M37" s="345">
        <f t="shared" si="5"/>
        <v>7.197291526047957E-5</v>
      </c>
      <c r="N37" s="345">
        <f t="shared" si="5"/>
        <v>6.4299856718014444E-5</v>
      </c>
      <c r="O37" s="346">
        <f t="shared" si="6"/>
        <v>1980</v>
      </c>
      <c r="P37" s="364" t="s">
        <v>440</v>
      </c>
      <c r="Q37" s="317"/>
      <c r="R37" s="350" t="s">
        <v>344</v>
      </c>
      <c r="S37" s="396" t="s">
        <v>525</v>
      </c>
      <c r="W37" s="349"/>
      <c r="X37" s="335"/>
      <c r="Y37" s="349" t="s">
        <v>110</v>
      </c>
      <c r="Z37" s="335">
        <v>1242</v>
      </c>
      <c r="AD37" s="331">
        <v>25</v>
      </c>
      <c r="AE37" s="399" t="s">
        <v>303</v>
      </c>
      <c r="AF37" s="399" t="s">
        <v>510</v>
      </c>
      <c r="AP37" s="128"/>
    </row>
    <row r="38" spans="1:42" x14ac:dyDescent="0.3">
      <c r="A38" s="174">
        <v>1250</v>
      </c>
      <c r="B38" s="175"/>
      <c r="C38" s="176"/>
      <c r="F38" s="349"/>
      <c r="G38" s="347"/>
      <c r="H38" s="348"/>
      <c r="I38" s="348"/>
      <c r="J38" s="348"/>
      <c r="K38" s="351"/>
      <c r="L38" s="351"/>
      <c r="M38" s="352"/>
      <c r="N38" s="352"/>
      <c r="O38" s="353"/>
      <c r="P38" s="364"/>
      <c r="Q38" s="317"/>
      <c r="R38" s="350"/>
      <c r="S38" s="16"/>
      <c r="W38" s="349"/>
      <c r="X38" s="335"/>
      <c r="Y38" s="349" t="s">
        <v>314</v>
      </c>
      <c r="Z38" s="335">
        <v>1377</v>
      </c>
      <c r="AD38" s="331">
        <v>35</v>
      </c>
      <c r="AE38" s="399" t="s">
        <v>303</v>
      </c>
      <c r="AF38" s="399" t="s">
        <v>301</v>
      </c>
      <c r="AP38" s="128"/>
    </row>
    <row r="39" spans="1:42" x14ac:dyDescent="0.3">
      <c r="A39" s="174">
        <v>1600</v>
      </c>
      <c r="B39" s="175"/>
      <c r="C39" s="176"/>
      <c r="F39" s="341" t="s">
        <v>206</v>
      </c>
      <c r="G39" s="342"/>
      <c r="H39" s="343"/>
      <c r="I39" s="343"/>
      <c r="J39" s="343"/>
      <c r="K39" s="344">
        <f>+K24/3</f>
        <v>1.2461080186379993E-4</v>
      </c>
      <c r="L39" s="344">
        <f>+L24/3</f>
        <v>1.2603327457027798E-4</v>
      </c>
      <c r="M39" s="344">
        <f>+M24/3</f>
        <v>1.2643792494019626E-4</v>
      </c>
      <c r="N39" s="344">
        <f>+N24/3</f>
        <v>1.2608566508884905E-4</v>
      </c>
      <c r="O39" s="346">
        <f>O24*3*0.9</f>
        <v>1174.5</v>
      </c>
      <c r="P39" s="362" t="s">
        <v>441</v>
      </c>
      <c r="Q39" s="317"/>
      <c r="R39" s="336" t="s">
        <v>345</v>
      </c>
      <c r="S39" s="396" t="s">
        <v>524</v>
      </c>
      <c r="W39" s="349"/>
      <c r="X39" s="335"/>
      <c r="Y39" s="349" t="s">
        <v>111</v>
      </c>
      <c r="Z39" s="335">
        <v>1422</v>
      </c>
      <c r="AD39" s="331">
        <v>50</v>
      </c>
      <c r="AE39" s="399" t="s">
        <v>409</v>
      </c>
      <c r="AF39" s="399" t="s">
        <v>303</v>
      </c>
      <c r="AP39" s="128"/>
    </row>
    <row r="40" spans="1:42" x14ac:dyDescent="0.3">
      <c r="A40" s="174">
        <v>2000</v>
      </c>
      <c r="B40" s="175"/>
      <c r="C40" s="176"/>
      <c r="F40" s="341" t="s">
        <v>314</v>
      </c>
      <c r="G40" s="342"/>
      <c r="H40" s="343"/>
      <c r="I40" s="343"/>
      <c r="J40" s="343"/>
      <c r="K40" s="344">
        <f t="shared" ref="K40:N45" si="7">+K25/3</f>
        <v>1.07323595351638E-4</v>
      </c>
      <c r="L40" s="344">
        <f t="shared" si="7"/>
        <v>1.077039652559855E-4</v>
      </c>
      <c r="M40" s="344">
        <f t="shared" si="7"/>
        <v>1.0707264428363204E-4</v>
      </c>
      <c r="N40" s="344">
        <f t="shared" si="7"/>
        <v>1.05482266052253E-4</v>
      </c>
      <c r="O40" s="346">
        <f t="shared" ref="O40:O45" si="8">O25*3*0.9</f>
        <v>1377</v>
      </c>
      <c r="P40" s="362" t="s">
        <v>442</v>
      </c>
      <c r="Q40" s="317"/>
      <c r="R40" s="336" t="s">
        <v>346</v>
      </c>
      <c r="S40" s="396" t="s">
        <v>525</v>
      </c>
      <c r="W40" s="341"/>
      <c r="X40" s="335"/>
      <c r="Y40" s="341" t="s">
        <v>205</v>
      </c>
      <c r="Z40" s="335">
        <v>1552.5</v>
      </c>
      <c r="AD40" s="331">
        <v>70</v>
      </c>
      <c r="AE40" s="399" t="s">
        <v>410</v>
      </c>
      <c r="AF40" s="399" t="s">
        <v>409</v>
      </c>
      <c r="AP40" s="128"/>
    </row>
    <row r="41" spans="1:42" x14ac:dyDescent="0.3">
      <c r="A41" s="174">
        <v>2500</v>
      </c>
      <c r="B41" s="175"/>
      <c r="C41" s="176"/>
      <c r="F41" s="341" t="s">
        <v>205</v>
      </c>
      <c r="G41" s="342"/>
      <c r="H41" s="343"/>
      <c r="I41" s="343"/>
      <c r="J41" s="343"/>
      <c r="K41" s="344">
        <f t="shared" si="7"/>
        <v>9.2658903133023668E-5</v>
      </c>
      <c r="L41" s="344">
        <f t="shared" si="7"/>
        <v>9.2122729773707755E-5</v>
      </c>
      <c r="M41" s="344">
        <f t="shared" si="7"/>
        <v>9.0574865537690908E-5</v>
      </c>
      <c r="N41" s="344">
        <f t="shared" si="7"/>
        <v>8.7884635389915799E-5</v>
      </c>
      <c r="O41" s="346">
        <f t="shared" si="8"/>
        <v>1552.5</v>
      </c>
      <c r="P41" s="362" t="s">
        <v>443</v>
      </c>
      <c r="Q41" s="317"/>
      <c r="R41" s="336" t="s">
        <v>347</v>
      </c>
      <c r="S41" s="396" t="s">
        <v>525</v>
      </c>
      <c r="W41" s="341"/>
      <c r="X41" s="335"/>
      <c r="Y41" s="341" t="s">
        <v>352</v>
      </c>
      <c r="Z41" s="335">
        <v>1566</v>
      </c>
      <c r="AD41" s="331">
        <v>95</v>
      </c>
      <c r="AE41" s="399" t="s">
        <v>411</v>
      </c>
      <c r="AF41" s="399" t="s">
        <v>409</v>
      </c>
      <c r="AP41" s="128"/>
    </row>
    <row r="42" spans="1:42" x14ac:dyDescent="0.3">
      <c r="A42" s="174">
        <v>3200</v>
      </c>
      <c r="B42" s="175"/>
      <c r="C42" s="176"/>
      <c r="F42" s="341" t="s">
        <v>153</v>
      </c>
      <c r="G42" s="347"/>
      <c r="H42" s="348"/>
      <c r="I42" s="348"/>
      <c r="J42" s="348"/>
      <c r="K42" s="344">
        <f t="shared" si="7"/>
        <v>7.7904199698041569E-5</v>
      </c>
      <c r="L42" s="344">
        <f t="shared" si="7"/>
        <v>7.6592856526077685E-5</v>
      </c>
      <c r="M42" s="344">
        <f t="shared" si="7"/>
        <v>7.4293326406871504E-5</v>
      </c>
      <c r="N42" s="344">
        <f t="shared" si="7"/>
        <v>7.0720444916930623E-5</v>
      </c>
      <c r="O42" s="346">
        <f t="shared" si="8"/>
        <v>1863</v>
      </c>
      <c r="P42" s="362" t="s">
        <v>444</v>
      </c>
      <c r="Q42" s="317"/>
      <c r="R42" s="336" t="s">
        <v>348</v>
      </c>
      <c r="S42" s="396" t="s">
        <v>525</v>
      </c>
      <c r="W42" s="341"/>
      <c r="X42" s="335"/>
      <c r="Y42" s="341" t="s">
        <v>114</v>
      </c>
      <c r="Z42" s="335">
        <v>1719</v>
      </c>
      <c r="AD42" s="331">
        <v>120</v>
      </c>
      <c r="AE42" s="399" t="s">
        <v>411</v>
      </c>
      <c r="AF42" s="399" t="s">
        <v>410</v>
      </c>
      <c r="AP42" s="128"/>
    </row>
    <row r="43" spans="1:42" x14ac:dyDescent="0.3">
      <c r="A43" s="174">
        <v>4000</v>
      </c>
      <c r="B43" s="175"/>
      <c r="C43" s="176"/>
      <c r="F43" s="349" t="s">
        <v>112</v>
      </c>
      <c r="G43" s="347"/>
      <c r="H43" s="348"/>
      <c r="I43" s="348"/>
      <c r="J43" s="348"/>
      <c r="K43" s="344">
        <f t="shared" si="7"/>
        <v>6.8235185413462605E-5</v>
      </c>
      <c r="L43" s="344">
        <f t="shared" si="7"/>
        <v>6.644096293083119E-5</v>
      </c>
      <c r="M43" s="344">
        <f t="shared" si="7"/>
        <v>6.3677969790510328E-5</v>
      </c>
      <c r="N43" s="344">
        <f t="shared" si="7"/>
        <v>5.9564915572430359E-5</v>
      </c>
      <c r="O43" s="346">
        <f t="shared" si="8"/>
        <v>2133</v>
      </c>
      <c r="P43" s="364" t="s">
        <v>445</v>
      </c>
      <c r="Q43" s="317"/>
      <c r="R43" s="350" t="s">
        <v>349</v>
      </c>
      <c r="S43" s="396" t="s">
        <v>525</v>
      </c>
      <c r="W43" s="341"/>
      <c r="X43" s="335"/>
      <c r="Y43" s="341" t="s">
        <v>354</v>
      </c>
      <c r="Z43" s="335">
        <v>1836</v>
      </c>
      <c r="AD43" s="331">
        <v>150</v>
      </c>
      <c r="AE43" s="399" t="s">
        <v>411</v>
      </c>
      <c r="AF43" s="399" t="s">
        <v>410</v>
      </c>
      <c r="AP43" s="128"/>
    </row>
    <row r="44" spans="1:42" x14ac:dyDescent="0.3">
      <c r="A44" s="174">
        <v>5000</v>
      </c>
      <c r="B44" s="175"/>
      <c r="C44" s="176"/>
      <c r="F44" s="349" t="s">
        <v>115</v>
      </c>
      <c r="G44" s="347"/>
      <c r="H44" s="348"/>
      <c r="I44" s="348"/>
      <c r="J44" s="348"/>
      <c r="K44" s="344">
        <f t="shared" si="7"/>
        <v>6.0346820972711838E-5</v>
      </c>
      <c r="L44" s="344">
        <f t="shared" si="7"/>
        <v>5.8091532049933133E-5</v>
      </c>
      <c r="M44" s="344">
        <f t="shared" si="7"/>
        <v>5.4872582019347328E-5</v>
      </c>
      <c r="N44" s="344">
        <f t="shared" si="7"/>
        <v>5.0216585558527971E-5</v>
      </c>
      <c r="O44" s="346">
        <f t="shared" si="8"/>
        <v>2578.5</v>
      </c>
      <c r="P44" s="364" t="s">
        <v>446</v>
      </c>
      <c r="Q44" s="317"/>
      <c r="R44" s="350" t="s">
        <v>350</v>
      </c>
      <c r="S44" s="396" t="s">
        <v>525</v>
      </c>
      <c r="W44" s="349"/>
      <c r="X44" s="335"/>
      <c r="Y44" s="349" t="s">
        <v>153</v>
      </c>
      <c r="Z44" s="335">
        <v>1863</v>
      </c>
      <c r="AD44" s="331">
        <v>185</v>
      </c>
      <c r="AE44" s="399" t="s">
        <v>411</v>
      </c>
      <c r="AF44" s="399" t="s">
        <v>511</v>
      </c>
      <c r="AP44" s="128"/>
    </row>
    <row r="45" spans="1:42" x14ac:dyDescent="0.3">
      <c r="A45" s="174">
        <v>6300</v>
      </c>
      <c r="B45" s="180"/>
      <c r="C45" s="176"/>
      <c r="F45" s="349" t="s">
        <v>118</v>
      </c>
      <c r="G45" s="347"/>
      <c r="H45" s="348"/>
      <c r="I45" s="348"/>
      <c r="J45" s="348"/>
      <c r="K45" s="344">
        <f t="shared" si="7"/>
        <v>5.4221808961724324E-5</v>
      </c>
      <c r="L45" s="344">
        <f t="shared" si="7"/>
        <v>5.1583706788258898E-5</v>
      </c>
      <c r="M45" s="344">
        <f t="shared" si="7"/>
        <v>4.798194350698638E-5</v>
      </c>
      <c r="N45" s="344">
        <f t="shared" si="7"/>
        <v>4.2866571145342961E-5</v>
      </c>
      <c r="O45" s="346">
        <f t="shared" si="8"/>
        <v>2970</v>
      </c>
      <c r="P45" s="364" t="s">
        <v>447</v>
      </c>
      <c r="Q45" s="317"/>
      <c r="R45" s="350" t="s">
        <v>351</v>
      </c>
      <c r="S45" s="396" t="s">
        <v>525</v>
      </c>
      <c r="W45" s="349"/>
      <c r="X45" s="335"/>
      <c r="Y45" s="349" t="s">
        <v>361</v>
      </c>
      <c r="Z45" s="335">
        <v>1957.5</v>
      </c>
      <c r="AD45" s="331">
        <v>240</v>
      </c>
      <c r="AE45" s="399" t="s">
        <v>411</v>
      </c>
      <c r="AF45" s="399" t="s">
        <v>411</v>
      </c>
      <c r="AP45" s="128"/>
    </row>
    <row r="46" spans="1:42" x14ac:dyDescent="0.3">
      <c r="A46" s="181">
        <v>8000</v>
      </c>
      <c r="B46" s="182"/>
      <c r="C46" s="183"/>
      <c r="F46" s="349"/>
      <c r="G46" s="347"/>
      <c r="H46" s="348"/>
      <c r="I46" s="348"/>
      <c r="J46" s="348"/>
      <c r="K46" s="351"/>
      <c r="L46" s="351"/>
      <c r="M46" s="352"/>
      <c r="N46" s="352"/>
      <c r="O46" s="353"/>
      <c r="P46" s="364"/>
      <c r="Q46" s="317"/>
      <c r="R46" s="350"/>
      <c r="S46" s="396"/>
      <c r="W46" s="349"/>
      <c r="X46" s="335"/>
      <c r="Y46" s="349" t="s">
        <v>117</v>
      </c>
      <c r="Z46" s="335">
        <v>1980</v>
      </c>
      <c r="AD46" s="331">
        <v>300</v>
      </c>
      <c r="AE46" s="399" t="s">
        <v>411</v>
      </c>
      <c r="AF46" s="399" t="s">
        <v>411</v>
      </c>
      <c r="AP46" s="128"/>
    </row>
    <row r="47" spans="1:42" x14ac:dyDescent="0.3">
      <c r="F47" s="341" t="s">
        <v>352</v>
      </c>
      <c r="G47" s="342"/>
      <c r="H47" s="343"/>
      <c r="I47" s="343"/>
      <c r="J47" s="343"/>
      <c r="K47" s="344">
        <f>+K24/4</f>
        <v>9.345810139784994E-5</v>
      </c>
      <c r="L47" s="344">
        <f>+L24/4</f>
        <v>9.4524955927708482E-5</v>
      </c>
      <c r="M47" s="344">
        <f>+M24/4</f>
        <v>9.4828443705147189E-5</v>
      </c>
      <c r="N47" s="344">
        <f>+N24/4</f>
        <v>9.4564248816636794E-5</v>
      </c>
      <c r="O47" s="346">
        <f>O24*4*0.9</f>
        <v>1566</v>
      </c>
      <c r="P47" s="362" t="s">
        <v>448</v>
      </c>
      <c r="Q47" s="317"/>
      <c r="R47" s="336" t="s">
        <v>353</v>
      </c>
      <c r="S47" s="396" t="s">
        <v>524</v>
      </c>
      <c r="W47" s="341"/>
      <c r="X47" s="335"/>
      <c r="Y47" s="341" t="s">
        <v>154</v>
      </c>
      <c r="Z47" s="335">
        <v>2070</v>
      </c>
      <c r="AD47" s="331">
        <v>400</v>
      </c>
      <c r="AE47" s="404" t="s">
        <v>412</v>
      </c>
      <c r="AF47" s="399" t="s">
        <v>411</v>
      </c>
      <c r="AP47" s="128"/>
    </row>
    <row r="48" spans="1:42" x14ac:dyDescent="0.3">
      <c r="F48" s="341" t="s">
        <v>354</v>
      </c>
      <c r="G48" s="342"/>
      <c r="H48" s="343"/>
      <c r="I48" s="343"/>
      <c r="J48" s="343"/>
      <c r="K48" s="344">
        <f t="shared" ref="K48:N53" si="9">+K25/4</f>
        <v>8.0492696513728503E-5</v>
      </c>
      <c r="L48" s="344">
        <f t="shared" si="9"/>
        <v>8.0777973941989126E-5</v>
      </c>
      <c r="M48" s="344">
        <f t="shared" si="9"/>
        <v>8.0304483212724034E-5</v>
      </c>
      <c r="N48" s="344">
        <f t="shared" si="9"/>
        <v>7.9111699539189753E-5</v>
      </c>
      <c r="O48" s="346">
        <f t="shared" ref="O48:O53" si="10">O25*4*0.9</f>
        <v>1836</v>
      </c>
      <c r="P48" s="362" t="s">
        <v>449</v>
      </c>
      <c r="Q48" s="317"/>
      <c r="R48" s="336" t="s">
        <v>355</v>
      </c>
      <c r="S48" s="396" t="s">
        <v>525</v>
      </c>
      <c r="W48" s="341"/>
      <c r="X48" s="335"/>
      <c r="Y48" s="341" t="s">
        <v>112</v>
      </c>
      <c r="Z48" s="335">
        <v>2133</v>
      </c>
      <c r="AD48" s="331">
        <v>500</v>
      </c>
      <c r="AE48" s="404" t="s">
        <v>412</v>
      </c>
      <c r="AF48" s="404" t="s">
        <v>412</v>
      </c>
      <c r="AP48" s="128"/>
    </row>
    <row r="49" spans="6:42" x14ac:dyDescent="0.3">
      <c r="F49" s="341" t="s">
        <v>154</v>
      </c>
      <c r="G49" s="342"/>
      <c r="H49" s="343"/>
      <c r="I49" s="343"/>
      <c r="J49" s="343"/>
      <c r="K49" s="344">
        <f t="shared" si="9"/>
        <v>6.9494177349767748E-5</v>
      </c>
      <c r="L49" s="344">
        <f t="shared" si="9"/>
        <v>6.9092047330280817E-5</v>
      </c>
      <c r="M49" s="344">
        <f t="shared" si="9"/>
        <v>6.7931149153268184E-5</v>
      </c>
      <c r="N49" s="344">
        <f t="shared" si="9"/>
        <v>6.5913476542436849E-5</v>
      </c>
      <c r="O49" s="346">
        <f t="shared" si="10"/>
        <v>2070</v>
      </c>
      <c r="P49" s="362" t="s">
        <v>450</v>
      </c>
      <c r="Q49" s="317"/>
      <c r="R49" s="336" t="s">
        <v>356</v>
      </c>
      <c r="S49" s="396" t="s">
        <v>525</v>
      </c>
      <c r="W49" s="341"/>
      <c r="X49" s="335"/>
      <c r="Y49" s="341" t="s">
        <v>363</v>
      </c>
      <c r="Z49" s="335">
        <v>2295</v>
      </c>
      <c r="AP49" s="128"/>
    </row>
    <row r="50" spans="6:42" x14ac:dyDescent="0.3">
      <c r="F50" s="341" t="s">
        <v>155</v>
      </c>
      <c r="G50" s="347"/>
      <c r="H50" s="348"/>
      <c r="I50" s="348"/>
      <c r="J50" s="348"/>
      <c r="K50" s="344">
        <f t="shared" si="9"/>
        <v>5.842814977353118E-5</v>
      </c>
      <c r="L50" s="344">
        <f t="shared" si="9"/>
        <v>5.7444642394558264E-5</v>
      </c>
      <c r="M50" s="344">
        <f t="shared" si="9"/>
        <v>5.5719994805153631E-5</v>
      </c>
      <c r="N50" s="344">
        <f t="shared" si="9"/>
        <v>5.3040333687697971E-5</v>
      </c>
      <c r="O50" s="346">
        <f t="shared" si="10"/>
        <v>2484</v>
      </c>
      <c r="P50" s="362" t="s">
        <v>451</v>
      </c>
      <c r="Q50" s="317"/>
      <c r="R50" s="336" t="s">
        <v>357</v>
      </c>
      <c r="S50" s="396" t="s">
        <v>525</v>
      </c>
      <c r="T50" s="128"/>
      <c r="W50" s="341"/>
      <c r="X50" s="335"/>
      <c r="Y50" s="341" t="s">
        <v>371</v>
      </c>
      <c r="Z50" s="335">
        <v>2349</v>
      </c>
      <c r="AP50" s="128"/>
    </row>
    <row r="51" spans="6:42" x14ac:dyDescent="0.3">
      <c r="F51" s="349" t="s">
        <v>113</v>
      </c>
      <c r="G51" s="347"/>
      <c r="H51" s="348"/>
      <c r="I51" s="348"/>
      <c r="J51" s="348"/>
      <c r="K51" s="344">
        <f t="shared" si="9"/>
        <v>5.1176389060096957E-5</v>
      </c>
      <c r="L51" s="344">
        <f t="shared" si="9"/>
        <v>4.9830722198123389E-5</v>
      </c>
      <c r="M51" s="344">
        <f t="shared" si="9"/>
        <v>4.7758477342882749E-5</v>
      </c>
      <c r="N51" s="344">
        <f t="shared" si="9"/>
        <v>4.4673686679322769E-5</v>
      </c>
      <c r="O51" s="346">
        <f t="shared" si="10"/>
        <v>2844</v>
      </c>
      <c r="P51" s="364" t="s">
        <v>452</v>
      </c>
      <c r="Q51" s="317"/>
      <c r="R51" s="350" t="s">
        <v>358</v>
      </c>
      <c r="S51" s="396" t="s">
        <v>525</v>
      </c>
      <c r="T51" s="128"/>
      <c r="W51" s="349"/>
      <c r="X51" s="335"/>
      <c r="Y51" s="349" t="s">
        <v>155</v>
      </c>
      <c r="Z51" s="335">
        <v>2484</v>
      </c>
      <c r="AP51" s="128"/>
    </row>
    <row r="52" spans="6:42" x14ac:dyDescent="0.3">
      <c r="F52" s="349" t="s">
        <v>116</v>
      </c>
      <c r="G52" s="347"/>
      <c r="H52" s="348"/>
      <c r="I52" s="348"/>
      <c r="J52" s="348"/>
      <c r="K52" s="344">
        <f t="shared" si="9"/>
        <v>4.5260115729533877E-5</v>
      </c>
      <c r="L52" s="344">
        <f t="shared" si="9"/>
        <v>4.356864903744985E-5</v>
      </c>
      <c r="M52" s="344">
        <f t="shared" si="9"/>
        <v>4.1154436514510498E-5</v>
      </c>
      <c r="N52" s="344">
        <f t="shared" si="9"/>
        <v>3.7662439168895978E-5</v>
      </c>
      <c r="O52" s="346">
        <f t="shared" si="10"/>
        <v>3438</v>
      </c>
      <c r="P52" s="364" t="s">
        <v>453</v>
      </c>
      <c r="Q52" s="317"/>
      <c r="R52" s="350" t="s">
        <v>359</v>
      </c>
      <c r="S52" s="396" t="s">
        <v>525</v>
      </c>
      <c r="T52" s="128"/>
      <c r="W52" s="349"/>
      <c r="X52" s="335"/>
      <c r="Y52" s="349" t="s">
        <v>115</v>
      </c>
      <c r="Z52" s="335">
        <v>2578.5</v>
      </c>
      <c r="AP52" s="128"/>
    </row>
    <row r="53" spans="6:42" x14ac:dyDescent="0.3">
      <c r="F53" s="349" t="s">
        <v>119</v>
      </c>
      <c r="G53" s="347"/>
      <c r="H53" s="348"/>
      <c r="I53" s="348"/>
      <c r="J53" s="348"/>
      <c r="K53" s="344">
        <f t="shared" si="9"/>
        <v>4.0666356721293244E-5</v>
      </c>
      <c r="L53" s="344">
        <f t="shared" si="9"/>
        <v>3.8687780091194174E-5</v>
      </c>
      <c r="M53" s="344">
        <f t="shared" si="9"/>
        <v>3.5986457630239785E-5</v>
      </c>
      <c r="N53" s="344">
        <f t="shared" si="9"/>
        <v>3.2149928359007222E-5</v>
      </c>
      <c r="O53" s="346">
        <f t="shared" si="10"/>
        <v>3960</v>
      </c>
      <c r="P53" s="364" t="s">
        <v>454</v>
      </c>
      <c r="Q53" s="317"/>
      <c r="R53" s="350" t="s">
        <v>360</v>
      </c>
      <c r="S53" s="396" t="s">
        <v>525</v>
      </c>
      <c r="T53" s="128"/>
      <c r="W53" s="349"/>
      <c r="X53" s="335"/>
      <c r="Y53" s="349" t="s">
        <v>365</v>
      </c>
      <c r="Z53" s="335">
        <v>2587.5</v>
      </c>
      <c r="AP53" s="128"/>
    </row>
    <row r="54" spans="6:42" x14ac:dyDescent="0.3">
      <c r="F54" s="349"/>
      <c r="G54" s="347"/>
      <c r="H54" s="348"/>
      <c r="I54" s="348"/>
      <c r="J54" s="348"/>
      <c r="K54" s="351"/>
      <c r="L54" s="351"/>
      <c r="M54" s="352"/>
      <c r="N54" s="352"/>
      <c r="O54" s="353"/>
      <c r="P54" s="364"/>
      <c r="Q54" s="317"/>
      <c r="R54" s="350"/>
      <c r="S54" s="23"/>
      <c r="T54" s="128"/>
      <c r="W54" s="341"/>
      <c r="X54" s="335"/>
      <c r="Y54" s="341" t="s">
        <v>384</v>
      </c>
      <c r="Z54" s="335">
        <v>2740.5</v>
      </c>
      <c r="AP54" s="128"/>
    </row>
    <row r="55" spans="6:42" x14ac:dyDescent="0.3">
      <c r="F55" s="341" t="s">
        <v>361</v>
      </c>
      <c r="G55" s="342"/>
      <c r="H55" s="343"/>
      <c r="I55" s="343"/>
      <c r="J55" s="343"/>
      <c r="K55" s="344">
        <f>+K24/5</f>
        <v>7.476648111827995E-5</v>
      </c>
      <c r="L55" s="344">
        <f>+L24/5</f>
        <v>7.5619964742166791E-5</v>
      </c>
      <c r="M55" s="344">
        <f>+M24/5</f>
        <v>7.5862754964117751E-5</v>
      </c>
      <c r="N55" s="344">
        <f>+N24/5</f>
        <v>7.5651399053309438E-5</v>
      </c>
      <c r="O55" s="346">
        <f>O24*5*0.9</f>
        <v>1957.5</v>
      </c>
      <c r="P55" s="362" t="s">
        <v>455</v>
      </c>
      <c r="Q55" s="317"/>
      <c r="R55" s="336" t="s">
        <v>362</v>
      </c>
      <c r="S55" s="396" t="s">
        <v>524</v>
      </c>
      <c r="T55" s="128"/>
      <c r="W55" s="341"/>
      <c r="X55" s="335"/>
      <c r="Y55" s="341" t="s">
        <v>373</v>
      </c>
      <c r="Z55" s="335">
        <v>2754</v>
      </c>
      <c r="AP55" s="128"/>
    </row>
    <row r="56" spans="6:42" x14ac:dyDescent="0.3">
      <c r="F56" s="341" t="s">
        <v>363</v>
      </c>
      <c r="G56" s="342"/>
      <c r="H56" s="343"/>
      <c r="I56" s="343"/>
      <c r="J56" s="343"/>
      <c r="K56" s="344">
        <f t="shared" ref="K56:N61" si="11">+K25/5</f>
        <v>6.4394157210982805E-5</v>
      </c>
      <c r="L56" s="344">
        <f t="shared" si="11"/>
        <v>6.4622379153591301E-5</v>
      </c>
      <c r="M56" s="344">
        <f t="shared" si="11"/>
        <v>6.424358657017923E-5</v>
      </c>
      <c r="N56" s="344">
        <f t="shared" si="11"/>
        <v>6.3289359631351808E-5</v>
      </c>
      <c r="O56" s="346">
        <f t="shared" ref="O56:O61" si="12">O25*5*0.9</f>
        <v>2295</v>
      </c>
      <c r="P56" s="362" t="s">
        <v>456</v>
      </c>
      <c r="Q56" s="317"/>
      <c r="R56" s="336" t="s">
        <v>364</v>
      </c>
      <c r="S56" s="396" t="s">
        <v>525</v>
      </c>
      <c r="T56" s="255"/>
      <c r="W56" s="341"/>
      <c r="X56" s="335"/>
      <c r="Y56" s="341" t="s">
        <v>113</v>
      </c>
      <c r="Z56" s="335">
        <v>2844</v>
      </c>
      <c r="AA56" s="256"/>
      <c r="AB56" s="256"/>
      <c r="AC56" s="257"/>
      <c r="AD56" s="257"/>
      <c r="AE56" s="257"/>
      <c r="AF56" s="257"/>
      <c r="AG56" s="257"/>
      <c r="AH56" s="257"/>
      <c r="AI56" s="177"/>
      <c r="AJ56" s="177"/>
      <c r="AK56" s="177"/>
      <c r="AL56" s="257"/>
      <c r="AM56" s="257"/>
      <c r="AN56" s="257"/>
      <c r="AO56" s="204"/>
      <c r="AP56" s="168"/>
    </row>
    <row r="57" spans="6:42" x14ac:dyDescent="0.3">
      <c r="F57" s="341" t="s">
        <v>365</v>
      </c>
      <c r="G57" s="342"/>
      <c r="H57" s="343"/>
      <c r="I57" s="343"/>
      <c r="J57" s="343"/>
      <c r="K57" s="344">
        <f t="shared" si="11"/>
        <v>5.5595341879814198E-5</v>
      </c>
      <c r="L57" s="344">
        <f t="shared" si="11"/>
        <v>5.5273637864224653E-5</v>
      </c>
      <c r="M57" s="344">
        <f t="shared" si="11"/>
        <v>5.4344919322614549E-5</v>
      </c>
      <c r="N57" s="344">
        <f t="shared" si="11"/>
        <v>5.2730781233949478E-5</v>
      </c>
      <c r="O57" s="346">
        <f t="shared" si="12"/>
        <v>2587.5</v>
      </c>
      <c r="P57" s="362" t="s">
        <v>457</v>
      </c>
      <c r="Q57" s="317"/>
      <c r="R57" s="336" t="s">
        <v>366</v>
      </c>
      <c r="S57" s="396" t="s">
        <v>525</v>
      </c>
      <c r="T57" s="255"/>
      <c r="W57" s="341"/>
      <c r="X57" s="335"/>
      <c r="Y57" s="341" t="s">
        <v>118</v>
      </c>
      <c r="Z57" s="335">
        <v>2970</v>
      </c>
      <c r="AA57" s="256"/>
      <c r="AB57" s="256"/>
      <c r="AC57" s="257"/>
      <c r="AD57" s="257"/>
      <c r="AE57" s="257"/>
      <c r="AF57" s="257"/>
      <c r="AG57" s="257"/>
      <c r="AH57" s="257"/>
      <c r="AI57" s="177"/>
      <c r="AJ57" s="177"/>
      <c r="AK57" s="177"/>
      <c r="AL57" s="257"/>
      <c r="AM57" s="257"/>
      <c r="AN57" s="257"/>
      <c r="AO57" s="204"/>
      <c r="AP57" s="168"/>
    </row>
    <row r="58" spans="6:42" x14ac:dyDescent="0.3">
      <c r="F58" s="341" t="s">
        <v>199</v>
      </c>
      <c r="G58" s="347"/>
      <c r="H58" s="348"/>
      <c r="I58" s="348"/>
      <c r="J58" s="348"/>
      <c r="K58" s="344">
        <f t="shared" si="11"/>
        <v>4.6742519818824941E-5</v>
      </c>
      <c r="L58" s="344">
        <f t="shared" si="11"/>
        <v>4.5955713915646614E-5</v>
      </c>
      <c r="M58" s="344">
        <f t="shared" si="11"/>
        <v>4.4575995844122902E-5</v>
      </c>
      <c r="N58" s="344">
        <f t="shared" si="11"/>
        <v>4.2432266950158379E-5</v>
      </c>
      <c r="O58" s="346">
        <f t="shared" si="12"/>
        <v>3105</v>
      </c>
      <c r="P58" s="362" t="s">
        <v>458</v>
      </c>
      <c r="Q58" s="317"/>
      <c r="R58" s="336" t="s">
        <v>367</v>
      </c>
      <c r="S58" s="396" t="s">
        <v>525</v>
      </c>
      <c r="T58" s="255"/>
      <c r="W58" s="349"/>
      <c r="X58" s="335"/>
      <c r="Y58" s="349" t="s">
        <v>199</v>
      </c>
      <c r="Z58" s="335">
        <v>3105</v>
      </c>
      <c r="AA58" s="256"/>
      <c r="AB58" s="256"/>
      <c r="AC58" s="257"/>
      <c r="AD58" s="257"/>
      <c r="AE58" s="257"/>
      <c r="AF58" s="257"/>
      <c r="AG58" s="257"/>
      <c r="AH58" s="257"/>
      <c r="AI58" s="177"/>
      <c r="AJ58" s="177"/>
      <c r="AK58" s="177"/>
      <c r="AL58" s="257"/>
      <c r="AM58" s="257"/>
      <c r="AN58" s="257"/>
      <c r="AO58" s="204"/>
      <c r="AP58" s="168"/>
    </row>
    <row r="59" spans="6:42" x14ac:dyDescent="0.3">
      <c r="F59" s="349" t="s">
        <v>200</v>
      </c>
      <c r="G59" s="347"/>
      <c r="H59" s="348"/>
      <c r="I59" s="348"/>
      <c r="J59" s="348"/>
      <c r="K59" s="344">
        <f t="shared" si="11"/>
        <v>4.0941111248077563E-5</v>
      </c>
      <c r="L59" s="344">
        <f t="shared" si="11"/>
        <v>3.9864577758498714E-5</v>
      </c>
      <c r="M59" s="344">
        <f t="shared" si="11"/>
        <v>3.8206781874306198E-5</v>
      </c>
      <c r="N59" s="344">
        <f t="shared" si="11"/>
        <v>3.5738949343458218E-5</v>
      </c>
      <c r="O59" s="346">
        <f t="shared" si="12"/>
        <v>3555</v>
      </c>
      <c r="P59" s="364" t="s">
        <v>459</v>
      </c>
      <c r="Q59" s="317"/>
      <c r="R59" s="350" t="s">
        <v>368</v>
      </c>
      <c r="S59" s="396" t="s">
        <v>525</v>
      </c>
      <c r="T59" s="255"/>
      <c r="W59" s="349"/>
      <c r="X59" s="335"/>
      <c r="Y59" s="349" t="s">
        <v>375</v>
      </c>
      <c r="Z59" s="335">
        <v>3105</v>
      </c>
      <c r="AA59" s="256"/>
      <c r="AB59" s="256"/>
      <c r="AC59" s="257"/>
      <c r="AD59" s="257"/>
      <c r="AE59" s="257"/>
      <c r="AF59" s="257"/>
      <c r="AG59" s="257"/>
      <c r="AH59" s="257"/>
      <c r="AI59" s="177"/>
      <c r="AJ59" s="177"/>
      <c r="AK59" s="177"/>
      <c r="AL59" s="257"/>
      <c r="AM59" s="257"/>
      <c r="AN59" s="257"/>
      <c r="AO59" s="204"/>
      <c r="AP59" s="168"/>
    </row>
    <row r="60" spans="6:42" x14ac:dyDescent="0.3">
      <c r="F60" s="349" t="s">
        <v>201</v>
      </c>
      <c r="G60" s="347"/>
      <c r="H60" s="348"/>
      <c r="I60" s="348"/>
      <c r="J60" s="348"/>
      <c r="K60" s="344">
        <f t="shared" si="11"/>
        <v>3.6208092583627101E-5</v>
      </c>
      <c r="L60" s="344">
        <f t="shared" si="11"/>
        <v>3.485491922995988E-5</v>
      </c>
      <c r="M60" s="344">
        <f t="shared" si="11"/>
        <v>3.2923549211608398E-5</v>
      </c>
      <c r="N60" s="344">
        <f t="shared" si="11"/>
        <v>3.0129951335116782E-5</v>
      </c>
      <c r="O60" s="346">
        <f t="shared" si="12"/>
        <v>4297.5</v>
      </c>
      <c r="P60" s="364" t="s">
        <v>460</v>
      </c>
      <c r="Q60" s="317"/>
      <c r="R60" s="350" t="s">
        <v>369</v>
      </c>
      <c r="S60" s="396" t="s">
        <v>525</v>
      </c>
      <c r="T60" s="255"/>
      <c r="W60" s="349"/>
      <c r="X60" s="335"/>
      <c r="Y60" s="349" t="s">
        <v>385</v>
      </c>
      <c r="Z60" s="335">
        <v>3213</v>
      </c>
      <c r="AA60" s="256"/>
      <c r="AB60" s="256"/>
      <c r="AC60" s="257"/>
      <c r="AD60" s="257"/>
      <c r="AE60" s="257"/>
      <c r="AF60" s="257"/>
      <c r="AG60" s="257"/>
      <c r="AH60" s="257"/>
      <c r="AI60" s="177"/>
      <c r="AJ60" s="177"/>
      <c r="AK60" s="177"/>
      <c r="AL60" s="257"/>
      <c r="AM60" s="257"/>
      <c r="AN60" s="257"/>
      <c r="AO60" s="204"/>
      <c r="AP60" s="168"/>
    </row>
    <row r="61" spans="6:42" x14ac:dyDescent="0.3">
      <c r="F61" s="349" t="s">
        <v>120</v>
      </c>
      <c r="G61" s="347"/>
      <c r="H61" s="348"/>
      <c r="I61" s="348"/>
      <c r="J61" s="348"/>
      <c r="K61" s="344">
        <f t="shared" si="11"/>
        <v>3.2533085377034593E-5</v>
      </c>
      <c r="L61" s="344">
        <f t="shared" si="11"/>
        <v>3.095022407295534E-5</v>
      </c>
      <c r="M61" s="344">
        <f t="shared" si="11"/>
        <v>2.8789166104191828E-5</v>
      </c>
      <c r="N61" s="344">
        <f t="shared" si="11"/>
        <v>2.5719942687205778E-5</v>
      </c>
      <c r="O61" s="346">
        <f t="shared" si="12"/>
        <v>4950</v>
      </c>
      <c r="P61" s="364" t="s">
        <v>461</v>
      </c>
      <c r="Q61" s="317"/>
      <c r="R61" s="350" t="s">
        <v>370</v>
      </c>
      <c r="S61" s="396" t="s">
        <v>525</v>
      </c>
      <c r="T61" s="255"/>
      <c r="W61" s="341"/>
      <c r="X61" s="335"/>
      <c r="Y61" s="341" t="s">
        <v>116</v>
      </c>
      <c r="Z61" s="335">
        <v>3438</v>
      </c>
      <c r="AA61" s="256"/>
      <c r="AB61" s="256"/>
      <c r="AC61" s="257"/>
      <c r="AD61" s="257"/>
      <c r="AE61" s="257"/>
      <c r="AF61" s="257"/>
      <c r="AG61" s="257"/>
      <c r="AH61" s="257"/>
      <c r="AI61" s="177"/>
      <c r="AJ61" s="177"/>
      <c r="AK61" s="177"/>
      <c r="AL61" s="257"/>
      <c r="AM61" s="257"/>
      <c r="AN61" s="257"/>
      <c r="AO61" s="204"/>
      <c r="AP61" s="168"/>
    </row>
    <row r="62" spans="6:42" x14ac:dyDescent="0.3">
      <c r="F62" s="349"/>
      <c r="G62" s="347"/>
      <c r="H62" s="348"/>
      <c r="I62" s="348"/>
      <c r="J62" s="348"/>
      <c r="K62" s="351"/>
      <c r="L62" s="351"/>
      <c r="M62" s="352"/>
      <c r="N62" s="352"/>
      <c r="O62" s="353"/>
      <c r="P62" s="364"/>
      <c r="Q62" s="317"/>
      <c r="R62" s="350"/>
      <c r="S62" s="23"/>
      <c r="T62" s="255"/>
      <c r="W62" s="341"/>
      <c r="X62" s="335"/>
      <c r="Y62" s="341" t="s">
        <v>200</v>
      </c>
      <c r="Z62" s="335">
        <v>3555</v>
      </c>
      <c r="AA62" s="256"/>
      <c r="AB62" s="256"/>
      <c r="AC62" s="257"/>
      <c r="AD62" s="257"/>
      <c r="AE62" s="257"/>
      <c r="AF62" s="257"/>
      <c r="AG62" s="257"/>
      <c r="AH62" s="257"/>
      <c r="AI62" s="177"/>
      <c r="AJ62" s="177"/>
      <c r="AK62" s="177"/>
      <c r="AL62" s="257"/>
      <c r="AM62" s="257"/>
      <c r="AN62" s="257"/>
      <c r="AO62" s="204"/>
      <c r="AP62" s="168"/>
    </row>
    <row r="63" spans="6:42" x14ac:dyDescent="0.3">
      <c r="F63" s="341" t="s">
        <v>371</v>
      </c>
      <c r="G63" s="342"/>
      <c r="H63" s="343"/>
      <c r="I63" s="343"/>
      <c r="J63" s="343"/>
      <c r="K63" s="344">
        <f>+K24/6</f>
        <v>6.2305400931899965E-5</v>
      </c>
      <c r="L63" s="344">
        <f>+L24/6</f>
        <v>6.3016637285138988E-5</v>
      </c>
      <c r="M63" s="344">
        <f>+M24/6</f>
        <v>6.3218962470098131E-5</v>
      </c>
      <c r="N63" s="344">
        <f>+N24/6</f>
        <v>6.3042832544424524E-5</v>
      </c>
      <c r="O63" s="346">
        <f>O24*6*0.9</f>
        <v>2349</v>
      </c>
      <c r="P63" s="362" t="s">
        <v>462</v>
      </c>
      <c r="Q63" s="317"/>
      <c r="R63" s="336" t="s">
        <v>372</v>
      </c>
      <c r="S63" s="396" t="s">
        <v>524</v>
      </c>
      <c r="T63" s="255"/>
      <c r="W63" s="341"/>
      <c r="X63" s="335"/>
      <c r="Y63" s="341" t="s">
        <v>386</v>
      </c>
      <c r="Z63" s="335">
        <v>3622.5</v>
      </c>
      <c r="AA63" s="256"/>
      <c r="AB63" s="256"/>
      <c r="AC63" s="257"/>
      <c r="AD63" s="257"/>
      <c r="AE63" s="257"/>
      <c r="AF63" s="257"/>
      <c r="AG63" s="257"/>
      <c r="AH63" s="257"/>
      <c r="AI63" s="177"/>
      <c r="AJ63" s="177"/>
      <c r="AK63" s="177"/>
      <c r="AL63" s="257"/>
      <c r="AM63" s="257"/>
      <c r="AN63" s="257"/>
      <c r="AO63" s="204"/>
      <c r="AP63" s="168"/>
    </row>
    <row r="64" spans="6:42" x14ac:dyDescent="0.3">
      <c r="F64" s="341" t="s">
        <v>373</v>
      </c>
      <c r="G64" s="342"/>
      <c r="H64" s="343"/>
      <c r="I64" s="343"/>
      <c r="J64" s="343"/>
      <c r="K64" s="344">
        <f t="shared" ref="K64:N69" si="13">+K25/6</f>
        <v>5.3661797675819E-5</v>
      </c>
      <c r="L64" s="344">
        <f t="shared" si="13"/>
        <v>5.3851982627992751E-5</v>
      </c>
      <c r="M64" s="344">
        <f t="shared" si="13"/>
        <v>5.353632214181602E-5</v>
      </c>
      <c r="N64" s="344">
        <f t="shared" si="13"/>
        <v>5.27411330261265E-5</v>
      </c>
      <c r="O64" s="346">
        <f t="shared" ref="O64:O69" si="14">O25*6*0.9</f>
        <v>2754</v>
      </c>
      <c r="P64" s="362" t="s">
        <v>463</v>
      </c>
      <c r="Q64" s="317"/>
      <c r="R64" s="336" t="s">
        <v>374</v>
      </c>
      <c r="S64" s="396" t="s">
        <v>525</v>
      </c>
      <c r="T64" s="255"/>
      <c r="W64" s="341"/>
      <c r="X64" s="335"/>
      <c r="Y64" s="341" t="s">
        <v>377</v>
      </c>
      <c r="Z64" s="335">
        <v>3726</v>
      </c>
      <c r="AA64" s="256"/>
      <c r="AB64" s="256"/>
      <c r="AC64" s="257"/>
      <c r="AD64" s="257"/>
      <c r="AE64" s="257"/>
      <c r="AF64" s="257"/>
      <c r="AG64" s="257"/>
      <c r="AH64" s="257"/>
      <c r="AI64" s="177"/>
      <c r="AJ64" s="177"/>
      <c r="AK64" s="177"/>
      <c r="AL64" s="257"/>
      <c r="AM64" s="257"/>
      <c r="AN64" s="257"/>
      <c r="AO64" s="204"/>
      <c r="AP64" s="168"/>
    </row>
    <row r="65" spans="1:42" x14ac:dyDescent="0.3">
      <c r="F65" s="341" t="s">
        <v>375</v>
      </c>
      <c r="G65" s="342"/>
      <c r="H65" s="343"/>
      <c r="I65" s="343"/>
      <c r="J65" s="343"/>
      <c r="K65" s="344">
        <f t="shared" si="13"/>
        <v>4.6329451566511834E-5</v>
      </c>
      <c r="L65" s="344">
        <f t="shared" si="13"/>
        <v>4.6061364886853878E-5</v>
      </c>
      <c r="M65" s="344">
        <f t="shared" si="13"/>
        <v>4.5287432768845454E-5</v>
      </c>
      <c r="N65" s="344">
        <f t="shared" si="13"/>
        <v>4.39423176949579E-5</v>
      </c>
      <c r="O65" s="346">
        <f t="shared" si="14"/>
        <v>3105</v>
      </c>
      <c r="P65" s="362" t="s">
        <v>464</v>
      </c>
      <c r="Q65" s="317"/>
      <c r="R65" s="336" t="s">
        <v>376</v>
      </c>
      <c r="S65" s="396" t="s">
        <v>525</v>
      </c>
      <c r="T65" s="255"/>
      <c r="W65" s="349"/>
      <c r="X65" s="335"/>
      <c r="Y65" s="349" t="s">
        <v>119</v>
      </c>
      <c r="Z65" s="335">
        <v>3960</v>
      </c>
      <c r="AA65" s="256"/>
      <c r="AB65" s="256"/>
      <c r="AC65" s="257"/>
      <c r="AD65" s="257"/>
      <c r="AE65" s="257"/>
      <c r="AF65" s="257"/>
      <c r="AG65" s="257"/>
      <c r="AH65" s="257"/>
      <c r="AI65" s="177"/>
      <c r="AJ65" s="177"/>
      <c r="AK65" s="177"/>
      <c r="AL65" s="257"/>
      <c r="AM65" s="257"/>
      <c r="AN65" s="257"/>
      <c r="AO65" s="204"/>
      <c r="AP65" s="168"/>
    </row>
    <row r="66" spans="1:42" x14ac:dyDescent="0.3">
      <c r="F66" s="341" t="s">
        <v>377</v>
      </c>
      <c r="G66" s="347"/>
      <c r="H66" s="348"/>
      <c r="I66" s="348"/>
      <c r="J66" s="348"/>
      <c r="K66" s="344">
        <f t="shared" si="13"/>
        <v>3.8952099849020784E-5</v>
      </c>
      <c r="L66" s="344">
        <f t="shared" si="13"/>
        <v>3.8296428263038843E-5</v>
      </c>
      <c r="M66" s="344">
        <f t="shared" si="13"/>
        <v>3.7146663203435752E-5</v>
      </c>
      <c r="N66" s="344">
        <f t="shared" si="13"/>
        <v>3.5360222458465311E-5</v>
      </c>
      <c r="O66" s="346">
        <f t="shared" si="14"/>
        <v>3726</v>
      </c>
      <c r="P66" s="362" t="s">
        <v>465</v>
      </c>
      <c r="Q66" s="317"/>
      <c r="R66" s="336" t="s">
        <v>378</v>
      </c>
      <c r="S66" s="396" t="s">
        <v>525</v>
      </c>
      <c r="T66" s="255"/>
      <c r="W66" s="349"/>
      <c r="X66" s="335"/>
      <c r="Y66" s="349" t="s">
        <v>275</v>
      </c>
      <c r="Z66" s="335">
        <v>4266</v>
      </c>
      <c r="AA66" s="256"/>
      <c r="AB66" s="256"/>
      <c r="AC66" s="257"/>
      <c r="AD66" s="257"/>
      <c r="AE66" s="257"/>
      <c r="AF66" s="257"/>
      <c r="AG66" s="257"/>
      <c r="AH66" s="257"/>
      <c r="AI66" s="177"/>
      <c r="AJ66" s="177"/>
      <c r="AK66" s="177"/>
      <c r="AL66" s="257"/>
      <c r="AM66" s="257"/>
      <c r="AN66" s="257"/>
      <c r="AO66" s="204"/>
      <c r="AP66" s="168"/>
    </row>
    <row r="67" spans="1:42" x14ac:dyDescent="0.3">
      <c r="F67" s="349" t="s">
        <v>275</v>
      </c>
      <c r="G67" s="347"/>
      <c r="H67" s="348"/>
      <c r="I67" s="348"/>
      <c r="J67" s="348"/>
      <c r="K67" s="344">
        <f t="shared" si="13"/>
        <v>3.4117592706731303E-5</v>
      </c>
      <c r="L67" s="344">
        <f t="shared" si="13"/>
        <v>3.3220481465415595E-5</v>
      </c>
      <c r="M67" s="344">
        <f t="shared" si="13"/>
        <v>3.1838984895255164E-5</v>
      </c>
      <c r="N67" s="344">
        <f t="shared" si="13"/>
        <v>2.9782457786215179E-5</v>
      </c>
      <c r="O67" s="346">
        <f t="shared" si="14"/>
        <v>4266</v>
      </c>
      <c r="P67" s="364" t="s">
        <v>466</v>
      </c>
      <c r="Q67" s="317"/>
      <c r="R67" s="350" t="s">
        <v>379</v>
      </c>
      <c r="S67" s="396" t="s">
        <v>525</v>
      </c>
      <c r="T67" s="255"/>
      <c r="W67" s="349"/>
      <c r="X67" s="335"/>
      <c r="Y67" s="349" t="s">
        <v>201</v>
      </c>
      <c r="Z67" s="335">
        <v>4297.5</v>
      </c>
      <c r="AA67" s="256"/>
      <c r="AB67" s="256"/>
      <c r="AC67" s="257"/>
      <c r="AD67" s="257"/>
      <c r="AE67" s="257"/>
      <c r="AF67" s="257"/>
      <c r="AG67" s="257"/>
      <c r="AH67" s="257"/>
      <c r="AI67" s="177"/>
      <c r="AJ67" s="177"/>
      <c r="AK67" s="177"/>
      <c r="AL67" s="257"/>
      <c r="AM67" s="257"/>
      <c r="AN67" s="257"/>
      <c r="AO67" s="204"/>
      <c r="AP67" s="168"/>
    </row>
    <row r="68" spans="1:42" x14ac:dyDescent="0.3">
      <c r="F68" s="349" t="s">
        <v>380</v>
      </c>
      <c r="G68" s="347"/>
      <c r="H68" s="348"/>
      <c r="I68" s="348"/>
      <c r="J68" s="348"/>
      <c r="K68" s="344">
        <f t="shared" si="13"/>
        <v>3.0173410486355919E-5</v>
      </c>
      <c r="L68" s="344">
        <f t="shared" si="13"/>
        <v>2.9045766024966566E-5</v>
      </c>
      <c r="M68" s="344">
        <f t="shared" si="13"/>
        <v>2.7436291009673664E-5</v>
      </c>
      <c r="N68" s="344">
        <f t="shared" si="13"/>
        <v>2.5108292779263985E-5</v>
      </c>
      <c r="O68" s="346">
        <f t="shared" si="14"/>
        <v>5157</v>
      </c>
      <c r="P68" s="364" t="s">
        <v>467</v>
      </c>
      <c r="Q68" s="317"/>
      <c r="R68" s="350" t="s">
        <v>381</v>
      </c>
      <c r="S68" s="396" t="s">
        <v>525</v>
      </c>
      <c r="T68" s="255"/>
      <c r="W68" s="341"/>
      <c r="X68" s="335"/>
      <c r="Y68" s="341" t="s">
        <v>387</v>
      </c>
      <c r="Z68" s="335">
        <v>4347</v>
      </c>
      <c r="AA68" s="256"/>
      <c r="AB68" s="256"/>
      <c r="AC68" s="257"/>
      <c r="AD68" s="257"/>
      <c r="AE68" s="257"/>
      <c r="AF68" s="257"/>
      <c r="AG68" s="257"/>
      <c r="AH68" s="257"/>
      <c r="AI68" s="177"/>
      <c r="AJ68" s="177"/>
      <c r="AK68" s="177"/>
      <c r="AL68" s="257"/>
      <c r="AM68" s="257"/>
      <c r="AN68" s="257"/>
      <c r="AO68" s="204"/>
      <c r="AP68" s="168"/>
    </row>
    <row r="69" spans="1:42" x14ac:dyDescent="0.3">
      <c r="F69" s="349" t="s">
        <v>382</v>
      </c>
      <c r="G69" s="348"/>
      <c r="H69" s="348"/>
      <c r="I69" s="348"/>
      <c r="J69" s="348"/>
      <c r="K69" s="344">
        <f t="shared" si="13"/>
        <v>2.7110904480862162E-5</v>
      </c>
      <c r="L69" s="344">
        <f t="shared" si="13"/>
        <v>2.5791853394129449E-5</v>
      </c>
      <c r="M69" s="344">
        <f t="shared" si="13"/>
        <v>2.399097175349319E-5</v>
      </c>
      <c r="N69" s="344">
        <f t="shared" si="13"/>
        <v>2.143328557267148E-5</v>
      </c>
      <c r="O69" s="346">
        <f t="shared" si="14"/>
        <v>5940</v>
      </c>
      <c r="P69" s="364" t="s">
        <v>468</v>
      </c>
      <c r="Q69" s="317"/>
      <c r="R69" s="350" t="s">
        <v>383</v>
      </c>
      <c r="S69" s="396" t="s">
        <v>525</v>
      </c>
      <c r="T69" s="255"/>
      <c r="W69" s="341"/>
      <c r="X69" s="335"/>
      <c r="Y69" s="341" t="s">
        <v>120</v>
      </c>
      <c r="Z69" s="335">
        <v>4950</v>
      </c>
      <c r="AA69" s="256"/>
      <c r="AB69" s="256"/>
      <c r="AC69" s="257"/>
      <c r="AD69" s="257"/>
      <c r="AE69" s="257"/>
      <c r="AF69" s="257"/>
      <c r="AG69" s="257"/>
      <c r="AH69" s="257"/>
      <c r="AI69" s="177"/>
      <c r="AJ69" s="177"/>
      <c r="AK69" s="177"/>
      <c r="AL69" s="257"/>
      <c r="AM69" s="257"/>
      <c r="AN69" s="257"/>
      <c r="AO69" s="204"/>
      <c r="AP69" s="168"/>
    </row>
    <row r="70" spans="1:42" x14ac:dyDescent="0.3">
      <c r="F70" s="349"/>
      <c r="G70" s="348"/>
      <c r="H70" s="348"/>
      <c r="I70" s="348"/>
      <c r="J70" s="348"/>
      <c r="K70" s="354"/>
      <c r="L70" s="354"/>
      <c r="M70" s="355"/>
      <c r="N70" s="355"/>
      <c r="O70" s="353"/>
      <c r="P70" s="364"/>
      <c r="Q70" s="317"/>
      <c r="R70" s="350"/>
      <c r="S70" s="23"/>
      <c r="T70" s="255"/>
      <c r="W70" s="341"/>
      <c r="X70" s="335"/>
      <c r="Y70" s="341" t="s">
        <v>388</v>
      </c>
      <c r="Z70" s="335">
        <v>4977</v>
      </c>
      <c r="AA70" s="256"/>
      <c r="AB70" s="256"/>
      <c r="AC70" s="257"/>
      <c r="AD70" s="257"/>
      <c r="AE70" s="257"/>
      <c r="AF70" s="257"/>
      <c r="AG70" s="257"/>
      <c r="AH70" s="257"/>
      <c r="AI70" s="177"/>
      <c r="AJ70" s="177"/>
      <c r="AK70" s="177"/>
      <c r="AL70" s="257"/>
      <c r="AM70" s="257"/>
      <c r="AN70" s="257"/>
      <c r="AO70" s="204"/>
      <c r="AP70" s="168"/>
    </row>
    <row r="71" spans="1:42" x14ac:dyDescent="0.3">
      <c r="F71" s="341" t="s">
        <v>384</v>
      </c>
      <c r="G71" s="342"/>
      <c r="H71" s="343"/>
      <c r="I71" s="343"/>
      <c r="J71" s="343"/>
      <c r="K71" s="344">
        <f>+K24/7</f>
        <v>5.3404629370199964E-5</v>
      </c>
      <c r="L71" s="344">
        <f>+L24/7</f>
        <v>5.4014260530119134E-5</v>
      </c>
      <c r="M71" s="344">
        <f>+M24/7</f>
        <v>5.4187682117226968E-5</v>
      </c>
      <c r="N71" s="344">
        <f>+N24/7</f>
        <v>5.4036713609506741E-5</v>
      </c>
      <c r="O71" s="346">
        <f>O24*7*0.9</f>
        <v>2740.5</v>
      </c>
      <c r="P71" s="362" t="s">
        <v>469</v>
      </c>
      <c r="Q71" s="317"/>
      <c r="R71" s="336"/>
      <c r="S71" s="396" t="s">
        <v>524</v>
      </c>
      <c r="T71" s="255"/>
      <c r="W71" s="341"/>
      <c r="X71" s="335"/>
      <c r="Y71" s="341" t="s">
        <v>380</v>
      </c>
      <c r="Z71" s="335">
        <v>5157</v>
      </c>
      <c r="AA71" s="256"/>
      <c r="AB71" s="256"/>
      <c r="AC71" s="257"/>
      <c r="AD71" s="257"/>
      <c r="AE71" s="257"/>
      <c r="AF71" s="257"/>
      <c r="AG71" s="257"/>
      <c r="AH71" s="257"/>
      <c r="AI71" s="177"/>
      <c r="AJ71" s="177"/>
      <c r="AK71" s="177"/>
      <c r="AL71" s="257"/>
      <c r="AM71" s="257"/>
      <c r="AN71" s="257"/>
      <c r="AO71" s="204"/>
      <c r="AP71" s="168"/>
    </row>
    <row r="72" spans="1:42" x14ac:dyDescent="0.3">
      <c r="F72" s="341" t="s">
        <v>385</v>
      </c>
      <c r="G72" s="342"/>
      <c r="H72" s="343"/>
      <c r="I72" s="343"/>
      <c r="J72" s="343"/>
      <c r="K72" s="344">
        <f t="shared" ref="K72:N77" si="15">+K25/7</f>
        <v>4.5995826579273427E-5</v>
      </c>
      <c r="L72" s="344">
        <f t="shared" si="15"/>
        <v>4.6158842252565212E-5</v>
      </c>
      <c r="M72" s="344">
        <f t="shared" si="15"/>
        <v>4.5888276121556594E-5</v>
      </c>
      <c r="N72" s="344">
        <f t="shared" si="15"/>
        <v>4.5206685450965573E-5</v>
      </c>
      <c r="O72" s="346">
        <f t="shared" ref="O72:O77" si="16">O25*7*0.9</f>
        <v>3213</v>
      </c>
      <c r="P72" s="362" t="s">
        <v>470</v>
      </c>
      <c r="Q72" s="317"/>
      <c r="R72" s="336"/>
      <c r="S72" s="396" t="s">
        <v>525</v>
      </c>
      <c r="T72" s="255"/>
      <c r="W72" s="349"/>
      <c r="X72" s="335"/>
      <c r="Y72" s="349" t="s">
        <v>382</v>
      </c>
      <c r="Z72" s="335">
        <v>5940</v>
      </c>
      <c r="AA72" s="256"/>
      <c r="AB72" s="256"/>
      <c r="AC72" s="257"/>
      <c r="AD72" s="257"/>
      <c r="AE72" s="257"/>
      <c r="AF72" s="257"/>
      <c r="AG72" s="257"/>
      <c r="AH72" s="257"/>
      <c r="AI72" s="177"/>
      <c r="AJ72" s="177"/>
      <c r="AK72" s="177"/>
      <c r="AL72" s="257"/>
      <c r="AM72" s="257"/>
      <c r="AN72" s="257"/>
      <c r="AO72" s="204"/>
      <c r="AP72" s="168"/>
    </row>
    <row r="73" spans="1:42" x14ac:dyDescent="0.3">
      <c r="F73" s="341" t="s">
        <v>386</v>
      </c>
      <c r="G73" s="342"/>
      <c r="H73" s="343"/>
      <c r="I73" s="343"/>
      <c r="J73" s="343"/>
      <c r="K73" s="344">
        <f t="shared" si="15"/>
        <v>3.9710958485581571E-5</v>
      </c>
      <c r="L73" s="344">
        <f t="shared" si="15"/>
        <v>3.9481169903017609E-5</v>
      </c>
      <c r="M73" s="344">
        <f t="shared" si="15"/>
        <v>3.8817799516153245E-5</v>
      </c>
      <c r="N73" s="344">
        <f t="shared" si="15"/>
        <v>3.7664843738535342E-5</v>
      </c>
      <c r="O73" s="346">
        <f t="shared" si="16"/>
        <v>3622.5</v>
      </c>
      <c r="P73" s="362" t="s">
        <v>471</v>
      </c>
      <c r="Q73" s="317"/>
      <c r="R73" s="336"/>
      <c r="S73" s="396" t="s">
        <v>525</v>
      </c>
      <c r="T73" s="255"/>
      <c r="W73" s="349"/>
      <c r="X73" s="335"/>
      <c r="Y73" s="349" t="s">
        <v>389</v>
      </c>
      <c r="Z73" s="335">
        <v>6016.5</v>
      </c>
      <c r="AA73" s="256"/>
      <c r="AB73" s="256"/>
      <c r="AC73" s="257"/>
      <c r="AD73" s="257"/>
      <c r="AE73" s="257"/>
      <c r="AF73" s="257"/>
      <c r="AG73" s="257"/>
      <c r="AH73" s="257"/>
      <c r="AI73" s="177"/>
      <c r="AJ73" s="177"/>
      <c r="AK73" s="177"/>
      <c r="AL73" s="257"/>
      <c r="AM73" s="257"/>
      <c r="AN73" s="257"/>
      <c r="AO73" s="204"/>
      <c r="AP73" s="168"/>
    </row>
    <row r="74" spans="1:42" ht="17.25" thickBot="1" x14ac:dyDescent="0.35">
      <c r="F74" s="341" t="s">
        <v>387</v>
      </c>
      <c r="G74" s="347"/>
      <c r="H74" s="348"/>
      <c r="I74" s="348"/>
      <c r="J74" s="348"/>
      <c r="K74" s="344">
        <f t="shared" si="15"/>
        <v>3.3387514156303529E-5</v>
      </c>
      <c r="L74" s="344">
        <f t="shared" si="15"/>
        <v>3.2825509939747579E-5</v>
      </c>
      <c r="M74" s="344">
        <f t="shared" si="15"/>
        <v>3.183999703151636E-5</v>
      </c>
      <c r="N74" s="344">
        <f t="shared" si="15"/>
        <v>3.0308762107255984E-5</v>
      </c>
      <c r="O74" s="346">
        <f t="shared" si="16"/>
        <v>4347</v>
      </c>
      <c r="P74" s="362" t="s">
        <v>472</v>
      </c>
      <c r="Q74" s="317"/>
      <c r="R74" s="336"/>
      <c r="S74" s="396" t="s">
        <v>525</v>
      </c>
      <c r="T74" s="255"/>
      <c r="W74" s="356"/>
      <c r="X74" s="335"/>
      <c r="Y74" s="356" t="s">
        <v>390</v>
      </c>
      <c r="Z74" s="335">
        <v>6930</v>
      </c>
      <c r="AA74" s="256"/>
      <c r="AB74" s="256"/>
      <c r="AC74" s="257"/>
      <c r="AD74" s="257"/>
      <c r="AE74" s="257"/>
      <c r="AF74" s="257"/>
      <c r="AG74" s="257"/>
      <c r="AH74" s="257"/>
      <c r="AI74" s="177"/>
      <c r="AJ74" s="177"/>
      <c r="AK74" s="177"/>
      <c r="AL74" s="257"/>
      <c r="AM74" s="257"/>
      <c r="AN74" s="257"/>
      <c r="AO74" s="204"/>
      <c r="AP74" s="168"/>
    </row>
    <row r="75" spans="1:42" x14ac:dyDescent="0.3">
      <c r="F75" s="349" t="s">
        <v>388</v>
      </c>
      <c r="G75" s="347"/>
      <c r="H75" s="348"/>
      <c r="I75" s="348"/>
      <c r="J75" s="348"/>
      <c r="K75" s="344">
        <f t="shared" si="15"/>
        <v>2.9243650891483975E-5</v>
      </c>
      <c r="L75" s="344">
        <f t="shared" si="15"/>
        <v>2.8474698398927651E-5</v>
      </c>
      <c r="M75" s="344">
        <f t="shared" si="15"/>
        <v>2.7290558481647285E-5</v>
      </c>
      <c r="N75" s="344">
        <f t="shared" si="15"/>
        <v>2.5527820959613012E-5</v>
      </c>
      <c r="O75" s="346">
        <f t="shared" si="16"/>
        <v>4977</v>
      </c>
      <c r="P75" s="364" t="s">
        <v>473</v>
      </c>
      <c r="Q75" s="317"/>
      <c r="R75" s="350"/>
      <c r="S75" s="396" t="s">
        <v>525</v>
      </c>
      <c r="T75" s="255"/>
      <c r="X75" s="135"/>
      <c r="Y75" s="256"/>
      <c r="Z75" s="256"/>
      <c r="AA75" s="256"/>
      <c r="AB75" s="256"/>
      <c r="AC75" s="257"/>
      <c r="AD75" s="257"/>
      <c r="AE75" s="257"/>
      <c r="AF75" s="257"/>
      <c r="AG75" s="257"/>
      <c r="AH75" s="257"/>
      <c r="AI75" s="177"/>
      <c r="AJ75" s="177"/>
      <c r="AK75" s="177"/>
      <c r="AL75" s="257"/>
      <c r="AM75" s="257"/>
      <c r="AN75" s="257"/>
      <c r="AO75" s="204"/>
      <c r="AP75" s="168"/>
    </row>
    <row r="76" spans="1:42" x14ac:dyDescent="0.3">
      <c r="F76" s="349" t="s">
        <v>389</v>
      </c>
      <c r="G76" s="347"/>
      <c r="H76" s="348"/>
      <c r="I76" s="348"/>
      <c r="J76" s="348"/>
      <c r="K76" s="344">
        <f t="shared" si="15"/>
        <v>2.5862923274019359E-5</v>
      </c>
      <c r="L76" s="344">
        <f t="shared" si="15"/>
        <v>2.4896370878542772E-5</v>
      </c>
      <c r="M76" s="344">
        <f t="shared" si="15"/>
        <v>2.3516820865434572E-5</v>
      </c>
      <c r="N76" s="344">
        <f t="shared" si="15"/>
        <v>2.1521393810797702E-5</v>
      </c>
      <c r="O76" s="346">
        <f t="shared" si="16"/>
        <v>6016.5</v>
      </c>
      <c r="P76" s="364" t="s">
        <v>474</v>
      </c>
      <c r="Q76" s="317"/>
      <c r="R76" s="350"/>
      <c r="S76" s="396" t="s">
        <v>525</v>
      </c>
      <c r="T76" s="255"/>
      <c r="X76" s="135"/>
      <c r="Y76" s="256"/>
      <c r="Z76" s="256"/>
      <c r="AA76" s="256"/>
      <c r="AB76" s="256"/>
      <c r="AC76" s="257"/>
      <c r="AD76" s="257"/>
      <c r="AE76" s="257"/>
      <c r="AF76" s="257"/>
      <c r="AG76" s="257"/>
      <c r="AH76" s="257"/>
      <c r="AI76" s="177"/>
      <c r="AJ76" s="177"/>
      <c r="AK76" s="177"/>
      <c r="AL76" s="257"/>
      <c r="AM76" s="257"/>
      <c r="AN76" s="257"/>
      <c r="AO76" s="204"/>
      <c r="AP76" s="168"/>
    </row>
    <row r="77" spans="1:42" ht="17.25" thickBot="1" x14ac:dyDescent="0.35">
      <c r="F77" s="356" t="s">
        <v>390</v>
      </c>
      <c r="G77" s="357"/>
      <c r="H77" s="358"/>
      <c r="I77" s="358"/>
      <c r="J77" s="358"/>
      <c r="K77" s="344">
        <f t="shared" si="15"/>
        <v>2.3237918126453284E-5</v>
      </c>
      <c r="L77" s="344">
        <f t="shared" si="15"/>
        <v>2.2107302909253812E-5</v>
      </c>
      <c r="M77" s="344">
        <f t="shared" si="15"/>
        <v>2.0563690074422734E-5</v>
      </c>
      <c r="N77" s="344">
        <f t="shared" si="15"/>
        <v>1.8371387633718412E-5</v>
      </c>
      <c r="O77" s="346">
        <f t="shared" si="16"/>
        <v>6930</v>
      </c>
      <c r="P77" s="365" t="s">
        <v>475</v>
      </c>
      <c r="Q77" s="317"/>
      <c r="R77" s="359"/>
      <c r="S77" s="396" t="s">
        <v>525</v>
      </c>
      <c r="T77" s="255"/>
      <c r="X77" s="135"/>
      <c r="Y77" s="256"/>
      <c r="Z77" s="256"/>
      <c r="AA77" s="256"/>
      <c r="AB77" s="256"/>
      <c r="AC77" s="257"/>
      <c r="AD77" s="257"/>
      <c r="AE77" s="257"/>
      <c r="AF77" s="257"/>
      <c r="AG77" s="257"/>
      <c r="AH77" s="257"/>
      <c r="AI77" s="177"/>
      <c r="AJ77" s="177"/>
      <c r="AK77" s="177"/>
      <c r="AL77" s="257"/>
      <c r="AM77" s="257"/>
      <c r="AN77" s="257"/>
      <c r="AO77" s="204"/>
      <c r="AP77" s="168"/>
    </row>
    <row r="78" spans="1:42" x14ac:dyDescent="0.3">
      <c r="F78" s="255"/>
      <c r="G78" s="135"/>
      <c r="H78" s="256"/>
      <c r="I78" s="256"/>
      <c r="J78" s="256"/>
      <c r="K78" s="257"/>
      <c r="L78" s="257"/>
      <c r="M78" s="257"/>
      <c r="N78" s="257"/>
      <c r="O78" s="257"/>
      <c r="P78" s="366"/>
      <c r="Q78" s="366"/>
      <c r="R78" s="366"/>
      <c r="S78" s="203"/>
      <c r="T78" s="255"/>
      <c r="W78" s="255"/>
      <c r="X78" s="135"/>
      <c r="Y78" s="256"/>
      <c r="Z78" s="256"/>
      <c r="AA78" s="256"/>
      <c r="AB78" s="256"/>
      <c r="AC78" s="257"/>
      <c r="AD78" s="257"/>
      <c r="AE78" s="257"/>
      <c r="AF78" s="257"/>
      <c r="AG78" s="257"/>
      <c r="AH78" s="257"/>
      <c r="AI78" s="177"/>
      <c r="AJ78" s="177"/>
      <c r="AK78" s="177"/>
      <c r="AL78" s="257"/>
      <c r="AM78" s="257"/>
      <c r="AN78" s="257"/>
      <c r="AO78" s="204"/>
      <c r="AP78" s="168"/>
    </row>
    <row r="79" spans="1:42" x14ac:dyDescent="0.3">
      <c r="F79" s="255"/>
      <c r="G79" s="135"/>
      <c r="H79" s="256"/>
      <c r="I79" s="256"/>
      <c r="J79" s="256"/>
      <c r="K79" s="257"/>
      <c r="L79" s="257"/>
      <c r="M79" s="257"/>
      <c r="N79" s="257"/>
      <c r="O79" s="257"/>
      <c r="P79" s="366"/>
      <c r="Q79" s="366"/>
      <c r="R79" s="366"/>
      <c r="S79" s="203"/>
      <c r="T79" s="255"/>
      <c r="W79" s="255"/>
      <c r="X79" s="135"/>
      <c r="Y79" s="256"/>
      <c r="Z79" s="256"/>
      <c r="AA79" s="256"/>
      <c r="AB79" s="256"/>
      <c r="AC79" s="257"/>
      <c r="AD79" s="257"/>
      <c r="AE79" s="257"/>
      <c r="AF79" s="257"/>
      <c r="AG79" s="257"/>
      <c r="AH79" s="257"/>
      <c r="AI79" s="177"/>
      <c r="AJ79" s="177"/>
      <c r="AK79" s="177"/>
      <c r="AL79" s="257"/>
      <c r="AM79" s="257"/>
      <c r="AN79" s="257"/>
      <c r="AO79" s="204"/>
      <c r="AP79" s="168"/>
    </row>
    <row r="80" spans="1:42" x14ac:dyDescent="0.3">
      <c r="A80" s="128" t="s">
        <v>256</v>
      </c>
      <c r="F80" s="184" t="s">
        <v>25</v>
      </c>
      <c r="G80" s="185"/>
      <c r="H80" s="185"/>
    </row>
    <row r="81" spans="1:12" x14ac:dyDescent="0.3">
      <c r="F81" s="186"/>
      <c r="K81" s="167"/>
      <c r="L81" s="167"/>
    </row>
    <row r="82" spans="1:12" x14ac:dyDescent="0.3">
      <c r="F82" s="187" t="s">
        <v>26</v>
      </c>
      <c r="I82" s="304">
        <v>25</v>
      </c>
      <c r="J82" s="167" t="s">
        <v>27</v>
      </c>
      <c r="L82" s="167"/>
    </row>
    <row r="83" spans="1:12" x14ac:dyDescent="0.3">
      <c r="F83" s="167" t="s">
        <v>405</v>
      </c>
      <c r="I83" s="304">
        <v>90</v>
      </c>
      <c r="J83" s="167" t="s">
        <v>27</v>
      </c>
      <c r="L83" s="167"/>
    </row>
    <row r="84" spans="1:12" ht="16.149999999999999" customHeight="1" x14ac:dyDescent="0.3">
      <c r="F84" s="167" t="s">
        <v>46</v>
      </c>
      <c r="I84" s="304">
        <v>10</v>
      </c>
      <c r="J84" s="167" t="s">
        <v>3</v>
      </c>
      <c r="L84" s="167"/>
    </row>
    <row r="85" spans="1:12" x14ac:dyDescent="0.3">
      <c r="F85" s="188" t="s">
        <v>54</v>
      </c>
      <c r="G85" s="188"/>
      <c r="I85" s="304">
        <v>2</v>
      </c>
      <c r="J85" s="128" t="s">
        <v>55</v>
      </c>
      <c r="K85" s="167"/>
      <c r="L85" s="167"/>
    </row>
    <row r="86" spans="1:12" x14ac:dyDescent="0.3">
      <c r="D86" s="167"/>
      <c r="F86" s="167"/>
    </row>
    <row r="87" spans="1:12" x14ac:dyDescent="0.3">
      <c r="B87" s="122"/>
      <c r="C87" s="122"/>
      <c r="D87" s="167"/>
      <c r="F87" s="189" t="s">
        <v>60</v>
      </c>
    </row>
    <row r="88" spans="1:12" x14ac:dyDescent="0.3">
      <c r="A88" s="167"/>
      <c r="B88" s="122"/>
      <c r="C88" s="122"/>
      <c r="D88" s="167"/>
      <c r="F88" s="190" t="s">
        <v>56</v>
      </c>
      <c r="G88" s="191"/>
      <c r="H88" s="191"/>
      <c r="I88" s="191"/>
      <c r="J88" s="191"/>
      <c r="K88" s="191"/>
      <c r="L88" s="192"/>
    </row>
    <row r="89" spans="1:12" x14ac:dyDescent="0.3">
      <c r="B89" s="122"/>
      <c r="C89" s="122"/>
      <c r="D89" s="167"/>
      <c r="F89" s="193" t="s">
        <v>57</v>
      </c>
      <c r="G89" s="194"/>
      <c r="H89" s="195"/>
      <c r="I89" s="195"/>
      <c r="J89" s="195"/>
      <c r="K89" s="195"/>
      <c r="L89" s="196"/>
    </row>
    <row r="90" spans="1:12" ht="39.75" x14ac:dyDescent="0.3">
      <c r="B90" s="122"/>
      <c r="C90" s="122"/>
      <c r="D90" s="167"/>
      <c r="F90" s="197" t="s">
        <v>59</v>
      </c>
      <c r="G90" s="389" t="s">
        <v>58</v>
      </c>
      <c r="H90" s="389" t="s">
        <v>150</v>
      </c>
    </row>
    <row r="91" spans="1:12" x14ac:dyDescent="0.3">
      <c r="B91" s="122"/>
      <c r="C91" s="122"/>
      <c r="D91" s="167"/>
      <c r="F91" s="156">
        <v>10</v>
      </c>
      <c r="G91" s="198">
        <v>1.07</v>
      </c>
      <c r="H91" s="198">
        <v>1.1499999999999999</v>
      </c>
    </row>
    <row r="92" spans="1:12" x14ac:dyDescent="0.3">
      <c r="B92" s="122"/>
      <c r="C92" s="122"/>
      <c r="D92" s="167"/>
      <c r="F92" s="156">
        <v>15</v>
      </c>
      <c r="G92" s="198">
        <v>1.04</v>
      </c>
      <c r="H92" s="198">
        <v>1.1200000000000001</v>
      </c>
    </row>
    <row r="93" spans="1:12" x14ac:dyDescent="0.3">
      <c r="B93" s="122"/>
      <c r="C93" s="122"/>
      <c r="D93" s="167"/>
      <c r="F93" s="156">
        <v>20</v>
      </c>
      <c r="G93" s="198">
        <v>1</v>
      </c>
      <c r="H93" s="198">
        <v>1.08</v>
      </c>
    </row>
    <row r="94" spans="1:12" x14ac:dyDescent="0.3">
      <c r="B94" s="122"/>
      <c r="C94" s="122"/>
      <c r="D94" s="167"/>
      <c r="F94" s="391">
        <v>25</v>
      </c>
      <c r="G94" s="311">
        <v>0.96</v>
      </c>
      <c r="H94" s="311">
        <v>1.04</v>
      </c>
    </row>
    <row r="95" spans="1:12" x14ac:dyDescent="0.3">
      <c r="B95" s="122"/>
      <c r="C95" s="122"/>
      <c r="D95" s="167"/>
      <c r="F95" s="156">
        <v>30</v>
      </c>
      <c r="G95" s="390">
        <v>0.93</v>
      </c>
      <c r="H95" s="390">
        <v>1</v>
      </c>
    </row>
    <row r="96" spans="1:12" x14ac:dyDescent="0.3">
      <c r="B96" s="122"/>
      <c r="C96" s="122"/>
      <c r="D96" s="167"/>
      <c r="F96" s="312">
        <v>35</v>
      </c>
      <c r="G96" s="198">
        <v>0.89</v>
      </c>
      <c r="H96" s="198">
        <v>0.96</v>
      </c>
    </row>
    <row r="97" spans="2:57" x14ac:dyDescent="0.3">
      <c r="B97" s="122"/>
      <c r="C97" s="122"/>
      <c r="D97" s="167"/>
      <c r="F97" s="156">
        <v>40</v>
      </c>
      <c r="G97" s="198">
        <v>0.85</v>
      </c>
      <c r="H97" s="198">
        <v>0.91</v>
      </c>
    </row>
    <row r="98" spans="2:57" x14ac:dyDescent="0.3">
      <c r="B98" s="122"/>
      <c r="C98" s="122"/>
      <c r="D98" s="167"/>
      <c r="F98" s="156">
        <v>45</v>
      </c>
      <c r="G98" s="198">
        <v>0.8</v>
      </c>
      <c r="H98" s="198">
        <v>0.87</v>
      </c>
    </row>
    <row r="99" spans="2:57" x14ac:dyDescent="0.3">
      <c r="B99" s="122"/>
      <c r="C99" s="122"/>
      <c r="D99" s="167"/>
      <c r="F99" s="167"/>
    </row>
    <row r="100" spans="2:57" x14ac:dyDescent="0.3">
      <c r="B100" s="122"/>
      <c r="C100" s="122"/>
      <c r="D100" s="167"/>
      <c r="F100" s="189" t="s">
        <v>61</v>
      </c>
    </row>
    <row r="101" spans="2:57" x14ac:dyDescent="0.3">
      <c r="F101" s="199" t="s">
        <v>73</v>
      </c>
      <c r="G101" s="200"/>
      <c r="H101" s="200"/>
      <c r="I101" s="200"/>
      <c r="J101" s="200"/>
      <c r="K101" s="200"/>
      <c r="L101" s="201"/>
    </row>
    <row r="102" spans="2:57" x14ac:dyDescent="0.3">
      <c r="E102" s="121"/>
      <c r="F102" s="202" t="s">
        <v>74</v>
      </c>
      <c r="G102" s="202"/>
      <c r="H102" s="198">
        <v>1</v>
      </c>
      <c r="I102" s="198">
        <v>1.5</v>
      </c>
      <c r="J102" s="79">
        <v>2</v>
      </c>
      <c r="K102" s="198">
        <v>2.5</v>
      </c>
      <c r="L102" s="198">
        <v>3</v>
      </c>
      <c r="M102" s="203"/>
      <c r="N102" s="124"/>
      <c r="O102" s="124"/>
      <c r="P102" s="367"/>
      <c r="Q102" s="367"/>
      <c r="R102" s="367"/>
      <c r="S102" s="152"/>
      <c r="T102" s="152"/>
      <c r="AC102" s="204"/>
    </row>
    <row r="103" spans="2:57" x14ac:dyDescent="0.3">
      <c r="E103" s="121"/>
      <c r="F103" s="202" t="s">
        <v>75</v>
      </c>
      <c r="G103" s="202"/>
      <c r="H103" s="198">
        <v>1.18</v>
      </c>
      <c r="I103" s="198">
        <v>1.1000000000000001</v>
      </c>
      <c r="J103" s="79">
        <v>1.05</v>
      </c>
      <c r="K103" s="198">
        <v>1</v>
      </c>
      <c r="L103" s="198">
        <v>0.96</v>
      </c>
      <c r="M103" s="203"/>
      <c r="N103" s="124"/>
      <c r="O103" s="124"/>
      <c r="P103" s="367"/>
      <c r="Q103" s="367"/>
      <c r="R103" s="367"/>
      <c r="S103" s="152"/>
      <c r="T103" s="152"/>
      <c r="AC103" s="204"/>
    </row>
    <row r="104" spans="2:57" x14ac:dyDescent="0.3">
      <c r="E104" s="121"/>
      <c r="F104" s="121" t="s">
        <v>76</v>
      </c>
      <c r="G104" s="121"/>
      <c r="H104" s="121"/>
      <c r="I104" s="121"/>
      <c r="J104" s="121"/>
      <c r="K104" s="177"/>
      <c r="L104" s="177"/>
      <c r="M104" s="203"/>
      <c r="N104" s="124"/>
      <c r="O104" s="124"/>
      <c r="P104" s="367"/>
      <c r="Q104" s="367"/>
      <c r="R104" s="367"/>
      <c r="S104" s="152"/>
      <c r="T104" s="152"/>
      <c r="AC104" s="204"/>
    </row>
    <row r="105" spans="2:57" ht="33" x14ac:dyDescent="0.3">
      <c r="E105" s="121"/>
      <c r="F105" s="205" t="s">
        <v>74</v>
      </c>
      <c r="G105" s="205" t="s">
        <v>77</v>
      </c>
      <c r="H105" s="206" t="s">
        <v>78</v>
      </c>
      <c r="J105" s="121"/>
      <c r="K105" s="177"/>
      <c r="L105" s="177"/>
      <c r="M105" s="203"/>
      <c r="N105" s="124"/>
      <c r="O105" s="124"/>
      <c r="P105" s="367"/>
      <c r="Q105" s="367"/>
      <c r="R105" s="367"/>
      <c r="S105" s="152"/>
      <c r="T105" s="152"/>
      <c r="AC105" s="204"/>
      <c r="AS105" s="703" t="s">
        <v>413</v>
      </c>
      <c r="AT105" s="703"/>
      <c r="AU105" s="703"/>
      <c r="AV105" s="703"/>
      <c r="AW105" s="703" t="s">
        <v>414</v>
      </c>
      <c r="AX105" s="703"/>
      <c r="AY105" s="703"/>
      <c r="AZ105" s="398"/>
      <c r="BA105" s="398"/>
      <c r="BB105" s="398"/>
    </row>
    <row r="106" spans="2:57" x14ac:dyDescent="0.3">
      <c r="E106" s="121"/>
      <c r="F106" s="207">
        <v>0.7</v>
      </c>
      <c r="G106" s="202" t="s">
        <v>79</v>
      </c>
      <c r="H106" s="202" t="s">
        <v>83</v>
      </c>
      <c r="I106" s="202"/>
      <c r="J106" s="121"/>
      <c r="K106" s="177"/>
      <c r="L106" s="177"/>
      <c r="M106" s="203"/>
      <c r="N106" s="124"/>
      <c r="O106" s="124"/>
      <c r="P106" s="367"/>
      <c r="Q106" s="367"/>
      <c r="R106" s="367"/>
      <c r="S106" s="152"/>
      <c r="T106" s="152"/>
      <c r="AC106" s="204"/>
      <c r="AS106" s="703"/>
      <c r="AT106" s="703"/>
      <c r="AU106" s="703"/>
      <c r="AV106" s="703"/>
      <c r="AW106" s="703"/>
      <c r="AX106" s="703"/>
      <c r="AY106" s="703"/>
      <c r="AZ106" s="398"/>
      <c r="BA106" s="398"/>
      <c r="BB106" s="398"/>
    </row>
    <row r="107" spans="2:57" x14ac:dyDescent="0.3">
      <c r="E107" s="121"/>
      <c r="F107" s="207">
        <v>1</v>
      </c>
      <c r="G107" s="202" t="s">
        <v>80</v>
      </c>
      <c r="H107" s="202" t="s">
        <v>84</v>
      </c>
      <c r="I107" s="202"/>
      <c r="J107" s="121"/>
      <c r="K107" s="177"/>
      <c r="L107" s="177"/>
      <c r="M107" s="203"/>
      <c r="N107" s="124"/>
      <c r="O107" s="124"/>
      <c r="P107" s="367"/>
      <c r="Q107" s="367"/>
      <c r="R107" s="367"/>
      <c r="S107" s="152"/>
      <c r="T107" s="152"/>
      <c r="AC107" s="204"/>
      <c r="AS107" s="395">
        <v>1</v>
      </c>
      <c r="AT107" s="395">
        <v>2</v>
      </c>
      <c r="AU107" s="395"/>
      <c r="AV107" s="395">
        <v>3</v>
      </c>
      <c r="AW107" s="395">
        <v>4</v>
      </c>
      <c r="AX107" s="395">
        <v>5</v>
      </c>
      <c r="AY107" s="395">
        <v>6</v>
      </c>
      <c r="AZ107" s="398"/>
      <c r="BA107" s="398"/>
      <c r="BB107" s="398"/>
    </row>
    <row r="108" spans="2:57" x14ac:dyDescent="0.3">
      <c r="E108" s="121"/>
      <c r="F108" s="307">
        <v>2</v>
      </c>
      <c r="G108" s="306" t="s">
        <v>81</v>
      </c>
      <c r="H108" s="306" t="s">
        <v>85</v>
      </c>
      <c r="I108" s="202"/>
      <c r="J108" s="121"/>
      <c r="K108" s="177"/>
      <c r="L108" s="177"/>
      <c r="M108" s="203"/>
      <c r="N108" s="124"/>
      <c r="O108" s="124"/>
      <c r="P108" s="367"/>
      <c r="Q108" s="367"/>
      <c r="R108" s="367"/>
      <c r="S108" s="152"/>
      <c r="T108" s="152"/>
      <c r="AC108" s="204"/>
      <c r="AS108" s="700">
        <v>100</v>
      </c>
      <c r="AT108" s="701"/>
      <c r="AU108" s="701"/>
      <c r="AV108" s="702"/>
      <c r="AW108" s="697" t="s">
        <v>415</v>
      </c>
      <c r="AX108" s="698"/>
      <c r="AY108" s="699"/>
      <c r="AZ108" s="287"/>
      <c r="BA108" s="287"/>
      <c r="BB108" s="287"/>
    </row>
    <row r="109" spans="2:57" x14ac:dyDescent="0.3">
      <c r="E109" s="121"/>
      <c r="F109" s="207">
        <v>3</v>
      </c>
      <c r="G109" s="202" t="s">
        <v>82</v>
      </c>
      <c r="H109" s="202" t="s">
        <v>86</v>
      </c>
      <c r="I109" s="202"/>
      <c r="J109" s="121"/>
      <c r="K109" s="177"/>
      <c r="L109" s="177"/>
      <c r="M109" s="203"/>
      <c r="N109" s="124"/>
      <c r="O109" s="124"/>
      <c r="P109" s="367"/>
      <c r="Q109" s="367"/>
      <c r="R109" s="367"/>
      <c r="S109" s="152"/>
      <c r="T109" s="152"/>
      <c r="AC109" s="204"/>
      <c r="AS109" s="700">
        <v>101</v>
      </c>
      <c r="AT109" s="701"/>
      <c r="AU109" s="701"/>
      <c r="AV109" s="702"/>
      <c r="AW109" s="697" t="s">
        <v>416</v>
      </c>
      <c r="AX109" s="698"/>
      <c r="AY109" s="699"/>
      <c r="AZ109" s="287"/>
      <c r="BA109" s="287"/>
      <c r="BB109" s="287"/>
    </row>
    <row r="110" spans="2:57" x14ac:dyDescent="0.3">
      <c r="E110" s="121"/>
      <c r="F110" s="121"/>
      <c r="G110" s="121"/>
      <c r="H110" s="121"/>
      <c r="I110" s="121"/>
      <c r="J110" s="121"/>
      <c r="K110" s="177"/>
      <c r="L110" s="177"/>
      <c r="M110" s="203"/>
      <c r="N110" s="124"/>
      <c r="O110" s="124"/>
      <c r="P110" s="367"/>
      <c r="Q110" s="367"/>
      <c r="R110" s="367"/>
      <c r="S110" s="152"/>
      <c r="T110" s="152"/>
      <c r="AC110" s="204"/>
      <c r="AS110" s="700">
        <v>125</v>
      </c>
      <c r="AT110" s="701"/>
      <c r="AU110" s="701"/>
      <c r="AV110" s="702"/>
      <c r="AW110" s="697" t="s">
        <v>416</v>
      </c>
      <c r="AX110" s="698"/>
      <c r="AY110" s="699"/>
      <c r="AZ110" s="287"/>
      <c r="BA110" s="287"/>
      <c r="BB110" s="287"/>
      <c r="BC110" s="287"/>
      <c r="BD110" s="287"/>
      <c r="BE110" s="287"/>
    </row>
    <row r="111" spans="2:57" x14ac:dyDescent="0.3">
      <c r="E111" s="121"/>
      <c r="F111" s="121" t="s">
        <v>404</v>
      </c>
      <c r="G111" s="121"/>
      <c r="H111" s="121"/>
      <c r="I111" s="121"/>
      <c r="J111" s="121"/>
      <c r="K111" s="177"/>
      <c r="L111" s="177"/>
      <c r="M111" s="203"/>
      <c r="N111" s="124"/>
      <c r="O111" s="124"/>
      <c r="P111" s="367"/>
      <c r="Q111" s="367"/>
      <c r="R111" s="367"/>
      <c r="S111" s="152"/>
      <c r="T111" s="152"/>
      <c r="AC111" s="204"/>
      <c r="AS111" s="700">
        <v>126</v>
      </c>
      <c r="AT111" s="701"/>
      <c r="AU111" s="701"/>
      <c r="AV111" s="702"/>
      <c r="AW111" s="697" t="s">
        <v>417</v>
      </c>
      <c r="AX111" s="698"/>
      <c r="AY111" s="699"/>
      <c r="AZ111" s="287"/>
      <c r="BA111" s="287"/>
      <c r="BB111" s="287"/>
      <c r="BC111" s="287"/>
      <c r="BD111" s="287"/>
      <c r="BE111" s="287"/>
    </row>
    <row r="112" spans="2:57" x14ac:dyDescent="0.3">
      <c r="E112" s="121"/>
      <c r="F112" s="202" t="s">
        <v>88</v>
      </c>
      <c r="G112" s="431"/>
      <c r="H112" s="432">
        <v>0.4</v>
      </c>
      <c r="I112" s="432">
        <v>0.5</v>
      </c>
      <c r="J112" s="432">
        <v>0.6</v>
      </c>
      <c r="K112" s="432">
        <v>0.7</v>
      </c>
      <c r="L112" s="432">
        <v>0.8</v>
      </c>
      <c r="M112" s="433">
        <v>0.9</v>
      </c>
      <c r="N112" s="309">
        <v>1</v>
      </c>
      <c r="O112" s="432">
        <v>1.2</v>
      </c>
      <c r="T112" s="123"/>
      <c r="AC112" s="204"/>
      <c r="AS112" s="700">
        <v>165</v>
      </c>
      <c r="AT112" s="701"/>
      <c r="AU112" s="701"/>
      <c r="AV112" s="702"/>
      <c r="AW112" s="697" t="s">
        <v>417</v>
      </c>
      <c r="AX112" s="698"/>
      <c r="AY112" s="699"/>
      <c r="AZ112" s="287"/>
      <c r="BA112" s="287"/>
      <c r="BB112" s="287"/>
      <c r="BC112" s="287"/>
      <c r="BD112" s="287"/>
      <c r="BE112" s="287"/>
    </row>
    <row r="113" spans="5:57" x14ac:dyDescent="0.3">
      <c r="E113" s="121"/>
      <c r="F113" s="202" t="s">
        <v>89</v>
      </c>
      <c r="G113" s="431"/>
      <c r="H113" s="432">
        <v>1.03</v>
      </c>
      <c r="I113" s="432">
        <v>1.02</v>
      </c>
      <c r="J113" s="432">
        <v>1.01</v>
      </c>
      <c r="K113" s="432">
        <v>1</v>
      </c>
      <c r="L113" s="432">
        <v>0.99</v>
      </c>
      <c r="M113" s="433">
        <v>0.98</v>
      </c>
      <c r="N113" s="309">
        <v>0.97</v>
      </c>
      <c r="O113" s="432">
        <v>0.95</v>
      </c>
      <c r="T113" s="123"/>
      <c r="AC113" s="204"/>
      <c r="AS113" s="700">
        <v>166</v>
      </c>
      <c r="AT113" s="701"/>
      <c r="AU113" s="701"/>
      <c r="AV113" s="702"/>
      <c r="AW113" s="697" t="s">
        <v>417</v>
      </c>
      <c r="AX113" s="698"/>
      <c r="AY113" s="699"/>
      <c r="AZ113" s="287"/>
      <c r="BA113" s="287"/>
      <c r="BB113" s="287"/>
      <c r="BC113" s="287"/>
      <c r="BD113" s="287"/>
      <c r="BE113" s="287"/>
    </row>
    <row r="114" spans="5:57" x14ac:dyDescent="0.3">
      <c r="E114" s="121"/>
      <c r="F114" s="121"/>
      <c r="G114" s="434"/>
      <c r="H114" s="434"/>
      <c r="I114" s="434"/>
      <c r="J114" s="434"/>
      <c r="K114" s="435"/>
      <c r="L114" s="435"/>
      <c r="M114" s="436"/>
      <c r="N114" s="437"/>
      <c r="O114" s="437"/>
      <c r="P114" s="367"/>
      <c r="Q114" s="367"/>
      <c r="R114" s="367"/>
      <c r="S114" s="152"/>
      <c r="T114" s="152"/>
      <c r="AC114" s="204"/>
      <c r="AS114" s="700">
        <v>200</v>
      </c>
      <c r="AT114" s="701"/>
      <c r="AU114" s="701"/>
      <c r="AV114" s="702"/>
      <c r="AW114" s="697" t="s">
        <v>417</v>
      </c>
      <c r="AX114" s="698"/>
      <c r="AY114" s="699"/>
      <c r="AZ114" s="287"/>
      <c r="BA114" s="287"/>
      <c r="BB114" s="287"/>
      <c r="BC114" s="287"/>
      <c r="BD114" s="287"/>
      <c r="BE114" s="287"/>
    </row>
    <row r="115" spans="5:57" x14ac:dyDescent="0.3">
      <c r="E115" s="121"/>
      <c r="F115" s="189" t="s">
        <v>103</v>
      </c>
      <c r="G115" s="434"/>
      <c r="H115" s="434"/>
      <c r="I115" s="434"/>
      <c r="J115" s="434"/>
      <c r="K115" s="435"/>
      <c r="L115" s="435"/>
      <c r="M115" s="436"/>
      <c r="N115" s="437"/>
      <c r="O115" s="437"/>
      <c r="P115" s="367"/>
      <c r="Q115" s="367"/>
      <c r="R115" s="367"/>
      <c r="S115" s="152"/>
      <c r="T115" s="152"/>
      <c r="AC115" s="204"/>
      <c r="AS115" s="700">
        <v>201</v>
      </c>
      <c r="AT115" s="701"/>
      <c r="AU115" s="701"/>
      <c r="AV115" s="702"/>
      <c r="AW115" s="697" t="s">
        <v>418</v>
      </c>
      <c r="AX115" s="698"/>
      <c r="AY115" s="699"/>
      <c r="AZ115" s="287"/>
      <c r="BA115" s="287"/>
      <c r="BB115" s="287"/>
      <c r="BC115" s="287"/>
      <c r="BD115" s="287"/>
      <c r="BE115" s="287"/>
    </row>
    <row r="116" spans="5:57" x14ac:dyDescent="0.3">
      <c r="E116" s="121"/>
      <c r="F116" s="121" t="s">
        <v>90</v>
      </c>
      <c r="G116" s="434"/>
      <c r="H116" s="434"/>
      <c r="I116" s="434"/>
      <c r="J116" s="434"/>
      <c r="K116" s="435"/>
      <c r="L116" s="435"/>
      <c r="M116" s="436"/>
      <c r="N116" s="437"/>
      <c r="O116" s="437"/>
      <c r="P116" s="367"/>
      <c r="Q116" s="367"/>
      <c r="R116" s="367"/>
      <c r="S116" s="152"/>
      <c r="T116" s="152"/>
      <c r="AC116" s="204"/>
      <c r="AS116" s="700">
        <v>260</v>
      </c>
      <c r="AT116" s="701"/>
      <c r="AU116" s="701"/>
      <c r="AV116" s="702"/>
      <c r="AW116" s="697" t="s">
        <v>418</v>
      </c>
      <c r="AX116" s="698"/>
      <c r="AY116" s="699"/>
      <c r="AZ116" s="287"/>
      <c r="BA116" s="287"/>
      <c r="BB116" s="287"/>
      <c r="BC116" s="287"/>
      <c r="BD116" s="287"/>
      <c r="BE116" s="287"/>
    </row>
    <row r="117" spans="5:57" x14ac:dyDescent="0.3">
      <c r="E117" s="121"/>
      <c r="G117" s="685" t="s">
        <v>92</v>
      </c>
      <c r="H117" s="686"/>
      <c r="I117" s="686"/>
      <c r="J117" s="687"/>
      <c r="K117" s="435"/>
      <c r="L117" s="435"/>
      <c r="M117" s="436"/>
      <c r="N117" s="437"/>
      <c r="O117" s="437"/>
      <c r="P117" s="367"/>
      <c r="Q117" s="367"/>
      <c r="R117" s="367"/>
      <c r="S117" s="152"/>
      <c r="T117" s="152"/>
      <c r="AC117" s="204"/>
      <c r="AS117" s="700">
        <v>261</v>
      </c>
      <c r="AT117" s="701"/>
      <c r="AU117" s="701"/>
      <c r="AV117" s="702"/>
      <c r="AW117" s="697" t="s">
        <v>419</v>
      </c>
      <c r="AX117" s="698"/>
      <c r="AY117" s="699"/>
      <c r="AZ117" s="287"/>
      <c r="BA117" s="287"/>
      <c r="BB117" s="287"/>
      <c r="BC117" s="287"/>
      <c r="BD117" s="287"/>
      <c r="BE117" s="287"/>
    </row>
    <row r="118" spans="5:57" ht="39.75" x14ac:dyDescent="0.3">
      <c r="E118" s="121"/>
      <c r="F118" s="155" t="s">
        <v>91</v>
      </c>
      <c r="G118" s="438" t="s">
        <v>93</v>
      </c>
      <c r="H118" s="439" t="s">
        <v>100</v>
      </c>
      <c r="I118" s="439" t="s">
        <v>101</v>
      </c>
      <c r="J118" s="439" t="s">
        <v>102</v>
      </c>
      <c r="K118" s="440" t="s">
        <v>320</v>
      </c>
      <c r="L118" s="441" t="s">
        <v>401</v>
      </c>
      <c r="M118" s="292" t="s">
        <v>402</v>
      </c>
      <c r="N118" s="439" t="s">
        <v>400</v>
      </c>
      <c r="O118" s="439" t="s">
        <v>403</v>
      </c>
      <c r="P118" s="367"/>
      <c r="Q118" s="367"/>
      <c r="R118" s="367"/>
      <c r="S118" s="152"/>
      <c r="T118" s="152"/>
      <c r="AC118" s="204"/>
      <c r="AS118" s="700">
        <v>355</v>
      </c>
      <c r="AT118" s="701"/>
      <c r="AU118" s="701"/>
      <c r="AV118" s="702"/>
      <c r="AW118" s="697" t="s">
        <v>419</v>
      </c>
      <c r="AX118" s="698"/>
      <c r="AY118" s="699"/>
      <c r="AZ118" s="287"/>
      <c r="BA118" s="287"/>
      <c r="BB118" s="287"/>
      <c r="BC118" s="287"/>
      <c r="BD118" s="287"/>
      <c r="BE118" s="287"/>
    </row>
    <row r="119" spans="5:57" x14ac:dyDescent="0.3">
      <c r="E119" s="121"/>
      <c r="F119" s="156">
        <v>2</v>
      </c>
      <c r="G119" s="433">
        <v>0.87</v>
      </c>
      <c r="H119" s="433">
        <v>0.9</v>
      </c>
      <c r="I119" s="433">
        <v>0.94</v>
      </c>
      <c r="J119" s="433">
        <v>0.96</v>
      </c>
      <c r="K119" s="435"/>
      <c r="L119" s="442">
        <f>+G94</f>
        <v>0.96</v>
      </c>
      <c r="M119" s="442">
        <f>+J103</f>
        <v>1.05</v>
      </c>
      <c r="N119" s="439">
        <f>+N113</f>
        <v>0.97</v>
      </c>
      <c r="O119" s="439">
        <v>0.73</v>
      </c>
      <c r="P119" s="367"/>
      <c r="Q119" s="367"/>
      <c r="R119" s="367"/>
      <c r="S119" s="152"/>
      <c r="T119" s="152"/>
      <c r="AC119" s="204"/>
      <c r="AS119" s="700">
        <v>356</v>
      </c>
      <c r="AT119" s="701"/>
      <c r="AU119" s="701"/>
      <c r="AV119" s="702"/>
      <c r="AW119" s="697" t="s">
        <v>420</v>
      </c>
      <c r="AX119" s="698"/>
      <c r="AY119" s="699"/>
      <c r="AZ119" s="287"/>
      <c r="BA119" s="287"/>
      <c r="BB119" s="287"/>
      <c r="BC119" s="287"/>
      <c r="BD119" s="287"/>
      <c r="BE119" s="287"/>
    </row>
    <row r="120" spans="5:57" x14ac:dyDescent="0.3">
      <c r="E120" s="121"/>
      <c r="F120" s="156">
        <v>3</v>
      </c>
      <c r="G120" s="433">
        <v>0.77</v>
      </c>
      <c r="H120" s="433">
        <v>0.82</v>
      </c>
      <c r="I120" s="433">
        <v>0.87</v>
      </c>
      <c r="J120" s="433">
        <v>0.9</v>
      </c>
      <c r="K120" s="435"/>
      <c r="L120" s="435"/>
      <c r="M120" s="436"/>
      <c r="N120" s="437"/>
      <c r="O120" s="437"/>
      <c r="P120" s="367"/>
      <c r="Q120" s="367"/>
      <c r="R120" s="367"/>
      <c r="S120" s="152"/>
      <c r="T120" s="152"/>
      <c r="AC120" s="204"/>
      <c r="AS120" s="700">
        <v>475</v>
      </c>
      <c r="AT120" s="701"/>
      <c r="AU120" s="701"/>
      <c r="AV120" s="702"/>
      <c r="AW120" s="697" t="s">
        <v>420</v>
      </c>
      <c r="AX120" s="698"/>
      <c r="AY120" s="699"/>
      <c r="AZ120" s="287"/>
      <c r="BA120" s="287"/>
      <c r="BB120" s="287"/>
      <c r="BC120" s="287"/>
      <c r="BD120" s="287"/>
      <c r="BE120" s="287"/>
    </row>
    <row r="121" spans="5:57" x14ac:dyDescent="0.3">
      <c r="E121" s="121"/>
      <c r="F121" s="156">
        <v>4</v>
      </c>
      <c r="G121" s="433">
        <v>0.71</v>
      </c>
      <c r="H121" s="433">
        <v>0.77</v>
      </c>
      <c r="I121" s="433">
        <v>0.84</v>
      </c>
      <c r="J121" s="433">
        <v>0.88</v>
      </c>
      <c r="K121" s="440" t="s">
        <v>306</v>
      </c>
      <c r="L121" s="292" t="s">
        <v>401</v>
      </c>
      <c r="M121" s="439" t="s">
        <v>402</v>
      </c>
      <c r="N121" s="437"/>
      <c r="O121" s="437"/>
      <c r="P121" s="367"/>
      <c r="Q121" s="367"/>
      <c r="R121" s="367"/>
      <c r="S121" s="152"/>
      <c r="T121" s="152"/>
      <c r="AC121" s="204"/>
      <c r="AS121" s="700">
        <v>476</v>
      </c>
      <c r="AT121" s="701"/>
      <c r="AU121" s="701"/>
      <c r="AV121" s="702"/>
      <c r="AW121" s="697" t="s">
        <v>421</v>
      </c>
      <c r="AX121" s="698"/>
      <c r="AY121" s="699"/>
      <c r="AZ121" s="287"/>
      <c r="BA121" s="287"/>
      <c r="BB121" s="287"/>
      <c r="BC121" s="287"/>
      <c r="BD121" s="287"/>
      <c r="BE121" s="287"/>
    </row>
    <row r="122" spans="5:57" x14ac:dyDescent="0.3">
      <c r="E122" s="121"/>
      <c r="F122" s="156">
        <v>5</v>
      </c>
      <c r="G122" s="433">
        <v>0.67</v>
      </c>
      <c r="H122" s="433">
        <v>0.74</v>
      </c>
      <c r="I122" s="433">
        <v>0.81</v>
      </c>
      <c r="J122" s="433">
        <v>0.86</v>
      </c>
      <c r="K122" s="440"/>
      <c r="L122" s="442">
        <f>+H94</f>
        <v>1.04</v>
      </c>
      <c r="M122" s="439">
        <v>0.65</v>
      </c>
      <c r="N122" s="437"/>
      <c r="O122" s="437"/>
      <c r="P122" s="367"/>
      <c r="Q122" s="367"/>
      <c r="R122" s="367"/>
      <c r="S122" s="152"/>
      <c r="T122" s="152"/>
      <c r="AC122" s="204"/>
      <c r="AS122" s="700">
        <v>2000</v>
      </c>
      <c r="AT122" s="701"/>
      <c r="AU122" s="701"/>
      <c r="AV122" s="702"/>
      <c r="AW122" s="697" t="s">
        <v>421</v>
      </c>
      <c r="AX122" s="698"/>
      <c r="AY122" s="699"/>
      <c r="AZ122" s="287"/>
      <c r="BA122" s="287"/>
      <c r="BB122" s="287"/>
      <c r="BC122" s="287"/>
      <c r="BD122" s="287"/>
      <c r="BE122" s="287"/>
    </row>
    <row r="123" spans="5:57" x14ac:dyDescent="0.3">
      <c r="F123" s="305">
        <v>6</v>
      </c>
      <c r="G123" s="433">
        <v>0.64</v>
      </c>
      <c r="H123" s="433">
        <v>0.71</v>
      </c>
      <c r="I123" s="433">
        <v>0.79</v>
      </c>
      <c r="J123" s="433">
        <v>0.85</v>
      </c>
      <c r="K123" s="435"/>
      <c r="L123" s="435"/>
      <c r="M123" s="436"/>
      <c r="N123" s="437"/>
      <c r="O123" s="437"/>
      <c r="P123" s="367"/>
      <c r="Q123" s="367"/>
      <c r="R123" s="367"/>
      <c r="S123" s="152"/>
      <c r="T123" s="152"/>
      <c r="AC123" s="204"/>
    </row>
    <row r="124" spans="5:57" x14ac:dyDescent="0.3">
      <c r="F124" s="156">
        <v>7</v>
      </c>
      <c r="G124" s="433">
        <v>0.61</v>
      </c>
      <c r="H124" s="433">
        <v>0.69</v>
      </c>
      <c r="I124" s="433">
        <v>0.78</v>
      </c>
      <c r="J124" s="433">
        <v>0.84</v>
      </c>
      <c r="K124" s="435" t="s">
        <v>316</v>
      </c>
      <c r="L124" s="292" t="s">
        <v>401</v>
      </c>
      <c r="M124" s="439" t="s">
        <v>402</v>
      </c>
      <c r="N124" s="440"/>
      <c r="O124" s="437"/>
      <c r="P124" s="367"/>
      <c r="Q124" s="367"/>
      <c r="R124" s="367"/>
      <c r="S124" s="152"/>
      <c r="T124" s="152"/>
      <c r="AC124" s="204"/>
    </row>
    <row r="125" spans="5:57" x14ac:dyDescent="0.3">
      <c r="E125" s="121"/>
      <c r="F125" s="156">
        <v>8</v>
      </c>
      <c r="G125" s="433">
        <v>0.59</v>
      </c>
      <c r="H125" s="433">
        <v>0.67</v>
      </c>
      <c r="I125" s="433">
        <v>0.77</v>
      </c>
      <c r="J125" s="433">
        <v>0.83</v>
      </c>
      <c r="K125" s="435"/>
      <c r="L125" s="442">
        <f>+H94</f>
        <v>1.04</v>
      </c>
      <c r="M125" s="439">
        <v>0.69</v>
      </c>
      <c r="N125" s="440"/>
      <c r="O125" s="440"/>
      <c r="P125" s="367"/>
      <c r="Q125" s="367"/>
      <c r="R125" s="367"/>
      <c r="S125" s="152"/>
      <c r="T125" s="152"/>
      <c r="AC125" s="204"/>
    </row>
    <row r="126" spans="5:57" x14ac:dyDescent="0.3">
      <c r="E126" s="121"/>
      <c r="F126" s="156">
        <v>9</v>
      </c>
      <c r="G126" s="433">
        <v>0.56999999999999995</v>
      </c>
      <c r="H126" s="433">
        <v>0.66</v>
      </c>
      <c r="I126" s="433">
        <v>0.76</v>
      </c>
      <c r="J126" s="433">
        <v>0.82</v>
      </c>
      <c r="K126" s="435" t="s">
        <v>407</v>
      </c>
      <c r="L126" s="292" t="s">
        <v>401</v>
      </c>
      <c r="M126" s="439" t="s">
        <v>402</v>
      </c>
      <c r="N126" s="437"/>
      <c r="O126" s="437"/>
      <c r="P126" s="367"/>
      <c r="Q126" s="367"/>
      <c r="R126" s="367"/>
      <c r="S126" s="152">
        <v>1</v>
      </c>
      <c r="T126" s="128" t="s">
        <v>540</v>
      </c>
      <c r="AC126" s="204"/>
    </row>
    <row r="127" spans="5:57" x14ac:dyDescent="0.3">
      <c r="E127" s="121"/>
      <c r="F127" s="156">
        <v>10</v>
      </c>
      <c r="G127" s="433">
        <v>0.56000000000000005</v>
      </c>
      <c r="H127" s="433">
        <v>0.65</v>
      </c>
      <c r="I127" s="433">
        <v>0.75</v>
      </c>
      <c r="J127" s="443" t="s">
        <v>104</v>
      </c>
      <c r="K127" s="435"/>
      <c r="L127" s="442">
        <f>+G94</f>
        <v>0.96</v>
      </c>
      <c r="M127" s="439">
        <v>0.78</v>
      </c>
      <c r="N127" s="437"/>
      <c r="O127" s="437"/>
      <c r="P127" s="367"/>
      <c r="Q127" s="367"/>
      <c r="R127" s="367"/>
      <c r="S127" s="152">
        <v>2</v>
      </c>
      <c r="T127" s="128" t="s">
        <v>258</v>
      </c>
      <c r="AC127" s="204"/>
    </row>
    <row r="128" spans="5:57" x14ac:dyDescent="0.3">
      <c r="E128" s="121"/>
      <c r="F128" s="139"/>
      <c r="G128" s="437"/>
      <c r="H128" s="437"/>
      <c r="I128" s="437"/>
      <c r="J128" s="437"/>
      <c r="K128" s="435"/>
      <c r="L128" s="435"/>
      <c r="M128" s="436"/>
      <c r="N128" s="437"/>
      <c r="O128" s="437"/>
      <c r="P128" s="367"/>
      <c r="Q128" s="367"/>
      <c r="R128" s="367"/>
      <c r="S128" s="152">
        <v>3</v>
      </c>
      <c r="T128" s="128" t="s">
        <v>559</v>
      </c>
      <c r="AC128" s="204"/>
    </row>
    <row r="129" spans="1:64" x14ac:dyDescent="0.3">
      <c r="E129" s="121"/>
      <c r="F129" s="308" t="s">
        <v>317</v>
      </c>
      <c r="G129" s="309">
        <f>+G96</f>
        <v>0.89</v>
      </c>
      <c r="H129" s="309">
        <f>+H103</f>
        <v>1.18</v>
      </c>
      <c r="I129" s="309">
        <f>+G123</f>
        <v>0.64</v>
      </c>
      <c r="J129" s="444">
        <f>J113</f>
        <v>1.01</v>
      </c>
      <c r="K129" s="444">
        <f>G129*H129*I129*J129</f>
        <v>0.67884928000000011</v>
      </c>
      <c r="L129" s="435"/>
      <c r="M129" s="436"/>
      <c r="N129" s="437"/>
      <c r="O129" s="437"/>
      <c r="P129" s="367"/>
      <c r="Q129" s="367"/>
      <c r="R129" s="367"/>
      <c r="S129" s="152"/>
      <c r="T129" s="128"/>
      <c r="AC129" s="204"/>
      <c r="AQ129" s="156"/>
    </row>
    <row r="130" spans="1:64" s="518" customFormat="1" ht="14.45" hidden="1" customHeight="1" x14ac:dyDescent="0.3">
      <c r="A130" s="509" t="s">
        <v>534</v>
      </c>
      <c r="B130" s="509" t="s">
        <v>535</v>
      </c>
      <c r="C130" s="509" t="s">
        <v>536</v>
      </c>
      <c r="D130" s="509" t="s">
        <v>538</v>
      </c>
      <c r="E130" s="509" t="s">
        <v>537</v>
      </c>
      <c r="F130" s="510" t="s">
        <v>318</v>
      </c>
      <c r="G130" s="511"/>
      <c r="H130" s="511"/>
      <c r="I130" s="511">
        <f>+G124</f>
        <v>0.61</v>
      </c>
      <c r="J130" s="512"/>
      <c r="K130" s="513">
        <f>+L122*M122</f>
        <v>0.67600000000000005</v>
      </c>
      <c r="L130" s="514" t="s">
        <v>306</v>
      </c>
      <c r="M130" s="514" t="s">
        <v>107</v>
      </c>
      <c r="N130" s="515">
        <v>0.69</v>
      </c>
      <c r="O130" s="515"/>
      <c r="P130" s="516"/>
      <c r="Q130" s="516"/>
      <c r="R130" s="516"/>
      <c r="S130" s="517"/>
      <c r="V130" s="508"/>
      <c r="W130" s="508"/>
      <c r="X130" s="508"/>
      <c r="Y130" s="508"/>
      <c r="Z130" s="508"/>
      <c r="AA130" s="508"/>
      <c r="AB130" s="508"/>
      <c r="AC130" s="508"/>
      <c r="AD130" s="508"/>
      <c r="AE130" s="508"/>
      <c r="AF130" s="508"/>
      <c r="AG130" s="508"/>
      <c r="AH130" s="508"/>
      <c r="AI130" s="508"/>
      <c r="AJ130" s="508"/>
      <c r="AK130" s="508"/>
      <c r="AL130" s="508"/>
      <c r="AM130" s="518">
        <v>60</v>
      </c>
      <c r="AP130" s="519"/>
      <c r="AS130" s="508"/>
      <c r="AT130" s="508"/>
      <c r="AU130" s="508"/>
      <c r="AV130" s="520"/>
      <c r="AW130" s="521"/>
    </row>
    <row r="131" spans="1:64" ht="12.75" customHeight="1" x14ac:dyDescent="0.3">
      <c r="A131" s="414"/>
      <c r="B131" s="414"/>
      <c r="C131" s="414"/>
      <c r="D131" s="414"/>
      <c r="E131" s="414"/>
      <c r="F131" s="84" t="s">
        <v>107</v>
      </c>
      <c r="G131" s="309"/>
      <c r="H131" s="309">
        <f>+H103</f>
        <v>1.18</v>
      </c>
      <c r="I131" s="309">
        <f>+G123</f>
        <v>0.64</v>
      </c>
      <c r="J131" s="310"/>
      <c r="K131" s="444">
        <f>+L125*M125</f>
        <v>0.71760000000000002</v>
      </c>
      <c r="L131" s="440" t="s">
        <v>319</v>
      </c>
      <c r="M131" s="440" t="s">
        <v>107</v>
      </c>
      <c r="N131" s="437">
        <v>0.72</v>
      </c>
      <c r="O131" s="437"/>
      <c r="P131" s="367"/>
      <c r="Q131" s="367"/>
      <c r="R131" s="367"/>
      <c r="S131" s="152"/>
      <c r="T131" s="128"/>
      <c r="Y131" s="204"/>
    </row>
    <row r="132" spans="1:64" ht="26.45" customHeight="1" x14ac:dyDescent="0.3">
      <c r="A132" s="414"/>
      <c r="B132" s="414"/>
      <c r="C132" s="414"/>
      <c r="D132" s="414"/>
      <c r="E132" s="414"/>
      <c r="F132" s="84"/>
      <c r="G132" s="309"/>
      <c r="H132" s="309"/>
      <c r="I132" s="309"/>
      <c r="J132" s="310"/>
      <c r="K132" s="444"/>
      <c r="L132" s="440"/>
      <c r="M132" s="440"/>
      <c r="N132" s="437"/>
      <c r="O132" s="437"/>
      <c r="P132" s="367"/>
      <c r="Q132" s="367"/>
      <c r="R132" s="367"/>
      <c r="S132" s="152"/>
      <c r="T132" s="128"/>
      <c r="V132" s="714" t="s">
        <v>579</v>
      </c>
      <c r="W132" s="714"/>
      <c r="X132" s="714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AI132" s="714"/>
      <c r="AJ132" s="714"/>
      <c r="AK132" s="714"/>
      <c r="AL132" s="714"/>
      <c r="AM132" s="714"/>
      <c r="AN132" s="714"/>
      <c r="AO132" s="714"/>
      <c r="AP132" s="714"/>
      <c r="AQ132" s="714"/>
      <c r="AR132" s="714"/>
      <c r="AS132" s="714"/>
      <c r="AT132" s="714"/>
      <c r="AU132" s="714"/>
    </row>
    <row r="133" spans="1:64" ht="30" customHeight="1" x14ac:dyDescent="0.3">
      <c r="A133" s="414">
        <v>0.96</v>
      </c>
      <c r="B133" s="414">
        <v>1.05</v>
      </c>
      <c r="C133" s="414">
        <v>1.01</v>
      </c>
      <c r="D133" s="414">
        <v>0.75</v>
      </c>
      <c r="E133" s="415">
        <f>A133*B133*C133*D133</f>
        <v>0.76356000000000002</v>
      </c>
      <c r="F133" s="84" t="s">
        <v>107</v>
      </c>
      <c r="G133" s="309">
        <f>+G95</f>
        <v>0.93</v>
      </c>
      <c r="H133" s="309">
        <f>+J103</f>
        <v>1.05</v>
      </c>
      <c r="I133" s="309">
        <f>H127</f>
        <v>0.65</v>
      </c>
      <c r="J133" s="444">
        <f>N113</f>
        <v>0.97</v>
      </c>
      <c r="K133" s="445">
        <f>L119*O119*M119*N119</f>
        <v>0.71376479999999998</v>
      </c>
      <c r="L133" s="440" t="s">
        <v>320</v>
      </c>
      <c r="M133" s="440" t="s">
        <v>107</v>
      </c>
      <c r="N133" s="437">
        <v>0.8</v>
      </c>
      <c r="O133" s="437"/>
      <c r="P133" s="367"/>
      <c r="Q133" s="367"/>
      <c r="R133" s="367"/>
      <c r="S133" s="152">
        <v>4</v>
      </c>
      <c r="T133" s="128" t="s">
        <v>259</v>
      </c>
      <c r="U133" s="130"/>
      <c r="V133" s="672" t="s">
        <v>208</v>
      </c>
      <c r="W133" s="416" t="s">
        <v>207</v>
      </c>
      <c r="X133" s="413" t="s">
        <v>395</v>
      </c>
      <c r="Y133" s="670" t="s">
        <v>570</v>
      </c>
      <c r="Z133" s="670"/>
      <c r="AA133" s="670"/>
      <c r="AB133" s="670"/>
      <c r="AC133" s="670"/>
      <c r="AD133" s="670"/>
      <c r="AE133" s="670"/>
      <c r="AF133" s="670"/>
      <c r="AG133" s="670"/>
      <c r="AH133" s="670"/>
      <c r="AI133" s="670"/>
      <c r="AJ133" s="670"/>
      <c r="AK133" s="670"/>
      <c r="AL133" s="670"/>
      <c r="AM133" s="670" t="s">
        <v>568</v>
      </c>
      <c r="AN133" s="670"/>
      <c r="AO133" s="670"/>
      <c r="AP133" s="670"/>
      <c r="AQ133" s="670"/>
      <c r="AR133" s="670"/>
      <c r="AS133" s="670"/>
      <c r="AT133" s="670"/>
      <c r="AU133" s="494"/>
      <c r="AV133" s="422"/>
      <c r="AW133" s="412"/>
      <c r="AX133" s="412"/>
      <c r="AY133" s="410"/>
      <c r="AZ133" s="423"/>
      <c r="BA133" s="670" t="s">
        <v>553</v>
      </c>
      <c r="BB133" s="670"/>
      <c r="BC133" s="670"/>
      <c r="BD133" s="670"/>
      <c r="BE133" s="670"/>
      <c r="BF133" s="670"/>
      <c r="BG133" s="670"/>
      <c r="BH133" s="661"/>
      <c r="BI133" s="662"/>
      <c r="BJ133" s="662"/>
      <c r="BK133" s="663"/>
    </row>
    <row r="134" spans="1:64" ht="15.6" customHeight="1" x14ac:dyDescent="0.3">
      <c r="E134" s="121"/>
      <c r="F134" s="121"/>
      <c r="G134" s="434"/>
      <c r="H134" s="434"/>
      <c r="I134" s="434"/>
      <c r="J134" s="434"/>
      <c r="K134" s="445">
        <f>+L127*M127</f>
        <v>0.74880000000000002</v>
      </c>
      <c r="L134" s="440" t="s">
        <v>406</v>
      </c>
      <c r="M134" s="436"/>
      <c r="N134" s="437"/>
      <c r="O134" s="437"/>
      <c r="P134" s="367"/>
      <c r="Q134" s="367"/>
      <c r="R134" s="367"/>
      <c r="S134" s="152"/>
      <c r="T134" s="152"/>
      <c r="U134" s="130"/>
      <c r="V134" s="672"/>
      <c r="W134" s="416">
        <v>220</v>
      </c>
      <c r="X134" s="416">
        <v>0.9</v>
      </c>
      <c r="Y134" s="670"/>
      <c r="Z134" s="670"/>
      <c r="AA134" s="670"/>
      <c r="AB134" s="670"/>
      <c r="AC134" s="670"/>
      <c r="AD134" s="670"/>
      <c r="AE134" s="670"/>
      <c r="AF134" s="670"/>
      <c r="AG134" s="670"/>
      <c r="AH134" s="670"/>
      <c r="AI134" s="670"/>
      <c r="AJ134" s="670"/>
      <c r="AK134" s="670"/>
      <c r="AL134" s="670"/>
      <c r="AM134" s="675" t="s">
        <v>539</v>
      </c>
      <c r="AN134" s="675"/>
      <c r="AO134" s="421">
        <f>MAX(AK138:AK142)</f>
        <v>1.0127543959129279</v>
      </c>
      <c r="AP134" s="709" t="str">
        <f>IF(AO134&lt;=1.5," Es menor a 1.5%, Cumple con Sección 050-102"," No Cumple con Sección 050-102" )</f>
        <v xml:space="preserve"> Es menor a 1.5%, Cumple con Sección 050-102</v>
      </c>
      <c r="AQ134" s="709"/>
      <c r="AR134" s="709"/>
      <c r="AS134" s="709"/>
      <c r="AT134" s="709"/>
      <c r="AU134" s="495"/>
      <c r="AV134" s="424"/>
      <c r="AW134" s="387"/>
      <c r="AX134" s="387"/>
      <c r="AY134" s="385"/>
      <c r="AZ134" s="425"/>
      <c r="BA134" s="670"/>
      <c r="BB134" s="670"/>
      <c r="BC134" s="670"/>
      <c r="BD134" s="670"/>
      <c r="BE134" s="670"/>
      <c r="BF134" s="670"/>
      <c r="BG134" s="670"/>
      <c r="BH134" s="664"/>
      <c r="BI134" s="665"/>
      <c r="BJ134" s="665"/>
      <c r="BK134" s="666"/>
    </row>
    <row r="135" spans="1:64" ht="5.45" customHeight="1" thickBot="1" x14ac:dyDescent="0.35">
      <c r="E135" s="121"/>
      <c r="F135" s="121"/>
      <c r="G135" s="121"/>
      <c r="H135" s="121"/>
      <c r="I135" s="121"/>
      <c r="J135" s="121"/>
      <c r="K135" s="177"/>
      <c r="L135" s="177"/>
      <c r="M135" s="203"/>
      <c r="N135" s="124"/>
      <c r="O135" s="124"/>
      <c r="P135" s="367"/>
      <c r="Q135" s="367"/>
      <c r="R135" s="367"/>
      <c r="S135" s="152"/>
      <c r="T135" s="152"/>
      <c r="U135" s="130"/>
      <c r="V135" s="673"/>
      <c r="W135" s="673"/>
      <c r="X135" s="673"/>
      <c r="Y135" s="673"/>
      <c r="Z135" s="673"/>
      <c r="AA135" s="673"/>
      <c r="AB135" s="673"/>
      <c r="AC135" s="673"/>
      <c r="AD135" s="673"/>
      <c r="AE135" s="673"/>
      <c r="AF135" s="673"/>
      <c r="AG135" s="673"/>
      <c r="AH135" s="673"/>
      <c r="AI135" s="673"/>
      <c r="AJ135" s="673"/>
      <c r="AK135" s="673"/>
      <c r="AL135" s="673"/>
      <c r="AM135" s="673"/>
      <c r="AN135" s="673"/>
      <c r="AO135" s="673"/>
      <c r="AP135" s="673"/>
      <c r="AQ135" s="673"/>
      <c r="AR135" s="673"/>
      <c r="AS135" s="673"/>
      <c r="AT135" s="673"/>
      <c r="AU135" s="496"/>
      <c r="AV135" s="426"/>
      <c r="AW135" s="388"/>
      <c r="AX135" s="388"/>
      <c r="AY135" s="386"/>
      <c r="AZ135" s="427"/>
      <c r="BA135" s="670"/>
      <c r="BB135" s="670"/>
      <c r="BC135" s="670"/>
      <c r="BD135" s="670"/>
      <c r="BE135" s="670"/>
      <c r="BF135" s="670"/>
      <c r="BG135" s="670"/>
      <c r="BH135" s="664"/>
      <c r="BI135" s="665"/>
      <c r="BJ135" s="665"/>
      <c r="BK135" s="666"/>
    </row>
    <row r="136" spans="1:64" ht="24.95" customHeight="1" x14ac:dyDescent="0.3">
      <c r="B136" s="692" t="s">
        <v>216</v>
      </c>
      <c r="C136" s="693"/>
      <c r="D136" s="693"/>
      <c r="E136" s="693"/>
      <c r="F136" s="693"/>
      <c r="G136" s="693"/>
      <c r="H136" s="694"/>
      <c r="I136" s="695" t="s">
        <v>209</v>
      </c>
      <c r="J136" s="695"/>
      <c r="K136" s="695"/>
      <c r="L136" s="695"/>
      <c r="M136" s="695"/>
      <c r="N136" s="695"/>
      <c r="O136" s="695"/>
      <c r="T136" s="152"/>
      <c r="U136" s="130"/>
      <c r="V136" s="679" t="s">
        <v>28</v>
      </c>
      <c r="W136" s="674" t="s">
        <v>47</v>
      </c>
      <c r="X136" s="679" t="s">
        <v>29</v>
      </c>
      <c r="Y136" s="674" t="s">
        <v>225</v>
      </c>
      <c r="Z136" s="674" t="s">
        <v>30</v>
      </c>
      <c r="AA136" s="674" t="s">
        <v>408</v>
      </c>
      <c r="AB136" s="676" t="s">
        <v>136</v>
      </c>
      <c r="AC136" s="677"/>
      <c r="AD136" s="677"/>
      <c r="AE136" s="678"/>
      <c r="AF136" s="676" t="s">
        <v>135</v>
      </c>
      <c r="AG136" s="677"/>
      <c r="AH136" s="677"/>
      <c r="AI136" s="677"/>
      <c r="AJ136" s="677"/>
      <c r="AK136" s="678"/>
      <c r="AL136" s="671" t="s">
        <v>39</v>
      </c>
      <c r="AM136" s="671" t="s">
        <v>478</v>
      </c>
      <c r="AN136" s="710" t="s">
        <v>121</v>
      </c>
      <c r="AO136" s="711"/>
      <c r="AP136" s="711"/>
      <c r="AQ136" s="712"/>
      <c r="AR136" s="671" t="s">
        <v>256</v>
      </c>
      <c r="AS136" s="671" t="s">
        <v>257</v>
      </c>
      <c r="AT136" s="696" t="s">
        <v>321</v>
      </c>
      <c r="AU136" s="696" t="s">
        <v>564</v>
      </c>
      <c r="AV136" s="713" t="s">
        <v>533</v>
      </c>
      <c r="AW136" s="713"/>
      <c r="AX136" s="713"/>
      <c r="AY136" s="707" t="s">
        <v>498</v>
      </c>
      <c r="AZ136" s="707" t="s">
        <v>497</v>
      </c>
      <c r="BA136" s="478" t="s">
        <v>401</v>
      </c>
      <c r="BB136" s="478" t="s">
        <v>561</v>
      </c>
      <c r="BC136" s="478" t="s">
        <v>402</v>
      </c>
      <c r="BD136" s="482" t="s">
        <v>554</v>
      </c>
      <c r="BE136" s="478" t="s">
        <v>400</v>
      </c>
      <c r="BF136" s="482" t="s">
        <v>403</v>
      </c>
      <c r="BG136" s="478" t="s">
        <v>107</v>
      </c>
      <c r="BH136" s="667"/>
      <c r="BI136" s="668"/>
      <c r="BJ136" s="668"/>
      <c r="BK136" s="669"/>
    </row>
    <row r="137" spans="1:64" s="131" customFormat="1" ht="65.099999999999994" customHeight="1" x14ac:dyDescent="0.3">
      <c r="A137" s="128"/>
      <c r="B137" s="261" t="s">
        <v>217</v>
      </c>
      <c r="C137" s="262" t="s">
        <v>218</v>
      </c>
      <c r="D137" s="262" t="s">
        <v>219</v>
      </c>
      <c r="E137" s="262" t="s">
        <v>220</v>
      </c>
      <c r="F137" s="262" t="s">
        <v>221</v>
      </c>
      <c r="G137" s="262" t="s">
        <v>212</v>
      </c>
      <c r="H137" s="263" t="s">
        <v>222</v>
      </c>
      <c r="I137" s="261" t="s">
        <v>210</v>
      </c>
      <c r="J137" s="262" t="s">
        <v>211</v>
      </c>
      <c r="K137" s="262" t="s">
        <v>215</v>
      </c>
      <c r="L137" s="262" t="s">
        <v>224</v>
      </c>
      <c r="M137" s="262" t="s">
        <v>214</v>
      </c>
      <c r="N137" s="262" t="s">
        <v>212</v>
      </c>
      <c r="O137" s="263" t="s">
        <v>213</v>
      </c>
      <c r="P137" s="368"/>
      <c r="Q137" s="368"/>
      <c r="R137" s="368"/>
      <c r="S137" s="264" t="s">
        <v>253</v>
      </c>
      <c r="T137" s="209" t="s">
        <v>254</v>
      </c>
      <c r="U137" s="417" t="s">
        <v>204</v>
      </c>
      <c r="V137" s="679"/>
      <c r="W137" s="674"/>
      <c r="X137" s="679"/>
      <c r="Y137" s="674"/>
      <c r="Z137" s="674"/>
      <c r="AA137" s="674"/>
      <c r="AB137" s="383" t="s">
        <v>322</v>
      </c>
      <c r="AC137" s="383" t="s">
        <v>32</v>
      </c>
      <c r="AD137" s="384" t="s">
        <v>33</v>
      </c>
      <c r="AE137" s="384" t="s">
        <v>34</v>
      </c>
      <c r="AF137" s="383" t="s">
        <v>391</v>
      </c>
      <c r="AG137" s="383" t="s">
        <v>516</v>
      </c>
      <c r="AH137" s="383" t="s">
        <v>515</v>
      </c>
      <c r="AI137" s="383" t="s">
        <v>393</v>
      </c>
      <c r="AJ137" s="383" t="s">
        <v>392</v>
      </c>
      <c r="AK137" s="383" t="s">
        <v>394</v>
      </c>
      <c r="AL137" s="671"/>
      <c r="AM137" s="671"/>
      <c r="AN137" s="383" t="s">
        <v>202</v>
      </c>
      <c r="AO137" s="674" t="s">
        <v>203</v>
      </c>
      <c r="AP137" s="674"/>
      <c r="AQ137" s="418" t="s">
        <v>541</v>
      </c>
      <c r="AR137" s="671"/>
      <c r="AS137" s="671"/>
      <c r="AT137" s="696"/>
      <c r="AU137" s="696"/>
      <c r="AV137" s="713"/>
      <c r="AW137" s="713"/>
      <c r="AX137" s="713"/>
      <c r="AY137" s="708"/>
      <c r="AZ137" s="708"/>
      <c r="BA137" s="487" t="s">
        <v>563</v>
      </c>
      <c r="BB137" s="487" t="s">
        <v>562</v>
      </c>
      <c r="BC137" s="487" t="s">
        <v>557</v>
      </c>
      <c r="BD137" s="488" t="s">
        <v>556</v>
      </c>
      <c r="BE137" s="488" t="s">
        <v>558</v>
      </c>
      <c r="BF137" s="489" t="s">
        <v>555</v>
      </c>
      <c r="BG137" s="490"/>
      <c r="BH137" s="492" t="s">
        <v>540</v>
      </c>
      <c r="BI137" s="492" t="s">
        <v>258</v>
      </c>
      <c r="BJ137" s="492" t="s">
        <v>559</v>
      </c>
      <c r="BK137" s="493" t="s">
        <v>560</v>
      </c>
    </row>
    <row r="138" spans="1:64" s="559" customFormat="1" ht="20.100000000000001" customHeight="1" x14ac:dyDescent="0.3">
      <c r="B138" s="560">
        <v>20</v>
      </c>
      <c r="C138" s="561">
        <v>125</v>
      </c>
      <c r="D138" s="561">
        <v>160</v>
      </c>
      <c r="E138" s="561">
        <v>630</v>
      </c>
      <c r="F138" s="561">
        <v>160</v>
      </c>
      <c r="G138" s="561">
        <v>800</v>
      </c>
      <c r="H138" s="562">
        <v>2000</v>
      </c>
      <c r="I138" s="560">
        <v>20</v>
      </c>
      <c r="J138" s="561">
        <v>125</v>
      </c>
      <c r="K138" s="561">
        <v>160</v>
      </c>
      <c r="L138" s="561">
        <v>630</v>
      </c>
      <c r="M138" s="561">
        <v>160</v>
      </c>
      <c r="N138" s="561">
        <v>630</v>
      </c>
      <c r="O138" s="562">
        <v>2000</v>
      </c>
      <c r="P138" s="563"/>
      <c r="Q138" s="563"/>
      <c r="R138" s="563"/>
      <c r="S138" s="564">
        <v>0.8</v>
      </c>
      <c r="T138" s="565">
        <v>1.2</v>
      </c>
      <c r="U138" s="566">
        <v>1</v>
      </c>
      <c r="V138" s="573" t="s">
        <v>585</v>
      </c>
      <c r="W138" s="573" t="s">
        <v>565</v>
      </c>
      <c r="X138" s="539">
        <f>+'R-MD-TOTAL '!J15</f>
        <v>5.5188000000000006</v>
      </c>
      <c r="Y138" s="541">
        <f>IF(AA138="3Ø",X138*1000/(SQRT(3)*W$133*X$134),X138*1000/(W$134*X$134))</f>
        <v>27.872727272727275</v>
      </c>
      <c r="Z138" s="539">
        <f>+BG138</f>
        <v>0.86984937500000004</v>
      </c>
      <c r="AA138" s="540" t="s">
        <v>298</v>
      </c>
      <c r="AB138" s="541">
        <f>Y138/Z138</f>
        <v>32.043165258039387</v>
      </c>
      <c r="AC138" s="541">
        <f>+VLOOKUP(AE138,$F$15:$O$77,10,FALSE)</f>
        <v>90</v>
      </c>
      <c r="AD138" s="618">
        <f>17+1</f>
        <v>18</v>
      </c>
      <c r="AE138" s="542">
        <v>10</v>
      </c>
      <c r="AF138" s="543">
        <f>+VLOOKUP(AE138,$F$16:$P$77,8)</f>
        <v>3.7401421896467025E-3</v>
      </c>
      <c r="AG138" s="539">
        <f>IF(AA138="3Ø",$W$133*AH138/100,$W$134*AH138/100)</f>
        <v>3.3</v>
      </c>
      <c r="AH138" s="539">
        <v>1.5</v>
      </c>
      <c r="AI138" s="539">
        <f>VLOOKUP(AE138,$F$16:$P$77,8,FALSE)*AD138*Y138</f>
        <v>1.8764633378383837</v>
      </c>
      <c r="AJ138" s="539">
        <f>IF(AA138="3Ø",+AI138*100/$W$133,AI138*100/$W$134)</f>
        <v>0.85293788083562894</v>
      </c>
      <c r="AK138" s="539">
        <f>+AJ138</f>
        <v>0.85293788083562894</v>
      </c>
      <c r="AL138" s="544" t="s">
        <v>480</v>
      </c>
      <c r="AM138" s="545" t="s">
        <v>519</v>
      </c>
      <c r="AN138" s="541">
        <f>IF(AC138*Z138&gt;IF(AB138&lt;Y138,Y138,AB138),AC138*Z138,"NO")</f>
        <v>78.286443750000004</v>
      </c>
      <c r="AO138" s="567" t="str">
        <f>IF(AA138="3Ø","4 x","2 x")</f>
        <v>2 x</v>
      </c>
      <c r="AP138" s="546">
        <v>40</v>
      </c>
      <c r="AQ138" s="541">
        <f>+AP138</f>
        <v>40</v>
      </c>
      <c r="AR138" s="547" t="s">
        <v>559</v>
      </c>
      <c r="AS138" s="557" t="s">
        <v>300</v>
      </c>
      <c r="AT138" s="568">
        <f>+Y138*T138</f>
        <v>33.447272727272725</v>
      </c>
      <c r="AU138" s="568">
        <f>+AC138*S138</f>
        <v>72</v>
      </c>
      <c r="AV138" s="569">
        <f>MAX(AT138,AB138)</f>
        <v>33.447272727272725</v>
      </c>
      <c r="AW138" s="541">
        <f>IF(OR(AQ138&lt;=AV138,AQ138&gt;=AX138),"NO",AQ138)</f>
        <v>40</v>
      </c>
      <c r="AX138" s="569">
        <f>MIN(AU138,AN138)</f>
        <v>72</v>
      </c>
      <c r="AY138" s="536">
        <f>IF(AZ138&lt;=6,6,INDEX(CONDUCTORR,MATCH(AZ138,CONDUCTORR,1)+1,1))</f>
        <v>10</v>
      </c>
      <c r="AZ138" s="570">
        <f>IF(AA138="3Ø",((X138*1000)*AD138)/(44*$W$133*AG138),(2*(X138*1000)*AD138)/(44*$W$134*AG138))</f>
        <v>6.2195341848234413</v>
      </c>
      <c r="BA138" s="570">
        <f>IF(AR138="Enterrado","-",'FACT. DE CORR'!$H$70)</f>
        <v>1</v>
      </c>
      <c r="BB138" s="570">
        <f>IF(AR138="Tuberia","-",'FACT. DE CORR'!$G$70)</f>
        <v>0.93</v>
      </c>
      <c r="BC138" s="570">
        <f>IF(AR138="Tuberia","-",'FACT. DE CORR'!$J$78)</f>
        <v>1.05</v>
      </c>
      <c r="BD138" s="539">
        <f>IF(AR138="Enterrado","-",1)</f>
        <v>1</v>
      </c>
      <c r="BE138" s="571">
        <f>IF(AR138="Tuberia","-",'FACT. DE CORR'!$J$88)</f>
        <v>1.01</v>
      </c>
      <c r="BF138" s="572">
        <f>IF(AR138="Tuberia","-",0.75)</f>
        <v>0.75</v>
      </c>
      <c r="BG138" s="572">
        <f>BK138</f>
        <v>0.86984937500000004</v>
      </c>
      <c r="BH138" s="537" t="str">
        <f>IF(AR138="Tuberia",BA138*BD138," ")</f>
        <v xml:space="preserve"> </v>
      </c>
      <c r="BI138" s="572" t="str">
        <f>IF(AR138="Enterrado",BB138*BC138*BE138*BF138," ")</f>
        <v xml:space="preserve"> </v>
      </c>
      <c r="BJ138" s="572">
        <f>IF(AR138="Enterrado/Tuberia",AVERAGE(BA138*BD138,BB138*BC138*BE138*BF138)," ")</f>
        <v>0.86984937500000004</v>
      </c>
      <c r="BK138" s="572">
        <f>+SUM(BH138:BJ138)</f>
        <v>0.86984937500000004</v>
      </c>
      <c r="BL138" s="559">
        <f>552*80%</f>
        <v>441.6</v>
      </c>
    </row>
    <row r="139" spans="1:64" s="525" customFormat="1" ht="18" customHeight="1" x14ac:dyDescent="0.25">
      <c r="B139" s="526"/>
      <c r="C139" s="527"/>
      <c r="D139" s="527"/>
      <c r="E139" s="527"/>
      <c r="F139" s="527"/>
      <c r="G139" s="527"/>
      <c r="H139" s="528"/>
      <c r="I139" s="526"/>
      <c r="J139" s="527"/>
      <c r="K139" s="527"/>
      <c r="L139" s="527"/>
      <c r="M139" s="527"/>
      <c r="N139" s="527"/>
      <c r="O139" s="528"/>
      <c r="P139" s="529"/>
      <c r="Q139" s="529"/>
      <c r="R139" s="529"/>
      <c r="S139" s="286">
        <v>0.8</v>
      </c>
      <c r="T139" s="290">
        <v>1.2</v>
      </c>
      <c r="U139" s="420"/>
      <c r="V139" s="704" t="s">
        <v>565</v>
      </c>
      <c r="W139" s="504" t="s">
        <v>577</v>
      </c>
      <c r="X139" s="530">
        <f>+TDN!G31/1000</f>
        <v>1.119</v>
      </c>
      <c r="Y139" s="531">
        <f>IF(AA139="3Ø",X139*1000/(SQRT(3)*W$133*X$134),X139*1000/(W$134*X$134))</f>
        <v>5.6515151515151514</v>
      </c>
      <c r="Z139" s="550">
        <f>+BG139</f>
        <v>0.86984937500000004</v>
      </c>
      <c r="AA139" s="551" t="s">
        <v>298</v>
      </c>
      <c r="AB139" s="552">
        <f>Y139/Z139</f>
        <v>6.4971192874802624</v>
      </c>
      <c r="AC139" s="552">
        <f>+VLOOKUP(AE139,$F$15:$O$77,10,FALSE)</f>
        <v>65</v>
      </c>
      <c r="AD139" s="619">
        <v>6</v>
      </c>
      <c r="AE139" s="553">
        <v>6</v>
      </c>
      <c r="AF139" s="545">
        <f>+VLOOKUP(AE139,$F$16:$P$77,8)</f>
        <v>6.2315424309923361E-3</v>
      </c>
      <c r="AG139" s="550">
        <f>IF(AA139="3Ø",$W$133*AH139/100,$W$134*AH139/100)</f>
        <v>3.3</v>
      </c>
      <c r="AH139" s="550">
        <v>1.5</v>
      </c>
      <c r="AI139" s="550">
        <f>VLOOKUP(AE139,$F$16:$P$77,8,FALSE)*AD139*Y139</f>
        <v>0.21130593879637649</v>
      </c>
      <c r="AJ139" s="550">
        <f>IF(AA139="3Ø",+AI139*100/$W$133,AI139*100/$W$134)</f>
        <v>9.6048153998352953E-2</v>
      </c>
      <c r="AK139" s="550">
        <f>+AJ139</f>
        <v>9.6048153998352953E-2</v>
      </c>
      <c r="AL139" s="554" t="s">
        <v>479</v>
      </c>
      <c r="AM139" s="545" t="s">
        <v>519</v>
      </c>
      <c r="AN139" s="552">
        <f>IF(AC139*Z139&gt;IF(AB139&lt;Y139,Y139,AB139),AC139*Z139,"NO")</f>
        <v>56.540209375000003</v>
      </c>
      <c r="AO139" s="555" t="str">
        <f>IF(AA139="3Ø","4 x","2 x")</f>
        <v>2 x</v>
      </c>
      <c r="AP139" s="556">
        <v>32</v>
      </c>
      <c r="AQ139" s="552">
        <f>AP139</f>
        <v>32</v>
      </c>
      <c r="AR139" s="557" t="s">
        <v>559</v>
      </c>
      <c r="AS139" s="532" t="s">
        <v>299</v>
      </c>
      <c r="AT139" s="533">
        <f>+Y139*T139</f>
        <v>6.7818181818181813</v>
      </c>
      <c r="AU139" s="533">
        <f>+AC139*S139</f>
        <v>52</v>
      </c>
      <c r="AV139" s="534">
        <f>MAX(AT139,AB139)</f>
        <v>6.7818181818181813</v>
      </c>
      <c r="AW139" s="531">
        <f>IF(OR(AQ139&lt;=AV139,AQ139&gt;=AX139),"NO",AQ139)</f>
        <v>32</v>
      </c>
      <c r="AX139" s="534">
        <f>MIN(AU139,AN139)</f>
        <v>52</v>
      </c>
      <c r="AY139" s="483">
        <f>IF(AZ139&lt;=6,6,INDEX(CONDUCTORR,MATCH(AZ139,CONDUCTORR,1)+1,1))</f>
        <v>6</v>
      </c>
      <c r="AZ139" s="289">
        <f>IF(AA139="3Ø",((X139*1000)*AD139)/(44*$W$133*AG139),(2*(X139*1000)*AD139)/(44*$W$134*AG139))</f>
        <v>0.42036063110443278</v>
      </c>
      <c r="BA139" s="289">
        <f>IF(AR139="Enterrado","-",'FACT. DE CORR'!$H$70)</f>
        <v>1</v>
      </c>
      <c r="BB139" s="289">
        <f>IF(AR139="Tuberia","-",'FACT. DE CORR'!$G$70)</f>
        <v>0.93</v>
      </c>
      <c r="BC139" s="289">
        <f>IF(AR139="Tuberia","-",'FACT. DE CORR'!$J$78)</f>
        <v>1.05</v>
      </c>
      <c r="BD139" s="530">
        <f>IF(AR139="Enterrado","-",1)</f>
        <v>1</v>
      </c>
      <c r="BE139" s="535">
        <f>IF(AR139="Tuberia","-",'FACT. DE CORR'!$J$88)</f>
        <v>1.01</v>
      </c>
      <c r="BF139" s="289">
        <f>IF(AR139="Tuberia","-",0.75)</f>
        <v>0.75</v>
      </c>
      <c r="BG139" s="289">
        <f>BK139</f>
        <v>0.86984937500000004</v>
      </c>
      <c r="BH139" s="483" t="str">
        <f>IF(AR139="Tuberia",BA139*BD139," ")</f>
        <v xml:space="preserve"> </v>
      </c>
      <c r="BI139" s="289" t="str">
        <f>IF(AR139="Enterrado",BB139*BC139*BE139*BF139," ")</f>
        <v xml:space="preserve"> </v>
      </c>
      <c r="BJ139" s="289">
        <f>IF(AR139="Enterrado/Tuberia",AVERAGE(BA139*BD139,BB139*BC139*BE139*BF139)," ")</f>
        <v>0.86984937500000004</v>
      </c>
      <c r="BK139" s="289">
        <f>+SUM(BH139:BJ139)</f>
        <v>0.86984937500000004</v>
      </c>
    </row>
    <row r="140" spans="1:64" s="1" customFormat="1" ht="18.600000000000001" customHeight="1" x14ac:dyDescent="0.3">
      <c r="B140" s="142"/>
      <c r="C140" s="101"/>
      <c r="D140" s="101"/>
      <c r="E140" s="101"/>
      <c r="F140" s="101"/>
      <c r="G140" s="101"/>
      <c r="H140" s="141"/>
      <c r="I140" s="142"/>
      <c r="J140" s="101"/>
      <c r="K140" s="101"/>
      <c r="L140" s="101"/>
      <c r="M140" s="101"/>
      <c r="N140" s="101"/>
      <c r="O140" s="141"/>
      <c r="P140" s="34"/>
      <c r="Q140" s="34"/>
      <c r="R140" s="34"/>
      <c r="S140" s="13">
        <v>0.8</v>
      </c>
      <c r="T140" s="73">
        <v>1.2</v>
      </c>
      <c r="U140" s="420"/>
      <c r="V140" s="705"/>
      <c r="W140" s="573" t="s">
        <v>586</v>
      </c>
      <c r="X140" s="539">
        <f>+TDN!G64/1000</f>
        <v>3.3370000000000002</v>
      </c>
      <c r="Y140" s="541">
        <f>IF(AA140="3Ø",X140*1000/(SQRT(3)*W$133*X$134),X140*1000/(W$134*X$134))</f>
        <v>16.853535353535353</v>
      </c>
      <c r="Z140" s="539">
        <f>+BG140</f>
        <v>1</v>
      </c>
      <c r="AA140" s="540" t="s">
        <v>298</v>
      </c>
      <c r="AB140" s="541">
        <f>Y140/Z140</f>
        <v>16.853535353535353</v>
      </c>
      <c r="AC140" s="541">
        <f>+VLOOKUP(AE140,$F$15:$O$77,10,FALSE)</f>
        <v>90</v>
      </c>
      <c r="AD140" s="618">
        <f>17+6+2</f>
        <v>25</v>
      </c>
      <c r="AE140" s="542">
        <v>10</v>
      </c>
      <c r="AF140" s="543">
        <f>+VLOOKUP(AE140,$F$16:$P$77,8)</f>
        <v>3.7401421896467025E-3</v>
      </c>
      <c r="AG140" s="539">
        <f>IF(AA140="3Ø",$W$133*AH140/100,$W$134*AH140/100)</f>
        <v>3.3</v>
      </c>
      <c r="AH140" s="539">
        <v>1.5</v>
      </c>
      <c r="AI140" s="539">
        <f>VLOOKUP(AE140,$F$16:$P$77,8,FALSE)*AD140*Y140</f>
        <v>1.5758654655114956</v>
      </c>
      <c r="AJ140" s="539">
        <f>IF(AA140="3Ø",+AI140*100/$W$133,AI140*100/$W$134)</f>
        <v>0.71630248432340704</v>
      </c>
      <c r="AK140" s="539">
        <f>+AJ140</f>
        <v>0.71630248432340704</v>
      </c>
      <c r="AL140" s="544" t="s">
        <v>480</v>
      </c>
      <c r="AM140" s="545" t="s">
        <v>519</v>
      </c>
      <c r="AN140" s="541">
        <f>IF(AC140*Z140&gt;IF(AB140&lt;Y140,Y140,AB140),AC140*Z140,"NO")</f>
        <v>90</v>
      </c>
      <c r="AO140" s="548" t="str">
        <f>IF(AA140="3Ø","3 x","2 x")</f>
        <v>2 x</v>
      </c>
      <c r="AP140" s="546">
        <v>32</v>
      </c>
      <c r="AQ140" s="549">
        <f>AP140</f>
        <v>32</v>
      </c>
      <c r="AR140" s="547" t="s">
        <v>540</v>
      </c>
      <c r="AS140" s="68" t="s">
        <v>300</v>
      </c>
      <c r="AT140" s="491">
        <f>+Y140*T140</f>
        <v>20.224242424242423</v>
      </c>
      <c r="AU140" s="491">
        <f>+AC140*S140</f>
        <v>72</v>
      </c>
      <c r="AV140" s="81">
        <f>MAX(AT140,AB140)</f>
        <v>20.224242424242423</v>
      </c>
      <c r="AW140" s="95">
        <f>IF(OR(AQ140&lt;=AV140,AQ140&gt;=AX140),"NO",AQ140)</f>
        <v>32</v>
      </c>
      <c r="AX140" s="81">
        <f>MIN(AU140,AN140)</f>
        <v>72</v>
      </c>
      <c r="AY140" s="284">
        <f>IF(AZ140&lt;=6,6,INDEX(CONDUCTORR,MATCH(AZ140,CONDUCTORR,1)+1,1))</f>
        <v>6</v>
      </c>
      <c r="AZ140" s="79">
        <f>IF(AA140="3Ø",((X140*1000)*AD140)/(44*$W$133*AG140),(2*(X140*1000)*AD140)/(44*$W$134*AG140))</f>
        <v>5.2232031054345107</v>
      </c>
      <c r="BA140" s="79">
        <f>IF(AR140="Enterrado","-",'FACT. DE CORR'!$H$70)</f>
        <v>1</v>
      </c>
      <c r="BB140" s="79" t="str">
        <f>IF(AR140="Tuberia","-",'FACT. DE CORR'!$G$70)</f>
        <v>-</v>
      </c>
      <c r="BC140" s="79" t="str">
        <f>IF(AR140="Tuberia","-",'FACT. DE CORR'!$J$78)</f>
        <v>-</v>
      </c>
      <c r="BD140" s="382">
        <f>IF(AR140="Enterrado","-",1)</f>
        <v>1</v>
      </c>
      <c r="BE140" s="79" t="str">
        <f>IF(AR140="Tuberia","-",'FACT. DE CORR'!$J$88)</f>
        <v>-</v>
      </c>
      <c r="BF140" s="289" t="str">
        <f>IF(AR140="Tuberia","-",0.75)</f>
        <v>-</v>
      </c>
      <c r="BG140" s="289">
        <f>BK140</f>
        <v>1</v>
      </c>
      <c r="BH140" s="483">
        <f>IF(AR140="Tuberia",BA140*BD140," ")</f>
        <v>1</v>
      </c>
      <c r="BI140" s="289" t="str">
        <f>IF(AR140="Enterrado",BB140*BC140*BE140*BF140," ")</f>
        <v xml:space="preserve"> </v>
      </c>
      <c r="BJ140" s="289" t="str">
        <f>IF(AR140="Enterrado/Tuberia",AVERAGE(BA140*BD140,BB140*BC140*BE140*BF140)," ")</f>
        <v xml:space="preserve"> </v>
      </c>
      <c r="BK140" s="289">
        <f>+SUM(BH140:BJ140)</f>
        <v>1</v>
      </c>
    </row>
    <row r="141" spans="1:64" s="1" customFormat="1" ht="18.600000000000001" customHeight="1" x14ac:dyDescent="0.3">
      <c r="B141" s="142"/>
      <c r="C141" s="101"/>
      <c r="D141" s="101"/>
      <c r="E141" s="101"/>
      <c r="F141" s="101"/>
      <c r="G141" s="101"/>
      <c r="H141" s="141"/>
      <c r="I141" s="142"/>
      <c r="J141" s="101"/>
      <c r="K141" s="101"/>
      <c r="L141" s="101"/>
      <c r="M141" s="101"/>
      <c r="N141" s="101"/>
      <c r="O141" s="141"/>
      <c r="P141" s="34"/>
      <c r="Q141" s="34"/>
      <c r="R141" s="34"/>
      <c r="S141" s="13">
        <v>0.8</v>
      </c>
      <c r="T141" s="73">
        <v>1.2</v>
      </c>
      <c r="U141" s="420"/>
      <c r="V141" s="705"/>
      <c r="W141" s="573" t="s">
        <v>616</v>
      </c>
      <c r="X141" s="539">
        <f>+TDN!G95/1000</f>
        <v>2.6219999999999999</v>
      </c>
      <c r="Y141" s="541">
        <f>IF(AA141="3Ø",X141*1000/(SQRT(3)*W$133*X$134),X141*1000/(W$134*X$134))</f>
        <v>13.242424242424242</v>
      </c>
      <c r="Z141" s="539">
        <f>+BG141</f>
        <v>1</v>
      </c>
      <c r="AA141" s="540" t="s">
        <v>298</v>
      </c>
      <c r="AB141" s="541">
        <f>Y141/Z141</f>
        <v>13.242424242424242</v>
      </c>
      <c r="AC141" s="541">
        <f>+VLOOKUP(AE141,$F$15:$O$77,10,FALSE)</f>
        <v>65</v>
      </c>
      <c r="AD141" s="618">
        <f>19+6+2</f>
        <v>27</v>
      </c>
      <c r="AE141" s="542">
        <v>6</v>
      </c>
      <c r="AF141" s="543">
        <f>+VLOOKUP(AE141,$F$16:$P$77,8)</f>
        <v>6.2315424309923361E-3</v>
      </c>
      <c r="AG141" s="539">
        <f>IF(AA141="3Ø",$W$133*AH141/100,$W$134*AH141/100)</f>
        <v>3.3</v>
      </c>
      <c r="AH141" s="539">
        <v>1.5</v>
      </c>
      <c r="AI141" s="539">
        <f>VLOOKUP(AE141,$F$16:$P$77,8,FALSE)*AD141*Y141</f>
        <v>2.2280596710084417</v>
      </c>
      <c r="AJ141" s="539">
        <f>IF(AA141="3Ø",+AI141*100/$W$133,AI141*100/$W$134)</f>
        <v>1.0127543959129279</v>
      </c>
      <c r="AK141" s="539">
        <f>+AJ141</f>
        <v>1.0127543959129279</v>
      </c>
      <c r="AL141" s="544" t="s">
        <v>479</v>
      </c>
      <c r="AM141" s="545" t="s">
        <v>519</v>
      </c>
      <c r="AN141" s="541">
        <f>IF(AC141*Z141&gt;IF(AB141&lt;Y141,Y141,AB141),AC141*Z141,"NO")</f>
        <v>65</v>
      </c>
      <c r="AO141" s="548" t="str">
        <f>IF(AA141="3Ø","3 x","2 x")</f>
        <v>2 x</v>
      </c>
      <c r="AP141" s="546">
        <v>32</v>
      </c>
      <c r="AQ141" s="549">
        <f>AP141</f>
        <v>32</v>
      </c>
      <c r="AR141" s="547" t="s">
        <v>540</v>
      </c>
      <c r="AS141" s="68" t="s">
        <v>299</v>
      </c>
      <c r="AT141" s="491">
        <f>+Y141*T141</f>
        <v>15.890909090909091</v>
      </c>
      <c r="AU141" s="491">
        <f>+AC141*S141</f>
        <v>52</v>
      </c>
      <c r="AV141" s="81">
        <f>MAX(AT141,AB141)</f>
        <v>15.890909090909091</v>
      </c>
      <c r="AW141" s="95">
        <f>IF(OR(AQ141&lt;=AV141,AQ141&gt;=AX141),"NO",AQ141)</f>
        <v>32</v>
      </c>
      <c r="AX141" s="81">
        <f>MIN(AU141,AN141)</f>
        <v>52</v>
      </c>
      <c r="AY141" s="284">
        <f>IF(AZ141&lt;=6,6,INDEX(CONDUCTORR,MATCH(AZ141,CONDUCTORR,1)+1,1))</f>
        <v>6</v>
      </c>
      <c r="AZ141" s="628">
        <f>IF(AA141="3Ø",((X141*1000)*AD141)/(44*$W$133*AG141),(2*(X141*1000)*AD141)/(44*$W$134*AG141))</f>
        <v>4.4323816679188583</v>
      </c>
      <c r="BA141" s="628">
        <f>IF(AR141="Enterrado","-",'FACT. DE CORR'!$H$70)</f>
        <v>1</v>
      </c>
      <c r="BB141" s="628" t="str">
        <f>IF(AR141="Tuberia","-",'FACT. DE CORR'!$G$70)</f>
        <v>-</v>
      </c>
      <c r="BC141" s="628" t="str">
        <f>IF(AR141="Tuberia","-",'FACT. DE CORR'!$J$78)</f>
        <v>-</v>
      </c>
      <c r="BD141" s="382">
        <f>IF(AR141="Enterrado","-",1)</f>
        <v>1</v>
      </c>
      <c r="BE141" s="628" t="str">
        <f>IF(AR141="Tuberia","-",'FACT. DE CORR'!$J$88)</f>
        <v>-</v>
      </c>
      <c r="BF141" s="289" t="str">
        <f>IF(AR141="Tuberia","-",0.75)</f>
        <v>-</v>
      </c>
      <c r="BG141" s="289">
        <f>BK141</f>
        <v>1</v>
      </c>
      <c r="BH141" s="483">
        <f>IF(AR141="Tuberia",BA141*BD141," ")</f>
        <v>1</v>
      </c>
      <c r="BI141" s="289" t="str">
        <f>IF(AR141="Enterrado",BB141*BC141*BE141*BF141," ")</f>
        <v xml:space="preserve"> </v>
      </c>
      <c r="BJ141" s="289" t="str">
        <f>IF(AR141="Enterrado/Tuberia",AVERAGE(BA141*BD141,BB141*BC141*BE141*BF141)," ")</f>
        <v xml:space="preserve"> </v>
      </c>
      <c r="BK141" s="289">
        <f>+SUM(BH141:BJ141)</f>
        <v>1</v>
      </c>
    </row>
    <row r="142" spans="1:64" s="1" customFormat="1" ht="18.600000000000001" customHeight="1" x14ac:dyDescent="0.3">
      <c r="B142" s="142"/>
      <c r="C142" s="101"/>
      <c r="D142" s="101"/>
      <c r="E142" s="101"/>
      <c r="F142" s="101"/>
      <c r="G142" s="101"/>
      <c r="H142" s="141"/>
      <c r="I142" s="142"/>
      <c r="J142" s="101"/>
      <c r="K142" s="101"/>
      <c r="L142" s="101"/>
      <c r="M142" s="101"/>
      <c r="N142" s="101"/>
      <c r="O142" s="141"/>
      <c r="P142" s="34"/>
      <c r="Q142" s="34"/>
      <c r="R142" s="34"/>
      <c r="S142" s="13">
        <v>0.8</v>
      </c>
      <c r="T142" s="73">
        <v>1.2</v>
      </c>
      <c r="U142" s="420"/>
      <c r="V142" s="706"/>
      <c r="W142" s="573" t="s">
        <v>617</v>
      </c>
      <c r="X142" s="539">
        <f>+TDN!G108/1000</f>
        <v>0.67300000000000004</v>
      </c>
      <c r="Y142" s="541">
        <f>IF(AA142="3Ø",X142*1000/(SQRT(3)*W$133*X$134),X142*1000/(W$134*X$134))</f>
        <v>3.3989898989898988</v>
      </c>
      <c r="Z142" s="539">
        <f>+BG142</f>
        <v>1</v>
      </c>
      <c r="AA142" s="540" t="s">
        <v>298</v>
      </c>
      <c r="AB142" s="541">
        <f>Y142/Z142</f>
        <v>3.3989898989898988</v>
      </c>
      <c r="AC142" s="541">
        <f>+VLOOKUP(AE142,$F$15:$O$77,10,FALSE)</f>
        <v>65</v>
      </c>
      <c r="AD142" s="618">
        <f>29+6+3</f>
        <v>38</v>
      </c>
      <c r="AE142" s="542">
        <v>6</v>
      </c>
      <c r="AF142" s="543">
        <f>+VLOOKUP(AE142,$F$16:$P$77,8)</f>
        <v>6.2315424309923361E-3</v>
      </c>
      <c r="AG142" s="539">
        <f>IF(AA142="3Ø",$W$133*AH142/100,$W$134*AH142/100)</f>
        <v>3.3</v>
      </c>
      <c r="AH142" s="539">
        <v>1.5</v>
      </c>
      <c r="AI142" s="539">
        <f>VLOOKUP(AE142,$F$16:$P$77,8,FALSE)*AD142*Y142</f>
        <v>0.80487609156665652</v>
      </c>
      <c r="AJ142" s="539">
        <f>IF(AA142="3Ø",+AI142*100/$W$133,AI142*100/$W$134)</f>
        <v>0.36585276889393481</v>
      </c>
      <c r="AK142" s="539">
        <f>+AJ142</f>
        <v>0.36585276889393481</v>
      </c>
      <c r="AL142" s="544" t="s">
        <v>479</v>
      </c>
      <c r="AM142" s="545" t="s">
        <v>519</v>
      </c>
      <c r="AN142" s="541">
        <f>IF(AC142*Z142&gt;IF(AB142&lt;Y142,Y142,AB142),AC142*Z142,"NO")</f>
        <v>65</v>
      </c>
      <c r="AO142" s="548" t="str">
        <f>IF(AA142="3Ø","3 x","2 x")</f>
        <v>2 x</v>
      </c>
      <c r="AP142" s="629">
        <v>32</v>
      </c>
      <c r="AQ142" s="547">
        <f>AP142</f>
        <v>32</v>
      </c>
      <c r="AR142" s="547" t="s">
        <v>540</v>
      </c>
      <c r="AS142" s="68" t="s">
        <v>299</v>
      </c>
      <c r="AT142" s="491">
        <f>+Y142*T142</f>
        <v>4.0787878787878782</v>
      </c>
      <c r="AU142" s="491">
        <f>+AC142*S142</f>
        <v>52</v>
      </c>
      <c r="AV142" s="81">
        <f>MAX(AT142,AB142)</f>
        <v>4.0787878787878782</v>
      </c>
      <c r="AW142" s="95">
        <f>IF(OR(AQ142&lt;=AV142,AQ142&gt;=AX142),"NO",AQ142)</f>
        <v>32</v>
      </c>
      <c r="AX142" s="81">
        <f>MIN(AU142,AN142)</f>
        <v>52</v>
      </c>
      <c r="AY142" s="284">
        <f>IF(AZ142&lt;=6,6,INDEX(CONDUCTORR,MATCH(AZ142,CONDUCTORR,1)+1,1))</f>
        <v>6</v>
      </c>
      <c r="AZ142" s="628">
        <f>IF(AA142="3Ø",((X142*1000)*AD142)/(44*$W$133*AG142),(2*(X142*1000)*AD142)/(44*$W$134*AG142))</f>
        <v>1.6011770598547459</v>
      </c>
      <c r="BA142" s="628">
        <f>IF(AR142="Enterrado","-",'FACT. DE CORR'!$H$70)</f>
        <v>1</v>
      </c>
      <c r="BB142" s="628" t="str">
        <f>IF(AR142="Tuberia","-",'FACT. DE CORR'!$G$70)</f>
        <v>-</v>
      </c>
      <c r="BC142" s="628" t="str">
        <f>IF(AR142="Tuberia","-",'FACT. DE CORR'!$J$78)</f>
        <v>-</v>
      </c>
      <c r="BD142" s="382">
        <f>IF(AR142="Enterrado","-",1)</f>
        <v>1</v>
      </c>
      <c r="BE142" s="628" t="str">
        <f>IF(AR142="Tuberia","-",'FACT. DE CORR'!$J$88)</f>
        <v>-</v>
      </c>
      <c r="BF142" s="289" t="str">
        <f>IF(AR142="Tuberia","-",0.75)</f>
        <v>-</v>
      </c>
      <c r="BG142" s="289">
        <f>BK142</f>
        <v>1</v>
      </c>
      <c r="BH142" s="483">
        <f>IF(AR142="Tuberia",BA142*BD142," ")</f>
        <v>1</v>
      </c>
      <c r="BI142" s="289" t="str">
        <f>IF(AR142="Enterrado",BB142*BC142*BE142*BF142," ")</f>
        <v xml:space="preserve"> </v>
      </c>
      <c r="BJ142" s="289" t="str">
        <f>IF(AR142="Enterrado/Tuberia",AVERAGE(BA142*BD142,BB142*BC142*BE142*BF142)," ")</f>
        <v xml:space="preserve"> </v>
      </c>
      <c r="BK142" s="289">
        <f>+SUM(BH142:BJ142)</f>
        <v>1</v>
      </c>
    </row>
    <row r="143" spans="1:64" ht="17.45" customHeight="1" x14ac:dyDescent="0.3">
      <c r="E143" s="121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369"/>
      <c r="Q143" s="369"/>
      <c r="R143" s="369"/>
      <c r="S143" s="152"/>
      <c r="T143" s="152"/>
      <c r="U143" s="131"/>
      <c r="V143" s="497"/>
      <c r="W143" s="498"/>
      <c r="X143" s="132"/>
      <c r="Y143" s="134"/>
      <c r="AB143" s="133"/>
      <c r="AC143" s="133"/>
      <c r="AD143" s="574"/>
      <c r="AE143" s="135"/>
      <c r="AF143" s="136"/>
      <c r="AG143" s="136"/>
      <c r="AH143" s="136"/>
      <c r="AI143" s="137"/>
      <c r="AJ143" s="137"/>
      <c r="AK143" s="137"/>
      <c r="AL143" s="137"/>
      <c r="AM143" s="137"/>
      <c r="AN143" s="137"/>
      <c r="AO143" s="137"/>
      <c r="AP143" s="151"/>
      <c r="AQ143" s="133"/>
      <c r="AR143" s="133"/>
      <c r="AS143" s="138"/>
      <c r="AT143" s="139"/>
      <c r="AU143" s="139"/>
      <c r="AV143" s="139"/>
      <c r="AW143" s="153"/>
      <c r="AX143" s="126"/>
      <c r="AY143" s="127"/>
      <c r="AZ143" s="127"/>
      <c r="BA143" s="127"/>
      <c r="BB143" s="127"/>
      <c r="BC143" s="127"/>
      <c r="BD143" s="127"/>
      <c r="BE143" s="127"/>
      <c r="BF143" s="127"/>
    </row>
    <row r="144" spans="1:64" ht="20.100000000000001" customHeight="1" x14ac:dyDescent="0.3">
      <c r="E144" s="121"/>
      <c r="F144" s="124"/>
      <c r="G144" s="122"/>
      <c r="H144" s="122"/>
      <c r="I144" s="122"/>
      <c r="J144" s="122"/>
      <c r="K144" s="122"/>
      <c r="L144" s="122"/>
      <c r="M144" s="123"/>
      <c r="N144" s="124"/>
      <c r="O144" s="124"/>
      <c r="P144" s="367"/>
      <c r="Q144" s="367"/>
      <c r="R144" s="367"/>
      <c r="S144" s="152"/>
      <c r="T144" s="152"/>
      <c r="U144" s="131"/>
      <c r="V144" s="162"/>
      <c r="W144" s="162"/>
      <c r="X144" s="140"/>
      <c r="Y144" s="134"/>
      <c r="Z144" s="134"/>
      <c r="AA144" s="134"/>
      <c r="AB144" s="134"/>
      <c r="AC144" s="133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4"/>
      <c r="AO144" s="137"/>
      <c r="AP144" s="137"/>
      <c r="AQ144" s="137"/>
      <c r="AR144" s="137"/>
      <c r="AS144" s="137"/>
      <c r="AT144" s="137"/>
      <c r="AU144" s="137"/>
      <c r="AV144" s="137"/>
      <c r="AX144" s="126"/>
      <c r="AY144" s="127"/>
      <c r="AZ144" s="127"/>
      <c r="BA144" s="127"/>
      <c r="BB144" s="127"/>
      <c r="BC144" s="127"/>
      <c r="BD144" s="127"/>
      <c r="BE144" s="127"/>
      <c r="BF144" s="127"/>
    </row>
    <row r="145" spans="5:58" ht="20.100000000000001" customHeight="1" x14ac:dyDescent="0.3">
      <c r="E145" s="121"/>
      <c r="F145" s="124"/>
      <c r="G145" s="122"/>
      <c r="H145" s="122"/>
      <c r="I145" s="122"/>
      <c r="J145" s="122"/>
      <c r="K145" s="122"/>
      <c r="L145" s="122"/>
      <c r="M145" s="123"/>
      <c r="N145" s="124"/>
      <c r="O145" s="124"/>
      <c r="P145" s="367"/>
      <c r="Q145" s="367"/>
      <c r="R145" s="367"/>
      <c r="S145" s="152"/>
      <c r="T145" s="152"/>
      <c r="U145" s="131"/>
      <c r="V145" s="162"/>
      <c r="W145" s="162"/>
      <c r="X145" s="140"/>
      <c r="Y145" s="134"/>
      <c r="Z145" s="134"/>
      <c r="AA145" s="134"/>
      <c r="AB145" s="134"/>
      <c r="AC145" s="133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4"/>
      <c r="AO145" s="137"/>
      <c r="AP145" s="137"/>
      <c r="AQ145" s="137"/>
      <c r="AR145" s="137"/>
      <c r="AS145" s="137"/>
      <c r="AT145" s="137"/>
      <c r="AU145" s="137"/>
      <c r="AV145" s="137"/>
      <c r="AX145" s="126"/>
      <c r="AY145" s="127"/>
      <c r="AZ145" s="127"/>
      <c r="BA145" s="127"/>
      <c r="BB145" s="127"/>
      <c r="BC145" s="127"/>
      <c r="BD145" s="127"/>
      <c r="BE145" s="127"/>
      <c r="BF145" s="127"/>
    </row>
    <row r="146" spans="5:58" ht="20.100000000000001" customHeight="1" x14ac:dyDescent="0.3">
      <c r="E146" s="121"/>
      <c r="F146" s="124"/>
      <c r="G146" s="122"/>
      <c r="H146" s="122"/>
      <c r="I146" s="122"/>
      <c r="J146" s="122"/>
      <c r="K146" s="122"/>
      <c r="L146" s="122"/>
      <c r="M146" s="123"/>
      <c r="N146" s="124"/>
      <c r="O146" s="124"/>
      <c r="P146" s="367"/>
      <c r="Q146" s="367"/>
      <c r="R146" s="367"/>
      <c r="S146" s="152"/>
      <c r="T146" s="152"/>
      <c r="U146" s="131"/>
      <c r="V146" s="162"/>
      <c r="W146" s="162"/>
      <c r="X146" s="140"/>
      <c r="Y146" s="134"/>
      <c r="Z146" s="134"/>
      <c r="AA146" s="134"/>
      <c r="AB146" s="134"/>
      <c r="AC146" s="133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4"/>
      <c r="AO146" s="137"/>
      <c r="AP146" s="137"/>
      <c r="AQ146" s="137"/>
      <c r="AR146" s="137"/>
      <c r="AS146" s="137"/>
      <c r="AT146" s="137"/>
      <c r="AU146" s="137"/>
      <c r="AV146" s="137"/>
      <c r="AX146" s="126"/>
      <c r="AY146" s="127"/>
      <c r="AZ146" s="127"/>
      <c r="BA146" s="127"/>
      <c r="BB146" s="127"/>
      <c r="BC146" s="127"/>
      <c r="BD146" s="127"/>
      <c r="BE146" s="127"/>
      <c r="BF146" s="127"/>
    </row>
    <row r="147" spans="5:58" ht="20.100000000000001" customHeight="1" x14ac:dyDescent="0.3">
      <c r="E147" s="121"/>
      <c r="F147" s="124"/>
      <c r="G147" s="122"/>
      <c r="H147" s="122"/>
      <c r="I147" s="122"/>
      <c r="J147" s="122"/>
      <c r="K147" s="122"/>
      <c r="L147" s="122"/>
      <c r="M147" s="123"/>
      <c r="N147" s="124"/>
      <c r="O147" s="124"/>
      <c r="P147" s="367"/>
      <c r="Q147" s="367"/>
      <c r="R147" s="367"/>
      <c r="S147" s="152"/>
      <c r="T147" s="152"/>
      <c r="U147" s="131"/>
      <c r="V147" s="162"/>
      <c r="W147" s="162"/>
      <c r="X147" s="140"/>
      <c r="Y147" s="134"/>
      <c r="Z147" s="134"/>
      <c r="AA147" s="134"/>
      <c r="AB147" s="134"/>
      <c r="AC147" s="133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4"/>
      <c r="AO147" s="137"/>
      <c r="AP147" s="137"/>
      <c r="AQ147" s="137"/>
      <c r="AR147" s="137"/>
      <c r="AS147" s="137"/>
      <c r="AT147" s="137"/>
      <c r="AU147" s="137"/>
      <c r="AV147" s="137"/>
      <c r="AX147" s="126"/>
      <c r="AY147" s="127"/>
      <c r="AZ147" s="127"/>
      <c r="BA147" s="127"/>
      <c r="BB147" s="127"/>
      <c r="BC147" s="127"/>
      <c r="BD147" s="127"/>
      <c r="BE147" s="127"/>
      <c r="BF147" s="127"/>
    </row>
    <row r="148" spans="5:58" ht="20.100000000000001" customHeight="1" x14ac:dyDescent="0.3">
      <c r="E148" s="121"/>
      <c r="F148" s="124"/>
      <c r="G148" s="122"/>
      <c r="H148" s="122"/>
      <c r="I148" s="122"/>
      <c r="J148" s="122"/>
      <c r="K148" s="122"/>
      <c r="L148" s="122"/>
      <c r="M148" s="123"/>
      <c r="N148" s="124"/>
      <c r="O148" s="124"/>
      <c r="P148" s="367"/>
      <c r="Q148" s="367"/>
      <c r="R148" s="367"/>
      <c r="S148" s="152"/>
      <c r="T148" s="152"/>
      <c r="U148" s="131"/>
      <c r="V148" s="162"/>
      <c r="W148" s="162"/>
      <c r="X148" s="140"/>
      <c r="Y148" s="134"/>
      <c r="Z148" s="134"/>
      <c r="AA148" s="134"/>
      <c r="AB148" s="134"/>
      <c r="AC148" s="133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4"/>
      <c r="AO148" s="137"/>
      <c r="AP148" s="137"/>
      <c r="AQ148" s="137"/>
      <c r="AR148" s="137"/>
      <c r="AS148" s="137"/>
      <c r="AT148" s="137"/>
      <c r="AU148" s="137"/>
      <c r="AV148" s="137"/>
      <c r="AX148" s="126"/>
      <c r="AY148" s="127"/>
      <c r="AZ148" s="127"/>
      <c r="BA148" s="127"/>
      <c r="BB148" s="127"/>
      <c r="BC148" s="127"/>
      <c r="BD148" s="127"/>
      <c r="BE148" s="127"/>
      <c r="BF148" s="127"/>
    </row>
    <row r="149" spans="5:58" ht="20.100000000000001" customHeight="1" x14ac:dyDescent="0.3">
      <c r="E149" s="121"/>
      <c r="F149" s="124"/>
      <c r="G149" s="122"/>
      <c r="H149" s="122"/>
      <c r="I149" s="122"/>
      <c r="J149" s="122"/>
      <c r="K149" s="122"/>
      <c r="L149" s="122"/>
      <c r="M149" s="123"/>
      <c r="N149" s="124"/>
      <c r="O149" s="124"/>
      <c r="P149" s="367"/>
      <c r="Q149" s="367"/>
      <c r="R149" s="367"/>
      <c r="S149" s="152"/>
      <c r="T149" s="152"/>
      <c r="U149" s="131"/>
      <c r="V149" s="162"/>
      <c r="W149" s="162"/>
      <c r="X149" s="140"/>
      <c r="Y149" s="134"/>
      <c r="Z149" s="134"/>
      <c r="AA149" s="134"/>
      <c r="AB149" s="134"/>
      <c r="AC149" s="133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4"/>
      <c r="AO149" s="137"/>
      <c r="AP149" s="137"/>
      <c r="AQ149" s="137"/>
      <c r="AR149" s="137"/>
      <c r="AS149" s="137"/>
      <c r="AT149" s="137"/>
      <c r="AU149" s="137"/>
      <c r="AV149" s="137"/>
      <c r="AX149" s="126"/>
      <c r="AY149" s="127"/>
      <c r="AZ149" s="127"/>
      <c r="BA149" s="127"/>
      <c r="BB149" s="127"/>
      <c r="BC149" s="127"/>
      <c r="BD149" s="127"/>
      <c r="BE149" s="127"/>
      <c r="BF149" s="127"/>
    </row>
    <row r="150" spans="5:58" ht="20.100000000000001" customHeight="1" x14ac:dyDescent="0.3">
      <c r="E150" s="121"/>
      <c r="F150" s="124"/>
      <c r="G150" s="122"/>
      <c r="H150" s="122"/>
      <c r="I150" s="122"/>
      <c r="J150" s="122"/>
      <c r="K150" s="122"/>
      <c r="L150" s="122"/>
      <c r="M150" s="123"/>
      <c r="N150" s="124"/>
      <c r="O150" s="124"/>
      <c r="P150" s="367"/>
      <c r="Q150" s="367"/>
      <c r="R150" s="367"/>
      <c r="S150" s="152"/>
      <c r="T150" s="152"/>
      <c r="U150" s="131"/>
      <c r="V150" s="162"/>
      <c r="W150" s="162"/>
      <c r="X150" s="140"/>
      <c r="Y150" s="134"/>
      <c r="Z150" s="134"/>
      <c r="AA150" s="134"/>
      <c r="AB150" s="134"/>
      <c r="AC150" s="133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4"/>
      <c r="AO150" s="137"/>
      <c r="AP150" s="137"/>
      <c r="AQ150" s="137"/>
      <c r="AR150" s="137"/>
      <c r="AS150" s="137"/>
      <c r="AT150" s="137"/>
      <c r="AU150" s="137"/>
      <c r="AV150" s="137"/>
      <c r="AX150" s="126"/>
      <c r="AY150" s="127"/>
      <c r="AZ150" s="127"/>
      <c r="BA150" s="127"/>
      <c r="BB150" s="127"/>
      <c r="BC150" s="127"/>
      <c r="BD150" s="127"/>
      <c r="BE150" s="127"/>
      <c r="BF150" s="127"/>
    </row>
    <row r="151" spans="5:58" ht="20.100000000000001" customHeight="1" x14ac:dyDescent="0.3">
      <c r="E151" s="121"/>
      <c r="F151" s="124"/>
      <c r="G151" s="122"/>
      <c r="H151" s="122"/>
      <c r="I151" s="122"/>
      <c r="J151" s="122"/>
      <c r="K151" s="122"/>
      <c r="L151" s="122"/>
      <c r="M151" s="123"/>
      <c r="N151" s="124"/>
      <c r="O151" s="124"/>
      <c r="P151" s="367"/>
      <c r="Q151" s="367"/>
      <c r="R151" s="367"/>
      <c r="S151" s="152"/>
      <c r="T151" s="152"/>
      <c r="U151" s="131"/>
      <c r="V151" s="162"/>
      <c r="W151" s="162"/>
      <c r="X151" s="140"/>
      <c r="Y151" s="134"/>
      <c r="Z151" s="134"/>
      <c r="AA151" s="134"/>
      <c r="AB151" s="134"/>
      <c r="AC151" s="133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4"/>
      <c r="AO151" s="137"/>
      <c r="AP151" s="137"/>
      <c r="AQ151" s="137"/>
      <c r="AR151" s="137"/>
      <c r="AS151" s="137"/>
      <c r="AT151" s="137"/>
      <c r="AU151" s="137"/>
      <c r="AV151" s="137"/>
      <c r="AX151" s="126"/>
      <c r="AY151" s="127"/>
      <c r="AZ151" s="127"/>
      <c r="BA151" s="127"/>
      <c r="BB151" s="127"/>
      <c r="BC151" s="127"/>
      <c r="BD151" s="127"/>
      <c r="BE151" s="127"/>
      <c r="BF151" s="127"/>
    </row>
    <row r="152" spans="5:58" ht="20.100000000000001" customHeight="1" x14ac:dyDescent="0.3">
      <c r="E152" s="121"/>
      <c r="F152" s="124"/>
      <c r="G152" s="122"/>
      <c r="H152" s="122"/>
      <c r="I152" s="122"/>
      <c r="J152" s="122"/>
      <c r="K152" s="122"/>
      <c r="L152" s="122"/>
      <c r="M152" s="123"/>
      <c r="N152" s="124"/>
      <c r="O152" s="124"/>
      <c r="P152" s="367"/>
      <c r="Q152" s="367"/>
      <c r="R152" s="367"/>
      <c r="S152" s="152"/>
      <c r="T152" s="152"/>
      <c r="V152" s="208"/>
      <c r="W152" s="210"/>
      <c r="X152" s="132"/>
      <c r="Y152" s="134"/>
      <c r="Z152" s="134"/>
      <c r="AA152" s="134"/>
      <c r="AB152" s="134"/>
      <c r="AC152" s="133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4"/>
      <c r="AO152" s="137"/>
      <c r="AP152" s="137"/>
      <c r="AQ152" s="137"/>
      <c r="AR152" s="137"/>
      <c r="AS152" s="137"/>
      <c r="AT152" s="137"/>
      <c r="AU152" s="137"/>
      <c r="AV152" s="137"/>
      <c r="AX152" s="127"/>
      <c r="AY152" s="127"/>
      <c r="AZ152" s="127"/>
      <c r="BA152" s="127"/>
      <c r="BB152" s="127"/>
      <c r="BC152" s="127"/>
      <c r="BD152" s="127"/>
      <c r="BE152" s="127"/>
      <c r="BF152" s="127"/>
    </row>
    <row r="153" spans="5:58" ht="20.100000000000001" customHeight="1" x14ac:dyDescent="0.3">
      <c r="E153" s="121"/>
      <c r="F153" s="124"/>
      <c r="G153" s="122"/>
      <c r="H153" s="122"/>
      <c r="I153" s="122"/>
      <c r="J153" s="122"/>
      <c r="K153" s="122"/>
      <c r="L153" s="122"/>
      <c r="M153" s="123"/>
      <c r="N153" s="124"/>
      <c r="O153" s="124"/>
      <c r="P153" s="367"/>
      <c r="Q153" s="367"/>
      <c r="R153" s="367"/>
      <c r="S153" s="152"/>
      <c r="T153" s="152"/>
      <c r="V153" s="208"/>
      <c r="W153" s="210"/>
      <c r="X153" s="132"/>
      <c r="Y153" s="134"/>
      <c r="Z153" s="134"/>
      <c r="AA153" s="134"/>
      <c r="AB153" s="134"/>
      <c r="AC153" s="133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4"/>
      <c r="AO153" s="137"/>
      <c r="AP153" s="137"/>
      <c r="AQ153" s="137"/>
      <c r="AR153" s="137"/>
      <c r="AS153" s="137"/>
      <c r="AT153" s="137"/>
      <c r="AU153" s="137"/>
      <c r="AV153" s="137"/>
      <c r="AX153" s="127"/>
      <c r="AY153" s="127"/>
      <c r="AZ153" s="127"/>
      <c r="BA153" s="127"/>
      <c r="BB153" s="127"/>
      <c r="BC153" s="127"/>
      <c r="BD153" s="127"/>
      <c r="BE153" s="127"/>
      <c r="BF153" s="127"/>
    </row>
    <row r="154" spans="5:58" ht="20.100000000000001" customHeight="1" x14ac:dyDescent="0.3">
      <c r="E154" s="121"/>
      <c r="F154" s="124"/>
      <c r="G154" s="122"/>
      <c r="H154" s="122"/>
      <c r="I154" s="122"/>
      <c r="J154" s="122"/>
      <c r="K154" s="122"/>
      <c r="L154" s="122"/>
      <c r="M154" s="123"/>
      <c r="N154" s="124"/>
      <c r="O154" s="124"/>
      <c r="P154" s="367"/>
      <c r="Q154" s="367"/>
      <c r="R154" s="367"/>
      <c r="S154" s="152"/>
      <c r="T154" s="152"/>
      <c r="V154" s="208"/>
      <c r="W154" s="210"/>
      <c r="X154" s="132"/>
      <c r="Y154" s="134"/>
      <c r="Z154" s="134"/>
      <c r="AA154" s="134"/>
      <c r="AB154" s="134"/>
      <c r="AC154" s="133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4"/>
      <c r="AO154" s="137"/>
      <c r="AP154" s="137"/>
      <c r="AQ154" s="137"/>
      <c r="AR154" s="137"/>
      <c r="AS154" s="137"/>
      <c r="AT154" s="137"/>
      <c r="AU154" s="137"/>
      <c r="AV154" s="137"/>
      <c r="AX154" s="127"/>
      <c r="AY154" s="127"/>
      <c r="AZ154" s="127"/>
      <c r="BA154" s="127"/>
      <c r="BB154" s="127"/>
      <c r="BC154" s="127"/>
      <c r="BD154" s="127"/>
      <c r="BE154" s="127"/>
      <c r="BF154" s="127"/>
    </row>
    <row r="155" spans="5:58" ht="20.100000000000001" customHeight="1" x14ac:dyDescent="0.3">
      <c r="E155" s="121"/>
      <c r="F155" s="124"/>
      <c r="G155" s="122"/>
      <c r="H155" s="122"/>
      <c r="I155" s="122"/>
      <c r="J155" s="122"/>
      <c r="K155" s="122"/>
      <c r="L155" s="122"/>
      <c r="M155" s="123"/>
      <c r="N155" s="124"/>
      <c r="O155" s="124"/>
      <c r="P155" s="367"/>
      <c r="Q155" s="367"/>
      <c r="R155" s="367"/>
      <c r="S155" s="152"/>
      <c r="T155" s="152"/>
      <c r="V155" s="208"/>
      <c r="W155" s="210"/>
      <c r="X155" s="132"/>
      <c r="Y155" s="134"/>
      <c r="Z155" s="134"/>
      <c r="AA155" s="134"/>
      <c r="AB155" s="134"/>
      <c r="AC155" s="133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4"/>
      <c r="AO155" s="137"/>
      <c r="AP155" s="137"/>
      <c r="AQ155" s="137"/>
      <c r="AR155" s="137"/>
      <c r="AS155" s="137"/>
      <c r="AT155" s="137"/>
      <c r="AU155" s="137"/>
      <c r="AV155" s="137"/>
      <c r="AX155" s="127"/>
      <c r="AY155" s="127"/>
      <c r="AZ155" s="127"/>
      <c r="BA155" s="127"/>
      <c r="BB155" s="127"/>
      <c r="BC155" s="127"/>
      <c r="BD155" s="127"/>
      <c r="BE155" s="127"/>
      <c r="BF155" s="127"/>
    </row>
    <row r="156" spans="5:58" ht="20.100000000000001" customHeight="1" x14ac:dyDescent="0.3">
      <c r="E156" s="121"/>
      <c r="F156" s="124"/>
      <c r="G156" s="122"/>
      <c r="H156" s="122"/>
      <c r="I156" s="122"/>
      <c r="J156" s="122"/>
      <c r="K156" s="122"/>
      <c r="L156" s="122"/>
      <c r="M156" s="123"/>
      <c r="N156" s="124"/>
      <c r="O156" s="124"/>
      <c r="P156" s="367"/>
      <c r="Q156" s="367"/>
      <c r="R156" s="367"/>
      <c r="S156" s="152"/>
      <c r="T156" s="152"/>
      <c r="V156" s="208"/>
      <c r="W156" s="210"/>
      <c r="X156" s="132"/>
      <c r="Y156" s="134"/>
      <c r="Z156" s="134"/>
      <c r="AA156" s="134"/>
      <c r="AB156" s="134"/>
      <c r="AC156" s="133"/>
      <c r="AD156" s="137"/>
      <c r="AE156" s="137"/>
      <c r="AF156" s="137"/>
      <c r="AG156" s="137"/>
      <c r="AH156" s="137"/>
      <c r="AI156" s="137"/>
      <c r="AJ156" s="137"/>
      <c r="AK156" s="137"/>
      <c r="AL156" s="137"/>
      <c r="AM156" s="137"/>
      <c r="AN156" s="134"/>
      <c r="AO156" s="137"/>
      <c r="AP156" s="137"/>
      <c r="AQ156" s="137"/>
      <c r="AR156" s="137"/>
      <c r="AS156" s="137"/>
      <c r="AT156" s="137"/>
      <c r="AU156" s="137"/>
      <c r="AV156" s="137"/>
      <c r="AX156" s="127"/>
      <c r="AY156" s="127"/>
      <c r="AZ156" s="127"/>
      <c r="BA156" s="127"/>
      <c r="BB156" s="127"/>
      <c r="BC156" s="127"/>
      <c r="BD156" s="127"/>
      <c r="BE156" s="127"/>
      <c r="BF156" s="127"/>
    </row>
    <row r="157" spans="5:58" ht="20.100000000000001" customHeight="1" x14ac:dyDescent="0.3">
      <c r="E157" s="121"/>
      <c r="F157" s="124"/>
      <c r="G157" s="122"/>
      <c r="H157" s="122"/>
      <c r="I157" s="122"/>
      <c r="J157" s="122"/>
      <c r="K157" s="122"/>
      <c r="L157" s="122"/>
      <c r="M157" s="123"/>
      <c r="N157" s="124"/>
      <c r="O157" s="124"/>
      <c r="P157" s="367"/>
      <c r="Q157" s="367"/>
      <c r="R157" s="367"/>
      <c r="S157" s="152"/>
      <c r="T157" s="152"/>
      <c r="V157" s="208"/>
      <c r="W157" s="210"/>
      <c r="X157" s="132"/>
      <c r="Y157" s="134"/>
      <c r="Z157" s="134"/>
      <c r="AA157" s="134"/>
      <c r="AB157" s="134"/>
      <c r="AC157" s="133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4"/>
      <c r="AO157" s="137"/>
      <c r="AP157" s="137"/>
      <c r="AQ157" s="137"/>
      <c r="AR157" s="137"/>
      <c r="AS157" s="137"/>
      <c r="AT157" s="137"/>
      <c r="AU157" s="137"/>
      <c r="AV157" s="137"/>
      <c r="AX157" s="127"/>
      <c r="AY157" s="127"/>
      <c r="AZ157" s="127"/>
      <c r="BA157" s="127"/>
      <c r="BB157" s="127"/>
      <c r="BC157" s="127"/>
      <c r="BD157" s="127"/>
      <c r="BE157" s="127"/>
      <c r="BF157" s="127"/>
    </row>
    <row r="158" spans="5:58" ht="20.100000000000001" customHeight="1" x14ac:dyDescent="0.3">
      <c r="E158" s="121"/>
      <c r="F158" s="124"/>
      <c r="G158" s="122"/>
      <c r="H158" s="122"/>
      <c r="I158" s="122"/>
      <c r="J158" s="122"/>
      <c r="K158" s="122"/>
      <c r="L158" s="122"/>
      <c r="M158" s="123"/>
      <c r="N158" s="124"/>
      <c r="O158" s="124"/>
      <c r="P158" s="367"/>
      <c r="Q158" s="367"/>
      <c r="R158" s="367"/>
      <c r="S158" s="152"/>
      <c r="T158" s="152"/>
      <c r="V158" s="208"/>
      <c r="W158" s="210"/>
      <c r="X158" s="132"/>
      <c r="Y158" s="134"/>
      <c r="Z158" s="134"/>
      <c r="AA158" s="134"/>
      <c r="AB158" s="134"/>
      <c r="AC158" s="133"/>
      <c r="AD158" s="133"/>
      <c r="AE158" s="211"/>
      <c r="AF158" s="212"/>
      <c r="AG158" s="212"/>
      <c r="AH158" s="212"/>
      <c r="AI158" s="211"/>
      <c r="AJ158" s="211"/>
      <c r="AK158" s="211"/>
      <c r="AL158" s="211"/>
      <c r="AM158" s="211"/>
      <c r="AN158" s="134"/>
      <c r="AO158" s="134"/>
      <c r="AP158" s="266"/>
      <c r="AQ158" s="138"/>
      <c r="AR158" s="138"/>
      <c r="AS158" s="139"/>
      <c r="AT158" s="122"/>
      <c r="AU158" s="122"/>
      <c r="AV158" s="129"/>
      <c r="AX158" s="127"/>
      <c r="AY158" s="127"/>
      <c r="AZ158" s="127"/>
      <c r="BA158" s="127"/>
      <c r="BB158" s="127"/>
      <c r="BC158" s="127"/>
      <c r="BD158" s="127"/>
      <c r="BE158" s="127"/>
      <c r="BF158" s="127"/>
    </row>
    <row r="159" spans="5:58" ht="20.100000000000001" customHeight="1" x14ac:dyDescent="0.3">
      <c r="E159" s="121"/>
      <c r="F159" s="124"/>
      <c r="G159" s="122"/>
      <c r="H159" s="122"/>
      <c r="I159" s="122"/>
      <c r="J159" s="122"/>
      <c r="K159" s="122"/>
      <c r="L159" s="122"/>
      <c r="M159" s="123"/>
      <c r="N159" s="124"/>
      <c r="O159" s="124"/>
      <c r="P159" s="367"/>
      <c r="Q159" s="367"/>
      <c r="R159" s="367"/>
      <c r="S159" s="152"/>
      <c r="T159" s="152"/>
      <c r="V159" s="208"/>
      <c r="W159" s="210"/>
      <c r="X159" s="132"/>
      <c r="Y159" s="134"/>
      <c r="Z159" s="134"/>
      <c r="AA159" s="134"/>
      <c r="AB159" s="134"/>
      <c r="AC159" s="133"/>
      <c r="AD159" s="133"/>
      <c r="AE159" s="211"/>
      <c r="AF159" s="212"/>
      <c r="AG159" s="212"/>
      <c r="AH159" s="212"/>
      <c r="AI159" s="211"/>
      <c r="AJ159" s="211"/>
      <c r="AK159" s="211"/>
      <c r="AL159" s="211"/>
      <c r="AM159" s="211"/>
      <c r="AN159" s="134"/>
      <c r="AO159" s="134"/>
      <c r="AP159" s="266"/>
      <c r="AQ159" s="138"/>
      <c r="AR159" s="138"/>
      <c r="AS159" s="139"/>
      <c r="AT159" s="122"/>
      <c r="AU159" s="122"/>
      <c r="AV159" s="129"/>
      <c r="AX159" s="127"/>
      <c r="AY159" s="127"/>
      <c r="AZ159" s="127"/>
      <c r="BA159" s="127"/>
      <c r="BB159" s="127"/>
      <c r="BC159" s="127"/>
      <c r="BD159" s="127"/>
      <c r="BE159" s="127"/>
      <c r="BF159" s="127"/>
    </row>
    <row r="160" spans="5:58" ht="20.100000000000001" customHeight="1" x14ac:dyDescent="0.3">
      <c r="E160" s="121"/>
      <c r="F160" s="121"/>
      <c r="G160" s="122"/>
      <c r="H160" s="122"/>
      <c r="I160" s="122"/>
      <c r="J160" s="122"/>
      <c r="K160" s="122"/>
      <c r="L160" s="122"/>
      <c r="M160" s="123"/>
      <c r="N160" s="124"/>
      <c r="O160" s="124"/>
      <c r="P160" s="367"/>
      <c r="Q160" s="367"/>
      <c r="R160" s="367"/>
      <c r="S160" s="152"/>
      <c r="T160" s="152"/>
      <c r="BF160" s="127"/>
    </row>
    <row r="161" spans="5:58" ht="20.100000000000001" customHeight="1" x14ac:dyDescent="0.3">
      <c r="E161" s="121"/>
      <c r="F161" s="121"/>
      <c r="G161" s="121"/>
      <c r="H161" s="121"/>
      <c r="I161" s="121"/>
      <c r="J161" s="121"/>
      <c r="K161" s="177"/>
      <c r="L161" s="177"/>
      <c r="M161" s="203"/>
      <c r="N161" s="124"/>
      <c r="O161" s="124"/>
      <c r="P161" s="367"/>
      <c r="Q161" s="367"/>
      <c r="R161" s="367"/>
      <c r="S161" s="152"/>
      <c r="T161" s="152"/>
      <c r="V161" s="167" t="s">
        <v>40</v>
      </c>
      <c r="AO161" s="167"/>
      <c r="AQ161" s="267" t="s">
        <v>122</v>
      </c>
      <c r="AR161" s="265"/>
    </row>
    <row r="162" spans="5:58" ht="20.100000000000001" customHeight="1" x14ac:dyDescent="0.3">
      <c r="E162" s="121"/>
      <c r="F162" s="121"/>
      <c r="G162" s="121"/>
      <c r="H162" s="121"/>
      <c r="I162" s="121"/>
      <c r="J162" s="121"/>
      <c r="K162" s="177"/>
      <c r="L162" s="177"/>
      <c r="M162" s="203"/>
      <c r="N162" s="124"/>
      <c r="O162" s="124"/>
      <c r="P162" s="367"/>
      <c r="Q162" s="367"/>
      <c r="R162" s="367"/>
      <c r="S162" s="152"/>
      <c r="T162" s="152"/>
      <c r="V162" s="167" t="s">
        <v>41</v>
      </c>
      <c r="AF162" s="268"/>
      <c r="AG162" s="268"/>
      <c r="AH162" s="268"/>
    </row>
    <row r="163" spans="5:58" ht="20.100000000000001" customHeight="1" x14ac:dyDescent="0.3">
      <c r="E163" s="121"/>
      <c r="F163" s="121"/>
      <c r="G163" s="121"/>
      <c r="H163" s="121"/>
      <c r="I163" s="121"/>
      <c r="J163" s="121"/>
      <c r="K163" s="177"/>
      <c r="L163" s="177"/>
      <c r="M163" s="203"/>
      <c r="N163" s="124"/>
      <c r="O163" s="124"/>
      <c r="P163" s="367"/>
      <c r="Q163" s="367"/>
      <c r="R163" s="367"/>
      <c r="S163" s="152"/>
      <c r="T163" s="152"/>
    </row>
    <row r="164" spans="5:58" ht="20.100000000000001" customHeight="1" x14ac:dyDescent="0.3">
      <c r="E164" s="121"/>
      <c r="F164" s="121"/>
      <c r="G164" s="121"/>
      <c r="H164" s="121"/>
      <c r="I164" s="121"/>
      <c r="J164" s="121"/>
      <c r="K164" s="121"/>
      <c r="L164" s="121"/>
      <c r="M164" s="203"/>
      <c r="N164" s="177"/>
      <c r="O164" s="177"/>
      <c r="P164" s="370"/>
      <c r="Q164" s="370"/>
      <c r="R164" s="370"/>
      <c r="T164" s="135"/>
      <c r="V164" s="185" t="s">
        <v>42</v>
      </c>
      <c r="W164" s="185"/>
      <c r="X164" s="167" t="s">
        <v>43</v>
      </c>
    </row>
    <row r="165" spans="5:58" ht="20.100000000000001" customHeight="1" x14ac:dyDescent="0.3">
      <c r="E165" s="121"/>
      <c r="F165" s="121"/>
      <c r="G165" s="121"/>
      <c r="H165" s="121"/>
      <c r="I165" s="121"/>
      <c r="J165" s="121"/>
      <c r="K165" s="121"/>
      <c r="L165" s="121"/>
      <c r="M165" s="203"/>
      <c r="N165" s="177"/>
      <c r="O165" s="177"/>
      <c r="P165" s="370"/>
      <c r="Q165" s="370"/>
      <c r="R165" s="370"/>
      <c r="T165" s="135"/>
      <c r="V165" s="185"/>
      <c r="W165" s="185"/>
      <c r="X165" s="167" t="s">
        <v>44</v>
      </c>
    </row>
    <row r="166" spans="5:58" ht="20.100000000000001" customHeight="1" x14ac:dyDescent="0.3">
      <c r="E166" s="121"/>
      <c r="F166" s="121"/>
      <c r="G166" s="121"/>
      <c r="H166" s="121"/>
      <c r="I166" s="121"/>
      <c r="J166" s="121"/>
      <c r="K166" s="121"/>
      <c r="L166" s="121"/>
      <c r="M166" s="203"/>
      <c r="N166" s="177"/>
      <c r="O166" s="177"/>
      <c r="P166" s="370"/>
      <c r="Q166" s="370"/>
      <c r="R166" s="370"/>
      <c r="T166" s="135"/>
      <c r="V166" s="185"/>
      <c r="W166" s="185"/>
      <c r="X166" s="188" t="s">
        <v>45</v>
      </c>
      <c r="Y166" s="188"/>
      <c r="Z166" s="188"/>
      <c r="AA166" s="188"/>
      <c r="AB166" s="188"/>
      <c r="AC166" s="188"/>
      <c r="AD166" s="188"/>
    </row>
    <row r="167" spans="5:58" ht="20.100000000000001" customHeight="1" x14ac:dyDescent="0.3">
      <c r="K167" s="121"/>
      <c r="L167" s="121"/>
      <c r="M167" s="203"/>
      <c r="N167" s="177"/>
      <c r="O167" s="177"/>
      <c r="P167" s="370"/>
      <c r="Q167" s="370"/>
      <c r="R167" s="370"/>
      <c r="T167" s="135"/>
      <c r="X167" s="167"/>
    </row>
    <row r="168" spans="5:58" ht="20.100000000000001" customHeight="1" thickBot="1" x14ac:dyDescent="0.35">
      <c r="K168" s="121"/>
      <c r="L168" s="121"/>
      <c r="M168" s="203"/>
      <c r="N168" s="177"/>
      <c r="O168" s="177"/>
      <c r="P168" s="370"/>
      <c r="Q168" s="370"/>
      <c r="R168" s="370"/>
      <c r="T168" s="135"/>
      <c r="V168" s="188" t="s">
        <v>121</v>
      </c>
      <c r="W168" s="188"/>
      <c r="X168" s="167"/>
      <c r="Y168" s="188"/>
      <c r="Z168" s="188"/>
      <c r="AA168" s="188"/>
      <c r="AB168" s="188"/>
      <c r="AC168" s="188"/>
      <c r="AD168" s="188"/>
      <c r="AE168" s="188"/>
      <c r="AF168" s="188"/>
      <c r="AG168" s="188"/>
      <c r="AH168" s="188"/>
    </row>
    <row r="169" spans="5:58" ht="20.100000000000001" customHeight="1" x14ac:dyDescent="0.3">
      <c r="K169" s="121"/>
      <c r="L169" s="121"/>
      <c r="M169" s="203"/>
      <c r="N169" s="177"/>
      <c r="O169" s="177"/>
      <c r="P169" s="370"/>
      <c r="Q169" s="370"/>
      <c r="R169" s="370"/>
      <c r="T169" s="135"/>
      <c r="V169" s="269" t="s">
        <v>122</v>
      </c>
      <c r="W169" s="188"/>
      <c r="X169" s="167"/>
      <c r="Y169" s="188"/>
      <c r="Z169" s="188"/>
      <c r="AA169" s="188"/>
      <c r="AB169" s="188"/>
      <c r="AC169" s="188"/>
      <c r="AD169" s="188"/>
      <c r="AE169" s="188"/>
      <c r="AF169" s="188"/>
      <c r="AG169" s="188"/>
      <c r="AH169" s="188"/>
    </row>
    <row r="170" spans="5:58" ht="20.100000000000001" customHeight="1" x14ac:dyDescent="0.3">
      <c r="K170" s="121"/>
      <c r="L170" s="121"/>
      <c r="M170" s="203"/>
      <c r="N170" s="177"/>
      <c r="O170" s="177"/>
      <c r="P170" s="370"/>
      <c r="Q170" s="370"/>
      <c r="R170" s="370"/>
      <c r="T170" s="135"/>
      <c r="V170" s="270" t="s">
        <v>123</v>
      </c>
      <c r="W170" s="271" t="s">
        <v>127</v>
      </c>
      <c r="X170" s="272"/>
      <c r="Y170" s="271"/>
      <c r="Z170" s="271"/>
      <c r="AA170" s="271"/>
      <c r="AB170" s="271"/>
      <c r="AC170" s="271"/>
      <c r="AD170" s="271"/>
      <c r="AE170" s="271"/>
      <c r="AF170" s="271"/>
      <c r="AG170" s="188"/>
      <c r="AH170" s="188"/>
      <c r="AT170" s="273" t="s">
        <v>198</v>
      </c>
      <c r="AU170" s="273"/>
      <c r="AV170" s="293"/>
      <c r="AW170" s="274"/>
      <c r="AX170" s="273"/>
      <c r="AY170" s="273"/>
      <c r="AZ170" s="273"/>
      <c r="BA170" s="273"/>
      <c r="BB170" s="273"/>
      <c r="BC170" s="273"/>
      <c r="BD170" s="273"/>
      <c r="BE170" s="273"/>
    </row>
    <row r="171" spans="5:58" ht="20.100000000000001" customHeight="1" x14ac:dyDescent="0.3">
      <c r="V171" s="270" t="s">
        <v>124</v>
      </c>
      <c r="W171" s="271" t="s">
        <v>128</v>
      </c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188"/>
      <c r="AH171" s="188"/>
      <c r="BF171" s="273"/>
    </row>
    <row r="172" spans="5:58" ht="20.100000000000001" customHeight="1" x14ac:dyDescent="0.3">
      <c r="V172" s="270" t="s">
        <v>125</v>
      </c>
      <c r="W172" s="271" t="s">
        <v>129</v>
      </c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188"/>
      <c r="AH172" s="188"/>
      <c r="AT172" s="154" t="s">
        <v>142</v>
      </c>
      <c r="AU172" s="154"/>
      <c r="AV172" s="294"/>
      <c r="AW172" s="275"/>
      <c r="AX172" s="154"/>
      <c r="AY172" s="154"/>
    </row>
    <row r="173" spans="5:58" ht="20.100000000000001" customHeight="1" x14ac:dyDescent="0.3">
      <c r="V173" s="270"/>
      <c r="W173" s="271" t="s">
        <v>130</v>
      </c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188"/>
      <c r="AH173" s="188"/>
      <c r="AT173" s="154" t="s">
        <v>156</v>
      </c>
      <c r="AU173" s="154"/>
      <c r="AV173" s="294"/>
      <c r="AW173" s="275"/>
      <c r="AX173" s="154"/>
      <c r="AY173" s="154"/>
      <c r="AZ173" s="154"/>
      <c r="BA173" s="154"/>
      <c r="BB173" s="154"/>
      <c r="BC173" s="154"/>
      <c r="BD173" s="154"/>
      <c r="BE173" s="154"/>
      <c r="BF173" s="154"/>
    </row>
    <row r="174" spans="5:58" ht="20.100000000000001" customHeight="1" x14ac:dyDescent="0.3">
      <c r="V174" s="276"/>
      <c r="AT174" s="154" t="s">
        <v>157</v>
      </c>
      <c r="AU174" s="154"/>
      <c r="AV174" s="294"/>
      <c r="AW174" s="275"/>
      <c r="AX174" s="154"/>
      <c r="AY174" s="154"/>
      <c r="AZ174" s="154"/>
      <c r="BA174" s="154"/>
      <c r="BB174" s="154"/>
      <c r="BC174" s="154"/>
      <c r="BD174" s="154"/>
      <c r="BE174" s="154"/>
      <c r="BF174" s="154"/>
    </row>
    <row r="175" spans="5:58" ht="20.100000000000001" customHeight="1" x14ac:dyDescent="0.3">
      <c r="V175" s="276"/>
      <c r="AT175" s="154" t="s">
        <v>158</v>
      </c>
      <c r="AU175" s="154"/>
      <c r="AV175" s="294"/>
      <c r="AW175" s="275"/>
      <c r="AX175" s="154"/>
      <c r="AY175" s="154"/>
      <c r="AZ175" s="154"/>
      <c r="BA175" s="154"/>
      <c r="BB175" s="154"/>
      <c r="BC175" s="154"/>
      <c r="BD175" s="154"/>
      <c r="BE175" s="154"/>
      <c r="BF175" s="154"/>
    </row>
    <row r="176" spans="5:58" ht="20.100000000000001" customHeight="1" x14ac:dyDescent="0.3">
      <c r="V176" s="276"/>
      <c r="AT176" s="154" t="s">
        <v>159</v>
      </c>
      <c r="AU176" s="154"/>
      <c r="AV176" s="294"/>
      <c r="AW176" s="275"/>
      <c r="AX176" s="154"/>
      <c r="AY176" s="154"/>
      <c r="AZ176" s="154"/>
      <c r="BA176" s="154"/>
      <c r="BB176" s="154"/>
      <c r="BC176" s="154"/>
      <c r="BD176" s="154"/>
      <c r="BE176" s="154"/>
      <c r="BF176" s="154"/>
    </row>
    <row r="177" spans="1:58" ht="20.100000000000001" customHeight="1" x14ac:dyDescent="0.3">
      <c r="AT177" s="154"/>
      <c r="AU177" s="154"/>
      <c r="AV177" s="294"/>
      <c r="AW177" s="275"/>
      <c r="AX177" s="154"/>
      <c r="AY177" s="154"/>
      <c r="AZ177" s="154"/>
      <c r="BA177" s="154"/>
      <c r="BB177" s="154"/>
      <c r="BC177" s="154"/>
      <c r="BD177" s="154"/>
      <c r="BE177" s="154"/>
      <c r="BF177" s="154"/>
    </row>
    <row r="178" spans="1:58" ht="20.100000000000001" customHeight="1" x14ac:dyDescent="0.3">
      <c r="AT178" s="154" t="s">
        <v>160</v>
      </c>
      <c r="AU178" s="154"/>
      <c r="AV178" s="294"/>
      <c r="AW178" s="275"/>
      <c r="AX178" s="154"/>
      <c r="AY178" s="154"/>
      <c r="AZ178" s="154"/>
      <c r="BA178" s="154"/>
      <c r="BB178" s="154"/>
      <c r="BC178" s="154"/>
      <c r="BD178" s="154"/>
      <c r="BE178" s="154"/>
      <c r="BF178" s="154"/>
    </row>
    <row r="179" spans="1:58" ht="20.100000000000001" customHeight="1" x14ac:dyDescent="0.3">
      <c r="BF179" s="154"/>
    </row>
    <row r="180" spans="1:58" ht="20.100000000000001" customHeight="1" x14ac:dyDescent="0.3"/>
    <row r="181" spans="1:58" ht="20.100000000000001" customHeight="1" x14ac:dyDescent="0.3"/>
    <row r="182" spans="1:58" ht="20.100000000000001" customHeight="1" x14ac:dyDescent="0.3"/>
    <row r="183" spans="1:58" ht="20.100000000000001" customHeight="1" x14ac:dyDescent="0.3"/>
    <row r="184" spans="1:58" ht="20.100000000000001" customHeight="1" x14ac:dyDescent="0.3">
      <c r="B184" s="159">
        <v>3.9300000000000003E-3</v>
      </c>
      <c r="C184" s="159" t="s">
        <v>1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258"/>
      <c r="Q184" s="258"/>
      <c r="R184" s="258"/>
      <c r="S184" s="277"/>
    </row>
    <row r="185" spans="1:58" ht="20.100000000000001" customHeight="1" x14ac:dyDescent="0.3">
      <c r="B185" s="159">
        <v>20</v>
      </c>
      <c r="C185" s="159" t="s">
        <v>3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258"/>
      <c r="Q185" s="258"/>
      <c r="R185" s="258"/>
      <c r="S185" s="277"/>
    </row>
    <row r="186" spans="1:58" ht="20.100000000000001" customHeight="1" x14ac:dyDescent="0.3">
      <c r="A186" s="164" t="s">
        <v>162</v>
      </c>
      <c r="B186" s="159">
        <v>0</v>
      </c>
      <c r="C186" s="159" t="s">
        <v>3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258"/>
      <c r="Q186" s="258"/>
      <c r="R186" s="258"/>
      <c r="S186" s="277"/>
    </row>
    <row r="187" spans="1:58" ht="20.100000000000001" customHeight="1" x14ac:dyDescent="0.3">
      <c r="A187" s="159" t="s">
        <v>2</v>
      </c>
      <c r="B187" s="159">
        <v>90</v>
      </c>
      <c r="C187" s="159" t="s">
        <v>3</v>
      </c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258"/>
      <c r="Q187" s="258"/>
      <c r="R187" s="258"/>
      <c r="S187" s="277"/>
    </row>
    <row r="188" spans="1:58" ht="20.100000000000001" customHeight="1" x14ac:dyDescent="0.3">
      <c r="A188" s="159" t="s">
        <v>4</v>
      </c>
      <c r="B188" s="159">
        <v>0.8</v>
      </c>
      <c r="C188" s="159" t="s">
        <v>7</v>
      </c>
      <c r="D188" s="159">
        <v>0.6</v>
      </c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258"/>
      <c r="Q188" s="258"/>
      <c r="R188" s="258"/>
      <c r="S188" s="277"/>
    </row>
    <row r="189" spans="1:58" ht="20.100000000000001" customHeight="1" x14ac:dyDescent="0.3">
      <c r="A189" s="159" t="s">
        <v>5</v>
      </c>
      <c r="B189" s="159">
        <v>0.9</v>
      </c>
      <c r="C189" s="159" t="s">
        <v>7</v>
      </c>
      <c r="D189" s="159">
        <v>0.436</v>
      </c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258"/>
      <c r="Q189" s="258"/>
      <c r="R189" s="258"/>
      <c r="S189" s="277"/>
    </row>
    <row r="190" spans="1:58" ht="20.100000000000001" customHeight="1" x14ac:dyDescent="0.3">
      <c r="A190" s="159" t="s">
        <v>6</v>
      </c>
      <c r="B190" s="165">
        <v>0.95</v>
      </c>
      <c r="C190" s="159" t="s">
        <v>7</v>
      </c>
      <c r="D190" s="166">
        <v>0.31219999999999998</v>
      </c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258"/>
      <c r="Q190" s="258"/>
      <c r="R190" s="258"/>
      <c r="S190" s="277"/>
    </row>
    <row r="191" spans="1:58" ht="20.100000000000001" customHeight="1" thickBot="1" x14ac:dyDescent="0.35">
      <c r="A191" s="159" t="s">
        <v>6</v>
      </c>
      <c r="B191" s="159"/>
      <c r="C191" s="159"/>
      <c r="D191" s="159"/>
      <c r="E191" s="15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259"/>
      <c r="Q191" s="259"/>
      <c r="R191" s="259"/>
      <c r="S191" s="278"/>
    </row>
    <row r="192" spans="1:58" ht="20.100000000000001" customHeight="1" x14ac:dyDescent="0.3">
      <c r="A192" s="159" t="s">
        <v>6</v>
      </c>
      <c r="B192" s="159"/>
      <c r="C192" s="159"/>
      <c r="D192" s="159"/>
      <c r="E192" s="159"/>
      <c r="F192" s="213"/>
      <c r="G192" s="680" t="s">
        <v>163</v>
      </c>
      <c r="H192" s="681"/>
      <c r="I192" s="681"/>
      <c r="J192" s="681"/>
      <c r="K192" s="681"/>
      <c r="L192" s="681"/>
      <c r="M192" s="681"/>
      <c r="N192" s="681"/>
      <c r="O192" s="681"/>
      <c r="P192" s="681"/>
      <c r="Q192" s="681"/>
      <c r="R192" s="681"/>
      <c r="S192" s="682"/>
    </row>
    <row r="193" spans="1:19" ht="20.100000000000001" customHeight="1" x14ac:dyDescent="0.3">
      <c r="A193" s="159"/>
      <c r="B193" s="159"/>
      <c r="C193" s="159"/>
      <c r="D193" s="159"/>
      <c r="E193" s="159"/>
      <c r="F193" s="159"/>
      <c r="G193" s="214"/>
      <c r="H193" s="159"/>
      <c r="I193" s="159"/>
      <c r="J193" s="159"/>
      <c r="K193" s="159"/>
      <c r="L193" s="159"/>
      <c r="M193" s="159"/>
      <c r="N193" s="159"/>
      <c r="O193" s="159"/>
      <c r="P193" s="258"/>
      <c r="Q193" s="258"/>
      <c r="R193" s="258"/>
      <c r="S193" s="279"/>
    </row>
    <row r="194" spans="1:19" ht="20.100000000000001" customHeight="1" x14ac:dyDescent="0.3">
      <c r="A194" s="159"/>
      <c r="B194" s="159"/>
      <c r="C194" s="159"/>
      <c r="D194" s="159"/>
      <c r="E194" s="159"/>
      <c r="F194" s="215"/>
      <c r="G194" s="216" t="s">
        <v>10</v>
      </c>
      <c r="H194" s="217" t="s">
        <v>164</v>
      </c>
      <c r="I194" s="217" t="s">
        <v>164</v>
      </c>
      <c r="J194" s="218" t="s">
        <v>165</v>
      </c>
      <c r="K194" s="219" t="s">
        <v>13</v>
      </c>
      <c r="L194" s="219" t="s">
        <v>14</v>
      </c>
      <c r="M194" s="219" t="s">
        <v>14</v>
      </c>
      <c r="N194" s="220" t="s">
        <v>197</v>
      </c>
      <c r="O194" s="220"/>
      <c r="P194" s="371"/>
      <c r="Q194" s="371"/>
      <c r="R194" s="371"/>
      <c r="S194" s="221" t="s">
        <v>16</v>
      </c>
    </row>
    <row r="195" spans="1:19" ht="20.100000000000001" customHeight="1" x14ac:dyDescent="0.3">
      <c r="A195" s="159"/>
      <c r="B195" s="159"/>
      <c r="C195" s="159"/>
      <c r="D195" s="159"/>
      <c r="E195" s="159"/>
      <c r="F195" s="213"/>
      <c r="G195" s="222" t="s">
        <v>17</v>
      </c>
      <c r="H195" s="223" t="s">
        <v>166</v>
      </c>
      <c r="I195" s="223" t="s">
        <v>167</v>
      </c>
      <c r="J195" s="223"/>
      <c r="K195" s="224" t="s">
        <v>19</v>
      </c>
      <c r="L195" s="224" t="s">
        <v>20</v>
      </c>
      <c r="M195" s="224" t="s">
        <v>168</v>
      </c>
      <c r="N195" s="225" t="s">
        <v>22</v>
      </c>
      <c r="O195" s="225"/>
      <c r="P195" s="372"/>
      <c r="Q195" s="372"/>
      <c r="R195" s="372"/>
      <c r="S195" s="226"/>
    </row>
    <row r="196" spans="1:19" ht="20.100000000000001" customHeight="1" x14ac:dyDescent="0.3">
      <c r="A196" s="159"/>
      <c r="B196" s="159"/>
      <c r="C196" s="227" t="s">
        <v>169</v>
      </c>
      <c r="D196" s="227" t="s">
        <v>170</v>
      </c>
      <c r="E196" s="159"/>
      <c r="F196" s="213"/>
      <c r="G196" s="228"/>
      <c r="H196" s="213"/>
      <c r="I196" s="213"/>
      <c r="J196" s="213"/>
      <c r="K196" s="213"/>
      <c r="L196" s="213"/>
      <c r="M196" s="213"/>
      <c r="N196" s="213"/>
      <c r="O196" s="213"/>
      <c r="P196" s="295"/>
      <c r="Q196" s="295"/>
      <c r="R196" s="295"/>
      <c r="S196" s="229"/>
    </row>
    <row r="197" spans="1:19" ht="20.100000000000001" customHeight="1" x14ac:dyDescent="0.3">
      <c r="A197" s="159"/>
      <c r="B197" s="230"/>
      <c r="C197" s="231">
        <v>1.65</v>
      </c>
      <c r="D197" s="178">
        <v>6.5</v>
      </c>
      <c r="E197" s="165"/>
      <c r="F197" s="169"/>
      <c r="G197" s="232">
        <v>6</v>
      </c>
      <c r="H197" s="233">
        <v>3.08</v>
      </c>
      <c r="I197" s="234">
        <f t="shared" ref="I197:I209" si="17">H197*(1+B$2*(B$5-B$3))</f>
        <v>3.9273080000000005</v>
      </c>
      <c r="J197" s="235">
        <f t="shared" ref="J197:J209" si="18">377*(0.2*LN((D197)/(0.779*C197))/1000)</f>
        <v>0.12220614260637704</v>
      </c>
      <c r="K197" s="236">
        <f t="shared" ref="K197:K209" si="19">1.732*(I197*B$6+J197*D$6)/1000</f>
        <v>5.5686745881965479E-3</v>
      </c>
      <c r="L197" s="236">
        <f>1.732*(I197*B$7+J197*D$7)/1000</f>
        <v>5.8932858729421689E-3</v>
      </c>
      <c r="M197" s="236">
        <f>1.732*(I197*B$190+J197*D$190)/1000</f>
        <v>6.5280731595740039E-3</v>
      </c>
      <c r="N197" s="154">
        <v>65</v>
      </c>
      <c r="O197" s="237"/>
      <c r="P197" s="373"/>
      <c r="Q197" s="373"/>
      <c r="R197" s="373"/>
      <c r="S197" s="260" t="s">
        <v>50</v>
      </c>
    </row>
    <row r="198" spans="1:19" ht="20.100000000000001" customHeight="1" x14ac:dyDescent="0.3">
      <c r="A198" s="159"/>
      <c r="B198" s="230"/>
      <c r="C198" s="231">
        <v>2</v>
      </c>
      <c r="D198" s="178">
        <v>7.2</v>
      </c>
      <c r="E198" s="165"/>
      <c r="F198" s="169"/>
      <c r="G198" s="232">
        <v>10</v>
      </c>
      <c r="H198" s="233">
        <v>1.83</v>
      </c>
      <c r="I198" s="234">
        <f t="shared" si="17"/>
        <v>2.3334330000000003</v>
      </c>
      <c r="J198" s="235">
        <f t="shared" si="18"/>
        <v>0.11541312712443837</v>
      </c>
      <c r="K198" s="236">
        <f t="shared" si="19"/>
        <v>3.3531420865077172E-3</v>
      </c>
      <c r="L198" s="236">
        <f t="shared" ref="L198:L209" si="20">1.732*(I198*B$7+J198*D$7)/1000</f>
        <v>3.5405850310593757E-3</v>
      </c>
      <c r="M198" s="236">
        <f>1.732*(I198*B$190+J198*D$190)/1000</f>
        <v>3.901838044595248E-3</v>
      </c>
      <c r="N198" s="154">
        <v>90</v>
      </c>
      <c r="O198" s="237"/>
      <c r="P198" s="373"/>
      <c r="Q198" s="373"/>
      <c r="R198" s="373"/>
      <c r="S198" s="260" t="s">
        <v>62</v>
      </c>
    </row>
    <row r="199" spans="1:19" ht="20.100000000000001" customHeight="1" x14ac:dyDescent="0.3">
      <c r="A199" s="159"/>
      <c r="B199" s="230"/>
      <c r="C199" s="231">
        <v>2.5</v>
      </c>
      <c r="D199" s="178">
        <v>8.1999999999999993</v>
      </c>
      <c r="E199" s="165"/>
      <c r="F199" s="169"/>
      <c r="G199" s="232">
        <v>16</v>
      </c>
      <c r="H199" s="233">
        <v>1.1499999999999999</v>
      </c>
      <c r="I199" s="234">
        <f t="shared" si="17"/>
        <v>1.4663649999999999</v>
      </c>
      <c r="J199" s="235">
        <f t="shared" si="18"/>
        <v>0.10839410922526106</v>
      </c>
      <c r="K199" s="236">
        <f t="shared" si="19"/>
        <v>2.1444385023068916E-3</v>
      </c>
      <c r="L199" s="236">
        <f t="shared" si="20"/>
        <v>2.2576832459934503E-3</v>
      </c>
      <c r="M199" s="236">
        <f>1.732*(I199*B$190+J199*D$190)/1000</f>
        <v>2.4713689610390186E-3</v>
      </c>
      <c r="N199" s="154">
        <v>125</v>
      </c>
      <c r="O199" s="237"/>
      <c r="P199" s="373"/>
      <c r="Q199" s="373"/>
      <c r="R199" s="373"/>
      <c r="S199" s="260" t="s">
        <v>63</v>
      </c>
    </row>
    <row r="200" spans="1:19" ht="20.100000000000001" customHeight="1" x14ac:dyDescent="0.3">
      <c r="A200" s="159"/>
      <c r="B200" s="230"/>
      <c r="C200" s="231">
        <v>3.1</v>
      </c>
      <c r="D200" s="178">
        <v>9.8000000000000007</v>
      </c>
      <c r="E200" s="165"/>
      <c r="F200" s="169"/>
      <c r="G200" s="232">
        <v>25</v>
      </c>
      <c r="H200" s="233">
        <v>0.72699999999999998</v>
      </c>
      <c r="I200" s="234">
        <f t="shared" si="17"/>
        <v>0.92699770000000004</v>
      </c>
      <c r="J200" s="235">
        <f t="shared" si="18"/>
        <v>0.10561462785017982</v>
      </c>
      <c r="K200" s="236">
        <f t="shared" si="19"/>
        <v>1.3942027343819071E-3</v>
      </c>
      <c r="L200" s="236">
        <f t="shared" si="20"/>
        <v>1.4610906592079542E-3</v>
      </c>
      <c r="M200" s="236">
        <f t="shared" ref="M200:M209" si="21">1.732*(I200*B$8+J200*D$8)/1000</f>
        <v>1.5247408197567756E-3</v>
      </c>
      <c r="N200" s="154">
        <v>160</v>
      </c>
      <c r="O200" s="237"/>
      <c r="P200" s="373"/>
      <c r="Q200" s="373"/>
      <c r="R200" s="373"/>
      <c r="S200" s="260" t="s">
        <v>64</v>
      </c>
    </row>
    <row r="201" spans="1:19" ht="20.100000000000001" customHeight="1" x14ac:dyDescent="0.3">
      <c r="A201" s="159"/>
      <c r="B201" s="230"/>
      <c r="C201" s="231">
        <v>3.65</v>
      </c>
      <c r="D201" s="178">
        <v>10.9</v>
      </c>
      <c r="E201" s="165"/>
      <c r="F201" s="169"/>
      <c r="G201" s="232">
        <v>35</v>
      </c>
      <c r="H201" s="233">
        <v>0.52400000000000002</v>
      </c>
      <c r="I201" s="234">
        <f t="shared" si="17"/>
        <v>0.66815240000000009</v>
      </c>
      <c r="J201" s="235">
        <f t="shared" si="18"/>
        <v>0.10132100104830735</v>
      </c>
      <c r="K201" s="236">
        <f t="shared" si="19"/>
        <v>1.0310847497294012E-3</v>
      </c>
      <c r="L201" s="236">
        <f t="shared" si="20"/>
        <v>1.0761010278860941E-3</v>
      </c>
      <c r="M201" s="236">
        <f t="shared" si="21"/>
        <v>1.11801116890625E-3</v>
      </c>
      <c r="N201" s="154">
        <v>200</v>
      </c>
      <c r="O201" s="237"/>
      <c r="P201" s="373"/>
      <c r="Q201" s="373"/>
      <c r="R201" s="373"/>
      <c r="S201" s="260" t="s">
        <v>65</v>
      </c>
    </row>
    <row r="202" spans="1:19" ht="20.100000000000001" customHeight="1" x14ac:dyDescent="0.3">
      <c r="A202" s="159"/>
      <c r="B202" s="230"/>
      <c r="C202" s="231">
        <v>4.25</v>
      </c>
      <c r="D202" s="178">
        <v>12.3</v>
      </c>
      <c r="E202" s="165"/>
      <c r="F202" s="169"/>
      <c r="G202" s="232">
        <v>50</v>
      </c>
      <c r="H202" s="233">
        <v>0.38700000000000001</v>
      </c>
      <c r="I202" s="234">
        <f t="shared" si="17"/>
        <v>0.49346370000000006</v>
      </c>
      <c r="J202" s="235">
        <f t="shared" si="18"/>
        <v>9.8956808246529027E-2</v>
      </c>
      <c r="K202" s="236">
        <f t="shared" si="19"/>
        <v>7.8657921784979303E-4</v>
      </c>
      <c r="L202" s="236">
        <f t="shared" si="20"/>
        <v>8.1676719262395838E-4</v>
      </c>
      <c r="M202" s="236">
        <f t="shared" si="21"/>
        <v>8.4392150790179481E-4</v>
      </c>
      <c r="N202" s="154">
        <v>240</v>
      </c>
      <c r="O202" s="237"/>
      <c r="P202" s="373"/>
      <c r="Q202" s="373"/>
      <c r="R202" s="373"/>
      <c r="S202" s="260" t="s">
        <v>66</v>
      </c>
    </row>
    <row r="203" spans="1:19" ht="20.100000000000001" customHeight="1" x14ac:dyDescent="0.3">
      <c r="A203" s="159"/>
      <c r="B203" s="230"/>
      <c r="C203" s="231">
        <v>5.05</v>
      </c>
      <c r="D203" s="178">
        <v>14.1</v>
      </c>
      <c r="E203" s="165"/>
      <c r="F203" s="169"/>
      <c r="G203" s="232">
        <v>70</v>
      </c>
      <c r="H203" s="233">
        <v>0.26800000000000002</v>
      </c>
      <c r="I203" s="234">
        <f t="shared" si="17"/>
        <v>0.34172680000000005</v>
      </c>
      <c r="J203" s="235">
        <f t="shared" si="18"/>
        <v>9.625042135550152E-2</v>
      </c>
      <c r="K203" s="236">
        <f t="shared" si="19"/>
        <v>5.7352009195263734E-4</v>
      </c>
      <c r="L203" s="236">
        <f t="shared" si="20"/>
        <v>5.909107734121756E-4</v>
      </c>
      <c r="M203" s="236">
        <f t="shared" si="21"/>
        <v>6.0535076345447103E-4</v>
      </c>
      <c r="N203" s="154">
        <v>305</v>
      </c>
      <c r="O203" s="237"/>
      <c r="P203" s="373"/>
      <c r="Q203" s="373"/>
      <c r="R203" s="373"/>
      <c r="S203" s="260" t="s">
        <v>67</v>
      </c>
    </row>
    <row r="204" spans="1:19" ht="20.100000000000001" customHeight="1" x14ac:dyDescent="0.3">
      <c r="A204" s="159"/>
      <c r="B204" s="230"/>
      <c r="C204" s="231">
        <v>5.95</v>
      </c>
      <c r="D204" s="178">
        <v>16.100000000000001</v>
      </c>
      <c r="E204" s="165"/>
      <c r="F204" s="169"/>
      <c r="G204" s="232">
        <v>95</v>
      </c>
      <c r="H204" s="233">
        <v>0.193</v>
      </c>
      <c r="I204" s="234">
        <f t="shared" si="17"/>
        <v>0.24609430000000004</v>
      </c>
      <c r="J204" s="235">
        <f t="shared" si="18"/>
        <v>9.3885990330037791E-2</v>
      </c>
      <c r="K204" s="236">
        <f t="shared" si="19"/>
        <v>4.3855458323097536E-4</v>
      </c>
      <c r="L204" s="236">
        <f t="shared" si="20"/>
        <v>4.4796325843055637E-4</v>
      </c>
      <c r="M204" s="236">
        <f t="shared" si="21"/>
        <v>4.5449372715618361E-4</v>
      </c>
      <c r="N204" s="154">
        <v>375</v>
      </c>
      <c r="O204" s="237"/>
      <c r="P204" s="373"/>
      <c r="Q204" s="373"/>
      <c r="R204" s="373"/>
      <c r="S204" s="260" t="s">
        <v>68</v>
      </c>
    </row>
    <row r="205" spans="1:19" ht="20.100000000000001" customHeight="1" x14ac:dyDescent="0.3">
      <c r="A205" s="159"/>
      <c r="B205" s="230"/>
      <c r="C205" s="231">
        <v>6.7</v>
      </c>
      <c r="D205" s="178">
        <v>17.8</v>
      </c>
      <c r="E205" s="165"/>
      <c r="F205" s="169"/>
      <c r="G205" s="232">
        <v>120</v>
      </c>
      <c r="H205" s="233">
        <v>0.153</v>
      </c>
      <c r="I205" s="234">
        <f t="shared" si="17"/>
        <v>0.19509030000000002</v>
      </c>
      <c r="J205" s="235">
        <f t="shared" si="18"/>
        <v>9.2503371366543088E-2</v>
      </c>
      <c r="K205" s="236">
        <f t="shared" si="19"/>
        <v>3.6644662320411167E-4</v>
      </c>
      <c r="L205" s="236">
        <f t="shared" si="20"/>
        <v>3.7161364375417E-4</v>
      </c>
      <c r="M205" s="236">
        <f t="shared" si="21"/>
        <v>3.7394484395026706E-4</v>
      </c>
      <c r="N205" s="154">
        <v>435</v>
      </c>
      <c r="O205" s="237"/>
      <c r="P205" s="373"/>
      <c r="Q205" s="373"/>
      <c r="R205" s="373"/>
      <c r="S205" s="260" t="s">
        <v>69</v>
      </c>
    </row>
    <row r="206" spans="1:19" ht="20.100000000000001" customHeight="1" x14ac:dyDescent="0.3">
      <c r="A206" s="159"/>
      <c r="B206" s="230"/>
      <c r="C206" s="231">
        <v>7.4</v>
      </c>
      <c r="D206" s="178">
        <v>19.8</v>
      </c>
      <c r="E206" s="165"/>
      <c r="F206" s="159"/>
      <c r="G206" s="232">
        <v>150</v>
      </c>
      <c r="H206" s="233">
        <v>0.124</v>
      </c>
      <c r="I206" s="234">
        <f t="shared" si="17"/>
        <v>0.15811240000000001</v>
      </c>
      <c r="J206" s="235">
        <f t="shared" si="18"/>
        <v>9.3039541263372272E-2</v>
      </c>
      <c r="K206" s="236">
        <f t="shared" si="19"/>
        <v>3.1576723272089648E-4</v>
      </c>
      <c r="L206" s="236">
        <f t="shared" si="20"/>
        <v>3.1766399022462711E-4</v>
      </c>
      <c r="M206" s="236">
        <f t="shared" si="21"/>
        <v>3.1670849033557126E-4</v>
      </c>
      <c r="N206" s="154">
        <v>510</v>
      </c>
      <c r="O206" s="237"/>
      <c r="P206" s="373"/>
      <c r="Q206" s="373"/>
      <c r="R206" s="373"/>
      <c r="S206" s="260" t="s">
        <v>70</v>
      </c>
    </row>
    <row r="207" spans="1:19" ht="20.100000000000001" customHeight="1" x14ac:dyDescent="0.3">
      <c r="A207" s="159"/>
      <c r="B207" s="230"/>
      <c r="C207" s="231">
        <v>8.3000000000000007</v>
      </c>
      <c r="D207" s="178">
        <v>22.2</v>
      </c>
      <c r="E207" s="165"/>
      <c r="F207" s="159"/>
      <c r="G207" s="232">
        <v>185</v>
      </c>
      <c r="H207" s="235">
        <v>9.9099999999999994E-2</v>
      </c>
      <c r="I207" s="238">
        <f t="shared" si="17"/>
        <v>0.12636241000000001</v>
      </c>
      <c r="J207" s="235">
        <f t="shared" si="18"/>
        <v>9.3012007941905089E-2</v>
      </c>
      <c r="K207" s="236">
        <f t="shared" si="19"/>
        <v>2.7174583394922776E-4</v>
      </c>
      <c r="L207" s="236">
        <f t="shared" si="20"/>
        <v>2.7089653305953403E-4</v>
      </c>
      <c r="M207" s="236">
        <f t="shared" si="21"/>
        <v>2.6719581884956998E-4</v>
      </c>
      <c r="N207" s="154">
        <v>575</v>
      </c>
      <c r="O207" s="237"/>
      <c r="P207" s="373"/>
      <c r="Q207" s="373"/>
      <c r="R207" s="373"/>
      <c r="S207" s="260" t="s">
        <v>71</v>
      </c>
    </row>
    <row r="208" spans="1:19" ht="20.100000000000001" customHeight="1" x14ac:dyDescent="0.3">
      <c r="A208" s="159"/>
      <c r="B208" s="230"/>
      <c r="C208" s="231">
        <v>9.5</v>
      </c>
      <c r="D208" s="178">
        <v>24.8</v>
      </c>
      <c r="E208" s="165"/>
      <c r="F208" s="159"/>
      <c r="G208" s="232">
        <v>240</v>
      </c>
      <c r="H208" s="235">
        <v>7.5399999999999995E-2</v>
      </c>
      <c r="I208" s="238">
        <f t="shared" si="17"/>
        <v>9.6142539999999999E-2</v>
      </c>
      <c r="J208" s="235">
        <f t="shared" si="18"/>
        <v>9.1180925010757599E-2</v>
      </c>
      <c r="K208" s="236">
        <f t="shared" si="19"/>
        <v>2.2797032069517932E-4</v>
      </c>
      <c r="L208" s="236">
        <f t="shared" si="20"/>
        <v>2.2473612815209542E-4</v>
      </c>
      <c r="M208" s="236">
        <f t="shared" si="21"/>
        <v>2.1870665669951176E-4</v>
      </c>
      <c r="N208" s="154">
        <v>690</v>
      </c>
      <c r="O208" s="237"/>
      <c r="P208" s="373"/>
      <c r="Q208" s="373"/>
      <c r="R208" s="373"/>
      <c r="S208" s="260" t="s">
        <v>72</v>
      </c>
    </row>
    <row r="209" spans="1:19" ht="20.100000000000001" customHeight="1" x14ac:dyDescent="0.3">
      <c r="A209" s="159"/>
      <c r="B209" s="230"/>
      <c r="C209" s="231">
        <v>10.6</v>
      </c>
      <c r="D209" s="178">
        <v>27.4</v>
      </c>
      <c r="E209" s="165"/>
      <c r="F209" s="159"/>
      <c r="G209" s="239">
        <v>300</v>
      </c>
      <c r="H209" s="240">
        <v>6.0100000000000001E-2</v>
      </c>
      <c r="I209" s="238">
        <f t="shared" si="17"/>
        <v>7.6633510000000002E-2</v>
      </c>
      <c r="J209" s="235">
        <f t="shared" si="18"/>
        <v>9.0437266702209348E-2</v>
      </c>
      <c r="K209" s="241">
        <f t="shared" si="19"/>
        <v>2.0016579901293595E-4</v>
      </c>
      <c r="L209" s="241">
        <f t="shared" si="20"/>
        <v>1.9533640725698977E-4</v>
      </c>
      <c r="M209" s="236">
        <f t="shared" si="21"/>
        <v>1.8773453447811398E-4</v>
      </c>
      <c r="N209" s="154">
        <v>790</v>
      </c>
      <c r="O209" s="237"/>
      <c r="P209" s="373"/>
      <c r="Q209" s="373"/>
      <c r="R209" s="373"/>
      <c r="S209" s="260" t="s">
        <v>171</v>
      </c>
    </row>
    <row r="210" spans="1:19" ht="20.100000000000001" customHeight="1" x14ac:dyDescent="0.3">
      <c r="A210" s="159"/>
      <c r="B210" s="230"/>
      <c r="C210" s="242" t="s">
        <v>172</v>
      </c>
      <c r="D210" s="243" t="s">
        <v>173</v>
      </c>
      <c r="E210" s="165"/>
      <c r="F210" s="159"/>
      <c r="G210" s="244" t="s">
        <v>174</v>
      </c>
      <c r="H210" s="240"/>
      <c r="I210" s="238"/>
      <c r="J210" s="235"/>
      <c r="K210" s="236">
        <f>1.732*(I$22*B$6+J$22*D$6)/1000/2</f>
        <v>1.7510519999999998E-4</v>
      </c>
      <c r="L210" s="236">
        <f>1.732*(I$22*B$7+J$22*D$7)/1000/2</f>
        <v>1.7598332399999998E-4</v>
      </c>
      <c r="M210" s="236">
        <f>1.732*(I$22*B$8+J$22*D$8)/1000/2</f>
        <v>1.7525198699999998E-4</v>
      </c>
      <c r="N210" s="245">
        <f>+N205*2*0.9</f>
        <v>783</v>
      </c>
      <c r="O210" s="246"/>
      <c r="P210" s="374"/>
      <c r="Q210" s="374"/>
      <c r="R210" s="374"/>
      <c r="S210" s="260" t="s">
        <v>175</v>
      </c>
    </row>
    <row r="211" spans="1:19" ht="20.100000000000001" customHeight="1" x14ac:dyDescent="0.3">
      <c r="A211" s="159"/>
      <c r="B211" s="230"/>
      <c r="C211" s="242" t="s">
        <v>172</v>
      </c>
      <c r="D211" s="243" t="s">
        <v>173</v>
      </c>
      <c r="E211" s="165"/>
      <c r="F211" s="159"/>
      <c r="G211" s="244" t="s">
        <v>176</v>
      </c>
      <c r="H211" s="240"/>
      <c r="I211" s="238"/>
      <c r="J211" s="235"/>
      <c r="K211" s="236">
        <f>1.732*(I$23*B$6+J$23*D$6)/1000/2</f>
        <v>1.7216079999999998E-4</v>
      </c>
      <c r="L211" s="236">
        <f>1.732*(I$23*B$7+J$23*D$7)/1000/2</f>
        <v>1.7314249760000001E-4</v>
      </c>
      <c r="M211" s="236">
        <f>1.732*(I$23*B$8+J$23*D$8)/1000/2</f>
        <v>1.7256071879999998E-4</v>
      </c>
      <c r="N211" s="245">
        <f>+N206*2*0.9</f>
        <v>918</v>
      </c>
      <c r="O211" s="246"/>
      <c r="P211" s="374"/>
      <c r="Q211" s="374"/>
      <c r="R211" s="374"/>
      <c r="S211" s="260" t="s">
        <v>177</v>
      </c>
    </row>
    <row r="212" spans="1:19" ht="20.100000000000001" customHeight="1" x14ac:dyDescent="0.3">
      <c r="A212" s="159"/>
      <c r="B212" s="159"/>
      <c r="C212" s="159"/>
      <c r="D212" s="159"/>
      <c r="E212" s="159"/>
      <c r="F212" s="159"/>
      <c r="G212" s="247" t="s">
        <v>178</v>
      </c>
      <c r="H212" s="248"/>
      <c r="I212" s="238"/>
      <c r="J212" s="248"/>
      <c r="K212" s="236">
        <f>1.732*(I$24*B$6+J$24*D$6)/1000/2</f>
        <v>1.6952815999999999E-4</v>
      </c>
      <c r="L212" s="236">
        <f>1.732*(I$24*B$7+J$24*D$7)/1000/2</f>
        <v>1.7057539648000002E-4</v>
      </c>
      <c r="M212" s="236">
        <f>1.732*(I$24*B$8+J$24*D$8)/1000/2</f>
        <v>1.7009594424000001E-4</v>
      </c>
      <c r="N212" s="249">
        <f>N207*2*0.9</f>
        <v>1035</v>
      </c>
      <c r="O212" s="250"/>
      <c r="P212" s="375"/>
      <c r="Q212" s="375"/>
      <c r="R212" s="375"/>
      <c r="S212" s="260" t="s">
        <v>179</v>
      </c>
    </row>
    <row r="213" spans="1:19" ht="20.100000000000001" customHeight="1" x14ac:dyDescent="0.3">
      <c r="A213" s="159"/>
      <c r="B213" s="159"/>
      <c r="C213" s="159"/>
      <c r="D213" s="159"/>
      <c r="E213" s="159"/>
      <c r="F213" s="159"/>
      <c r="G213" s="247" t="s">
        <v>180</v>
      </c>
      <c r="H213" s="248"/>
      <c r="I213" s="238"/>
      <c r="J213" s="248"/>
      <c r="K213" s="236">
        <f>1.732*(I$24*B$6+J$24*D$6)/1000/2</f>
        <v>1.6952815999999999E-4</v>
      </c>
      <c r="L213" s="236">
        <f>1.732*(I$24*B$7+J$24*D$7)/1000/2</f>
        <v>1.7057539648000002E-4</v>
      </c>
      <c r="M213" s="236">
        <f>1.732*(I$25*B$8+J$25*D$8)/1000/2</f>
        <v>1.6909005060000002E-4</v>
      </c>
      <c r="N213" s="249">
        <f>N208*2*0.9</f>
        <v>1242</v>
      </c>
      <c r="O213" s="250"/>
      <c r="P213" s="375"/>
      <c r="Q213" s="375"/>
      <c r="R213" s="375"/>
      <c r="S213" s="260" t="s">
        <v>181</v>
      </c>
    </row>
    <row r="214" spans="1:19" ht="20.100000000000001" customHeight="1" x14ac:dyDescent="0.3">
      <c r="A214" s="159"/>
      <c r="B214" s="159"/>
      <c r="C214" s="159"/>
      <c r="D214" s="159"/>
      <c r="E214" s="159"/>
      <c r="F214" s="159"/>
      <c r="G214" s="247" t="s">
        <v>182</v>
      </c>
      <c r="H214" s="248"/>
      <c r="I214" s="238"/>
      <c r="J214" s="248"/>
      <c r="K214" s="236">
        <f>1.732*(I$24*B$6+J$24*D$6)/1000/2</f>
        <v>1.6952815999999999E-4</v>
      </c>
      <c r="L214" s="236">
        <f>1.732*(I$24*B$7+J$24*D$7)/1000/2</f>
        <v>1.7057539648000002E-4</v>
      </c>
      <c r="M214" s="251">
        <f>1.732*(I$26*B$8+J$26*D$8)/1000/2</f>
        <v>1.6909005060000002E-4</v>
      </c>
      <c r="N214" s="249">
        <f>N209*2*0.9</f>
        <v>1422</v>
      </c>
      <c r="O214" s="250"/>
      <c r="P214" s="375"/>
      <c r="Q214" s="375"/>
      <c r="R214" s="375"/>
      <c r="S214" s="260" t="s">
        <v>183</v>
      </c>
    </row>
    <row r="215" spans="1:19" ht="20.100000000000001" customHeight="1" x14ac:dyDescent="0.3">
      <c r="A215" s="159"/>
      <c r="B215" s="159"/>
      <c r="C215" s="159"/>
      <c r="D215" s="159"/>
      <c r="E215" s="159"/>
      <c r="F215" s="159"/>
      <c r="G215" s="244" t="s">
        <v>184</v>
      </c>
      <c r="H215" s="248"/>
      <c r="I215" s="238"/>
      <c r="J215" s="248"/>
      <c r="K215" s="236">
        <f>1.732*(I$24*B$6+J$24*D$6)/1000/3</f>
        <v>1.1301877333333333E-4</v>
      </c>
      <c r="L215" s="236">
        <f>1.732*(I$24*B$7+J$24*D$7)/1000/3</f>
        <v>1.1371693098666669E-4</v>
      </c>
      <c r="M215" s="252">
        <f>1.732*(J$24*B$8+K$24*D$8)/1000/3</f>
        <v>5.1846238513658176E-5</v>
      </c>
      <c r="N215" s="249">
        <f>N207*3*0.9</f>
        <v>1552.5</v>
      </c>
      <c r="O215" s="250"/>
      <c r="P215" s="375"/>
      <c r="Q215" s="375"/>
      <c r="R215" s="375"/>
      <c r="S215" s="260" t="s">
        <v>185</v>
      </c>
    </row>
    <row r="216" spans="1:19" ht="20.100000000000001" customHeight="1" x14ac:dyDescent="0.3">
      <c r="A216" s="159"/>
      <c r="B216" s="159"/>
      <c r="C216" s="159"/>
      <c r="D216" s="159"/>
      <c r="E216" s="159"/>
      <c r="F216" s="159"/>
      <c r="G216" s="244" t="s">
        <v>186</v>
      </c>
      <c r="H216" s="248"/>
      <c r="I216" s="238"/>
      <c r="J216" s="248"/>
      <c r="K216" s="236">
        <f>1.732*(I$24*B$6+J$24*D$6)/1000/3</f>
        <v>1.1301877333333333E-4</v>
      </c>
      <c r="L216" s="236">
        <f>1.732*(I$24*B$7+J$24*D$7)/1000/3</f>
        <v>1.1371693098666669E-4</v>
      </c>
      <c r="M216" s="252">
        <f>1.732*(J$25*B$8+K$25*D$8)/1000/3</f>
        <v>5.1521427039230275E-5</v>
      </c>
      <c r="N216" s="249">
        <f>N208*3*0.9</f>
        <v>1863</v>
      </c>
      <c r="O216" s="250"/>
      <c r="P216" s="375"/>
      <c r="Q216" s="375"/>
      <c r="R216" s="375"/>
      <c r="S216" s="260" t="s">
        <v>187</v>
      </c>
    </row>
    <row r="217" spans="1:19" ht="20.100000000000001" customHeight="1" x14ac:dyDescent="0.3">
      <c r="A217" s="159"/>
      <c r="B217" s="159"/>
      <c r="C217" s="159"/>
      <c r="D217" s="159"/>
      <c r="E217" s="159"/>
      <c r="F217" s="159"/>
      <c r="G217" s="244" t="s">
        <v>188</v>
      </c>
      <c r="H217" s="248"/>
      <c r="I217" s="238"/>
      <c r="J217" s="248"/>
      <c r="K217" s="236">
        <f>1.732*(I$24*B$6+J$24*D$6)/1000/3</f>
        <v>1.1301877333333333E-4</v>
      </c>
      <c r="L217" s="236">
        <f>1.732*(I$24*B$7+J$24*D$7)/1000/3</f>
        <v>1.1371693098666669E-4</v>
      </c>
      <c r="M217" s="252">
        <f>1.732*(J$26*B$8+K$26*D$8)/1000/3</f>
        <v>5.1510355507496698E-5</v>
      </c>
      <c r="N217" s="249">
        <f>N209*3*0.9</f>
        <v>2133</v>
      </c>
      <c r="O217" s="250"/>
      <c r="P217" s="375"/>
      <c r="Q217" s="375"/>
      <c r="R217" s="375"/>
      <c r="S217" s="260" t="s">
        <v>189</v>
      </c>
    </row>
    <row r="218" spans="1:19" ht="20.100000000000001" customHeight="1" x14ac:dyDescent="0.3">
      <c r="A218" s="159"/>
      <c r="B218" s="159"/>
      <c r="C218" s="159"/>
      <c r="D218" s="159"/>
      <c r="E218" s="159"/>
      <c r="F218" s="159"/>
      <c r="G218" s="244" t="s">
        <v>190</v>
      </c>
      <c r="H218" s="248"/>
      <c r="I218" s="238"/>
      <c r="J218" s="248"/>
      <c r="K218" s="236">
        <f>1.732*(I$24*B$6+J$24*D$6)/1000/4</f>
        <v>8.4764079999999996E-5</v>
      </c>
      <c r="L218" s="236">
        <f>1.732*(I$24*B$7+J$24*D$7)/1000/4</f>
        <v>8.5287698240000011E-5</v>
      </c>
      <c r="M218" s="252">
        <f>1.732*(J$26*B$8+K$26*D$8)/1000/3</f>
        <v>5.1510355507496698E-5</v>
      </c>
      <c r="N218" s="249">
        <f>N207*4*0.9</f>
        <v>2070</v>
      </c>
      <c r="O218" s="250"/>
      <c r="P218" s="375"/>
      <c r="Q218" s="375"/>
      <c r="R218" s="375"/>
      <c r="S218" s="260" t="s">
        <v>191</v>
      </c>
    </row>
    <row r="219" spans="1:19" ht="20.100000000000001" customHeight="1" x14ac:dyDescent="0.3">
      <c r="A219" s="159"/>
      <c r="B219" s="159"/>
      <c r="C219" s="159"/>
      <c r="D219" s="159"/>
      <c r="E219" s="159"/>
      <c r="F219" s="159"/>
      <c r="G219" s="244" t="s">
        <v>192</v>
      </c>
      <c r="H219" s="248"/>
      <c r="I219" s="238"/>
      <c r="J219" s="248"/>
      <c r="K219" s="236">
        <f>1.732*(I$24*B$6+J$24*D$6)/1000/4</f>
        <v>8.4764079999999996E-5</v>
      </c>
      <c r="L219" s="236">
        <f>1.732*(I$24*B$7+J$24*D$7)/1000/4</f>
        <v>8.5287698240000011E-5</v>
      </c>
      <c r="M219" s="253">
        <f>1.732*(J$26*B$8+K$26*D$8)/1000/3</f>
        <v>5.1510355507496698E-5</v>
      </c>
      <c r="N219" s="249">
        <f>N208*4*0.9</f>
        <v>2484</v>
      </c>
      <c r="O219" s="250"/>
      <c r="P219" s="375"/>
      <c r="Q219" s="375"/>
      <c r="R219" s="375"/>
      <c r="S219" s="260" t="s">
        <v>193</v>
      </c>
    </row>
    <row r="220" spans="1:19" ht="20.100000000000001" customHeight="1" x14ac:dyDescent="0.3">
      <c r="A220" s="159"/>
      <c r="B220" s="159"/>
      <c r="C220" s="159"/>
      <c r="D220" s="159"/>
      <c r="E220" s="159"/>
      <c r="F220" s="159"/>
      <c r="G220" s="244" t="s">
        <v>194</v>
      </c>
      <c r="H220" s="248"/>
      <c r="I220" s="238"/>
      <c r="J220" s="248"/>
      <c r="K220" s="236">
        <f>1.732*(I$24*B$6+J$24*D$6)/1000/4</f>
        <v>8.4764079999999996E-5</v>
      </c>
      <c r="L220" s="236">
        <f>1.732*(I$24*B$7+J$24*D$7)/1000/4</f>
        <v>8.5287698240000011E-5</v>
      </c>
      <c r="M220" s="253">
        <f>1.732*(J$26*B$8+K$26*D$8)/1000/3</f>
        <v>5.1510355507496698E-5</v>
      </c>
      <c r="N220" s="249">
        <f>N209*4*0.9</f>
        <v>2844</v>
      </c>
      <c r="O220" s="250"/>
      <c r="P220" s="375"/>
      <c r="Q220" s="375"/>
      <c r="R220" s="375"/>
      <c r="S220" s="260" t="s">
        <v>195</v>
      </c>
    </row>
    <row r="221" spans="1:19" ht="20.100000000000001" customHeight="1" x14ac:dyDescent="0.3">
      <c r="A221" s="159"/>
      <c r="B221" s="159"/>
      <c r="C221" s="159" t="s">
        <v>196</v>
      </c>
      <c r="D221" s="159"/>
      <c r="E221" s="159"/>
      <c r="F221" s="159"/>
      <c r="G221" s="254"/>
      <c r="H221" s="254"/>
      <c r="I221" s="254"/>
      <c r="J221" s="254"/>
      <c r="K221" s="254"/>
      <c r="L221" s="254"/>
      <c r="M221" s="254"/>
      <c r="N221" s="254"/>
      <c r="O221" s="254"/>
      <c r="P221" s="376"/>
      <c r="Q221" s="376"/>
      <c r="R221" s="376"/>
      <c r="S221" s="280"/>
    </row>
    <row r="222" spans="1:19" ht="20.100000000000001" customHeight="1" x14ac:dyDescent="0.3">
      <c r="A222" s="159"/>
    </row>
    <row r="223" spans="1:19" x14ac:dyDescent="0.3">
      <c r="A223" s="159"/>
    </row>
  </sheetData>
  <mergeCells count="67">
    <mergeCell ref="AS117:AV117"/>
    <mergeCell ref="W136:W137"/>
    <mergeCell ref="AW120:AY120"/>
    <mergeCell ref="AS120:AV120"/>
    <mergeCell ref="AW119:AY119"/>
    <mergeCell ref="V139:V142"/>
    <mergeCell ref="AZ136:AZ137"/>
    <mergeCell ref="AW121:AY121"/>
    <mergeCell ref="AW122:AY122"/>
    <mergeCell ref="AS121:AV121"/>
    <mergeCell ref="AS122:AV122"/>
    <mergeCell ref="AP134:AT134"/>
    <mergeCell ref="AN136:AQ136"/>
    <mergeCell ref="AY136:AY137"/>
    <mergeCell ref="AR136:AR137"/>
    <mergeCell ref="AS136:AS137"/>
    <mergeCell ref="AV136:AX137"/>
    <mergeCell ref="AO137:AP137"/>
    <mergeCell ref="AU136:AU137"/>
    <mergeCell ref="V132:AU132"/>
    <mergeCell ref="AS116:AV116"/>
    <mergeCell ref="AS105:AV106"/>
    <mergeCell ref="AW105:AY106"/>
    <mergeCell ref="AS108:AV108"/>
    <mergeCell ref="AS109:AV109"/>
    <mergeCell ref="AS110:AV110"/>
    <mergeCell ref="AW109:AY109"/>
    <mergeCell ref="AW108:AY108"/>
    <mergeCell ref="AW110:AY110"/>
    <mergeCell ref="X136:X137"/>
    <mergeCell ref="AW111:AY111"/>
    <mergeCell ref="AW112:AY112"/>
    <mergeCell ref="AS111:AV111"/>
    <mergeCell ref="AS112:AV112"/>
    <mergeCell ref="AS119:AV119"/>
    <mergeCell ref="AS118:AV118"/>
    <mergeCell ref="AW118:AY118"/>
    <mergeCell ref="AW113:AY113"/>
    <mergeCell ref="AW114:AY114"/>
    <mergeCell ref="AW115:AY115"/>
    <mergeCell ref="AW116:AY116"/>
    <mergeCell ref="AW117:AY117"/>
    <mergeCell ref="AS113:AV113"/>
    <mergeCell ref="AS114:AV114"/>
    <mergeCell ref="AS115:AV115"/>
    <mergeCell ref="G192:S192"/>
    <mergeCell ref="I12:J12"/>
    <mergeCell ref="G117:J117"/>
    <mergeCell ref="P12:Q13"/>
    <mergeCell ref="B136:H136"/>
    <mergeCell ref="I136:O136"/>
    <mergeCell ref="BH133:BK136"/>
    <mergeCell ref="BA133:BG135"/>
    <mergeCell ref="AM136:AM137"/>
    <mergeCell ref="V133:V134"/>
    <mergeCell ref="AM133:AT133"/>
    <mergeCell ref="V135:AT135"/>
    <mergeCell ref="Y136:Y137"/>
    <mergeCell ref="Z136:Z137"/>
    <mergeCell ref="AA136:AA137"/>
    <mergeCell ref="Y133:AL134"/>
    <mergeCell ref="AM134:AN134"/>
    <mergeCell ref="AL136:AL137"/>
    <mergeCell ref="AF136:AK136"/>
    <mergeCell ref="V136:V137"/>
    <mergeCell ref="AB136:AE136"/>
    <mergeCell ref="AT136:AT137"/>
  </mergeCells>
  <phoneticPr fontId="36" type="noConversion"/>
  <conditionalFormatting sqref="AI138:AI142">
    <cfRule type="cellIs" dxfId="16" priority="4" operator="greaterThan">
      <formula>AG138</formula>
    </cfRule>
  </conditionalFormatting>
  <conditionalFormatting sqref="AI138:AJ142 AN138:AN142 AW138:AW142 BD138:BD142">
    <cfRule type="expression" dxfId="15" priority="8">
      <formula>AI138="NO"</formula>
    </cfRule>
  </conditionalFormatting>
  <conditionalFormatting sqref="AI158:AK159">
    <cfRule type="cellIs" dxfId="14" priority="600" operator="lessThan">
      <formula>$AE158</formula>
    </cfRule>
  </conditionalFormatting>
  <conditionalFormatting sqref="AK138:AK142">
    <cfRule type="cellIs" dxfId="13" priority="6" operator="greaterThan">
      <formula>1.5</formula>
    </cfRule>
    <cfRule type="cellIs" dxfId="12" priority="7" operator="greaterThan">
      <formula>2.5</formula>
    </cfRule>
  </conditionalFormatting>
  <conditionalFormatting sqref="AL158:AM159">
    <cfRule type="cellIs" dxfId="11" priority="602" operator="lessThan">
      <formula>$AI158</formula>
    </cfRule>
  </conditionalFormatting>
  <conditionalFormatting sqref="AO138:AP142">
    <cfRule type="cellIs" dxfId="10" priority="1" operator="lessThan">
      <formula>$AP138</formula>
    </cfRule>
  </conditionalFormatting>
  <conditionalFormatting sqref="AX138:AX142">
    <cfRule type="cellIs" dxfId="9" priority="3" operator="equal">
      <formula>"NO"</formula>
    </cfRule>
  </conditionalFormatting>
  <dataValidations disablePrompts="1" count="3">
    <dataValidation type="list" allowBlank="1" showInputMessage="1" showErrorMessage="1" sqref="AQ129 AR138:AR142">
      <formula1>Intalacion_cables</formula1>
    </dataValidation>
    <dataValidation type="list" allowBlank="1" showInputMessage="1" showErrorMessage="1" sqref="O80 AE138:AE142">
      <formula1>$F$16:$F$77</formula1>
    </dataValidation>
    <dataValidation type="list" allowBlank="1" showInputMessage="1" showErrorMessage="1" sqref="AA138:AA142">
      <formula1>#REF!</formula1>
    </dataValidation>
  </dataValidations>
  <pageMargins left="0.25" right="0.25" top="1.42" bottom="0.75" header="0.3" footer="0.3"/>
  <pageSetup paperSize="9" scale="46" orientation="landscape" horizontalDpi="300" r:id="rId1"/>
  <rowBreaks count="1" manualBreakCount="1">
    <brk id="122" max="42" man="1"/>
  </rowBreaks>
  <colBreaks count="1" manualBreakCount="1">
    <brk id="20" min="132" max="173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1:V108"/>
  <sheetViews>
    <sheetView view="pageBreakPreview" topLeftCell="B85" zoomScale="89" zoomScaleNormal="85" zoomScaleSheetLayoutView="56" workbookViewId="0">
      <selection activeCell="X37" sqref="X37"/>
    </sheetView>
  </sheetViews>
  <sheetFormatPr baseColWidth="10" defaultColWidth="11.5703125" defaultRowHeight="16.5" x14ac:dyDescent="0.3"/>
  <cols>
    <col min="1" max="1" width="3.42578125" style="1" customWidth="1"/>
    <col min="2" max="2" width="55.140625" style="1" customWidth="1"/>
    <col min="3" max="3" width="7.85546875" style="1" customWidth="1"/>
    <col min="4" max="4" width="8" style="1" customWidth="1"/>
    <col min="5" max="5" width="8.5703125" style="1" customWidth="1"/>
    <col min="6" max="6" width="5.42578125" style="1" customWidth="1"/>
    <col min="7" max="7" width="10.28515625" style="1" customWidth="1"/>
    <col min="8" max="8" width="10.5703125" style="1" customWidth="1"/>
    <col min="9" max="9" width="9.28515625" style="1" customWidth="1"/>
    <col min="10" max="10" width="10.85546875" style="1" customWidth="1"/>
    <col min="11" max="13" width="9.140625" style="1" customWidth="1"/>
    <col min="14" max="14" width="7.28515625" style="1" customWidth="1"/>
    <col min="15" max="15" width="9.140625" style="1" customWidth="1"/>
    <col min="16" max="16" width="7.85546875" style="1" customWidth="1"/>
    <col min="17" max="17" width="11" style="1" customWidth="1"/>
    <col min="18" max="18" width="8.5703125" style="1" customWidth="1"/>
    <col min="19" max="19" width="16.28515625" style="1" hidden="1" customWidth="1"/>
    <col min="20" max="20" width="11.85546875" style="1" hidden="1" customWidth="1"/>
    <col min="21" max="21" width="8.28515625" style="1" hidden="1" customWidth="1"/>
    <col min="22" max="22" width="10.42578125" style="1" hidden="1" customWidth="1"/>
    <col min="23" max="24" width="10.42578125" style="1" customWidth="1"/>
    <col min="25" max="16384" width="11.5703125" style="1"/>
  </cols>
  <sheetData>
    <row r="1" spans="2:20" ht="0.6" customHeight="1" x14ac:dyDescent="0.3"/>
    <row r="2" spans="2:20" ht="0.6" customHeight="1" x14ac:dyDescent="0.3"/>
    <row r="3" spans="2:20" ht="0.6" customHeight="1" x14ac:dyDescent="0.3"/>
    <row r="4" spans="2:20" ht="0.6" customHeight="1" x14ac:dyDescent="0.3"/>
    <row r="5" spans="2:20" ht="0.6" customHeight="1" x14ac:dyDescent="0.3"/>
    <row r="6" spans="2:20" ht="19.899999999999999" customHeight="1" x14ac:dyDescent="0.3">
      <c r="B6" s="715" t="s">
        <v>573</v>
      </c>
      <c r="C6" s="715"/>
      <c r="D6" s="715"/>
      <c r="E6" s="715"/>
      <c r="F6" s="715"/>
      <c r="G6" s="715"/>
      <c r="H6" s="715"/>
      <c r="I6" s="715"/>
      <c r="J6" s="715"/>
      <c r="K6" s="715"/>
      <c r="L6" s="715"/>
      <c r="M6" s="715"/>
      <c r="N6" s="715"/>
      <c r="O6" s="715"/>
      <c r="P6" s="715"/>
    </row>
    <row r="7" spans="2:20" s="575" customFormat="1" x14ac:dyDescent="0.3">
      <c r="B7" s="576"/>
      <c r="C7" s="576"/>
      <c r="D7" s="577"/>
      <c r="E7" s="578"/>
      <c r="F7" s="577"/>
      <c r="G7" s="578"/>
      <c r="H7" s="579"/>
      <c r="I7" s="579"/>
      <c r="J7" s="579"/>
      <c r="K7" s="580"/>
      <c r="L7" s="581"/>
      <c r="M7" s="581"/>
      <c r="N7" s="581"/>
      <c r="O7" s="581"/>
      <c r="P7" s="581"/>
      <c r="S7" s="582"/>
      <c r="T7" s="583"/>
    </row>
    <row r="8" spans="2:20" s="575" customFormat="1" ht="12.75" x14ac:dyDescent="0.25">
      <c r="B8" s="722" t="s">
        <v>571</v>
      </c>
      <c r="C8" s="722"/>
      <c r="D8" s="722"/>
      <c r="E8" s="722"/>
      <c r="F8" s="722"/>
      <c r="G8" s="722"/>
      <c r="H8" s="722"/>
      <c r="I8" s="722"/>
      <c r="J8" s="722"/>
      <c r="K8" s="722"/>
      <c r="L8" s="722"/>
      <c r="M8" s="722"/>
      <c r="N8" s="722"/>
      <c r="O8" s="722"/>
      <c r="P8" s="722"/>
    </row>
    <row r="9" spans="2:20" s="575" customFormat="1" ht="12.75" x14ac:dyDescent="0.25">
      <c r="B9" s="722"/>
      <c r="C9" s="722"/>
      <c r="D9" s="722"/>
      <c r="E9" s="722"/>
      <c r="F9" s="722"/>
      <c r="G9" s="722"/>
      <c r="H9" s="722"/>
      <c r="I9" s="722"/>
      <c r="J9" s="722"/>
      <c r="K9" s="722"/>
      <c r="L9" s="722"/>
      <c r="M9" s="722"/>
      <c r="N9" s="722"/>
      <c r="O9" s="722"/>
      <c r="P9" s="722"/>
    </row>
    <row r="10" spans="2:20" s="575" customFormat="1" ht="14.45" customHeight="1" x14ac:dyDescent="0.25">
      <c r="B10" s="716" t="s">
        <v>572</v>
      </c>
      <c r="C10" s="716"/>
      <c r="D10" s="716"/>
      <c r="E10" s="716"/>
      <c r="F10" s="716"/>
      <c r="G10" s="716"/>
      <c r="H10" s="716" t="s">
        <v>313</v>
      </c>
      <c r="I10" s="716"/>
      <c r="J10" s="716"/>
      <c r="K10" s="716"/>
      <c r="L10" s="716"/>
      <c r="M10" s="716"/>
      <c r="N10" s="716"/>
      <c r="O10" s="718" t="s">
        <v>574</v>
      </c>
      <c r="P10" s="718" t="s">
        <v>257</v>
      </c>
    </row>
    <row r="11" spans="2:20" s="575" customFormat="1" ht="10.15" customHeight="1" x14ac:dyDescent="0.25">
      <c r="B11" s="716"/>
      <c r="C11" s="716"/>
      <c r="D11" s="716"/>
      <c r="E11" s="716"/>
      <c r="F11" s="716"/>
      <c r="G11" s="716"/>
      <c r="H11" s="584" t="s">
        <v>312</v>
      </c>
      <c r="I11" s="585">
        <v>380</v>
      </c>
      <c r="J11" s="585">
        <v>220</v>
      </c>
      <c r="K11" s="586" t="s">
        <v>311</v>
      </c>
      <c r="L11" s="585">
        <v>0.8</v>
      </c>
      <c r="M11" s="586" t="s">
        <v>310</v>
      </c>
      <c r="N11" s="585">
        <v>25</v>
      </c>
      <c r="O11" s="719"/>
      <c r="P11" s="719"/>
      <c r="S11" s="587" t="s">
        <v>399</v>
      </c>
      <c r="T11" s="587"/>
    </row>
    <row r="12" spans="2:20" s="575" customFormat="1" ht="12.75" x14ac:dyDescent="0.25">
      <c r="B12" s="722" t="s">
        <v>277</v>
      </c>
      <c r="C12" s="723" t="s">
        <v>278</v>
      </c>
      <c r="D12" s="588" t="s">
        <v>279</v>
      </c>
      <c r="E12" s="589" t="s">
        <v>280</v>
      </c>
      <c r="F12" s="724" t="s">
        <v>567</v>
      </c>
      <c r="G12" s="589" t="s">
        <v>281</v>
      </c>
      <c r="H12" s="590" t="s">
        <v>282</v>
      </c>
      <c r="I12" s="590" t="s">
        <v>309</v>
      </c>
      <c r="J12" s="590" t="s">
        <v>283</v>
      </c>
      <c r="K12" s="590" t="s">
        <v>10</v>
      </c>
      <c r="L12" s="590" t="s">
        <v>284</v>
      </c>
      <c r="M12" s="590" t="s">
        <v>284</v>
      </c>
      <c r="N12" s="590" t="s">
        <v>285</v>
      </c>
      <c r="O12" s="719"/>
      <c r="P12" s="719"/>
      <c r="S12" s="591" t="s">
        <v>285</v>
      </c>
      <c r="T12" s="590" t="s">
        <v>495</v>
      </c>
    </row>
    <row r="13" spans="2:20" s="575" customFormat="1" ht="12.75" x14ac:dyDescent="0.25">
      <c r="B13" s="722"/>
      <c r="C13" s="723"/>
      <c r="D13" s="588" t="s">
        <v>286</v>
      </c>
      <c r="E13" s="589" t="s">
        <v>287</v>
      </c>
      <c r="F13" s="724"/>
      <c r="G13" s="589" t="s">
        <v>287</v>
      </c>
      <c r="H13" s="589" t="s">
        <v>288</v>
      </c>
      <c r="I13" s="589" t="s">
        <v>308</v>
      </c>
      <c r="J13" s="589" t="str">
        <f>_xlfn.CONCAT("1.",N11,"*","In (A)")</f>
        <v>1.25*In (A)</v>
      </c>
      <c r="K13" s="589" t="s">
        <v>17</v>
      </c>
      <c r="L13" s="589" t="s">
        <v>289</v>
      </c>
      <c r="M13" s="589" t="s">
        <v>290</v>
      </c>
      <c r="N13" s="589" t="s">
        <v>22</v>
      </c>
      <c r="O13" s="720"/>
      <c r="P13" s="720"/>
      <c r="S13" s="592" t="s">
        <v>22</v>
      </c>
      <c r="T13" s="589" t="s">
        <v>496</v>
      </c>
    </row>
    <row r="14" spans="2:20" s="575" customFormat="1" ht="12.75" x14ac:dyDescent="0.25">
      <c r="B14" s="721" t="s">
        <v>575</v>
      </c>
      <c r="C14" s="721"/>
      <c r="D14" s="721"/>
      <c r="E14" s="721"/>
      <c r="F14" s="721"/>
      <c r="G14" s="721"/>
      <c r="H14" s="593">
        <v>19</v>
      </c>
      <c r="I14" s="593" t="s">
        <v>298</v>
      </c>
      <c r="J14" s="594">
        <f>+IF("1Ø"=I14,ROUND(+SUM(G15:G19)/(220*$L$11),2)*(CONCATENATE("1.",$N$11)),ROUND(+SUM(G15:G19)/(SQRT(3)*380*$L$11),2)*(CONCATENATE("1.",$N$11)))</f>
        <v>0.71249999999999991</v>
      </c>
      <c r="K14" s="593">
        <v>2.5</v>
      </c>
      <c r="L14" s="593">
        <f>+IF("1Ø"=I14,2*J14*0.0175*H14/K14,SQRT(3)*J14*0.0175*H14/K14)</f>
        <v>0.189525</v>
      </c>
      <c r="M14" s="593">
        <f>+IF("1Ø"=I14,L14/$J$11*100,L14/$I$11*100)</f>
        <v>8.6147727272727279E-2</v>
      </c>
      <c r="N14" s="593" t="s">
        <v>569</v>
      </c>
      <c r="O14" s="593" t="s">
        <v>227</v>
      </c>
      <c r="P14" s="595" t="s">
        <v>493</v>
      </c>
      <c r="S14" s="595" t="s">
        <v>633</v>
      </c>
      <c r="T14" s="595" t="s">
        <v>493</v>
      </c>
    </row>
    <row r="15" spans="2:20" s="575" customFormat="1" ht="12.75" x14ac:dyDescent="0.25">
      <c r="B15" s="596" t="s">
        <v>591</v>
      </c>
      <c r="C15" s="597">
        <v>2</v>
      </c>
      <c r="D15" s="598">
        <v>21</v>
      </c>
      <c r="E15" s="598">
        <f>C15*D15</f>
        <v>42</v>
      </c>
      <c r="F15" s="598">
        <v>1</v>
      </c>
      <c r="G15" s="598">
        <f>E15*F15</f>
        <v>42</v>
      </c>
      <c r="H15" s="593"/>
      <c r="I15" s="599"/>
      <c r="J15" s="599"/>
      <c r="K15" s="599"/>
      <c r="L15" s="599"/>
      <c r="M15" s="599"/>
      <c r="N15" s="599"/>
      <c r="O15" s="599"/>
      <c r="P15" s="599"/>
      <c r="S15" s="600"/>
      <c r="T15" s="599"/>
    </row>
    <row r="16" spans="2:20" s="575" customFormat="1" ht="12.75" x14ac:dyDescent="0.25">
      <c r="B16" s="596" t="s">
        <v>613</v>
      </c>
      <c r="C16" s="597">
        <v>1</v>
      </c>
      <c r="D16" s="598">
        <v>21</v>
      </c>
      <c r="E16" s="598">
        <f>C16*D16</f>
        <v>21</v>
      </c>
      <c r="F16" s="598">
        <v>1</v>
      </c>
      <c r="G16" s="598">
        <f>E16*F16</f>
        <v>21</v>
      </c>
      <c r="H16" s="593"/>
      <c r="I16" s="599"/>
      <c r="J16" s="599"/>
      <c r="K16" s="599"/>
      <c r="L16" s="599"/>
      <c r="M16" s="599"/>
      <c r="N16" s="599"/>
      <c r="O16" s="599"/>
      <c r="P16" s="599"/>
      <c r="S16" s="600"/>
      <c r="T16" s="599"/>
    </row>
    <row r="17" spans="2:20" s="575" customFormat="1" ht="12.75" x14ac:dyDescent="0.25">
      <c r="B17" s="596" t="s">
        <v>592</v>
      </c>
      <c r="C17" s="597">
        <v>1</v>
      </c>
      <c r="D17" s="598">
        <v>10</v>
      </c>
      <c r="E17" s="598">
        <f>C17*D17</f>
        <v>10</v>
      </c>
      <c r="F17" s="598">
        <v>1</v>
      </c>
      <c r="G17" s="598">
        <f>E17*F17</f>
        <v>10</v>
      </c>
      <c r="H17" s="593"/>
      <c r="I17" s="599"/>
      <c r="J17" s="599"/>
      <c r="K17" s="599"/>
      <c r="L17" s="599"/>
      <c r="M17" s="599"/>
      <c r="N17" s="599"/>
      <c r="O17" s="599"/>
      <c r="P17" s="599"/>
      <c r="S17" s="600"/>
      <c r="T17" s="599"/>
    </row>
    <row r="18" spans="2:20" s="575" customFormat="1" ht="12.75" x14ac:dyDescent="0.25">
      <c r="B18" s="596" t="s">
        <v>600</v>
      </c>
      <c r="C18" s="597">
        <v>1</v>
      </c>
      <c r="D18" s="598">
        <v>21</v>
      </c>
      <c r="E18" s="598">
        <f>C18*D18</f>
        <v>21</v>
      </c>
      <c r="F18" s="598">
        <v>1</v>
      </c>
      <c r="G18" s="598">
        <f>E18*F18</f>
        <v>21</v>
      </c>
      <c r="H18" s="598"/>
      <c r="I18" s="605"/>
      <c r="J18" s="605"/>
      <c r="K18" s="605"/>
      <c r="L18" s="605"/>
      <c r="M18" s="605"/>
      <c r="N18" s="599"/>
      <c r="O18" s="599"/>
      <c r="P18" s="599"/>
      <c r="S18" s="600"/>
      <c r="T18" s="599"/>
    </row>
    <row r="19" spans="2:20" s="575" customFormat="1" ht="12.75" x14ac:dyDescent="0.25">
      <c r="B19" s="601" t="s">
        <v>587</v>
      </c>
      <c r="C19" s="597">
        <v>1</v>
      </c>
      <c r="D19" s="598">
        <v>7</v>
      </c>
      <c r="E19" s="598">
        <f>C19*D19</f>
        <v>7</v>
      </c>
      <c r="F19" s="598">
        <v>1</v>
      </c>
      <c r="G19" s="598">
        <f>E19*F19</f>
        <v>7</v>
      </c>
      <c r="H19" s="593"/>
      <c r="I19" s="599"/>
      <c r="J19" s="599"/>
      <c r="K19" s="599"/>
      <c r="L19" s="599"/>
      <c r="M19" s="599"/>
      <c r="N19" s="599"/>
      <c r="O19" s="599"/>
      <c r="P19" s="599"/>
      <c r="S19" s="600"/>
      <c r="T19" s="599"/>
    </row>
    <row r="20" spans="2:20" x14ac:dyDescent="0.3">
      <c r="B20" s="717" t="s">
        <v>584</v>
      </c>
      <c r="C20" s="717"/>
      <c r="D20" s="717"/>
      <c r="E20" s="717"/>
      <c r="F20" s="717"/>
      <c r="G20" s="717"/>
      <c r="H20" s="593">
        <v>16</v>
      </c>
      <c r="I20" s="593" t="s">
        <v>298</v>
      </c>
      <c r="J20" s="594">
        <f>+IF("1Ø"=I20,ROUND(+SUM(G21:G23)/(220*$L$11),2)*(CONCATENATE("1.",$N$11)),ROUND(+SUM(G21:G23)/(SQRT(3)*380*$L$11),2)*(CONCATENATE("1.",$N$11)))</f>
        <v>4.375</v>
      </c>
      <c r="K20" s="593">
        <v>4</v>
      </c>
      <c r="L20" s="593">
        <f>+IF("1Ø"=I20,2*J20*0.0175*H20/K20,SQRT(3)*J20*0.0175*H20/K20)</f>
        <v>0.61250000000000004</v>
      </c>
      <c r="M20" s="593">
        <f>+IF("1Ø"=I20,L20/$J$11*100,L20/$I$11*100)</f>
        <v>0.27840909090909094</v>
      </c>
      <c r="N20" s="593" t="s">
        <v>291</v>
      </c>
      <c r="O20" s="593" t="s">
        <v>227</v>
      </c>
      <c r="P20" s="595" t="s">
        <v>493</v>
      </c>
      <c r="Q20" s="575"/>
      <c r="S20" s="595" t="s">
        <v>633</v>
      </c>
      <c r="T20" s="595" t="s">
        <v>493</v>
      </c>
    </row>
    <row r="21" spans="2:20" ht="25.5" x14ac:dyDescent="0.3">
      <c r="B21" s="602" t="s">
        <v>588</v>
      </c>
      <c r="C21" s="593">
        <v>5</v>
      </c>
      <c r="D21" s="593">
        <v>200</v>
      </c>
      <c r="E21" s="593">
        <f>D21*C21</f>
        <v>1000</v>
      </c>
      <c r="F21" s="593">
        <v>0.4</v>
      </c>
      <c r="G21" s="593">
        <f>E21*F21</f>
        <v>400</v>
      </c>
      <c r="H21" s="593"/>
      <c r="I21" s="593"/>
      <c r="J21" s="594"/>
      <c r="K21" s="593"/>
      <c r="L21" s="593"/>
      <c r="M21" s="593"/>
      <c r="N21" s="593"/>
      <c r="O21" s="593"/>
      <c r="P21" s="593"/>
      <c r="Q21" s="575"/>
      <c r="S21" s="603"/>
      <c r="T21" s="603"/>
    </row>
    <row r="22" spans="2:20" x14ac:dyDescent="0.3">
      <c r="B22" s="596" t="s">
        <v>604</v>
      </c>
      <c r="C22" s="598">
        <v>1</v>
      </c>
      <c r="D22" s="598">
        <v>300</v>
      </c>
      <c r="E22" s="598">
        <f>D22*C22</f>
        <v>300</v>
      </c>
      <c r="F22" s="598">
        <v>0.6</v>
      </c>
      <c r="G22" s="598">
        <f>E22*F22</f>
        <v>180</v>
      </c>
      <c r="H22" s="593"/>
      <c r="I22" s="593"/>
      <c r="J22" s="594"/>
      <c r="K22" s="593"/>
      <c r="L22" s="593"/>
      <c r="M22" s="593"/>
      <c r="N22" s="593"/>
      <c r="O22" s="593"/>
      <c r="P22" s="593"/>
      <c r="Q22" s="575"/>
      <c r="S22" s="603"/>
      <c r="T22" s="603"/>
    </row>
    <row r="23" spans="2:20" x14ac:dyDescent="0.3">
      <c r="B23" s="596" t="s">
        <v>609</v>
      </c>
      <c r="C23" s="598">
        <v>1</v>
      </c>
      <c r="D23" s="598">
        <v>60</v>
      </c>
      <c r="E23" s="598">
        <f>D23*C23</f>
        <v>60</v>
      </c>
      <c r="F23" s="598">
        <v>0.6</v>
      </c>
      <c r="G23" s="598">
        <f>E23*F23</f>
        <v>36</v>
      </c>
      <c r="H23" s="593"/>
      <c r="I23" s="593"/>
      <c r="J23" s="594"/>
      <c r="K23" s="593"/>
      <c r="L23" s="593"/>
      <c r="M23" s="593"/>
      <c r="N23" s="593"/>
      <c r="O23" s="593"/>
      <c r="P23" s="593"/>
      <c r="Q23" s="575"/>
      <c r="S23" s="603"/>
      <c r="T23" s="603"/>
    </row>
    <row r="24" spans="2:20" s="575" customFormat="1" ht="11.45" customHeight="1" x14ac:dyDescent="0.25">
      <c r="B24" s="725" t="s">
        <v>601</v>
      </c>
      <c r="C24" s="726"/>
      <c r="D24" s="726"/>
      <c r="E24" s="726"/>
      <c r="F24" s="726"/>
      <c r="G24" s="727"/>
      <c r="H24" s="598">
        <v>10</v>
      </c>
      <c r="I24" s="598" t="s">
        <v>298</v>
      </c>
      <c r="J24" s="594">
        <f>+IF("1Ø"=I24,ROUND(+SUM(G25:G26)/(220*$L$11),2)*(CONCATENATE("1.",$N$11)),ROUND(+SUM(G25:G26)/(SQRT(3)*380*$L$11),2)*(CONCATENATE("1.",$N$11)))</f>
        <v>0.5</v>
      </c>
      <c r="K24" s="598">
        <v>2.5</v>
      </c>
      <c r="L24" s="598">
        <f>+IF("1Ø"=I24,2*J24*0.0175*H24/K24,SQRT(3)*J24*0.0175*H24/K24)</f>
        <v>7.0000000000000007E-2</v>
      </c>
      <c r="M24" s="598">
        <f>+IF("1Ø"=I24,L24/$J$11*100,L24/$I$11*100)</f>
        <v>3.1818181818181822E-2</v>
      </c>
      <c r="N24" s="593" t="s">
        <v>569</v>
      </c>
      <c r="O24" s="593" t="s">
        <v>227</v>
      </c>
      <c r="P24" s="595" t="s">
        <v>493</v>
      </c>
      <c r="S24" s="595" t="s">
        <v>633</v>
      </c>
      <c r="T24" s="595" t="s">
        <v>493</v>
      </c>
    </row>
    <row r="25" spans="2:20" s="575" customFormat="1" ht="12.75" x14ac:dyDescent="0.25">
      <c r="B25" s="596" t="s">
        <v>599</v>
      </c>
      <c r="C25" s="597">
        <v>1</v>
      </c>
      <c r="D25" s="598">
        <v>28</v>
      </c>
      <c r="E25" s="598">
        <f>C25*D25</f>
        <v>28</v>
      </c>
      <c r="F25" s="598">
        <v>1</v>
      </c>
      <c r="G25" s="598">
        <f>E25*F25</f>
        <v>28</v>
      </c>
      <c r="H25" s="598"/>
      <c r="I25" s="605"/>
      <c r="J25" s="605"/>
      <c r="K25" s="605"/>
      <c r="L25" s="605"/>
      <c r="M25" s="605"/>
      <c r="N25" s="599"/>
      <c r="O25" s="599"/>
      <c r="P25" s="599"/>
      <c r="S25" s="600"/>
      <c r="T25" s="599"/>
    </row>
    <row r="26" spans="2:20" s="575" customFormat="1" ht="12.75" x14ac:dyDescent="0.25">
      <c r="B26" s="596" t="s">
        <v>600</v>
      </c>
      <c r="C26" s="597">
        <v>2</v>
      </c>
      <c r="D26" s="598">
        <v>21</v>
      </c>
      <c r="E26" s="598">
        <f>C26*D26</f>
        <v>42</v>
      </c>
      <c r="F26" s="598">
        <v>1</v>
      </c>
      <c r="G26" s="598">
        <f>E26*F26</f>
        <v>42</v>
      </c>
      <c r="H26" s="598"/>
      <c r="I26" s="605"/>
      <c r="J26" s="605"/>
      <c r="K26" s="605"/>
      <c r="L26" s="605"/>
      <c r="M26" s="605"/>
      <c r="N26" s="599"/>
      <c r="O26" s="599"/>
      <c r="P26" s="599"/>
      <c r="S26" s="600"/>
      <c r="T26" s="599"/>
    </row>
    <row r="27" spans="2:20" s="624" customFormat="1" ht="11.45" customHeight="1" x14ac:dyDescent="0.25">
      <c r="B27" s="725" t="s">
        <v>627</v>
      </c>
      <c r="C27" s="726"/>
      <c r="D27" s="726"/>
      <c r="E27" s="726"/>
      <c r="F27" s="726"/>
      <c r="G27" s="727"/>
      <c r="H27" s="598">
        <v>20</v>
      </c>
      <c r="I27" s="598" t="s">
        <v>298</v>
      </c>
      <c r="J27" s="604">
        <f>+IF("1Ø"=I27,ROUND(+SUM(G28:G28)/(220*$L$11),2)*(CONCATENATE("1.",$N$11)),ROUND(+SUM(G28:G28)/(SQRT(3)*380*$L$11),2)*(CONCATENATE("1.",$N$11)))</f>
        <v>0.8</v>
      </c>
      <c r="K27" s="598">
        <v>2.5</v>
      </c>
      <c r="L27" s="598">
        <f>+IF("1Ø"=I27,2*J27*0.0175*H27/K27,SQRT(3)*J27*0.0175*H27/K27)</f>
        <v>0.22400000000000003</v>
      </c>
      <c r="M27" s="598">
        <f>+IF("1Ø"=I27,L27/$J$11*100,L27/$I$11*100)</f>
        <v>0.10181818181818182</v>
      </c>
      <c r="N27" s="598" t="s">
        <v>569</v>
      </c>
      <c r="O27" s="598" t="s">
        <v>106</v>
      </c>
      <c r="P27" s="616" t="s">
        <v>493</v>
      </c>
      <c r="S27" s="616" t="s">
        <v>633</v>
      </c>
      <c r="T27" s="616" t="s">
        <v>493</v>
      </c>
    </row>
    <row r="28" spans="2:20" s="624" customFormat="1" ht="12.75" x14ac:dyDescent="0.25">
      <c r="B28" s="601" t="s">
        <v>599</v>
      </c>
      <c r="C28" s="597">
        <v>4</v>
      </c>
      <c r="D28" s="598">
        <v>28</v>
      </c>
      <c r="E28" s="598">
        <f>C28*D28</f>
        <v>112</v>
      </c>
      <c r="F28" s="598">
        <v>1</v>
      </c>
      <c r="G28" s="598">
        <f>E28*F28</f>
        <v>112</v>
      </c>
      <c r="H28" s="598"/>
      <c r="I28" s="605"/>
      <c r="J28" s="605"/>
      <c r="K28" s="605"/>
      <c r="L28" s="605"/>
      <c r="M28" s="605"/>
      <c r="N28" s="605"/>
      <c r="O28" s="605"/>
      <c r="P28" s="605"/>
      <c r="S28" s="630"/>
      <c r="T28" s="605"/>
    </row>
    <row r="29" spans="2:20" s="575" customFormat="1" ht="12.75" x14ac:dyDescent="0.25">
      <c r="B29" s="725" t="s">
        <v>628</v>
      </c>
      <c r="C29" s="726"/>
      <c r="D29" s="726"/>
      <c r="E29" s="726"/>
      <c r="F29" s="726"/>
      <c r="G29" s="727"/>
      <c r="H29" s="598"/>
      <c r="I29" s="598"/>
      <c r="J29" s="604"/>
      <c r="K29" s="598"/>
      <c r="L29" s="598"/>
      <c r="M29" s="598"/>
      <c r="N29" s="593"/>
      <c r="O29" s="606"/>
      <c r="P29" s="606"/>
      <c r="S29" s="595" t="s">
        <v>634</v>
      </c>
      <c r="T29" s="595" t="e">
        <v>#N/A</v>
      </c>
    </row>
    <row r="30" spans="2:20" s="575" customFormat="1" ht="12.75" x14ac:dyDescent="0.25">
      <c r="B30" s="607" t="s">
        <v>292</v>
      </c>
      <c r="C30" s="593">
        <v>1</v>
      </c>
      <c r="D30" s="593">
        <v>220</v>
      </c>
      <c r="E30" s="593">
        <f>D30*C30</f>
        <v>220</v>
      </c>
      <c r="F30" s="593">
        <v>1</v>
      </c>
      <c r="G30" s="593">
        <f>E30*F30</f>
        <v>220</v>
      </c>
      <c r="H30" s="732" t="s">
        <v>297</v>
      </c>
      <c r="I30" s="733"/>
      <c r="J30" s="733"/>
      <c r="K30" s="733"/>
      <c r="L30" s="733"/>
      <c r="M30" s="733"/>
      <c r="N30" s="734"/>
      <c r="O30" s="608"/>
      <c r="P30" s="608"/>
      <c r="S30" s="609" t="s">
        <v>512</v>
      </c>
      <c r="T30" s="610" t="s">
        <v>549</v>
      </c>
    </row>
    <row r="31" spans="2:20" s="575" customFormat="1" x14ac:dyDescent="0.3">
      <c r="B31" s="728" t="s">
        <v>293</v>
      </c>
      <c r="C31" s="729"/>
      <c r="D31" s="611" t="s">
        <v>294</v>
      </c>
      <c r="E31" s="612">
        <f>SUM(E14:E30)</f>
        <v>1863</v>
      </c>
      <c r="F31" s="611" t="s">
        <v>295</v>
      </c>
      <c r="G31" s="612">
        <f>SUM(G14:G30)</f>
        <v>1119</v>
      </c>
      <c r="H31" s="613" t="s">
        <v>296</v>
      </c>
      <c r="I31" s="614"/>
      <c r="J31" s="614"/>
      <c r="K31" s="615">
        <f>MAX(M14:M29)</f>
        <v>0.27840909090909094</v>
      </c>
      <c r="L31" s="738" t="str">
        <f>IF(K31&lt;=2.5," es menor a 2.5%, Cumple con Sección 050-102"," No Cumple con Sección 050-102" )</f>
        <v xml:space="preserve"> es menor a 2.5%, Cumple con Sección 050-102</v>
      </c>
      <c r="M31" s="738"/>
      <c r="N31" s="738"/>
      <c r="O31" s="738"/>
      <c r="P31" s="738"/>
      <c r="S31" s="595">
        <v>24</v>
      </c>
      <c r="T31" s="284">
        <v>0.7</v>
      </c>
    </row>
    <row r="32" spans="2:20" s="575" customFormat="1" ht="12.75" x14ac:dyDescent="0.25"/>
    <row r="33" spans="2:20" s="575" customFormat="1" ht="12.75" x14ac:dyDescent="0.25"/>
    <row r="34" spans="2:20" s="575" customFormat="1" ht="12.75" x14ac:dyDescent="0.25">
      <c r="B34" s="722" t="s">
        <v>581</v>
      </c>
      <c r="C34" s="722"/>
      <c r="D34" s="722"/>
      <c r="E34" s="722"/>
      <c r="F34" s="722"/>
      <c r="G34" s="722"/>
      <c r="H34" s="722"/>
      <c r="I34" s="722"/>
      <c r="J34" s="722"/>
      <c r="K34" s="722"/>
      <c r="L34" s="722"/>
      <c r="M34" s="722"/>
      <c r="N34" s="722"/>
      <c r="O34" s="722"/>
      <c r="P34" s="722"/>
    </row>
    <row r="35" spans="2:20" s="575" customFormat="1" ht="12.75" x14ac:dyDescent="0.25">
      <c r="B35" s="722"/>
      <c r="C35" s="722"/>
      <c r="D35" s="722"/>
      <c r="E35" s="722"/>
      <c r="F35" s="722"/>
      <c r="G35" s="722"/>
      <c r="H35" s="722"/>
      <c r="I35" s="722"/>
      <c r="J35" s="722"/>
      <c r="K35" s="722"/>
      <c r="L35" s="722"/>
      <c r="M35" s="722"/>
      <c r="N35" s="722"/>
      <c r="O35" s="722"/>
      <c r="P35" s="722"/>
    </row>
    <row r="36" spans="2:20" s="575" customFormat="1" ht="14.45" customHeight="1" x14ac:dyDescent="0.25">
      <c r="B36" s="716" t="s">
        <v>582</v>
      </c>
      <c r="C36" s="716"/>
      <c r="D36" s="716"/>
      <c r="E36" s="716"/>
      <c r="F36" s="716"/>
      <c r="G36" s="716"/>
      <c r="H36" s="716" t="s">
        <v>313</v>
      </c>
      <c r="I36" s="716"/>
      <c r="J36" s="716"/>
      <c r="K36" s="716"/>
      <c r="L36" s="716"/>
      <c r="M36" s="716"/>
      <c r="N36" s="716"/>
      <c r="O36" s="718" t="s">
        <v>574</v>
      </c>
      <c r="P36" s="718" t="s">
        <v>257</v>
      </c>
    </row>
    <row r="37" spans="2:20" s="575" customFormat="1" ht="10.15" customHeight="1" x14ac:dyDescent="0.25">
      <c r="B37" s="716"/>
      <c r="C37" s="716"/>
      <c r="D37" s="716"/>
      <c r="E37" s="716"/>
      <c r="F37" s="716"/>
      <c r="G37" s="716"/>
      <c r="H37" s="584" t="s">
        <v>312</v>
      </c>
      <c r="I37" s="585">
        <v>380</v>
      </c>
      <c r="J37" s="585">
        <v>220</v>
      </c>
      <c r="K37" s="586" t="s">
        <v>311</v>
      </c>
      <c r="L37" s="585">
        <v>0.8</v>
      </c>
      <c r="M37" s="586" t="s">
        <v>310</v>
      </c>
      <c r="N37" s="585">
        <v>25</v>
      </c>
      <c r="O37" s="719"/>
      <c r="P37" s="719"/>
      <c r="S37" s="587" t="s">
        <v>399</v>
      </c>
      <c r="T37" s="587"/>
    </row>
    <row r="38" spans="2:20" s="575" customFormat="1" ht="12.75" x14ac:dyDescent="0.25">
      <c r="B38" s="722" t="s">
        <v>277</v>
      </c>
      <c r="C38" s="723" t="s">
        <v>278</v>
      </c>
      <c r="D38" s="588" t="s">
        <v>279</v>
      </c>
      <c r="E38" s="589" t="s">
        <v>280</v>
      </c>
      <c r="F38" s="724" t="s">
        <v>567</v>
      </c>
      <c r="G38" s="589" t="s">
        <v>281</v>
      </c>
      <c r="H38" s="590" t="s">
        <v>282</v>
      </c>
      <c r="I38" s="590" t="s">
        <v>309</v>
      </c>
      <c r="J38" s="590" t="s">
        <v>283</v>
      </c>
      <c r="K38" s="590" t="s">
        <v>10</v>
      </c>
      <c r="L38" s="590" t="s">
        <v>284</v>
      </c>
      <c r="M38" s="590" t="s">
        <v>284</v>
      </c>
      <c r="N38" s="590" t="s">
        <v>285</v>
      </c>
      <c r="O38" s="719"/>
      <c r="P38" s="719"/>
      <c r="S38" s="591" t="s">
        <v>285</v>
      </c>
      <c r="T38" s="590" t="s">
        <v>495</v>
      </c>
    </row>
    <row r="39" spans="2:20" s="575" customFormat="1" ht="12.75" x14ac:dyDescent="0.25">
      <c r="B39" s="722"/>
      <c r="C39" s="723"/>
      <c r="D39" s="588" t="s">
        <v>286</v>
      </c>
      <c r="E39" s="589" t="s">
        <v>287</v>
      </c>
      <c r="F39" s="724"/>
      <c r="G39" s="589" t="s">
        <v>287</v>
      </c>
      <c r="H39" s="589" t="s">
        <v>288</v>
      </c>
      <c r="I39" s="589" t="s">
        <v>308</v>
      </c>
      <c r="J39" s="589" t="str">
        <f>_xlfn.CONCAT("1.",N37,"*","In (A)")</f>
        <v>1.25*In (A)</v>
      </c>
      <c r="K39" s="589" t="s">
        <v>17</v>
      </c>
      <c r="L39" s="589" t="s">
        <v>289</v>
      </c>
      <c r="M39" s="589" t="s">
        <v>290</v>
      </c>
      <c r="N39" s="589" t="s">
        <v>22</v>
      </c>
      <c r="O39" s="720"/>
      <c r="P39" s="720"/>
      <c r="S39" s="592" t="s">
        <v>22</v>
      </c>
      <c r="T39" s="589" t="s">
        <v>496</v>
      </c>
    </row>
    <row r="40" spans="2:20" s="575" customFormat="1" ht="12.75" x14ac:dyDescent="0.25">
      <c r="B40" s="717" t="s">
        <v>575</v>
      </c>
      <c r="C40" s="717"/>
      <c r="D40" s="717"/>
      <c r="E40" s="717"/>
      <c r="F40" s="717"/>
      <c r="G40" s="717"/>
      <c r="H40" s="593">
        <v>23</v>
      </c>
      <c r="I40" s="593" t="s">
        <v>298</v>
      </c>
      <c r="J40" s="594">
        <f>+IF("1Ø"=I40,ROUND(+SUM(G41:G44)/(220*$L$11),2)*(CONCATENATE("1.",$N$11)),ROUND(+SUM(G41:G44)/(SQRT(3)*380*$L$11),2)*(CONCATENATE("1.",$N$11)))</f>
        <v>2.2250000000000001</v>
      </c>
      <c r="K40" s="593">
        <v>2.5</v>
      </c>
      <c r="L40" s="593">
        <f>+IF("1Ø"=I40,2*J40*0.0175*H40/K40,SQRT(3)*J40*0.0175*H40/K40)</f>
        <v>0.71645000000000014</v>
      </c>
      <c r="M40" s="593">
        <f>+IF("1Ø"=I40,L40/$J$11*100,L40/$I$11*100)</f>
        <v>0.32565909090909101</v>
      </c>
      <c r="N40" s="593" t="s">
        <v>569</v>
      </c>
      <c r="O40" s="593" t="s">
        <v>227</v>
      </c>
      <c r="P40" s="595" t="s">
        <v>493</v>
      </c>
      <c r="S40" s="595" t="s">
        <v>633</v>
      </c>
      <c r="T40" s="595" t="s">
        <v>493</v>
      </c>
    </row>
    <row r="41" spans="2:20" s="575" customFormat="1" ht="19.899999999999999" customHeight="1" x14ac:dyDescent="0.25">
      <c r="B41" s="596" t="s">
        <v>589</v>
      </c>
      <c r="C41" s="597">
        <v>6</v>
      </c>
      <c r="D41" s="598">
        <v>10</v>
      </c>
      <c r="E41" s="598">
        <f t="shared" ref="E41:E44" si="0">C41*D41</f>
        <v>60</v>
      </c>
      <c r="F41" s="598">
        <v>1</v>
      </c>
      <c r="G41" s="598">
        <f t="shared" ref="G41:G44" si="1">E41*F41</f>
        <v>60</v>
      </c>
      <c r="H41" s="593"/>
      <c r="I41" s="599"/>
      <c r="J41" s="599"/>
      <c r="K41" s="599"/>
      <c r="L41" s="599"/>
      <c r="M41" s="599"/>
      <c r="N41" s="599"/>
      <c r="O41" s="599"/>
      <c r="P41" s="599"/>
      <c r="S41" s="600"/>
      <c r="T41" s="599"/>
    </row>
    <row r="42" spans="2:20" s="575" customFormat="1" ht="25.15" customHeight="1" x14ac:dyDescent="0.25">
      <c r="B42" s="596" t="s">
        <v>614</v>
      </c>
      <c r="C42" s="597">
        <v>2</v>
      </c>
      <c r="D42" s="598">
        <v>21</v>
      </c>
      <c r="E42" s="598">
        <f t="shared" ref="E42" si="2">C42*D42</f>
        <v>42</v>
      </c>
      <c r="F42" s="598">
        <v>1</v>
      </c>
      <c r="G42" s="598">
        <f t="shared" ref="G42" si="3">E42*F42</f>
        <v>42</v>
      </c>
      <c r="H42" s="593"/>
      <c r="I42" s="599"/>
      <c r="J42" s="599"/>
      <c r="K42" s="599"/>
      <c r="L42" s="599"/>
      <c r="M42" s="599"/>
      <c r="N42" s="599"/>
      <c r="O42" s="599"/>
      <c r="P42" s="599"/>
      <c r="S42" s="600"/>
      <c r="T42" s="599"/>
    </row>
    <row r="43" spans="2:20" s="575" customFormat="1" ht="13.9" customHeight="1" x14ac:dyDescent="0.25">
      <c r="B43" s="596" t="s">
        <v>594</v>
      </c>
      <c r="C43" s="597">
        <v>6</v>
      </c>
      <c r="D43" s="598">
        <v>34</v>
      </c>
      <c r="E43" s="598">
        <f t="shared" si="0"/>
        <v>204</v>
      </c>
      <c r="F43" s="598">
        <v>1</v>
      </c>
      <c r="G43" s="598">
        <f t="shared" si="1"/>
        <v>204</v>
      </c>
      <c r="H43" s="593"/>
      <c r="I43" s="599"/>
      <c r="J43" s="599"/>
      <c r="K43" s="599"/>
      <c r="L43" s="599"/>
      <c r="M43" s="599"/>
      <c r="N43" s="599"/>
      <c r="O43" s="599"/>
      <c r="P43" s="599"/>
      <c r="S43" s="600"/>
      <c r="T43" s="599"/>
    </row>
    <row r="44" spans="2:20" s="575" customFormat="1" ht="13.15" customHeight="1" x14ac:dyDescent="0.25">
      <c r="B44" s="601" t="s">
        <v>590</v>
      </c>
      <c r="C44" s="597">
        <v>1</v>
      </c>
      <c r="D44" s="598">
        <v>7</v>
      </c>
      <c r="E44" s="598">
        <f t="shared" si="0"/>
        <v>7</v>
      </c>
      <c r="F44" s="598">
        <v>1</v>
      </c>
      <c r="G44" s="598">
        <f t="shared" si="1"/>
        <v>7</v>
      </c>
      <c r="H44" s="593"/>
      <c r="I44" s="599"/>
      <c r="J44" s="599"/>
      <c r="K44" s="599"/>
      <c r="L44" s="599"/>
      <c r="M44" s="599"/>
      <c r="N44" s="599"/>
      <c r="O44" s="599"/>
      <c r="P44" s="599"/>
      <c r="S44" s="600"/>
      <c r="T44" s="599"/>
    </row>
    <row r="45" spans="2:20" s="575" customFormat="1" ht="12.75" x14ac:dyDescent="0.25">
      <c r="B45" s="717" t="s">
        <v>576</v>
      </c>
      <c r="C45" s="717"/>
      <c r="D45" s="717"/>
      <c r="E45" s="717"/>
      <c r="F45" s="717"/>
      <c r="G45" s="717"/>
      <c r="H45" s="593">
        <v>31</v>
      </c>
      <c r="I45" s="593" t="s">
        <v>298</v>
      </c>
      <c r="J45" s="594">
        <f>+IF("1Ø"=I45,ROUND(+SUM(G46:G48)/(220*$L$11),2)*(CONCATENATE("1.",$N$11)),ROUND(+SUM(G46:G48)/(SQRT(3)*380*$L$11),2)*(CONCATENATE("1.",$N$11)))</f>
        <v>2.6374999999999997</v>
      </c>
      <c r="K45" s="593">
        <v>2.5</v>
      </c>
      <c r="L45" s="593">
        <f>+IF("1Ø"=I45,2*J45*0.0175*H45/K45,SQRT(3)*J45*0.0175*H45/K45)</f>
        <v>1.1446750000000001</v>
      </c>
      <c r="M45" s="593">
        <f>+IF("1Ø"=I45,L45/$J$11*100,L45/$I$11*100)</f>
        <v>0.52030681818181823</v>
      </c>
      <c r="N45" s="593" t="s">
        <v>569</v>
      </c>
      <c r="O45" s="593" t="s">
        <v>227</v>
      </c>
      <c r="P45" s="595" t="s">
        <v>493</v>
      </c>
      <c r="S45" s="595" t="s">
        <v>633</v>
      </c>
      <c r="T45" s="595" t="s">
        <v>493</v>
      </c>
    </row>
    <row r="46" spans="2:20" s="575" customFormat="1" ht="25.15" customHeight="1" x14ac:dyDescent="0.25">
      <c r="B46" s="596" t="s">
        <v>614</v>
      </c>
      <c r="C46" s="597">
        <v>7</v>
      </c>
      <c r="D46" s="598">
        <v>21</v>
      </c>
      <c r="E46" s="598">
        <f t="shared" ref="E46:E48" si="4">C46*D46</f>
        <v>147</v>
      </c>
      <c r="F46" s="598">
        <v>1</v>
      </c>
      <c r="G46" s="598">
        <f t="shared" ref="G46:G48" si="5">E46*F46</f>
        <v>147</v>
      </c>
      <c r="H46" s="593"/>
      <c r="I46" s="599"/>
      <c r="J46" s="599"/>
      <c r="K46" s="599"/>
      <c r="L46" s="599"/>
      <c r="M46" s="599"/>
      <c r="N46" s="599"/>
      <c r="O46" s="599"/>
      <c r="P46" s="599"/>
      <c r="S46" s="600"/>
      <c r="T46" s="599"/>
    </row>
    <row r="47" spans="2:20" s="624" customFormat="1" ht="13.9" customHeight="1" x14ac:dyDescent="0.25">
      <c r="B47" s="596" t="s">
        <v>594</v>
      </c>
      <c r="C47" s="597">
        <v>6</v>
      </c>
      <c r="D47" s="598">
        <v>34</v>
      </c>
      <c r="E47" s="598">
        <f t="shared" si="4"/>
        <v>204</v>
      </c>
      <c r="F47" s="598">
        <v>1</v>
      </c>
      <c r="G47" s="598">
        <f t="shared" si="5"/>
        <v>204</v>
      </c>
      <c r="H47" s="598"/>
      <c r="I47" s="605"/>
      <c r="J47" s="605"/>
      <c r="K47" s="605"/>
      <c r="L47" s="605"/>
      <c r="M47" s="605"/>
      <c r="N47" s="605"/>
      <c r="O47" s="605"/>
      <c r="P47" s="605"/>
      <c r="S47" s="630"/>
      <c r="T47" s="605"/>
    </row>
    <row r="48" spans="2:20" s="575" customFormat="1" ht="13.15" customHeight="1" x14ac:dyDescent="0.25">
      <c r="B48" s="601" t="s">
        <v>590</v>
      </c>
      <c r="C48" s="597">
        <v>3</v>
      </c>
      <c r="D48" s="598">
        <v>7</v>
      </c>
      <c r="E48" s="598">
        <f t="shared" si="4"/>
        <v>21</v>
      </c>
      <c r="F48" s="598">
        <v>1</v>
      </c>
      <c r="G48" s="598">
        <f t="shared" si="5"/>
        <v>21</v>
      </c>
      <c r="H48" s="593"/>
      <c r="I48" s="599"/>
      <c r="J48" s="599"/>
      <c r="K48" s="599"/>
      <c r="L48" s="599"/>
      <c r="M48" s="599"/>
      <c r="N48" s="599"/>
      <c r="O48" s="599"/>
      <c r="P48" s="599"/>
      <c r="S48" s="600"/>
      <c r="T48" s="599"/>
    </row>
    <row r="49" spans="2:20" x14ac:dyDescent="0.3">
      <c r="B49" s="717" t="s">
        <v>624</v>
      </c>
      <c r="C49" s="717"/>
      <c r="D49" s="717"/>
      <c r="E49" s="717"/>
      <c r="F49" s="717"/>
      <c r="G49" s="717"/>
      <c r="H49" s="593">
        <v>28</v>
      </c>
      <c r="I49" s="593" t="s">
        <v>298</v>
      </c>
      <c r="J49" s="594">
        <f>+IF("1Ø"=I49,ROUND(+SUM(G50:G52)/(220*$L$11),2)*(CONCATENATE("1.",$N$11)),ROUND(+SUM(G50:G52)/(SQRT(3)*380*$L$11),2)*(CONCATENATE("1.",$N$11)))</f>
        <v>3.6749999999999998</v>
      </c>
      <c r="K49" s="593">
        <v>4</v>
      </c>
      <c r="L49" s="593">
        <f>+IF("1Ø"=I49,2*J49*0.0175*H49/K49,SQRT(3)*J49*0.0175*H49/K49)</f>
        <v>0.90037500000000015</v>
      </c>
      <c r="M49" s="593">
        <f>+IF("1Ø"=I49,L49/$J$11*100,L49/$I$11*100)</f>
        <v>0.40926136363636373</v>
      </c>
      <c r="N49" s="593" t="s">
        <v>291</v>
      </c>
      <c r="O49" s="593" t="s">
        <v>227</v>
      </c>
      <c r="P49" s="595" t="s">
        <v>493</v>
      </c>
      <c r="Q49" s="575"/>
      <c r="S49" s="595" t="s">
        <v>633</v>
      </c>
      <c r="T49" s="595" t="s">
        <v>493</v>
      </c>
    </row>
    <row r="50" spans="2:20" ht="25.5" x14ac:dyDescent="0.3">
      <c r="B50" s="596" t="s">
        <v>580</v>
      </c>
      <c r="C50" s="598">
        <v>4</v>
      </c>
      <c r="D50" s="593">
        <v>200</v>
      </c>
      <c r="E50" s="593">
        <f>D50*C50</f>
        <v>800</v>
      </c>
      <c r="F50" s="593">
        <v>0.4</v>
      </c>
      <c r="G50" s="593">
        <f>E50*F50</f>
        <v>320</v>
      </c>
      <c r="H50" s="593"/>
      <c r="I50" s="593"/>
      <c r="J50" s="594"/>
      <c r="K50" s="593"/>
      <c r="L50" s="593"/>
      <c r="M50" s="593"/>
      <c r="N50" s="593"/>
      <c r="O50" s="593"/>
      <c r="P50" s="593"/>
      <c r="Q50" s="575"/>
      <c r="S50" s="603"/>
      <c r="T50" s="603"/>
    </row>
    <row r="51" spans="2:20" x14ac:dyDescent="0.3">
      <c r="B51" s="596" t="s">
        <v>610</v>
      </c>
      <c r="C51" s="598">
        <v>1</v>
      </c>
      <c r="D51" s="598">
        <v>60</v>
      </c>
      <c r="E51" s="598">
        <f>D51*C51</f>
        <v>60</v>
      </c>
      <c r="F51" s="598">
        <v>0.6</v>
      </c>
      <c r="G51" s="598">
        <f>E51*F51</f>
        <v>36</v>
      </c>
      <c r="H51" s="593"/>
      <c r="I51" s="593"/>
      <c r="J51" s="594"/>
      <c r="K51" s="593"/>
      <c r="L51" s="593"/>
      <c r="M51" s="593"/>
      <c r="N51" s="593"/>
      <c r="O51" s="593"/>
      <c r="P51" s="593"/>
      <c r="Q51" s="575"/>
      <c r="S51" s="603"/>
      <c r="T51" s="603"/>
    </row>
    <row r="52" spans="2:20" x14ac:dyDescent="0.3">
      <c r="B52" s="596" t="s">
        <v>611</v>
      </c>
      <c r="C52" s="598">
        <v>1</v>
      </c>
      <c r="D52" s="598">
        <v>270</v>
      </c>
      <c r="E52" s="598">
        <f>D52*C52</f>
        <v>270</v>
      </c>
      <c r="F52" s="598">
        <v>0.6</v>
      </c>
      <c r="G52" s="598">
        <f>E52*F52</f>
        <v>162</v>
      </c>
      <c r="H52" s="593"/>
      <c r="I52" s="593"/>
      <c r="J52" s="594"/>
      <c r="K52" s="593"/>
      <c r="L52" s="593"/>
      <c r="M52" s="593"/>
      <c r="N52" s="593"/>
      <c r="O52" s="593"/>
      <c r="P52" s="593"/>
      <c r="Q52" s="575"/>
      <c r="S52" s="603"/>
      <c r="T52" s="603"/>
    </row>
    <row r="53" spans="2:20" x14ac:dyDescent="0.3">
      <c r="B53" s="717" t="s">
        <v>602</v>
      </c>
      <c r="C53" s="717"/>
      <c r="D53" s="717"/>
      <c r="E53" s="717"/>
      <c r="F53" s="717"/>
      <c r="G53" s="717"/>
      <c r="H53" s="593">
        <v>38</v>
      </c>
      <c r="I53" s="593" t="s">
        <v>298</v>
      </c>
      <c r="J53" s="594">
        <f>+IF("1Ø"=I53,ROUND(+SUM(G54:G56)/(220*$L$11),2)*(CONCATENATE("1.",$N$11)),ROUND(+SUM(G54:G56)/(SQRT(3)*380*$L$11),2)*(CONCATENATE("1.",$N$11)))</f>
        <v>4.8125</v>
      </c>
      <c r="K53" s="593">
        <v>4</v>
      </c>
      <c r="L53" s="593">
        <f>+IF("1Ø"=I53,2*J53*0.0175*H53/K53,SQRT(3)*J53*0.0175*H53/K53)</f>
        <v>1.6001562500000002</v>
      </c>
      <c r="M53" s="593">
        <f>+IF("1Ø"=I53,L53/$J$11*100,L53/$I$11*100)</f>
        <v>0.72734375000000007</v>
      </c>
      <c r="N53" s="593" t="s">
        <v>291</v>
      </c>
      <c r="O53" s="593" t="s">
        <v>227</v>
      </c>
      <c r="P53" s="595" t="s">
        <v>493</v>
      </c>
      <c r="Q53" s="575"/>
      <c r="S53" s="595" t="s">
        <v>633</v>
      </c>
      <c r="T53" s="595" t="s">
        <v>493</v>
      </c>
    </row>
    <row r="54" spans="2:20" ht="25.5" x14ac:dyDescent="0.3">
      <c r="B54" s="602" t="s">
        <v>580</v>
      </c>
      <c r="C54" s="598">
        <v>6</v>
      </c>
      <c r="D54" s="593">
        <v>200</v>
      </c>
      <c r="E54" s="593">
        <f>D54*C54</f>
        <v>1200</v>
      </c>
      <c r="F54" s="593">
        <v>0.4</v>
      </c>
      <c r="G54" s="593">
        <f>E54*F54</f>
        <v>480</v>
      </c>
      <c r="H54" s="593"/>
      <c r="I54" s="593"/>
      <c r="J54" s="594"/>
      <c r="K54" s="593"/>
      <c r="L54" s="593"/>
      <c r="M54" s="593"/>
      <c r="N54" s="593"/>
      <c r="O54" s="593"/>
      <c r="P54" s="593"/>
      <c r="Q54" s="575"/>
      <c r="S54" s="603"/>
      <c r="T54" s="603"/>
    </row>
    <row r="55" spans="2:20" x14ac:dyDescent="0.3">
      <c r="B55" s="596" t="s">
        <v>610</v>
      </c>
      <c r="C55" s="598">
        <v>1</v>
      </c>
      <c r="D55" s="598">
        <v>60</v>
      </c>
      <c r="E55" s="598">
        <f>D55*C55</f>
        <v>60</v>
      </c>
      <c r="F55" s="598">
        <v>0.6</v>
      </c>
      <c r="G55" s="598">
        <f>E55*F55</f>
        <v>36</v>
      </c>
      <c r="H55" s="593"/>
      <c r="I55" s="593"/>
      <c r="J55" s="594"/>
      <c r="K55" s="593"/>
      <c r="L55" s="593"/>
      <c r="M55" s="593"/>
      <c r="N55" s="593"/>
      <c r="O55" s="593"/>
      <c r="P55" s="593"/>
      <c r="Q55" s="575"/>
      <c r="S55" s="603"/>
      <c r="T55" s="603"/>
    </row>
    <row r="56" spans="2:20" x14ac:dyDescent="0.3">
      <c r="B56" s="596" t="s">
        <v>611</v>
      </c>
      <c r="C56" s="598">
        <v>1</v>
      </c>
      <c r="D56" s="598">
        <v>270</v>
      </c>
      <c r="E56" s="598">
        <f>D56*C56</f>
        <v>270</v>
      </c>
      <c r="F56" s="598">
        <v>0.6</v>
      </c>
      <c r="G56" s="598">
        <f>E56*F56</f>
        <v>162</v>
      </c>
      <c r="H56" s="593"/>
      <c r="I56" s="593"/>
      <c r="J56" s="594"/>
      <c r="K56" s="593"/>
      <c r="L56" s="593"/>
      <c r="M56" s="593"/>
      <c r="N56" s="593"/>
      <c r="O56" s="593"/>
      <c r="P56" s="593"/>
      <c r="Q56" s="575"/>
      <c r="S56" s="603"/>
      <c r="T56" s="603"/>
    </row>
    <row r="57" spans="2:20" s="575" customFormat="1" ht="12.75" x14ac:dyDescent="0.25">
      <c r="B57" s="717" t="s">
        <v>629</v>
      </c>
      <c r="C57" s="717"/>
      <c r="D57" s="717"/>
      <c r="E57" s="717"/>
      <c r="F57" s="717"/>
      <c r="G57" s="717"/>
      <c r="H57" s="598">
        <v>15</v>
      </c>
      <c r="I57" s="598" t="s">
        <v>298</v>
      </c>
      <c r="J57" s="604">
        <f>+IF("1Ø"=I57,ROUND(+SUM(G58:G58)/(220*$L$11),2)*(CONCATENATE("1.",$N$11)),ROUND(+SUM(G58:G58)/(SQRT(3)*380*$L$11),2)*(CONCATENATE("1.",$N$11)))</f>
        <v>7.9874999999999998</v>
      </c>
      <c r="K57" s="598">
        <v>4</v>
      </c>
      <c r="L57" s="598">
        <f>+IF("1Ø"=I57,2*J57*0.0175*H57/K57,SQRT(3)*J57*0.0175*H57/K57)</f>
        <v>1.0483593750000002</v>
      </c>
      <c r="M57" s="598">
        <f>+IF("1Ø"=I57,L57/$J$11*100,L57/$I$11*100)</f>
        <v>0.47652698863636367</v>
      </c>
      <c r="N57" s="598" t="s">
        <v>291</v>
      </c>
      <c r="O57" s="593" t="s">
        <v>227</v>
      </c>
      <c r="P57" s="616" t="s">
        <v>493</v>
      </c>
      <c r="S57" s="595" t="s">
        <v>569</v>
      </c>
      <c r="T57" s="595" t="s">
        <v>493</v>
      </c>
    </row>
    <row r="58" spans="2:20" s="575" customFormat="1" ht="12.75" x14ac:dyDescent="0.25">
      <c r="B58" s="596" t="s">
        <v>607</v>
      </c>
      <c r="C58" s="597">
        <v>1</v>
      </c>
      <c r="D58" s="598">
        <v>1405</v>
      </c>
      <c r="E58" s="598">
        <f>C58*D58</f>
        <v>1405</v>
      </c>
      <c r="F58" s="598">
        <v>0.8</v>
      </c>
      <c r="G58" s="598">
        <f>E58*F58</f>
        <v>1124</v>
      </c>
      <c r="H58" s="598"/>
      <c r="I58" s="605"/>
      <c r="J58" s="605"/>
      <c r="K58" s="605"/>
      <c r="L58" s="605"/>
      <c r="M58" s="605"/>
      <c r="N58" s="605"/>
      <c r="O58" s="605"/>
      <c r="P58" s="605"/>
      <c r="S58" s="600"/>
      <c r="T58" s="599"/>
    </row>
    <row r="59" spans="2:20" s="624" customFormat="1" ht="12.75" x14ac:dyDescent="0.25">
      <c r="B59" s="717" t="s">
        <v>603</v>
      </c>
      <c r="C59" s="717"/>
      <c r="D59" s="717"/>
      <c r="E59" s="717"/>
      <c r="F59" s="717"/>
      <c r="G59" s="717"/>
      <c r="H59" s="598">
        <v>23</v>
      </c>
      <c r="I59" s="598" t="s">
        <v>298</v>
      </c>
      <c r="J59" s="594">
        <f>+IF("1Ø"=I59,ROUND(+SUM(G60:G61)/(220*$L$11),2)*(CONCATENATE("1.",$N$11)),ROUND(+SUM(G60:G61)/(SQRT(3)*380*$L$11),2)*(CONCATENATE("1.",$N$11)))</f>
        <v>0.8</v>
      </c>
      <c r="K59" s="598">
        <v>2.5</v>
      </c>
      <c r="L59" s="598">
        <f>+IF("1Ø"=I59,2*J59*0.0175*H59/K59,SQRT(3)*J59*0.0175*H59/K59)</f>
        <v>0.25760000000000005</v>
      </c>
      <c r="M59" s="598">
        <f>+IF("1Ø"=I59,L59/$J$11*100,L59/$I$11*100)</f>
        <v>0.11709090909090912</v>
      </c>
      <c r="N59" s="598" t="s">
        <v>569</v>
      </c>
      <c r="O59" s="598" t="s">
        <v>227</v>
      </c>
      <c r="P59" s="616" t="s">
        <v>493</v>
      </c>
      <c r="S59" s="616" t="s">
        <v>633</v>
      </c>
      <c r="T59" s="616" t="s">
        <v>493</v>
      </c>
    </row>
    <row r="60" spans="2:20" s="575" customFormat="1" ht="12.75" x14ac:dyDescent="0.25">
      <c r="B60" s="596" t="s">
        <v>599</v>
      </c>
      <c r="C60" s="597">
        <v>1</v>
      </c>
      <c r="D60" s="598">
        <v>28</v>
      </c>
      <c r="E60" s="598">
        <f>C60*D60</f>
        <v>28</v>
      </c>
      <c r="F60" s="598">
        <v>1</v>
      </c>
      <c r="G60" s="598">
        <f>E60*F60</f>
        <v>28</v>
      </c>
      <c r="H60" s="598"/>
      <c r="I60" s="605"/>
      <c r="J60" s="605"/>
      <c r="K60" s="605"/>
      <c r="L60" s="605"/>
      <c r="M60" s="605"/>
      <c r="N60" s="599"/>
      <c r="O60" s="599"/>
      <c r="P60" s="599"/>
      <c r="S60" s="600"/>
      <c r="T60" s="599"/>
    </row>
    <row r="61" spans="2:20" s="575" customFormat="1" ht="12.75" x14ac:dyDescent="0.25">
      <c r="B61" s="596" t="s">
        <v>600</v>
      </c>
      <c r="C61" s="597">
        <v>4</v>
      </c>
      <c r="D61" s="598">
        <v>21</v>
      </c>
      <c r="E61" s="598">
        <f>C61*D61</f>
        <v>84</v>
      </c>
      <c r="F61" s="598">
        <v>1</v>
      </c>
      <c r="G61" s="598">
        <f>E61*F61</f>
        <v>84</v>
      </c>
      <c r="H61" s="598"/>
      <c r="I61" s="599"/>
      <c r="J61" s="599"/>
      <c r="K61" s="599"/>
      <c r="L61" s="599"/>
      <c r="M61" s="599"/>
      <c r="N61" s="599"/>
      <c r="O61" s="605"/>
      <c r="P61" s="605"/>
      <c r="S61" s="600"/>
      <c r="T61" s="599"/>
    </row>
    <row r="62" spans="2:20" s="575" customFormat="1" ht="12.75" x14ac:dyDescent="0.25">
      <c r="B62" s="735" t="s">
        <v>626</v>
      </c>
      <c r="C62" s="736"/>
      <c r="D62" s="736"/>
      <c r="E62" s="736"/>
      <c r="F62" s="736"/>
      <c r="G62" s="737"/>
      <c r="H62" s="593"/>
      <c r="I62" s="593"/>
      <c r="J62" s="594"/>
      <c r="K62" s="593"/>
      <c r="L62" s="593"/>
      <c r="M62" s="593"/>
      <c r="N62" s="593"/>
      <c r="O62" s="606"/>
      <c r="P62" s="606"/>
      <c r="S62" s="595" t="s">
        <v>634</v>
      </c>
      <c r="T62" s="595" t="e">
        <v>#N/A</v>
      </c>
    </row>
    <row r="63" spans="2:20" s="575" customFormat="1" ht="12.75" x14ac:dyDescent="0.25">
      <c r="B63" s="607" t="s">
        <v>292</v>
      </c>
      <c r="C63" s="593">
        <v>1</v>
      </c>
      <c r="D63" s="593">
        <v>220</v>
      </c>
      <c r="E63" s="593">
        <f>D63*C63</f>
        <v>220</v>
      </c>
      <c r="F63" s="593">
        <v>1</v>
      </c>
      <c r="G63" s="593">
        <f>E63*F63</f>
        <v>220</v>
      </c>
      <c r="H63" s="732" t="s">
        <v>297</v>
      </c>
      <c r="I63" s="733"/>
      <c r="J63" s="733"/>
      <c r="K63" s="733"/>
      <c r="L63" s="733"/>
      <c r="M63" s="733"/>
      <c r="N63" s="734"/>
      <c r="O63" s="608"/>
      <c r="P63" s="608"/>
      <c r="S63" s="609" t="s">
        <v>512</v>
      </c>
      <c r="T63" s="610" t="s">
        <v>549</v>
      </c>
    </row>
    <row r="64" spans="2:20" s="575" customFormat="1" x14ac:dyDescent="0.3">
      <c r="B64" s="728" t="s">
        <v>293</v>
      </c>
      <c r="C64" s="729"/>
      <c r="D64" s="611" t="s">
        <v>294</v>
      </c>
      <c r="E64" s="612">
        <f>SUM(E40:E63)</f>
        <v>5082</v>
      </c>
      <c r="F64" s="611" t="s">
        <v>295</v>
      </c>
      <c r="G64" s="612">
        <f>SUM(G40:G63)</f>
        <v>3337</v>
      </c>
      <c r="H64" s="613" t="s">
        <v>296</v>
      </c>
      <c r="I64" s="614"/>
      <c r="J64" s="614"/>
      <c r="K64" s="615">
        <f>MAX(M40:M62)</f>
        <v>0.72734375000000007</v>
      </c>
      <c r="L64" s="730" t="str">
        <f>IF(K64&lt;=2.5," es menor a 2.5%, Cumple con Sección 050-102"," No Cumple con Sección 050-102" )</f>
        <v xml:space="preserve"> es menor a 2.5%, Cumple con Sección 050-102</v>
      </c>
      <c r="M64" s="730"/>
      <c r="N64" s="731"/>
      <c r="O64" s="581"/>
      <c r="P64" s="581"/>
      <c r="S64" s="595">
        <v>16</v>
      </c>
      <c r="T64" s="628">
        <v>0.65</v>
      </c>
    </row>
    <row r="67" spans="2:20" s="575" customFormat="1" ht="12.75" x14ac:dyDescent="0.25">
      <c r="B67" s="722" t="s">
        <v>615</v>
      </c>
      <c r="C67" s="722"/>
      <c r="D67" s="722"/>
      <c r="E67" s="722"/>
      <c r="F67" s="722"/>
      <c r="G67" s="722"/>
      <c r="H67" s="722"/>
      <c r="I67" s="722"/>
      <c r="J67" s="722"/>
      <c r="K67" s="722"/>
      <c r="L67" s="722"/>
      <c r="M67" s="722"/>
      <c r="N67" s="722"/>
      <c r="O67" s="722"/>
      <c r="P67" s="722"/>
    </row>
    <row r="68" spans="2:20" s="575" customFormat="1" ht="12.75" x14ac:dyDescent="0.25">
      <c r="B68" s="722"/>
      <c r="C68" s="722"/>
      <c r="D68" s="722"/>
      <c r="E68" s="722"/>
      <c r="F68" s="722"/>
      <c r="G68" s="722"/>
      <c r="H68" s="722"/>
      <c r="I68" s="722"/>
      <c r="J68" s="722"/>
      <c r="K68" s="722"/>
      <c r="L68" s="722"/>
      <c r="M68" s="722"/>
      <c r="N68" s="722"/>
      <c r="O68" s="722"/>
      <c r="P68" s="722"/>
    </row>
    <row r="69" spans="2:20" s="575" customFormat="1" ht="14.45" customHeight="1" x14ac:dyDescent="0.25">
      <c r="B69" s="716" t="s">
        <v>593</v>
      </c>
      <c r="C69" s="716"/>
      <c r="D69" s="716"/>
      <c r="E69" s="716"/>
      <c r="F69" s="716"/>
      <c r="G69" s="716"/>
      <c r="H69" s="716" t="s">
        <v>313</v>
      </c>
      <c r="I69" s="716"/>
      <c r="J69" s="716"/>
      <c r="K69" s="716"/>
      <c r="L69" s="716"/>
      <c r="M69" s="716"/>
      <c r="N69" s="716"/>
      <c r="O69" s="718" t="s">
        <v>574</v>
      </c>
      <c r="P69" s="718" t="s">
        <v>257</v>
      </c>
    </row>
    <row r="70" spans="2:20" s="575" customFormat="1" ht="10.15" customHeight="1" x14ac:dyDescent="0.25">
      <c r="B70" s="716"/>
      <c r="C70" s="716"/>
      <c r="D70" s="716"/>
      <c r="E70" s="716"/>
      <c r="F70" s="716"/>
      <c r="G70" s="716"/>
      <c r="H70" s="584" t="s">
        <v>312</v>
      </c>
      <c r="I70" s="585">
        <v>380</v>
      </c>
      <c r="J70" s="585">
        <v>220</v>
      </c>
      <c r="K70" s="586" t="s">
        <v>311</v>
      </c>
      <c r="L70" s="585">
        <v>0.8</v>
      </c>
      <c r="M70" s="586" t="s">
        <v>310</v>
      </c>
      <c r="N70" s="585">
        <v>25</v>
      </c>
      <c r="O70" s="719"/>
      <c r="P70" s="719"/>
      <c r="S70" s="587" t="s">
        <v>399</v>
      </c>
      <c r="T70" s="587"/>
    </row>
    <row r="71" spans="2:20" s="575" customFormat="1" ht="12.75" x14ac:dyDescent="0.25">
      <c r="B71" s="722" t="s">
        <v>277</v>
      </c>
      <c r="C71" s="723" t="s">
        <v>278</v>
      </c>
      <c r="D71" s="625" t="s">
        <v>279</v>
      </c>
      <c r="E71" s="627" t="s">
        <v>280</v>
      </c>
      <c r="F71" s="724" t="s">
        <v>567</v>
      </c>
      <c r="G71" s="627" t="s">
        <v>281</v>
      </c>
      <c r="H71" s="590" t="s">
        <v>282</v>
      </c>
      <c r="I71" s="590" t="s">
        <v>309</v>
      </c>
      <c r="J71" s="590" t="s">
        <v>283</v>
      </c>
      <c r="K71" s="590" t="s">
        <v>10</v>
      </c>
      <c r="L71" s="590" t="s">
        <v>284</v>
      </c>
      <c r="M71" s="590" t="s">
        <v>284</v>
      </c>
      <c r="N71" s="590" t="s">
        <v>285</v>
      </c>
      <c r="O71" s="719"/>
      <c r="P71" s="719"/>
      <c r="S71" s="591" t="s">
        <v>285</v>
      </c>
      <c r="T71" s="590" t="s">
        <v>495</v>
      </c>
    </row>
    <row r="72" spans="2:20" s="575" customFormat="1" ht="12.75" x14ac:dyDescent="0.25">
      <c r="B72" s="722"/>
      <c r="C72" s="723"/>
      <c r="D72" s="625" t="s">
        <v>286</v>
      </c>
      <c r="E72" s="627" t="s">
        <v>287</v>
      </c>
      <c r="F72" s="724"/>
      <c r="G72" s="627" t="s">
        <v>287</v>
      </c>
      <c r="H72" s="627" t="s">
        <v>288</v>
      </c>
      <c r="I72" s="627" t="s">
        <v>308</v>
      </c>
      <c r="J72" s="627" t="str">
        <f>_xlfn.CONCAT("1.",N70,"*","In (A)")</f>
        <v>1.25*In (A)</v>
      </c>
      <c r="K72" s="627" t="s">
        <v>17</v>
      </c>
      <c r="L72" s="627" t="s">
        <v>289</v>
      </c>
      <c r="M72" s="627" t="s">
        <v>290</v>
      </c>
      <c r="N72" s="627" t="s">
        <v>22</v>
      </c>
      <c r="O72" s="720"/>
      <c r="P72" s="720"/>
      <c r="S72" s="592" t="s">
        <v>22</v>
      </c>
      <c r="T72" s="627" t="s">
        <v>496</v>
      </c>
    </row>
    <row r="73" spans="2:20" s="575" customFormat="1" ht="12.75" x14ac:dyDescent="0.25">
      <c r="B73" s="717" t="s">
        <v>575</v>
      </c>
      <c r="C73" s="717"/>
      <c r="D73" s="717"/>
      <c r="E73" s="717"/>
      <c r="F73" s="717"/>
      <c r="G73" s="717"/>
      <c r="H73" s="593">
        <v>12</v>
      </c>
      <c r="I73" s="593" t="s">
        <v>298</v>
      </c>
      <c r="J73" s="594">
        <f>+IF("1Ø"=I73,ROUND(+SUM(G74:G77)/(220*$L$11),2)*(CONCATENATE("1.",$N$11)),ROUND(+SUM(G74:G77)/(SQRT(3)*380*$L$11),2)*(CONCATENATE("1.",$N$11)))</f>
        <v>1.675</v>
      </c>
      <c r="K73" s="593">
        <v>2.5</v>
      </c>
      <c r="L73" s="593">
        <f>+IF("1Ø"=I73,2*J73*0.0175*H73/K73,SQRT(3)*J73*0.0175*H73/K73)</f>
        <v>0.28140000000000004</v>
      </c>
      <c r="M73" s="593">
        <f>+IF("1Ø"=I73,L73/$J$11*100,L73/$I$11*100)</f>
        <v>0.12790909090909092</v>
      </c>
      <c r="N73" s="593" t="s">
        <v>569</v>
      </c>
      <c r="O73" s="593" t="s">
        <v>227</v>
      </c>
      <c r="P73" s="595" t="s">
        <v>493</v>
      </c>
      <c r="S73" s="595" t="s">
        <v>633</v>
      </c>
      <c r="T73" s="595" t="s">
        <v>493</v>
      </c>
    </row>
    <row r="74" spans="2:20" s="575" customFormat="1" ht="25.15" customHeight="1" x14ac:dyDescent="0.25">
      <c r="B74" s="596" t="s">
        <v>614</v>
      </c>
      <c r="C74" s="597">
        <v>8</v>
      </c>
      <c r="D74" s="598">
        <v>21</v>
      </c>
      <c r="E74" s="598">
        <f t="shared" ref="E74" si="6">C74*D74</f>
        <v>168</v>
      </c>
      <c r="F74" s="598">
        <v>1</v>
      </c>
      <c r="G74" s="598">
        <f t="shared" ref="G74" si="7">E74*F74</f>
        <v>168</v>
      </c>
      <c r="H74" s="593"/>
      <c r="I74" s="599"/>
      <c r="J74" s="599"/>
      <c r="K74" s="599"/>
      <c r="L74" s="599"/>
      <c r="M74" s="599"/>
      <c r="N74" s="599"/>
      <c r="O74" s="599"/>
      <c r="P74" s="599"/>
      <c r="S74" s="600"/>
      <c r="T74" s="599"/>
    </row>
    <row r="75" spans="2:20" s="575" customFormat="1" ht="12.75" x14ac:dyDescent="0.25">
      <c r="B75" s="596" t="s">
        <v>599</v>
      </c>
      <c r="C75" s="597">
        <v>1</v>
      </c>
      <c r="D75" s="598">
        <v>28</v>
      </c>
      <c r="E75" s="598">
        <f>C75*D75</f>
        <v>28</v>
      </c>
      <c r="F75" s="598">
        <v>1</v>
      </c>
      <c r="G75" s="598">
        <f>E75*F75</f>
        <v>28</v>
      </c>
      <c r="H75" s="598"/>
      <c r="I75" s="605"/>
      <c r="J75" s="605"/>
      <c r="K75" s="605"/>
      <c r="L75" s="605"/>
      <c r="M75" s="605"/>
      <c r="N75" s="599"/>
      <c r="O75" s="599"/>
      <c r="P75" s="599"/>
      <c r="S75" s="600"/>
      <c r="T75" s="599"/>
    </row>
    <row r="76" spans="2:20" s="624" customFormat="1" ht="13.15" customHeight="1" x14ac:dyDescent="0.25">
      <c r="B76" s="601" t="s">
        <v>595</v>
      </c>
      <c r="C76" s="597">
        <v>1</v>
      </c>
      <c r="D76" s="598">
        <v>32</v>
      </c>
      <c r="E76" s="598">
        <f t="shared" ref="E76:E77" si="8">C76*D76</f>
        <v>32</v>
      </c>
      <c r="F76" s="598">
        <v>1</v>
      </c>
      <c r="G76" s="598">
        <f t="shared" ref="G76:G77" si="9">E76*F76</f>
        <v>32</v>
      </c>
      <c r="H76" s="598"/>
      <c r="I76" s="605"/>
      <c r="J76" s="605"/>
      <c r="K76" s="605"/>
      <c r="L76" s="605"/>
      <c r="M76" s="605"/>
      <c r="N76" s="605"/>
      <c r="O76" s="605"/>
      <c r="P76" s="605"/>
      <c r="S76" s="630"/>
      <c r="T76" s="605"/>
    </row>
    <row r="77" spans="2:20" s="575" customFormat="1" ht="13.15" customHeight="1" x14ac:dyDescent="0.25">
      <c r="B77" s="601" t="s">
        <v>590</v>
      </c>
      <c r="C77" s="597">
        <v>1</v>
      </c>
      <c r="D77" s="598">
        <v>7</v>
      </c>
      <c r="E77" s="598">
        <f t="shared" si="8"/>
        <v>7</v>
      </c>
      <c r="F77" s="598">
        <v>1</v>
      </c>
      <c r="G77" s="598">
        <f t="shared" si="9"/>
        <v>7</v>
      </c>
      <c r="H77" s="593"/>
      <c r="I77" s="599"/>
      <c r="J77" s="599"/>
      <c r="K77" s="599"/>
      <c r="L77" s="599"/>
      <c r="M77" s="599"/>
      <c r="N77" s="599"/>
      <c r="O77" s="599"/>
      <c r="P77" s="599"/>
      <c r="S77" s="600"/>
      <c r="T77" s="599"/>
    </row>
    <row r="78" spans="2:20" s="575" customFormat="1" ht="12.75" x14ac:dyDescent="0.25">
      <c r="B78" s="717" t="s">
        <v>576</v>
      </c>
      <c r="C78" s="717"/>
      <c r="D78" s="717"/>
      <c r="E78" s="717"/>
      <c r="F78" s="717"/>
      <c r="G78" s="717"/>
      <c r="H78" s="593">
        <v>17</v>
      </c>
      <c r="I78" s="593" t="s">
        <v>298</v>
      </c>
      <c r="J78" s="594">
        <f>+IF("1Ø"=I78,ROUND(+SUM(G79:G80)/(220*$L$11),2)*(CONCATENATE("1.",$N$11)),ROUND(+SUM(G79:G80)/(SQRT(3)*380*$L$11),2)*(CONCATENATE("1.",$N$11)))</f>
        <v>1.2625</v>
      </c>
      <c r="K78" s="593">
        <v>2.5</v>
      </c>
      <c r="L78" s="593">
        <f>+IF("1Ø"=I78,2*J78*0.0175*H78/K78,SQRT(3)*J78*0.0175*H78/K78)</f>
        <v>0.30047500000000005</v>
      </c>
      <c r="M78" s="593">
        <f>+IF("1Ø"=I78,L78/$J$11*100,L78/$I$11*100)</f>
        <v>0.13657954545454548</v>
      </c>
      <c r="N78" s="593" t="s">
        <v>569</v>
      </c>
      <c r="O78" s="593" t="s">
        <v>227</v>
      </c>
      <c r="P78" s="595" t="s">
        <v>493</v>
      </c>
      <c r="S78" s="595" t="s">
        <v>633</v>
      </c>
      <c r="T78" s="595" t="s">
        <v>493</v>
      </c>
    </row>
    <row r="79" spans="2:20" s="575" customFormat="1" ht="13.9" customHeight="1" x14ac:dyDescent="0.25">
      <c r="B79" s="596" t="s">
        <v>594</v>
      </c>
      <c r="C79" s="597">
        <v>5</v>
      </c>
      <c r="D79" s="598">
        <v>34</v>
      </c>
      <c r="E79" s="598">
        <f t="shared" ref="E79" si="10">C79*D79</f>
        <v>170</v>
      </c>
      <c r="F79" s="598">
        <v>1</v>
      </c>
      <c r="G79" s="598">
        <f t="shared" ref="G79" si="11">E79*F79</f>
        <v>170</v>
      </c>
      <c r="H79" s="593"/>
      <c r="I79" s="599"/>
      <c r="J79" s="599"/>
      <c r="K79" s="599"/>
      <c r="L79" s="599"/>
      <c r="M79" s="599"/>
      <c r="N79" s="599"/>
      <c r="O79" s="599"/>
      <c r="P79" s="599"/>
      <c r="S79" s="600"/>
      <c r="T79" s="599"/>
    </row>
    <row r="80" spans="2:20" s="575" customFormat="1" ht="13.15" customHeight="1" x14ac:dyDescent="0.25">
      <c r="B80" s="601" t="s">
        <v>590</v>
      </c>
      <c r="C80" s="597">
        <v>1</v>
      </c>
      <c r="D80" s="598">
        <v>7</v>
      </c>
      <c r="E80" s="598">
        <f t="shared" ref="E80" si="12">C80*D80</f>
        <v>7</v>
      </c>
      <c r="F80" s="598">
        <v>1</v>
      </c>
      <c r="G80" s="598">
        <f t="shared" ref="G80" si="13">E80*F80</f>
        <v>7</v>
      </c>
      <c r="H80" s="593"/>
      <c r="I80" s="599"/>
      <c r="J80" s="599"/>
      <c r="K80" s="599"/>
      <c r="L80" s="599"/>
      <c r="M80" s="599"/>
      <c r="N80" s="599"/>
      <c r="O80" s="599"/>
      <c r="P80" s="599"/>
      <c r="S80" s="600"/>
      <c r="T80" s="599"/>
    </row>
    <row r="81" spans="2:20" s="559" customFormat="1" x14ac:dyDescent="0.3">
      <c r="B81" s="717" t="s">
        <v>624</v>
      </c>
      <c r="C81" s="717"/>
      <c r="D81" s="717"/>
      <c r="E81" s="717"/>
      <c r="F81" s="717"/>
      <c r="G81" s="717"/>
      <c r="H81" s="598">
        <v>14</v>
      </c>
      <c r="I81" s="598" t="s">
        <v>298</v>
      </c>
      <c r="J81" s="604">
        <f>+IF("1Ø"=I81,ROUND(+SUM(G82:G85)/(220*$L$11),2)*(CONCATENATE("1.",$N$11)),ROUND(+SUM(G82:G85)/(SQRT(3)*380*$L$11),2)*(CONCATENATE("1.",$N$11)))</f>
        <v>10.475000000000001</v>
      </c>
      <c r="K81" s="598">
        <v>4</v>
      </c>
      <c r="L81" s="598">
        <f>+IF("1Ø"=I81,2*J81*0.0175*H81/K81,SQRT(3)*J81*0.0175*H81/K81)</f>
        <v>1.2831875000000004</v>
      </c>
      <c r="M81" s="598">
        <f>+IF("1Ø"=I81,L81/$J$11*100,L81/$I$11*100)</f>
        <v>0.58326704545454555</v>
      </c>
      <c r="N81" s="598" t="s">
        <v>291</v>
      </c>
      <c r="O81" s="598" t="s">
        <v>227</v>
      </c>
      <c r="P81" s="616" t="s">
        <v>493</v>
      </c>
      <c r="Q81" s="624"/>
      <c r="S81" s="616" t="s">
        <v>635</v>
      </c>
      <c r="T81" s="616" t="s">
        <v>493</v>
      </c>
    </row>
    <row r="82" spans="2:20" s="559" customFormat="1" ht="25.5" x14ac:dyDescent="0.3">
      <c r="B82" s="596" t="s">
        <v>580</v>
      </c>
      <c r="C82" s="598">
        <v>1</v>
      </c>
      <c r="D82" s="598">
        <v>200</v>
      </c>
      <c r="E82" s="598">
        <f>D82*C82</f>
        <v>200</v>
      </c>
      <c r="F82" s="598">
        <v>0.4</v>
      </c>
      <c r="G82" s="598">
        <f>E82*F82</f>
        <v>80</v>
      </c>
      <c r="H82" s="598"/>
      <c r="I82" s="598"/>
      <c r="J82" s="604"/>
      <c r="K82" s="598"/>
      <c r="L82" s="598"/>
      <c r="M82" s="598"/>
      <c r="N82" s="598"/>
      <c r="O82" s="598"/>
      <c r="P82" s="598"/>
      <c r="Q82" s="624"/>
      <c r="S82" s="631"/>
      <c r="T82" s="631"/>
    </row>
    <row r="83" spans="2:20" s="559" customFormat="1" x14ac:dyDescent="0.3">
      <c r="B83" s="596" t="s">
        <v>605</v>
      </c>
      <c r="C83" s="598">
        <v>1</v>
      </c>
      <c r="D83" s="598">
        <v>800</v>
      </c>
      <c r="E83" s="598">
        <f>D83*C83</f>
        <v>800</v>
      </c>
      <c r="F83" s="598">
        <v>0.6</v>
      </c>
      <c r="G83" s="598">
        <f>E83*F83</f>
        <v>480</v>
      </c>
      <c r="H83" s="598"/>
      <c r="I83" s="598"/>
      <c r="J83" s="604"/>
      <c r="K83" s="598"/>
      <c r="L83" s="598"/>
      <c r="M83" s="598"/>
      <c r="N83" s="598"/>
      <c r="O83" s="598"/>
      <c r="P83" s="598"/>
      <c r="Q83" s="624"/>
      <c r="S83" s="631"/>
      <c r="T83" s="631"/>
    </row>
    <row r="84" spans="2:20" s="559" customFormat="1" x14ac:dyDescent="0.3">
      <c r="B84" s="596" t="s">
        <v>606</v>
      </c>
      <c r="C84" s="598">
        <v>1</v>
      </c>
      <c r="D84" s="598">
        <v>1000</v>
      </c>
      <c r="E84" s="598">
        <f>D84*C84</f>
        <v>1000</v>
      </c>
      <c r="F84" s="598">
        <v>0.6</v>
      </c>
      <c r="G84" s="598">
        <f>E84*F84</f>
        <v>600</v>
      </c>
      <c r="H84" s="598"/>
      <c r="I84" s="598"/>
      <c r="J84" s="604"/>
      <c r="K84" s="598"/>
      <c r="L84" s="598"/>
      <c r="M84" s="598"/>
      <c r="N84" s="598"/>
      <c r="O84" s="598"/>
      <c r="P84" s="598"/>
      <c r="Q84" s="624"/>
      <c r="S84" s="631"/>
      <c r="T84" s="631"/>
    </row>
    <row r="85" spans="2:20" s="559" customFormat="1" x14ac:dyDescent="0.3">
      <c r="B85" s="596" t="s">
        <v>598</v>
      </c>
      <c r="C85" s="598">
        <v>1</v>
      </c>
      <c r="D85" s="598">
        <v>315</v>
      </c>
      <c r="E85" s="598">
        <f>D85*C85</f>
        <v>315</v>
      </c>
      <c r="F85" s="598">
        <v>1</v>
      </c>
      <c r="G85" s="598">
        <f>E85*F85</f>
        <v>315</v>
      </c>
      <c r="H85" s="598"/>
      <c r="I85" s="598"/>
      <c r="J85" s="604"/>
      <c r="K85" s="598"/>
      <c r="L85" s="598"/>
      <c r="M85" s="598"/>
      <c r="N85" s="598"/>
      <c r="O85" s="598"/>
      <c r="P85" s="598"/>
      <c r="Q85" s="624"/>
      <c r="S85" s="631"/>
      <c r="T85" s="631"/>
    </row>
    <row r="86" spans="2:20" s="559" customFormat="1" x14ac:dyDescent="0.3">
      <c r="B86" s="717" t="s">
        <v>602</v>
      </c>
      <c r="C86" s="717"/>
      <c r="D86" s="717"/>
      <c r="E86" s="717"/>
      <c r="F86" s="717"/>
      <c r="G86" s="717"/>
      <c r="H86" s="598">
        <v>36</v>
      </c>
      <c r="I86" s="598" t="s">
        <v>298</v>
      </c>
      <c r="J86" s="604">
        <f>+IF("1Ø"=I86,ROUND(+SUM(G87:G89)/(220*$L$11),2)*(CONCATENATE("1.",$N$11)),ROUND(+SUM(G87:G89)/(SQRT(3)*380*$L$11),2)*(CONCATENATE("1.",$N$11)))</f>
        <v>3.1125000000000003</v>
      </c>
      <c r="K86" s="598">
        <v>4</v>
      </c>
      <c r="L86" s="598">
        <f>+IF("1Ø"=I86,2*J86*0.0175*H86/K86,SQRT(3)*J86*0.0175*H86/K86)</f>
        <v>0.98043750000000018</v>
      </c>
      <c r="M86" s="598">
        <f>+IF("1Ø"=I86,L86/$J$11*100,L86/$I$11*100)</f>
        <v>0.44565340909090917</v>
      </c>
      <c r="N86" s="598" t="s">
        <v>291</v>
      </c>
      <c r="O86" s="598" t="s">
        <v>227</v>
      </c>
      <c r="P86" s="616" t="s">
        <v>493</v>
      </c>
      <c r="Q86" s="624"/>
      <c r="S86" s="616" t="s">
        <v>633</v>
      </c>
      <c r="T86" s="616" t="s">
        <v>493</v>
      </c>
    </row>
    <row r="87" spans="2:20" ht="25.5" x14ac:dyDescent="0.3">
      <c r="B87" s="596" t="s">
        <v>580</v>
      </c>
      <c r="C87" s="598">
        <v>3</v>
      </c>
      <c r="D87" s="593">
        <v>200</v>
      </c>
      <c r="E87" s="593">
        <f>D87*C87</f>
        <v>600</v>
      </c>
      <c r="F87" s="593">
        <v>0.4</v>
      </c>
      <c r="G87" s="593">
        <f>E87*F87</f>
        <v>240</v>
      </c>
      <c r="H87" s="593"/>
      <c r="I87" s="593"/>
      <c r="J87" s="594"/>
      <c r="K87" s="593"/>
      <c r="L87" s="593"/>
      <c r="M87" s="593"/>
      <c r="N87" s="593"/>
      <c r="O87" s="593"/>
      <c r="P87" s="593"/>
      <c r="Q87" s="575"/>
      <c r="S87" s="603"/>
      <c r="T87" s="603"/>
    </row>
    <row r="88" spans="2:20" x14ac:dyDescent="0.3">
      <c r="B88" s="596" t="s">
        <v>610</v>
      </c>
      <c r="C88" s="598">
        <v>1</v>
      </c>
      <c r="D88" s="598">
        <v>60</v>
      </c>
      <c r="E88" s="598">
        <f>D88*C88</f>
        <v>60</v>
      </c>
      <c r="F88" s="598">
        <v>0.6</v>
      </c>
      <c r="G88" s="598">
        <f>E88*F88</f>
        <v>36</v>
      </c>
      <c r="H88" s="593"/>
      <c r="I88" s="593"/>
      <c r="J88" s="594"/>
      <c r="K88" s="593"/>
      <c r="L88" s="593"/>
      <c r="M88" s="593"/>
      <c r="N88" s="593"/>
      <c r="O88" s="593"/>
      <c r="P88" s="593"/>
      <c r="Q88" s="575"/>
      <c r="S88" s="603"/>
      <c r="T88" s="603"/>
    </row>
    <row r="89" spans="2:20" x14ac:dyDescent="0.3">
      <c r="B89" s="596" t="s">
        <v>611</v>
      </c>
      <c r="C89" s="598">
        <v>1</v>
      </c>
      <c r="D89" s="598">
        <v>270</v>
      </c>
      <c r="E89" s="598">
        <f>D89*C89</f>
        <v>270</v>
      </c>
      <c r="F89" s="598">
        <v>0.6</v>
      </c>
      <c r="G89" s="598">
        <f>E89*F89</f>
        <v>162</v>
      </c>
      <c r="H89" s="593"/>
      <c r="I89" s="593"/>
      <c r="J89" s="594"/>
      <c r="K89" s="593"/>
      <c r="L89" s="593"/>
      <c r="M89" s="593"/>
      <c r="N89" s="593"/>
      <c r="O89" s="593"/>
      <c r="P89" s="593"/>
      <c r="Q89" s="575"/>
      <c r="S89" s="603"/>
      <c r="T89" s="603"/>
    </row>
    <row r="90" spans="2:20" s="624" customFormat="1" ht="12.75" x14ac:dyDescent="0.25">
      <c r="B90" s="717" t="s">
        <v>625</v>
      </c>
      <c r="C90" s="717"/>
      <c r="D90" s="717"/>
      <c r="E90" s="717"/>
      <c r="F90" s="717"/>
      <c r="G90" s="717"/>
      <c r="H90" s="598">
        <v>14</v>
      </c>
      <c r="I90" s="598" t="s">
        <v>298</v>
      </c>
      <c r="J90" s="594">
        <f>+IF("1Ø"=I90,ROUND(+SUM(G91:G92)/(220*$L$11),2)*(CONCATENATE("1.",$N$11)),ROUND(+SUM(G91:G92)/(SQRT(3)*380*$L$11),2)*(CONCATENATE("1.",$N$11)))</f>
        <v>0.55000000000000004</v>
      </c>
      <c r="K90" s="598">
        <v>2.5</v>
      </c>
      <c r="L90" s="598">
        <f>+IF("1Ø"=I90,2*J90*0.0175*H90/K90,SQRT(3)*J90*0.0175*H90/K90)</f>
        <v>0.10780000000000003</v>
      </c>
      <c r="M90" s="598">
        <f>+IF("1Ø"=I90,L90/$J$11*100,L90/$I$11*100)</f>
        <v>4.9000000000000023E-2</v>
      </c>
      <c r="N90" s="598" t="s">
        <v>569</v>
      </c>
      <c r="O90" s="598" t="s">
        <v>106</v>
      </c>
      <c r="P90" s="616" t="s">
        <v>493</v>
      </c>
      <c r="S90" s="616" t="s">
        <v>633</v>
      </c>
      <c r="T90" s="616" t="s">
        <v>493</v>
      </c>
    </row>
    <row r="91" spans="2:20" s="575" customFormat="1" ht="12.75" x14ac:dyDescent="0.25">
      <c r="B91" s="596" t="s">
        <v>600</v>
      </c>
      <c r="C91" s="597">
        <v>1</v>
      </c>
      <c r="D91" s="598">
        <v>21</v>
      </c>
      <c r="E91" s="598">
        <f>C91*D91</f>
        <v>21</v>
      </c>
      <c r="F91" s="598">
        <v>1</v>
      </c>
      <c r="G91" s="598">
        <f>E91*F91</f>
        <v>21</v>
      </c>
      <c r="H91" s="598"/>
      <c r="I91" s="599"/>
      <c r="J91" s="599"/>
      <c r="K91" s="599"/>
      <c r="L91" s="599"/>
      <c r="M91" s="599"/>
      <c r="N91" s="599"/>
      <c r="O91" s="605"/>
      <c r="P91" s="605"/>
      <c r="S91" s="600"/>
      <c r="T91" s="599"/>
    </row>
    <row r="92" spans="2:20" s="624" customFormat="1" ht="12.75" x14ac:dyDescent="0.25">
      <c r="B92" s="601" t="s">
        <v>599</v>
      </c>
      <c r="C92" s="597">
        <v>2</v>
      </c>
      <c r="D92" s="598">
        <v>28</v>
      </c>
      <c r="E92" s="598">
        <f>C92*D92</f>
        <v>56</v>
      </c>
      <c r="F92" s="598">
        <v>1</v>
      </c>
      <c r="G92" s="598">
        <f>E92*F92</f>
        <v>56</v>
      </c>
      <c r="H92" s="598"/>
      <c r="I92" s="605"/>
      <c r="J92" s="605"/>
      <c r="K92" s="605"/>
      <c r="L92" s="605"/>
      <c r="M92" s="605"/>
      <c r="N92" s="605"/>
      <c r="O92" s="605"/>
      <c r="P92" s="605"/>
      <c r="S92" s="630"/>
      <c r="T92" s="605"/>
    </row>
    <row r="93" spans="2:20" s="575" customFormat="1" ht="12.75" x14ac:dyDescent="0.25">
      <c r="B93" s="735" t="s">
        <v>630</v>
      </c>
      <c r="C93" s="736"/>
      <c r="D93" s="736"/>
      <c r="E93" s="736"/>
      <c r="F93" s="736"/>
      <c r="G93" s="737"/>
      <c r="H93" s="593"/>
      <c r="I93" s="593"/>
      <c r="J93" s="594"/>
      <c r="K93" s="593"/>
      <c r="L93" s="593"/>
      <c r="M93" s="593"/>
      <c r="N93" s="593"/>
      <c r="O93" s="606"/>
      <c r="P93" s="606"/>
      <c r="S93" s="595" t="s">
        <v>634</v>
      </c>
      <c r="T93" s="595" t="e">
        <v>#N/A</v>
      </c>
    </row>
    <row r="94" spans="2:20" s="575" customFormat="1" ht="12.75" x14ac:dyDescent="0.25">
      <c r="B94" s="607" t="s">
        <v>292</v>
      </c>
      <c r="C94" s="593">
        <v>1</v>
      </c>
      <c r="D94" s="593">
        <v>220</v>
      </c>
      <c r="E94" s="593">
        <f>D94*C94</f>
        <v>220</v>
      </c>
      <c r="F94" s="593">
        <v>1</v>
      </c>
      <c r="G94" s="593">
        <f>E94*F94</f>
        <v>220</v>
      </c>
      <c r="H94" s="732" t="s">
        <v>297</v>
      </c>
      <c r="I94" s="733"/>
      <c r="J94" s="733"/>
      <c r="K94" s="733"/>
      <c r="L94" s="733"/>
      <c r="M94" s="733"/>
      <c r="N94" s="734"/>
      <c r="O94" s="608"/>
      <c r="P94" s="608"/>
      <c r="S94" s="609" t="s">
        <v>512</v>
      </c>
      <c r="T94" s="610" t="s">
        <v>549</v>
      </c>
    </row>
    <row r="95" spans="2:20" s="575" customFormat="1" x14ac:dyDescent="0.3">
      <c r="B95" s="728" t="s">
        <v>293</v>
      </c>
      <c r="C95" s="729"/>
      <c r="D95" s="626" t="s">
        <v>294</v>
      </c>
      <c r="E95" s="612">
        <f>SUM(E73:E94)</f>
        <v>3954</v>
      </c>
      <c r="F95" s="626" t="s">
        <v>295</v>
      </c>
      <c r="G95" s="612">
        <f>SUM(G73:G94)</f>
        <v>2622</v>
      </c>
      <c r="H95" s="613" t="s">
        <v>296</v>
      </c>
      <c r="I95" s="614"/>
      <c r="J95" s="614"/>
      <c r="K95" s="615">
        <f>MAX(M73:M93)</f>
        <v>0.58326704545454555</v>
      </c>
      <c r="L95" s="730" t="str">
        <f>IF(K95&lt;=2.5," es menor a 2.5%, Cumple con Sección 050-102"," No Cumple con Sección 050-102" )</f>
        <v xml:space="preserve"> es menor a 2.5%, Cumple con Sección 050-102</v>
      </c>
      <c r="M95" s="730"/>
      <c r="N95" s="731"/>
      <c r="O95" s="581"/>
      <c r="P95" s="581"/>
      <c r="S95" s="595">
        <v>16</v>
      </c>
      <c r="T95" s="284">
        <v>0.6</v>
      </c>
    </row>
    <row r="98" spans="2:20" s="575" customFormat="1" ht="12.75" x14ac:dyDescent="0.25">
      <c r="B98" s="748" t="s">
        <v>618</v>
      </c>
      <c r="C98" s="749"/>
      <c r="D98" s="749"/>
      <c r="E98" s="749"/>
      <c r="F98" s="749"/>
      <c r="G98" s="749"/>
      <c r="H98" s="749"/>
      <c r="I98" s="749"/>
      <c r="J98" s="749"/>
      <c r="K98" s="749"/>
      <c r="L98" s="749"/>
      <c r="M98" s="749"/>
      <c r="N98" s="749"/>
      <c r="O98" s="749"/>
      <c r="P98" s="750"/>
    </row>
    <row r="99" spans="2:20" s="575" customFormat="1" ht="12.75" x14ac:dyDescent="0.25">
      <c r="B99" s="751"/>
      <c r="C99" s="752"/>
      <c r="D99" s="752"/>
      <c r="E99" s="752"/>
      <c r="F99" s="752"/>
      <c r="G99" s="752"/>
      <c r="H99" s="752"/>
      <c r="I99" s="752"/>
      <c r="J99" s="752"/>
      <c r="K99" s="752"/>
      <c r="L99" s="752"/>
      <c r="M99" s="752"/>
      <c r="N99" s="752"/>
      <c r="O99" s="752"/>
      <c r="P99" s="753"/>
    </row>
    <row r="100" spans="2:20" s="575" customFormat="1" ht="14.45" customHeight="1" x14ac:dyDescent="0.25">
      <c r="B100" s="742" t="s">
        <v>619</v>
      </c>
      <c r="C100" s="743"/>
      <c r="D100" s="743"/>
      <c r="E100" s="743"/>
      <c r="F100" s="743"/>
      <c r="G100" s="744"/>
      <c r="H100" s="739" t="s">
        <v>313</v>
      </c>
      <c r="I100" s="740"/>
      <c r="J100" s="740"/>
      <c r="K100" s="740"/>
      <c r="L100" s="740"/>
      <c r="M100" s="740"/>
      <c r="N100" s="741"/>
      <c r="O100" s="718" t="s">
        <v>574</v>
      </c>
      <c r="P100" s="718" t="s">
        <v>257</v>
      </c>
    </row>
    <row r="101" spans="2:20" s="575" customFormat="1" ht="10.15" customHeight="1" x14ac:dyDescent="0.25">
      <c r="B101" s="745"/>
      <c r="C101" s="746"/>
      <c r="D101" s="746"/>
      <c r="E101" s="746"/>
      <c r="F101" s="746"/>
      <c r="G101" s="747"/>
      <c r="H101" s="584" t="s">
        <v>312</v>
      </c>
      <c r="I101" s="585">
        <v>380</v>
      </c>
      <c r="J101" s="585">
        <v>220</v>
      </c>
      <c r="K101" s="586" t="s">
        <v>311</v>
      </c>
      <c r="L101" s="585">
        <v>0.8</v>
      </c>
      <c r="M101" s="586" t="s">
        <v>310</v>
      </c>
      <c r="N101" s="585">
        <v>25</v>
      </c>
      <c r="O101" s="719"/>
      <c r="P101" s="719"/>
      <c r="S101" s="587" t="s">
        <v>399</v>
      </c>
      <c r="T101" s="587"/>
    </row>
    <row r="102" spans="2:20" s="575" customFormat="1" ht="12.75" x14ac:dyDescent="0.25">
      <c r="B102" s="758" t="s">
        <v>277</v>
      </c>
      <c r="C102" s="756" t="s">
        <v>278</v>
      </c>
      <c r="D102" s="625" t="s">
        <v>279</v>
      </c>
      <c r="E102" s="627" t="s">
        <v>280</v>
      </c>
      <c r="F102" s="754" t="s">
        <v>567</v>
      </c>
      <c r="G102" s="627" t="s">
        <v>281</v>
      </c>
      <c r="H102" s="590" t="s">
        <v>282</v>
      </c>
      <c r="I102" s="590" t="s">
        <v>309</v>
      </c>
      <c r="J102" s="590" t="s">
        <v>283</v>
      </c>
      <c r="K102" s="590" t="s">
        <v>10</v>
      </c>
      <c r="L102" s="590" t="s">
        <v>284</v>
      </c>
      <c r="M102" s="590" t="s">
        <v>284</v>
      </c>
      <c r="N102" s="590" t="s">
        <v>285</v>
      </c>
      <c r="O102" s="719"/>
      <c r="P102" s="719"/>
      <c r="S102" s="591" t="s">
        <v>285</v>
      </c>
      <c r="T102" s="590" t="s">
        <v>495</v>
      </c>
    </row>
    <row r="103" spans="2:20" s="575" customFormat="1" ht="12.75" x14ac:dyDescent="0.25">
      <c r="B103" s="759"/>
      <c r="C103" s="757"/>
      <c r="D103" s="625" t="s">
        <v>286</v>
      </c>
      <c r="E103" s="627" t="s">
        <v>287</v>
      </c>
      <c r="F103" s="755"/>
      <c r="G103" s="627" t="s">
        <v>287</v>
      </c>
      <c r="H103" s="627" t="s">
        <v>288</v>
      </c>
      <c r="I103" s="627" t="s">
        <v>308</v>
      </c>
      <c r="J103" s="627" t="str">
        <f>_xlfn.CONCAT("1.",N101,"*","In (A)")</f>
        <v>1.25*In (A)</v>
      </c>
      <c r="K103" s="627" t="s">
        <v>17</v>
      </c>
      <c r="L103" s="627" t="s">
        <v>289</v>
      </c>
      <c r="M103" s="627" t="s">
        <v>290</v>
      </c>
      <c r="N103" s="627" t="s">
        <v>22</v>
      </c>
      <c r="O103" s="720"/>
      <c r="P103" s="720"/>
      <c r="S103" s="592" t="s">
        <v>22</v>
      </c>
      <c r="T103" s="627" t="s">
        <v>496</v>
      </c>
    </row>
    <row r="104" spans="2:20" x14ac:dyDescent="0.3">
      <c r="B104" s="725" t="s">
        <v>597</v>
      </c>
      <c r="C104" s="726"/>
      <c r="D104" s="726"/>
      <c r="E104" s="726"/>
      <c r="F104" s="726"/>
      <c r="G104" s="727"/>
      <c r="H104" s="598">
        <v>7</v>
      </c>
      <c r="I104" s="593" t="s">
        <v>298</v>
      </c>
      <c r="J104" s="594">
        <f>+IF("1Ø"=I104,ROUND(+SUM(G105:G105)/(220*$L$11),2)*(CONCATENATE("1.",$N$11)),ROUND(+SUM(G105:G105)/(SQRT(3)*380*$L$11),2)*(CONCATENATE("1.",$N$11)))</f>
        <v>2.6500000000000004</v>
      </c>
      <c r="K104" s="593">
        <v>4</v>
      </c>
      <c r="L104" s="593">
        <f>+IF("1Ø"=I104,2*J104*0.0175*H104/K104,SQRT(3)*J104*0.0175*H104/K104)</f>
        <v>0.16231250000000005</v>
      </c>
      <c r="M104" s="593">
        <f>+IF("1Ø"=I104,L104/$J$11*100,L104/$I$11*100)</f>
        <v>7.3778409090909117E-2</v>
      </c>
      <c r="N104" s="593" t="s">
        <v>291</v>
      </c>
      <c r="O104" s="593" t="s">
        <v>227</v>
      </c>
      <c r="P104" s="595" t="s">
        <v>493</v>
      </c>
      <c r="Q104" s="575"/>
      <c r="S104" s="595" t="s">
        <v>633</v>
      </c>
      <c r="T104" s="595" t="s">
        <v>493</v>
      </c>
    </row>
    <row r="105" spans="2:20" x14ac:dyDescent="0.3">
      <c r="B105" s="602" t="s">
        <v>583</v>
      </c>
      <c r="C105" s="593">
        <v>2</v>
      </c>
      <c r="D105" s="593">
        <v>373</v>
      </c>
      <c r="E105" s="593">
        <f>D105*C105</f>
        <v>746</v>
      </c>
      <c r="F105" s="593">
        <v>0.5</v>
      </c>
      <c r="G105" s="593">
        <f>E105*F105</f>
        <v>373</v>
      </c>
      <c r="H105" s="598"/>
      <c r="I105" s="593"/>
      <c r="J105" s="594"/>
      <c r="K105" s="593"/>
      <c r="L105" s="593"/>
      <c r="M105" s="593"/>
      <c r="N105" s="593"/>
      <c r="O105" s="593"/>
      <c r="P105" s="593"/>
      <c r="Q105" s="575"/>
      <c r="S105" s="603"/>
      <c r="T105" s="603"/>
    </row>
    <row r="106" spans="2:20" s="575" customFormat="1" ht="12.75" x14ac:dyDescent="0.25">
      <c r="B106" s="735" t="s">
        <v>631</v>
      </c>
      <c r="C106" s="736"/>
      <c r="D106" s="736"/>
      <c r="E106" s="736"/>
      <c r="F106" s="736"/>
      <c r="G106" s="737"/>
      <c r="H106" s="593"/>
      <c r="I106" s="593"/>
      <c r="J106" s="594"/>
      <c r="K106" s="593"/>
      <c r="L106" s="593"/>
      <c r="M106" s="593"/>
      <c r="N106" s="593"/>
      <c r="O106" s="606"/>
      <c r="P106" s="606"/>
      <c r="S106" s="595" t="s">
        <v>634</v>
      </c>
      <c r="T106" s="595" t="e">
        <v>#N/A</v>
      </c>
    </row>
    <row r="107" spans="2:20" s="575" customFormat="1" ht="12.75" x14ac:dyDescent="0.25">
      <c r="B107" s="607" t="s">
        <v>292</v>
      </c>
      <c r="C107" s="593">
        <v>1</v>
      </c>
      <c r="D107" s="593">
        <v>300</v>
      </c>
      <c r="E107" s="593">
        <f>D107*C107</f>
        <v>300</v>
      </c>
      <c r="F107" s="593">
        <v>1</v>
      </c>
      <c r="G107" s="593">
        <f>E107*F107</f>
        <v>300</v>
      </c>
      <c r="H107" s="732" t="s">
        <v>297</v>
      </c>
      <c r="I107" s="733"/>
      <c r="J107" s="733"/>
      <c r="K107" s="733"/>
      <c r="L107" s="733"/>
      <c r="M107" s="733"/>
      <c r="N107" s="734"/>
      <c r="O107" s="608"/>
      <c r="P107" s="608"/>
      <c r="S107" s="609" t="s">
        <v>512</v>
      </c>
      <c r="T107" s="610" t="s">
        <v>549</v>
      </c>
    </row>
    <row r="108" spans="2:20" s="575" customFormat="1" x14ac:dyDescent="0.3">
      <c r="B108" s="728" t="s">
        <v>293</v>
      </c>
      <c r="C108" s="729"/>
      <c r="D108" s="611" t="s">
        <v>294</v>
      </c>
      <c r="E108" s="612">
        <f>SUM(E104:E107)</f>
        <v>1046</v>
      </c>
      <c r="F108" s="611" t="s">
        <v>295</v>
      </c>
      <c r="G108" s="612">
        <f>SUM(G104:G107)</f>
        <v>673</v>
      </c>
      <c r="H108" s="613" t="s">
        <v>296</v>
      </c>
      <c r="I108" s="614"/>
      <c r="J108" s="614"/>
      <c r="K108" s="615">
        <f>MAX(M104:M106)</f>
        <v>7.3778409090909117E-2</v>
      </c>
      <c r="L108" s="730" t="str">
        <f>IF(K108&lt;=2.5," es menor a 2.5%, Cumple con Sección 050-102"," No Cumple con Sección 050-102" )</f>
        <v xml:space="preserve"> es menor a 2.5%, Cumple con Sección 050-102</v>
      </c>
      <c r="M108" s="730"/>
      <c r="N108" s="731"/>
      <c r="O108" s="581"/>
      <c r="P108" s="581"/>
      <c r="S108" s="595">
        <v>16</v>
      </c>
      <c r="T108" s="284">
        <v>0.9</v>
      </c>
    </row>
  </sheetData>
  <mergeCells count="65">
    <mergeCell ref="B86:G86"/>
    <mergeCell ref="P100:P103"/>
    <mergeCell ref="O100:O103"/>
    <mergeCell ref="H100:N100"/>
    <mergeCell ref="B100:G101"/>
    <mergeCell ref="B98:P99"/>
    <mergeCell ref="F102:F103"/>
    <mergeCell ref="C102:C103"/>
    <mergeCell ref="B102:B103"/>
    <mergeCell ref="B95:C95"/>
    <mergeCell ref="L95:N95"/>
    <mergeCell ref="B90:G90"/>
    <mergeCell ref="B93:G93"/>
    <mergeCell ref="H94:N94"/>
    <mergeCell ref="B78:G78"/>
    <mergeCell ref="B59:G59"/>
    <mergeCell ref="B40:G40"/>
    <mergeCell ref="B53:G53"/>
    <mergeCell ref="B67:P68"/>
    <mergeCell ref="B69:G70"/>
    <mergeCell ref="H69:N69"/>
    <mergeCell ref="O69:O72"/>
    <mergeCell ref="P69:P72"/>
    <mergeCell ref="B71:B72"/>
    <mergeCell ref="C71:C72"/>
    <mergeCell ref="F71:F72"/>
    <mergeCell ref="H30:N30"/>
    <mergeCell ref="B24:G24"/>
    <mergeCell ref="L31:P31"/>
    <mergeCell ref="O10:O13"/>
    <mergeCell ref="B73:G73"/>
    <mergeCell ref="B27:G27"/>
    <mergeCell ref="F38:F39"/>
    <mergeCell ref="B108:C108"/>
    <mergeCell ref="L108:N108"/>
    <mergeCell ref="B34:P35"/>
    <mergeCell ref="B104:G104"/>
    <mergeCell ref="H63:N63"/>
    <mergeCell ref="B64:C64"/>
    <mergeCell ref="L64:N64"/>
    <mergeCell ref="B57:G57"/>
    <mergeCell ref="B45:G45"/>
    <mergeCell ref="B106:G106"/>
    <mergeCell ref="H107:N107"/>
    <mergeCell ref="B49:G49"/>
    <mergeCell ref="B62:G62"/>
    <mergeCell ref="B38:B39"/>
    <mergeCell ref="C38:C39"/>
    <mergeCell ref="B81:G81"/>
    <mergeCell ref="B6:P6"/>
    <mergeCell ref="B36:G37"/>
    <mergeCell ref="H36:N36"/>
    <mergeCell ref="B20:G20"/>
    <mergeCell ref="O36:O39"/>
    <mergeCell ref="P36:P39"/>
    <mergeCell ref="B14:G14"/>
    <mergeCell ref="B10:G11"/>
    <mergeCell ref="H10:N10"/>
    <mergeCell ref="B12:B13"/>
    <mergeCell ref="C12:C13"/>
    <mergeCell ref="F12:F13"/>
    <mergeCell ref="B29:G29"/>
    <mergeCell ref="B31:C31"/>
    <mergeCell ref="B8:P9"/>
    <mergeCell ref="P10:P13"/>
  </mergeCells>
  <phoneticPr fontId="36" type="noConversion"/>
  <conditionalFormatting sqref="M14 M49:M59 M61:M62 M93 M104:M106">
    <cfRule type="cellIs" dxfId="8" priority="372" operator="greaterThan">
      <formula>2.5</formula>
    </cfRule>
  </conditionalFormatting>
  <conditionalFormatting sqref="M20:M24">
    <cfRule type="cellIs" dxfId="7" priority="10" operator="greaterThan">
      <formula>2.5</formula>
    </cfRule>
  </conditionalFormatting>
  <conditionalFormatting sqref="M27">
    <cfRule type="cellIs" dxfId="6" priority="2" operator="greaterThan">
      <formula>2.5</formula>
    </cfRule>
  </conditionalFormatting>
  <conditionalFormatting sqref="M29">
    <cfRule type="cellIs" dxfId="5" priority="31" operator="greaterThan">
      <formula>2.5</formula>
    </cfRule>
  </conditionalFormatting>
  <conditionalFormatting sqref="M40">
    <cfRule type="cellIs" dxfId="4" priority="16" operator="greaterThan">
      <formula>2.5</formula>
    </cfRule>
  </conditionalFormatting>
  <conditionalFormatting sqref="M45">
    <cfRule type="cellIs" dxfId="3" priority="72" operator="greaterThan">
      <formula>2.5</formula>
    </cfRule>
  </conditionalFormatting>
  <conditionalFormatting sqref="M73">
    <cfRule type="cellIs" dxfId="2" priority="5" operator="greaterThan">
      <formula>2.5</formula>
    </cfRule>
  </conditionalFormatting>
  <conditionalFormatting sqref="M78">
    <cfRule type="cellIs" dxfId="1" priority="6" operator="greaterThan">
      <formula>2.5</formula>
    </cfRule>
  </conditionalFormatting>
  <conditionalFormatting sqref="M81:M91">
    <cfRule type="cellIs" dxfId="0" priority="1" operator="greaterThan">
      <formula>2.5</formula>
    </cfRule>
  </conditionalFormatting>
  <dataValidations disablePrompts="1" count="2">
    <dataValidation type="list" allowBlank="1" showInputMessage="1" showErrorMessage="1" sqref="I14 I45 I29 I104:I106 I24 I40 I20:I21 I27 I78 I73 I93 I61:I62 I81:I91 I49:I59">
      <formula1>#REF!</formula1>
    </dataValidation>
    <dataValidation type="list" allowBlank="1" showInputMessage="1" showErrorMessage="1" sqref="K14 K45 K29 K104:K106 K24 K40 K20:K21 K27 K78 K73 K93 K61:K62 K81:K91 K49:K59">
      <formula1>#REF!</formula1>
    </dataValidation>
  </dataValidations>
  <printOptions horizontalCentered="1"/>
  <pageMargins left="0.39370078740157483" right="0.39370078740157483" top="0.74803149606299213" bottom="0.59055118110236227" header="0.31496062992125984" footer="0.31496062992125984"/>
  <pageSetup paperSize="9" scale="77" fitToHeight="0" orientation="landscape" r:id="rId1"/>
  <headerFooter>
    <oddHeader xml:space="preserve">&amp;L
&amp;R
</oddHeader>
  </headerFooter>
  <rowBreaks count="2" manualBreakCount="2">
    <brk id="31" min="1" max="15" man="1"/>
    <brk id="64" min="1" max="1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I159"/>
  <sheetViews>
    <sheetView zoomScale="55" zoomScaleNormal="55" workbookViewId="0">
      <selection activeCell="K43" sqref="K43"/>
    </sheetView>
  </sheetViews>
  <sheetFormatPr baseColWidth="10" defaultColWidth="11.42578125" defaultRowHeight="16.5" x14ac:dyDescent="0.3"/>
  <cols>
    <col min="1" max="1" width="16.42578125" style="1" customWidth="1"/>
    <col min="2" max="2" width="15.85546875" style="1" customWidth="1"/>
    <col min="3" max="4" width="11.42578125" style="1"/>
    <col min="5" max="5" width="8.85546875" style="1" customWidth="1"/>
    <col min="6" max="6" width="15.7109375" style="1" customWidth="1"/>
    <col min="7" max="7" width="14.28515625" style="1" customWidth="1"/>
    <col min="8" max="8" width="12" style="1" customWidth="1"/>
    <col min="9" max="9" width="15.42578125" style="1" customWidth="1"/>
    <col min="10" max="10" width="13.7109375" style="1" customWidth="1"/>
    <col min="11" max="12" width="11.42578125" style="1"/>
    <col min="13" max="13" width="10.7109375" style="1" customWidth="1"/>
    <col min="14" max="14" width="11.42578125" style="1"/>
    <col min="15" max="16" width="10.42578125" style="1" customWidth="1"/>
    <col min="17" max="17" width="15.7109375" style="34" customWidth="1"/>
    <col min="18" max="18" width="26.85546875" style="1" customWidth="1"/>
    <col min="19" max="19" width="17.85546875" style="1" customWidth="1"/>
    <col min="20" max="20" width="17.5703125" style="1" customWidth="1"/>
    <col min="21" max="21" width="11.5703125" style="1" customWidth="1"/>
    <col min="22" max="22" width="11.85546875" style="1" customWidth="1"/>
    <col min="23" max="23" width="13.42578125" style="1" customWidth="1"/>
    <col min="24" max="24" width="15.42578125" style="1" customWidth="1"/>
    <col min="25" max="25" width="11.85546875" style="1" customWidth="1"/>
    <col min="26" max="26" width="11.7109375" style="1" customWidth="1"/>
    <col min="27" max="27" width="14.42578125" style="1" customWidth="1"/>
    <col min="28" max="28" width="14.140625" style="1" customWidth="1"/>
    <col min="29" max="29" width="12.7109375" style="1" customWidth="1"/>
    <col min="30" max="30" width="9.5703125" style="1" customWidth="1"/>
    <col min="31" max="31" width="12" style="1" customWidth="1"/>
    <col min="32" max="32" width="27.140625" style="1" customWidth="1"/>
    <col min="33" max="33" width="19.7109375" style="1" customWidth="1"/>
    <col min="34" max="34" width="19.28515625" style="1" customWidth="1"/>
    <col min="35" max="35" width="19" style="1" customWidth="1"/>
    <col min="36" max="16384" width="11.42578125" style="1"/>
  </cols>
  <sheetData>
    <row r="2" spans="1:17" x14ac:dyDescent="0.3">
      <c r="A2" s="1" t="s">
        <v>0</v>
      </c>
      <c r="B2" s="1">
        <v>3.9300000000000003E-3</v>
      </c>
      <c r="C2" s="1" t="s">
        <v>1</v>
      </c>
    </row>
    <row r="3" spans="1:17" x14ac:dyDescent="0.3">
      <c r="A3" s="1" t="s">
        <v>2</v>
      </c>
      <c r="B3" s="1">
        <v>20</v>
      </c>
      <c r="C3" s="1" t="s">
        <v>3</v>
      </c>
    </row>
    <row r="4" spans="1:17" x14ac:dyDescent="0.3">
      <c r="A4" s="1" t="s">
        <v>4</v>
      </c>
      <c r="B4" s="1">
        <v>35</v>
      </c>
      <c r="C4" s="1" t="s">
        <v>3</v>
      </c>
    </row>
    <row r="5" spans="1:17" x14ac:dyDescent="0.3">
      <c r="A5" s="1" t="s">
        <v>5</v>
      </c>
      <c r="B5" s="1">
        <v>90</v>
      </c>
      <c r="C5" s="1" t="s">
        <v>3</v>
      </c>
    </row>
    <row r="6" spans="1:17" x14ac:dyDescent="0.3">
      <c r="A6" s="1" t="s">
        <v>6</v>
      </c>
      <c r="B6" s="1">
        <v>0.8</v>
      </c>
      <c r="C6" s="1" t="s">
        <v>7</v>
      </c>
      <c r="D6" s="1">
        <v>0.6</v>
      </c>
    </row>
    <row r="7" spans="1:17" x14ac:dyDescent="0.3">
      <c r="A7" s="1" t="s">
        <v>6</v>
      </c>
      <c r="B7" s="1">
        <v>0.85</v>
      </c>
      <c r="D7" s="1">
        <v>0.52680000000000005</v>
      </c>
    </row>
    <row r="8" spans="1:17" x14ac:dyDescent="0.3">
      <c r="A8" s="1" t="s">
        <v>6</v>
      </c>
      <c r="B8" s="1">
        <v>0.9</v>
      </c>
      <c r="C8" s="1" t="s">
        <v>7</v>
      </c>
      <c r="D8" s="1">
        <v>0.43590000000000001</v>
      </c>
      <c r="Q8" s="34">
        <f>+O16*0.8</f>
        <v>76</v>
      </c>
    </row>
    <row r="9" spans="1:17" x14ac:dyDescent="0.3">
      <c r="A9" s="1" t="s">
        <v>6</v>
      </c>
      <c r="B9" s="1">
        <v>1</v>
      </c>
      <c r="C9" s="1" t="s">
        <v>7</v>
      </c>
      <c r="D9" s="1">
        <v>0</v>
      </c>
      <c r="O9" s="1">
        <f>O29*0.8</f>
        <v>560</v>
      </c>
    </row>
    <row r="10" spans="1:17" x14ac:dyDescent="0.3">
      <c r="A10" s="2" t="s">
        <v>8</v>
      </c>
      <c r="F10" s="3" t="s">
        <v>105</v>
      </c>
    </row>
    <row r="11" spans="1:17" ht="17.25" thickBot="1" x14ac:dyDescent="0.35">
      <c r="B11" s="1">
        <v>230</v>
      </c>
      <c r="C11" s="2" t="s">
        <v>9</v>
      </c>
    </row>
    <row r="12" spans="1:17" ht="17.25" thickTop="1" x14ac:dyDescent="0.3">
      <c r="B12" s="1">
        <v>220</v>
      </c>
      <c r="C12" s="2" t="s">
        <v>9</v>
      </c>
      <c r="F12" s="4" t="s">
        <v>10</v>
      </c>
      <c r="G12" s="5" t="s">
        <v>11</v>
      </c>
      <c r="H12" s="70" t="s">
        <v>12</v>
      </c>
      <c r="I12" s="761" t="s">
        <v>51</v>
      </c>
      <c r="J12" s="765"/>
      <c r="K12" s="5" t="s">
        <v>13</v>
      </c>
      <c r="L12" s="6" t="s">
        <v>13</v>
      </c>
      <c r="M12" s="6" t="s">
        <v>14</v>
      </c>
      <c r="N12" s="6" t="s">
        <v>15</v>
      </c>
      <c r="O12" s="7" t="s">
        <v>106</v>
      </c>
      <c r="P12" s="7"/>
      <c r="Q12" s="146" t="s">
        <v>16</v>
      </c>
    </row>
    <row r="13" spans="1:17" ht="50.25" thickBot="1" x14ac:dyDescent="0.35">
      <c r="B13" s="1">
        <v>380</v>
      </c>
      <c r="C13" s="2" t="s">
        <v>9</v>
      </c>
      <c r="F13" s="9" t="s">
        <v>17</v>
      </c>
      <c r="G13" s="10" t="s">
        <v>18</v>
      </c>
      <c r="H13" s="10" t="s">
        <v>18</v>
      </c>
      <c r="I13" s="71" t="s">
        <v>52</v>
      </c>
      <c r="J13" s="71" t="s">
        <v>53</v>
      </c>
      <c r="K13" s="11" t="s">
        <v>19</v>
      </c>
      <c r="L13" s="11" t="s">
        <v>49</v>
      </c>
      <c r="M13" s="11" t="s">
        <v>20</v>
      </c>
      <c r="N13" s="12" t="s">
        <v>21</v>
      </c>
      <c r="O13" s="12" t="s">
        <v>22</v>
      </c>
      <c r="P13" s="12" t="s">
        <v>257</v>
      </c>
      <c r="Q13" s="301" t="s">
        <v>106</v>
      </c>
    </row>
    <row r="14" spans="1:17" ht="17.25" thickTop="1" x14ac:dyDescent="0.3">
      <c r="F14" s="1">
        <v>1</v>
      </c>
      <c r="G14" s="1">
        <v>2</v>
      </c>
      <c r="H14" s="1">
        <v>3</v>
      </c>
      <c r="I14" s="1">
        <v>4</v>
      </c>
      <c r="J14" s="1">
        <v>5</v>
      </c>
      <c r="K14" s="1">
        <v>6</v>
      </c>
      <c r="L14" s="1">
        <v>7</v>
      </c>
      <c r="M14" s="1">
        <v>8</v>
      </c>
      <c r="N14" s="1">
        <v>9</v>
      </c>
      <c r="O14" s="1">
        <v>10</v>
      </c>
      <c r="P14" s="1">
        <v>11</v>
      </c>
      <c r="Q14" s="16">
        <v>12</v>
      </c>
    </row>
    <row r="15" spans="1:17" x14ac:dyDescent="0.3">
      <c r="F15" s="88">
        <v>6</v>
      </c>
      <c r="G15" s="14">
        <v>3.08</v>
      </c>
      <c r="H15" s="15">
        <f t="shared" ref="H15:H29" si="0">+G15*(1+($B$5-$B$3)*$B$2)</f>
        <v>3.9273080000000005</v>
      </c>
      <c r="I15" s="14">
        <v>0.215</v>
      </c>
      <c r="J15" s="14">
        <v>0.14499999999999999</v>
      </c>
      <c r="K15" s="14">
        <f t="shared" ref="K15:K29" si="1">+SQRT(3)*(H15*$B$6+I15*$D$6)/1000</f>
        <v>5.6652721485537551E-3</v>
      </c>
      <c r="L15" s="14">
        <f>+SQRT(3)*(H15*$B$7+I15*$D$7)/1000</f>
        <v>5.978127982592822E-3</v>
      </c>
      <c r="M15" s="14">
        <f t="shared" ref="M15:M29" si="2">+SQRT(3)*(H15*$B$8+I15*$D$8)/1000</f>
        <v>6.2843924972836853E-3</v>
      </c>
      <c r="N15" s="14">
        <f>+SQRT(3)*(H15*$B$9+I15*$D$9)/1000</f>
        <v>6.8022969929717129E-3</v>
      </c>
      <c r="O15" s="16">
        <v>68</v>
      </c>
      <c r="P15" s="163">
        <v>25</v>
      </c>
      <c r="Q15" s="143" t="s">
        <v>226</v>
      </c>
    </row>
    <row r="16" spans="1:17" x14ac:dyDescent="0.3">
      <c r="F16" s="88">
        <v>10</v>
      </c>
      <c r="G16" s="14">
        <v>1.83</v>
      </c>
      <c r="H16" s="15">
        <f t="shared" si="0"/>
        <v>2.3334330000000003</v>
      </c>
      <c r="I16" s="14">
        <v>0.20499999999999999</v>
      </c>
      <c r="J16" s="14">
        <v>0.13600000000000001</v>
      </c>
      <c r="K16" s="14">
        <f t="shared" si="1"/>
        <v>3.4463418589772664E-3</v>
      </c>
      <c r="L16" s="14">
        <f t="shared" ref="L16:L29" si="3">+SQRT(3)*(H16*$B$7+I16*$D$7)/1000</f>
        <v>3.6224319301617811E-3</v>
      </c>
      <c r="M16" s="14">
        <f t="shared" si="2"/>
        <v>3.792237254991033E-3</v>
      </c>
      <c r="N16" s="14">
        <f t="shared" ref="N16:N29" si="4">+SQRT(3)*(H16*$B$9+I16*$D$9)/1000</f>
        <v>4.0416245120578689E-3</v>
      </c>
      <c r="O16" s="16">
        <v>95</v>
      </c>
      <c r="P16" s="163">
        <v>25</v>
      </c>
      <c r="Q16" s="143" t="s">
        <v>228</v>
      </c>
    </row>
    <row r="17" spans="6:17" x14ac:dyDescent="0.3">
      <c r="F17" s="88">
        <v>16</v>
      </c>
      <c r="G17" s="14">
        <v>1.1499999999999999</v>
      </c>
      <c r="H17" s="15">
        <f t="shared" si="0"/>
        <v>1.4663649999999999</v>
      </c>
      <c r="I17" s="14">
        <v>0.192</v>
      </c>
      <c r="J17" s="14">
        <v>0.122</v>
      </c>
      <c r="K17" s="14">
        <f t="shared" si="1"/>
        <v>2.2313871989845238E-3</v>
      </c>
      <c r="L17" s="14">
        <f t="shared" si="3"/>
        <v>2.3340351982366644E-3</v>
      </c>
      <c r="M17" s="14">
        <f t="shared" si="2"/>
        <v>2.4307969960243631E-3</v>
      </c>
      <c r="N17" s="14">
        <f t="shared" si="4"/>
        <v>2.5398186824407364E-3</v>
      </c>
      <c r="O17" s="16">
        <v>125</v>
      </c>
      <c r="P17" s="163">
        <v>35</v>
      </c>
      <c r="Q17" s="143" t="s">
        <v>266</v>
      </c>
    </row>
    <row r="18" spans="6:17" x14ac:dyDescent="0.3">
      <c r="F18" s="88">
        <v>25</v>
      </c>
      <c r="G18" s="14">
        <v>0.72699999999999998</v>
      </c>
      <c r="H18" s="15">
        <f t="shared" si="0"/>
        <v>0.92699770000000004</v>
      </c>
      <c r="I18" s="14">
        <v>0.185</v>
      </c>
      <c r="J18" s="14">
        <v>0.11600000000000001</v>
      </c>
      <c r="K18" s="14">
        <f t="shared" si="1"/>
        <v>1.4767433315597388E-3</v>
      </c>
      <c r="L18" s="14">
        <f t="shared" si="3"/>
        <v>1.5335682552686158E-3</v>
      </c>
      <c r="M18" s="14">
        <f t="shared" si="2"/>
        <v>1.5847215786081083E-3</v>
      </c>
      <c r="N18" s="14">
        <f t="shared" si="4"/>
        <v>1.6056071148994916E-3</v>
      </c>
      <c r="O18" s="16">
        <v>160</v>
      </c>
      <c r="P18" s="163">
        <v>35</v>
      </c>
      <c r="Q18" s="143" t="s">
        <v>267</v>
      </c>
    </row>
    <row r="19" spans="6:17" x14ac:dyDescent="0.3">
      <c r="F19" s="88">
        <v>35</v>
      </c>
      <c r="G19" s="14">
        <v>0.52500000000000002</v>
      </c>
      <c r="H19" s="15">
        <f t="shared" si="0"/>
        <v>0.66942750000000006</v>
      </c>
      <c r="I19" s="14">
        <v>0.18</v>
      </c>
      <c r="J19" s="14">
        <v>0.111</v>
      </c>
      <c r="K19" s="14">
        <f t="shared" si="1"/>
        <v>1.1146474408044904E-3</v>
      </c>
      <c r="L19" s="14">
        <f t="shared" si="3"/>
        <v>1.1498000614631537E-3</v>
      </c>
      <c r="M19" s="14">
        <f t="shared" si="2"/>
        <v>1.1794343682489025E-3</v>
      </c>
      <c r="N19" s="14">
        <f t="shared" si="4"/>
        <v>1.1594824419838147E-3</v>
      </c>
      <c r="O19" s="16">
        <v>195</v>
      </c>
      <c r="P19" s="163">
        <v>50</v>
      </c>
      <c r="Q19" s="143" t="s">
        <v>229</v>
      </c>
    </row>
    <row r="20" spans="6:17" x14ac:dyDescent="0.3">
      <c r="F20" s="88">
        <v>50</v>
      </c>
      <c r="G20" s="14">
        <v>0.38700000000000001</v>
      </c>
      <c r="H20" s="15">
        <f t="shared" si="0"/>
        <v>0.49346370000000006</v>
      </c>
      <c r="I20" s="14">
        <v>0.17799999999999999</v>
      </c>
      <c r="J20" s="14">
        <v>0.109</v>
      </c>
      <c r="K20" s="14">
        <f t="shared" si="1"/>
        <v>8.6874638632109707E-4</v>
      </c>
      <c r="L20" s="14">
        <f t="shared" si="3"/>
        <v>8.8891366712334394E-4</v>
      </c>
      <c r="M20" s="14">
        <f t="shared" si="2"/>
        <v>9.0362394865126431E-4</v>
      </c>
      <c r="N20" s="14">
        <f t="shared" si="4"/>
        <v>8.5470420009092633E-4</v>
      </c>
      <c r="O20" s="16">
        <v>225</v>
      </c>
      <c r="P20" s="163">
        <v>50</v>
      </c>
      <c r="Q20" s="143" t="s">
        <v>268</v>
      </c>
    </row>
    <row r="21" spans="6:17" x14ac:dyDescent="0.3">
      <c r="F21" s="88">
        <v>70</v>
      </c>
      <c r="G21" s="14">
        <v>0.26800000000000002</v>
      </c>
      <c r="H21" s="15">
        <f t="shared" si="0"/>
        <v>0.34172680000000005</v>
      </c>
      <c r="I21" s="14">
        <v>0.17399999999999999</v>
      </c>
      <c r="J21" s="14">
        <v>0.105</v>
      </c>
      <c r="K21" s="14">
        <f t="shared" si="1"/>
        <v>6.543366482365334E-4</v>
      </c>
      <c r="L21" s="14">
        <f t="shared" si="3"/>
        <v>6.6187027250608655E-4</v>
      </c>
      <c r="M21" s="14">
        <f t="shared" si="2"/>
        <v>6.6406952669848906E-4</v>
      </c>
      <c r="N21" s="14">
        <f t="shared" si="4"/>
        <v>5.9188817990792834E-4</v>
      </c>
      <c r="O21" s="16">
        <v>275</v>
      </c>
      <c r="P21" s="163">
        <v>65</v>
      </c>
      <c r="Q21" s="143" t="s">
        <v>269</v>
      </c>
    </row>
    <row r="22" spans="6:17" x14ac:dyDescent="0.3">
      <c r="F22" s="88">
        <v>95</v>
      </c>
      <c r="G22" s="14">
        <v>0.193</v>
      </c>
      <c r="H22" s="15">
        <f t="shared" si="0"/>
        <v>0.24609430000000004</v>
      </c>
      <c r="I22" s="14">
        <v>0.17199999999999999</v>
      </c>
      <c r="J22" s="14">
        <v>0.10199999999999999</v>
      </c>
      <c r="K22" s="14">
        <f t="shared" si="1"/>
        <v>5.1974590818358623E-4</v>
      </c>
      <c r="L22" s="14">
        <f t="shared" si="3"/>
        <v>5.1925108724862595E-4</v>
      </c>
      <c r="M22" s="14">
        <f t="shared" si="2"/>
        <v>5.1348321083510297E-4</v>
      </c>
      <c r="N22" s="14">
        <f t="shared" si="4"/>
        <v>4.2624783105309758E-4</v>
      </c>
      <c r="O22" s="16">
        <v>330</v>
      </c>
      <c r="P22" s="163">
        <v>80</v>
      </c>
      <c r="Q22" s="143" t="s">
        <v>270</v>
      </c>
    </row>
    <row r="23" spans="6:17" x14ac:dyDescent="0.3">
      <c r="F23" s="88">
        <v>120</v>
      </c>
      <c r="G23" s="14">
        <v>0.153</v>
      </c>
      <c r="H23" s="15">
        <f t="shared" si="0"/>
        <v>0.19509030000000002</v>
      </c>
      <c r="I23" s="14">
        <v>0.17</v>
      </c>
      <c r="J23" s="14">
        <v>9.9599999999999994E-2</v>
      </c>
      <c r="K23" s="14">
        <f t="shared" si="1"/>
        <v>4.4699423170310921E-4</v>
      </c>
      <c r="L23" s="14">
        <f t="shared" si="3"/>
        <v>4.4233590703691473E-4</v>
      </c>
      <c r="M23" s="14">
        <f t="shared" si="2"/>
        <v>4.3246584149074556E-4</v>
      </c>
      <c r="N23" s="14">
        <f t="shared" si="4"/>
        <v>3.3790631166385457E-4</v>
      </c>
      <c r="O23" s="16">
        <v>380</v>
      </c>
      <c r="P23" s="163">
        <v>80</v>
      </c>
      <c r="Q23" s="143" t="s">
        <v>271</v>
      </c>
    </row>
    <row r="24" spans="6:17" x14ac:dyDescent="0.3">
      <c r="F24" s="88">
        <v>150</v>
      </c>
      <c r="G24" s="14">
        <v>0.124</v>
      </c>
      <c r="H24" s="15">
        <f t="shared" si="0"/>
        <v>0.15811240000000001</v>
      </c>
      <c r="I24" s="17">
        <v>0.16900000000000001</v>
      </c>
      <c r="J24" s="17">
        <v>9.9000000000000005E-2</v>
      </c>
      <c r="K24" s="18">
        <f t="shared" si="1"/>
        <v>3.9471691997280684E-4</v>
      </c>
      <c r="L24" s="14">
        <f t="shared" si="3"/>
        <v>3.8698300134786646E-4</v>
      </c>
      <c r="M24" s="14">
        <f t="shared" si="2"/>
        <v>3.7406799914224524E-4</v>
      </c>
      <c r="N24" s="14">
        <f t="shared" si="4"/>
        <v>2.7385871010665336E-4</v>
      </c>
      <c r="O24" s="16">
        <v>410</v>
      </c>
      <c r="P24" s="163">
        <v>80</v>
      </c>
      <c r="Q24" s="143" t="s">
        <v>230</v>
      </c>
    </row>
    <row r="25" spans="6:17" x14ac:dyDescent="0.3">
      <c r="F25" s="88">
        <v>185</v>
      </c>
      <c r="G25" s="14">
        <v>9.9099999999999994E-2</v>
      </c>
      <c r="H25" s="15">
        <f t="shared" si="0"/>
        <v>0.12636241000000001</v>
      </c>
      <c r="I25" s="14">
        <v>0.16900000000000001</v>
      </c>
      <c r="J25" s="14">
        <v>9.9000000000000005E-2</v>
      </c>
      <c r="K25" s="14">
        <f t="shared" si="1"/>
        <v>3.5072284331696382E-4</v>
      </c>
      <c r="L25" s="14">
        <f t="shared" si="3"/>
        <v>3.4023929490103327E-4</v>
      </c>
      <c r="M25" s="14">
        <f t="shared" si="2"/>
        <v>3.2457466290442189E-4</v>
      </c>
      <c r="N25" s="14">
        <f t="shared" si="4"/>
        <v>2.1886611428684958E-4</v>
      </c>
      <c r="O25" s="16">
        <v>450</v>
      </c>
      <c r="P25" s="163">
        <v>100</v>
      </c>
      <c r="Q25" s="143" t="s">
        <v>231</v>
      </c>
    </row>
    <row r="26" spans="6:17" x14ac:dyDescent="0.3">
      <c r="F26" s="88">
        <v>240</v>
      </c>
      <c r="G26" s="14">
        <v>7.5399999999999995E-2</v>
      </c>
      <c r="H26" s="15">
        <f t="shared" si="0"/>
        <v>9.6142539999999999E-2</v>
      </c>
      <c r="I26" s="14">
        <v>0.16700000000000001</v>
      </c>
      <c r="J26" s="14">
        <v>9.6699999999999994E-2</v>
      </c>
      <c r="K26" s="14">
        <f t="shared" si="1"/>
        <v>3.0677050215737996E-4</v>
      </c>
      <c r="L26" s="14">
        <f t="shared" si="3"/>
        <v>2.9392340846777119E-4</v>
      </c>
      <c r="M26" s="14">
        <f t="shared" si="2"/>
        <v>2.7595654579606947E-4</v>
      </c>
      <c r="N26" s="14">
        <f t="shared" si="4"/>
        <v>1.6652376404872307E-4</v>
      </c>
      <c r="O26" s="16">
        <v>525</v>
      </c>
      <c r="P26" s="163">
        <v>100</v>
      </c>
      <c r="Q26" s="143" t="s">
        <v>232</v>
      </c>
    </row>
    <row r="27" spans="6:17" x14ac:dyDescent="0.3">
      <c r="F27" s="88">
        <v>300</v>
      </c>
      <c r="G27" s="14">
        <v>6.0100000000000001E-2</v>
      </c>
      <c r="H27" s="15">
        <f t="shared" si="0"/>
        <v>7.6633510000000002E-2</v>
      </c>
      <c r="I27" s="14">
        <v>0.16500000000000001</v>
      </c>
      <c r="J27" s="14">
        <v>9.4799999999999995E-2</v>
      </c>
      <c r="K27" s="14">
        <f t="shared" si="1"/>
        <v>2.7765953625518894E-4</v>
      </c>
      <c r="L27" s="14">
        <f t="shared" si="3"/>
        <v>2.6337648324548893E-4</v>
      </c>
      <c r="M27" s="14">
        <f t="shared" si="2"/>
        <v>2.44034975852284E-4</v>
      </c>
      <c r="N27" s="14">
        <f t="shared" si="4"/>
        <v>1.3273313288233763E-4</v>
      </c>
      <c r="O27" s="16">
        <v>600</v>
      </c>
      <c r="P27" s="163">
        <v>100</v>
      </c>
      <c r="Q27" s="143" t="s">
        <v>233</v>
      </c>
    </row>
    <row r="28" spans="6:17" x14ac:dyDescent="0.3">
      <c r="F28" s="88">
        <v>400</v>
      </c>
      <c r="G28" s="64">
        <v>4.7E-2</v>
      </c>
      <c r="H28" s="65">
        <f t="shared" si="0"/>
        <v>5.9929700000000009E-2</v>
      </c>
      <c r="I28" s="64">
        <v>0.16400000000000001</v>
      </c>
      <c r="J28" s="64">
        <v>9.4299999999999995E-2</v>
      </c>
      <c r="K28" s="64">
        <f t="shared" si="1"/>
        <v>2.5347482769066596E-4</v>
      </c>
      <c r="L28" s="14">
        <f t="shared" si="3"/>
        <v>2.3787196842008112E-4</v>
      </c>
      <c r="M28" s="64">
        <f t="shared" si="2"/>
        <v>2.1724131206528536E-4</v>
      </c>
      <c r="N28" s="14">
        <f t="shared" si="4"/>
        <v>1.0380128528236056E-4</v>
      </c>
      <c r="O28" s="66">
        <v>680</v>
      </c>
      <c r="P28" s="283">
        <v>125</v>
      </c>
      <c r="Q28" s="144" t="s">
        <v>234</v>
      </c>
    </row>
    <row r="29" spans="6:17" x14ac:dyDescent="0.3">
      <c r="F29" s="88">
        <v>500</v>
      </c>
      <c r="G29" s="64">
        <v>3.6600000000000001E-2</v>
      </c>
      <c r="H29" s="65">
        <f t="shared" si="0"/>
        <v>4.6668660000000008E-2</v>
      </c>
      <c r="I29" s="64">
        <v>0.16400000000000001</v>
      </c>
      <c r="J29" s="64">
        <v>9.4299999999999995E-2</v>
      </c>
      <c r="K29" s="64">
        <f t="shared" si="1"/>
        <v>2.3509979165770343E-4</v>
      </c>
      <c r="L29" s="14">
        <f t="shared" si="3"/>
        <v>2.1834849263505844E-4</v>
      </c>
      <c r="M29" s="64">
        <f t="shared" si="2"/>
        <v>1.9656939652820248E-4</v>
      </c>
      <c r="N29" s="14">
        <f t="shared" si="4"/>
        <v>8.0832490241157363E-5</v>
      </c>
      <c r="O29" s="66">
        <v>700</v>
      </c>
      <c r="P29" s="283">
        <v>125</v>
      </c>
      <c r="Q29" s="144" t="s">
        <v>235</v>
      </c>
    </row>
    <row r="30" spans="6:17" x14ac:dyDescent="0.3">
      <c r="F30" s="89" t="s">
        <v>108</v>
      </c>
      <c r="G30" s="19"/>
      <c r="H30" s="20"/>
      <c r="I30" s="20"/>
      <c r="J30" s="20"/>
      <c r="K30" s="14">
        <f t="shared" ref="K30:M34" si="5">+K23/2</f>
        <v>2.2349711585155461E-4</v>
      </c>
      <c r="L30" s="14">
        <f t="shared" si="5"/>
        <v>2.2116795351845737E-4</v>
      </c>
      <c r="M30" s="21">
        <f t="shared" si="5"/>
        <v>2.1623292074537278E-4</v>
      </c>
      <c r="N30" s="22" t="s">
        <v>24</v>
      </c>
      <c r="O30" s="23">
        <f>O23*2*0.9</f>
        <v>684</v>
      </c>
      <c r="P30" s="291"/>
      <c r="Q30" s="143" t="s">
        <v>236</v>
      </c>
    </row>
    <row r="31" spans="6:17" x14ac:dyDescent="0.3">
      <c r="F31" s="89" t="s">
        <v>223</v>
      </c>
      <c r="G31" s="19"/>
      <c r="H31" s="20"/>
      <c r="I31" s="20"/>
      <c r="J31" s="20"/>
      <c r="K31" s="14">
        <f t="shared" si="5"/>
        <v>1.9735845998640342E-4</v>
      </c>
      <c r="L31" s="14">
        <f t="shared" si="5"/>
        <v>1.9349150067393323E-4</v>
      </c>
      <c r="M31" s="21">
        <f t="shared" si="5"/>
        <v>1.8703399957112262E-4</v>
      </c>
      <c r="N31" s="22" t="s">
        <v>24</v>
      </c>
      <c r="O31" s="23">
        <f>O24*2*0.9</f>
        <v>738</v>
      </c>
      <c r="P31" s="291"/>
      <c r="Q31" s="143" t="s">
        <v>237</v>
      </c>
    </row>
    <row r="32" spans="6:17" x14ac:dyDescent="0.3">
      <c r="F32" s="89" t="s">
        <v>109</v>
      </c>
      <c r="G32" s="19"/>
      <c r="H32" s="20"/>
      <c r="I32" s="20"/>
      <c r="J32" s="20"/>
      <c r="K32" s="14">
        <f t="shared" si="5"/>
        <v>1.7536142165848191E-4</v>
      </c>
      <c r="L32" s="14">
        <f t="shared" si="5"/>
        <v>1.7011964745051664E-4</v>
      </c>
      <c r="M32" s="21">
        <f t="shared" si="5"/>
        <v>1.6228733145221095E-4</v>
      </c>
      <c r="N32" s="22" t="s">
        <v>24</v>
      </c>
      <c r="O32" s="23">
        <f>O25*2*0.9</f>
        <v>810</v>
      </c>
      <c r="P32" s="291"/>
      <c r="Q32" s="143" t="s">
        <v>238</v>
      </c>
    </row>
    <row r="33" spans="6:20" x14ac:dyDescent="0.3">
      <c r="F33" s="89" t="s">
        <v>110</v>
      </c>
      <c r="G33" s="24"/>
      <c r="H33" s="25"/>
      <c r="I33" s="25"/>
      <c r="J33" s="25"/>
      <c r="K33" s="14">
        <f t="shared" si="5"/>
        <v>1.5338525107868998E-4</v>
      </c>
      <c r="L33" s="14">
        <f t="shared" si="5"/>
        <v>1.4696170423388559E-4</v>
      </c>
      <c r="M33" s="21">
        <f t="shared" si="5"/>
        <v>1.3797827289803474E-4</v>
      </c>
      <c r="N33" s="26" t="s">
        <v>24</v>
      </c>
      <c r="O33" s="23">
        <f>O26*2*0.9</f>
        <v>945</v>
      </c>
      <c r="P33" s="291"/>
      <c r="Q33" s="143" t="s">
        <v>239</v>
      </c>
      <c r="T33" s="1">
        <v>961.65</v>
      </c>
    </row>
    <row r="34" spans="6:20" x14ac:dyDescent="0.3">
      <c r="F34" s="90" t="s">
        <v>111</v>
      </c>
      <c r="G34" s="24"/>
      <c r="H34" s="25"/>
      <c r="I34" s="25"/>
      <c r="J34" s="25"/>
      <c r="K34" s="27">
        <f t="shared" si="5"/>
        <v>1.3882976812759447E-4</v>
      </c>
      <c r="L34" s="27">
        <f t="shared" si="5"/>
        <v>1.3168824162274447E-4</v>
      </c>
      <c r="M34" s="28">
        <f t="shared" si="5"/>
        <v>1.22017487926142E-4</v>
      </c>
      <c r="N34" s="26" t="s">
        <v>24</v>
      </c>
      <c r="O34" s="29">
        <f>O27*2*0.9</f>
        <v>1080</v>
      </c>
      <c r="P34" s="285"/>
      <c r="Q34" s="145" t="s">
        <v>262</v>
      </c>
      <c r="T34" s="1">
        <v>1.2</v>
      </c>
    </row>
    <row r="35" spans="6:20" x14ac:dyDescent="0.3">
      <c r="F35" s="90" t="s">
        <v>206</v>
      </c>
      <c r="G35" s="24"/>
      <c r="H35" s="25"/>
      <c r="I35" s="25"/>
      <c r="J35" s="25"/>
      <c r="K35" s="27">
        <f t="shared" ref="K35:M36" si="6">+K23/3</f>
        <v>1.4899807723436974E-4</v>
      </c>
      <c r="L35" s="27">
        <f t="shared" si="6"/>
        <v>1.4744530234563825E-4</v>
      </c>
      <c r="M35" s="28">
        <f t="shared" si="6"/>
        <v>1.441552804969152E-4</v>
      </c>
      <c r="N35" s="26" t="s">
        <v>24</v>
      </c>
      <c r="O35" s="29">
        <f>O23*3*0.9</f>
        <v>1026</v>
      </c>
      <c r="P35" s="285"/>
      <c r="Q35" s="143" t="s">
        <v>274</v>
      </c>
    </row>
    <row r="36" spans="6:20" x14ac:dyDescent="0.3">
      <c r="F36" s="90" t="s">
        <v>314</v>
      </c>
      <c r="G36" s="24"/>
      <c r="H36" s="25"/>
      <c r="I36" s="25"/>
      <c r="J36" s="25"/>
      <c r="K36" s="27">
        <f t="shared" si="6"/>
        <v>1.3157230665760227E-4</v>
      </c>
      <c r="L36" s="27">
        <f t="shared" si="6"/>
        <v>1.2899433378262215E-4</v>
      </c>
      <c r="M36" s="28">
        <f t="shared" si="6"/>
        <v>1.2468933304741507E-4</v>
      </c>
      <c r="N36" s="26"/>
      <c r="O36" s="29">
        <f>O24*3*0.9</f>
        <v>1107</v>
      </c>
      <c r="P36" s="285"/>
      <c r="Q36" s="145" t="s">
        <v>315</v>
      </c>
    </row>
    <row r="37" spans="6:20" x14ac:dyDescent="0.3">
      <c r="F37" s="90" t="s">
        <v>205</v>
      </c>
      <c r="G37" s="24"/>
      <c r="H37" s="25"/>
      <c r="I37" s="25"/>
      <c r="J37" s="25"/>
      <c r="K37" s="27">
        <f>+K25/3</f>
        <v>1.1690761443898794E-4</v>
      </c>
      <c r="L37" s="27">
        <f>+L24/3</f>
        <v>1.2899433378262215E-4</v>
      </c>
      <c r="M37" s="28">
        <f>+M27/3</f>
        <v>8.134499195076133E-5</v>
      </c>
      <c r="N37" s="26" t="s">
        <v>24</v>
      </c>
      <c r="O37" s="29">
        <f>O24*3*0.9</f>
        <v>1107</v>
      </c>
      <c r="P37" s="285"/>
      <c r="Q37" s="145" t="s">
        <v>240</v>
      </c>
      <c r="T37" s="1">
        <f>T33*T34</f>
        <v>1153.98</v>
      </c>
    </row>
    <row r="38" spans="6:20" x14ac:dyDescent="0.3">
      <c r="F38" s="114" t="s">
        <v>153</v>
      </c>
      <c r="G38" s="115"/>
      <c r="H38" s="116"/>
      <c r="I38" s="116"/>
      <c r="J38" s="116"/>
      <c r="K38" s="117">
        <f>+K25/3</f>
        <v>1.1690761443898794E-4</v>
      </c>
      <c r="L38" s="117">
        <f>+L25/3</f>
        <v>1.1341309830034442E-4</v>
      </c>
      <c r="M38" s="117">
        <f t="shared" ref="M38:N41" si="7">+M25/3</f>
        <v>1.0819155430147396E-4</v>
      </c>
      <c r="N38" s="117">
        <f t="shared" si="7"/>
        <v>7.2955371428949862E-5</v>
      </c>
      <c r="O38" s="118">
        <f>O25*3*0.9</f>
        <v>1215</v>
      </c>
      <c r="P38" s="281"/>
      <c r="Q38" s="145" t="s">
        <v>241</v>
      </c>
    </row>
    <row r="39" spans="6:20" x14ac:dyDescent="0.3">
      <c r="F39" s="114" t="s">
        <v>112</v>
      </c>
      <c r="G39" s="115"/>
      <c r="H39" s="116"/>
      <c r="I39" s="116"/>
      <c r="J39" s="116"/>
      <c r="K39" s="117">
        <f>+K26/3</f>
        <v>1.0225683405245998E-4</v>
      </c>
      <c r="L39" s="117">
        <f>+L26/3</f>
        <v>9.7974469489257063E-5</v>
      </c>
      <c r="M39" s="117">
        <f t="shared" si="7"/>
        <v>9.1985515265356486E-5</v>
      </c>
      <c r="N39" s="117">
        <f t="shared" si="7"/>
        <v>5.5507921349574355E-5</v>
      </c>
      <c r="O39" s="118">
        <f>O27*3*0.9</f>
        <v>1620</v>
      </c>
      <c r="P39" s="281"/>
      <c r="Q39" s="145" t="s">
        <v>263</v>
      </c>
    </row>
    <row r="40" spans="6:20" x14ac:dyDescent="0.3">
      <c r="F40" s="119" t="s">
        <v>115</v>
      </c>
      <c r="G40" s="115"/>
      <c r="H40" s="116"/>
      <c r="I40" s="116"/>
      <c r="J40" s="116"/>
      <c r="K40" s="117">
        <f>+K27/3</f>
        <v>9.2553178751729652E-5</v>
      </c>
      <c r="L40" s="117">
        <f>+L27/3</f>
        <v>8.779216108182964E-5</v>
      </c>
      <c r="M40" s="117">
        <f t="shared" si="7"/>
        <v>8.134499195076133E-5</v>
      </c>
      <c r="N40" s="117">
        <f t="shared" si="7"/>
        <v>4.4244377627445873E-5</v>
      </c>
      <c r="O40" s="118">
        <f>O28*3*0.9</f>
        <v>1836</v>
      </c>
      <c r="P40" s="281"/>
      <c r="Q40" s="145" t="s">
        <v>242</v>
      </c>
    </row>
    <row r="41" spans="6:20" x14ac:dyDescent="0.3">
      <c r="F41" s="119" t="s">
        <v>118</v>
      </c>
      <c r="G41" s="115"/>
      <c r="H41" s="116"/>
      <c r="I41" s="116"/>
      <c r="J41" s="116"/>
      <c r="K41" s="117">
        <f>+K28/3</f>
        <v>8.449160923022199E-5</v>
      </c>
      <c r="L41" s="117">
        <f>+L28/3</f>
        <v>7.9290656140027044E-5</v>
      </c>
      <c r="M41" s="117">
        <f t="shared" si="7"/>
        <v>7.2413770688428453E-5</v>
      </c>
      <c r="N41" s="117">
        <f t="shared" si="7"/>
        <v>3.4600428427453522E-5</v>
      </c>
      <c r="O41" s="118">
        <f>O29*3*0.9</f>
        <v>1890</v>
      </c>
      <c r="P41" s="281"/>
      <c r="Q41" s="145" t="s">
        <v>243</v>
      </c>
    </row>
    <row r="42" spans="6:20" x14ac:dyDescent="0.3">
      <c r="F42" s="119" t="s">
        <v>155</v>
      </c>
      <c r="G42" s="110"/>
      <c r="H42" s="111"/>
      <c r="I42" s="111"/>
      <c r="J42" s="111"/>
      <c r="K42" s="112">
        <f t="shared" ref="K42:N45" si="8">+K26/4</f>
        <v>7.669262553934499E-5</v>
      </c>
      <c r="L42" s="112">
        <f t="shared" si="8"/>
        <v>7.3480852116942797E-5</v>
      </c>
      <c r="M42" s="112">
        <f t="shared" si="8"/>
        <v>6.8989136449017368E-5</v>
      </c>
      <c r="N42" s="112">
        <f t="shared" si="8"/>
        <v>4.1630941012180768E-5</v>
      </c>
      <c r="O42" s="113">
        <f>O27*4*0.9</f>
        <v>2160</v>
      </c>
      <c r="P42" s="282"/>
      <c r="Q42" s="145" t="s">
        <v>244</v>
      </c>
    </row>
    <row r="43" spans="6:20" x14ac:dyDescent="0.3">
      <c r="F43" s="119" t="s">
        <v>113</v>
      </c>
      <c r="G43" s="110"/>
      <c r="H43" s="111"/>
      <c r="I43" s="111"/>
      <c r="J43" s="111"/>
      <c r="K43" s="112">
        <f t="shared" si="8"/>
        <v>6.9414884063797235E-5</v>
      </c>
      <c r="L43" s="112">
        <f t="shared" si="8"/>
        <v>6.5844120811372233E-5</v>
      </c>
      <c r="M43" s="112">
        <f t="shared" si="8"/>
        <v>6.1008743963071001E-5</v>
      </c>
      <c r="N43" s="112">
        <f t="shared" si="8"/>
        <v>3.3183283220584406E-5</v>
      </c>
      <c r="O43" s="113">
        <f>O28*4*0.9</f>
        <v>2448</v>
      </c>
      <c r="P43" s="282"/>
      <c r="Q43" s="147" t="s">
        <v>264</v>
      </c>
    </row>
    <row r="44" spans="6:20" x14ac:dyDescent="0.3">
      <c r="F44" s="119" t="s">
        <v>116</v>
      </c>
      <c r="G44" s="110"/>
      <c r="H44" s="111"/>
      <c r="I44" s="111"/>
      <c r="J44" s="111"/>
      <c r="K44" s="112">
        <f t="shared" si="8"/>
        <v>6.3368706922666489E-5</v>
      </c>
      <c r="L44" s="112">
        <f t="shared" si="8"/>
        <v>5.946799210502028E-5</v>
      </c>
      <c r="M44" s="112">
        <f t="shared" si="8"/>
        <v>5.431032801632134E-5</v>
      </c>
      <c r="N44" s="112">
        <f t="shared" si="8"/>
        <v>2.5950321320590141E-5</v>
      </c>
      <c r="O44" s="113">
        <f>O29*4*0.9</f>
        <v>2520</v>
      </c>
      <c r="P44" s="282"/>
      <c r="Q44" s="147" t="s">
        <v>245</v>
      </c>
    </row>
    <row r="45" spans="6:20" x14ac:dyDescent="0.3">
      <c r="F45" s="119" t="s">
        <v>119</v>
      </c>
      <c r="G45" s="110"/>
      <c r="H45" s="111"/>
      <c r="I45" s="111"/>
      <c r="J45" s="111"/>
      <c r="K45" s="112">
        <f t="shared" si="8"/>
        <v>5.8774947914425857E-5</v>
      </c>
      <c r="L45" s="112">
        <f t="shared" si="8"/>
        <v>5.4587123158764611E-5</v>
      </c>
      <c r="M45" s="112">
        <f t="shared" si="8"/>
        <v>4.914234913205062E-5</v>
      </c>
      <c r="N45" s="112">
        <f t="shared" si="8"/>
        <v>2.0208122560289341E-5</v>
      </c>
      <c r="O45" s="113">
        <f>O30*4*0.9</f>
        <v>2462.4</v>
      </c>
      <c r="P45" s="282"/>
      <c r="Q45" s="147" t="s">
        <v>246</v>
      </c>
    </row>
    <row r="46" spans="6:20" x14ac:dyDescent="0.3">
      <c r="F46" s="119" t="s">
        <v>199</v>
      </c>
      <c r="G46" s="30"/>
      <c r="H46" s="31"/>
      <c r="I46" s="31"/>
      <c r="J46" s="31"/>
      <c r="K46" s="117">
        <f t="shared" ref="K46:N49" si="9">+K26/5</f>
        <v>6.1354100431475997E-5</v>
      </c>
      <c r="L46" s="117">
        <f t="shared" si="9"/>
        <v>5.8784681693554238E-5</v>
      </c>
      <c r="M46" s="117">
        <f t="shared" si="9"/>
        <v>5.5191309159213896E-5</v>
      </c>
      <c r="N46" s="117">
        <f t="shared" si="9"/>
        <v>3.3304752809744614E-5</v>
      </c>
      <c r="O46" s="118">
        <f>O26*5*0.9</f>
        <v>2362.5</v>
      </c>
      <c r="P46" s="281"/>
      <c r="Q46" s="147" t="s">
        <v>247</v>
      </c>
    </row>
    <row r="47" spans="6:20" x14ac:dyDescent="0.3">
      <c r="F47" s="119" t="s">
        <v>200</v>
      </c>
      <c r="G47" s="30"/>
      <c r="H47" s="31"/>
      <c r="I47" s="31"/>
      <c r="J47" s="31"/>
      <c r="K47" s="117">
        <f t="shared" si="9"/>
        <v>5.5531907251037786E-5</v>
      </c>
      <c r="L47" s="117">
        <f t="shared" si="9"/>
        <v>5.2675296649097789E-5</v>
      </c>
      <c r="M47" s="117">
        <f t="shared" si="9"/>
        <v>4.8806995170456804E-5</v>
      </c>
      <c r="N47" s="117">
        <f t="shared" si="9"/>
        <v>2.6546626576467526E-5</v>
      </c>
      <c r="O47" s="118">
        <f>O27*5*0.9</f>
        <v>2700</v>
      </c>
      <c r="P47" s="281"/>
      <c r="Q47" s="143" t="s">
        <v>265</v>
      </c>
    </row>
    <row r="48" spans="6:20" x14ac:dyDescent="0.3">
      <c r="F48" s="119" t="s">
        <v>201</v>
      </c>
      <c r="G48" s="24"/>
      <c r="H48" s="296"/>
      <c r="I48" s="296"/>
      <c r="J48" s="296"/>
      <c r="K48" s="117">
        <f t="shared" si="9"/>
        <v>5.069496553813319E-5</v>
      </c>
      <c r="L48" s="117">
        <f t="shared" si="9"/>
        <v>4.7574393684016222E-5</v>
      </c>
      <c r="M48" s="117">
        <f t="shared" si="9"/>
        <v>4.3448262413057072E-5</v>
      </c>
      <c r="N48" s="117">
        <f t="shared" si="9"/>
        <v>2.0760257056472114E-5</v>
      </c>
      <c r="O48" s="118">
        <f>O28*5*0.9</f>
        <v>3060</v>
      </c>
      <c r="P48" s="281"/>
      <c r="Q48" s="145" t="s">
        <v>248</v>
      </c>
    </row>
    <row r="49" spans="1:17" ht="21" customHeight="1" x14ac:dyDescent="0.3">
      <c r="F49" s="120" t="s">
        <v>120</v>
      </c>
      <c r="G49" s="19"/>
      <c r="H49" s="31"/>
      <c r="I49" s="31"/>
      <c r="J49" s="31"/>
      <c r="K49" s="297">
        <f t="shared" si="9"/>
        <v>4.7019958331540688E-5</v>
      </c>
      <c r="L49" s="297">
        <f t="shared" si="9"/>
        <v>4.366969852701169E-5</v>
      </c>
      <c r="M49" s="297">
        <f t="shared" si="9"/>
        <v>3.9313879305640495E-5</v>
      </c>
      <c r="N49" s="297">
        <f t="shared" si="9"/>
        <v>1.6166498048231472E-5</v>
      </c>
      <c r="O49" s="179">
        <f>O29*5*0.9</f>
        <v>3150</v>
      </c>
      <c r="P49" s="298"/>
      <c r="Q49" s="299" t="s">
        <v>261</v>
      </c>
    </row>
    <row r="50" spans="1:17" ht="21" customHeight="1" x14ac:dyDescent="0.3">
      <c r="F50" s="120" t="s">
        <v>275</v>
      </c>
      <c r="G50" s="19"/>
      <c r="H50" s="31"/>
      <c r="I50" s="31"/>
      <c r="J50" s="31"/>
      <c r="K50" s="297">
        <f>+K27/6</f>
        <v>4.6276589375864826E-5</v>
      </c>
      <c r="L50" s="297">
        <f>+L27/6</f>
        <v>4.389608054091482E-5</v>
      </c>
      <c r="M50" s="297">
        <f>+M27/6</f>
        <v>4.0672495975380665E-5</v>
      </c>
      <c r="N50" s="297">
        <f>+N27/6</f>
        <v>2.2122188813722936E-5</v>
      </c>
      <c r="O50" s="179">
        <f>O27*6*0.9</f>
        <v>3240</v>
      </c>
      <c r="P50" s="298"/>
      <c r="Q50" s="143" t="s">
        <v>276</v>
      </c>
    </row>
    <row r="51" spans="1:17" x14ac:dyDescent="0.3">
      <c r="F51" s="63"/>
      <c r="G51" s="8"/>
      <c r="H51" s="60"/>
      <c r="I51" s="60"/>
      <c r="J51" s="60"/>
      <c r="K51" s="17"/>
      <c r="L51" s="17"/>
      <c r="M51" s="59"/>
      <c r="N51" s="58"/>
      <c r="O51" s="47"/>
      <c r="P51" s="47"/>
      <c r="Q51" s="3"/>
    </row>
    <row r="52" spans="1:17" x14ac:dyDescent="0.3">
      <c r="F52" s="63"/>
      <c r="G52" s="8"/>
      <c r="H52" s="60"/>
      <c r="I52" s="60"/>
      <c r="J52" s="60"/>
      <c r="K52" s="17"/>
      <c r="L52" s="17"/>
      <c r="M52" s="59"/>
      <c r="N52" s="58"/>
      <c r="O52" s="47"/>
      <c r="P52" s="47"/>
      <c r="Q52" s="3"/>
    </row>
    <row r="53" spans="1:17" x14ac:dyDescent="0.3">
      <c r="F53" s="63"/>
      <c r="G53" s="8"/>
      <c r="H53" s="60"/>
      <c r="I53" s="60"/>
      <c r="J53" s="60"/>
      <c r="K53" s="17"/>
      <c r="L53" s="17"/>
      <c r="M53" s="59"/>
      <c r="N53" s="58"/>
      <c r="O53" s="47"/>
      <c r="P53" s="47"/>
      <c r="Q53" s="3"/>
    </row>
    <row r="55" spans="1:17" x14ac:dyDescent="0.3">
      <c r="F55" s="32" t="s">
        <v>25</v>
      </c>
      <c r="G55" s="33"/>
      <c r="H55" s="33"/>
    </row>
    <row r="56" spans="1:17" x14ac:dyDescent="0.3">
      <c r="F56" s="34"/>
      <c r="K56" s="2"/>
      <c r="L56" s="2"/>
    </row>
    <row r="57" spans="1:17" x14ac:dyDescent="0.3">
      <c r="F57" s="36" t="s">
        <v>26</v>
      </c>
      <c r="I57" s="461">
        <v>25</v>
      </c>
      <c r="J57" s="2" t="s">
        <v>27</v>
      </c>
      <c r="L57" s="2"/>
    </row>
    <row r="58" spans="1:17" x14ac:dyDescent="0.3">
      <c r="F58" s="2" t="s">
        <v>48</v>
      </c>
      <c r="I58" s="461">
        <v>90</v>
      </c>
      <c r="J58" s="2" t="s">
        <v>27</v>
      </c>
      <c r="L58" s="2"/>
    </row>
    <row r="59" spans="1:17" x14ac:dyDescent="0.3">
      <c r="F59" s="2" t="s">
        <v>46</v>
      </c>
      <c r="I59" s="461">
        <v>15</v>
      </c>
      <c r="J59" s="2" t="s">
        <v>3</v>
      </c>
      <c r="L59" s="2"/>
    </row>
    <row r="60" spans="1:17" x14ac:dyDescent="0.3">
      <c r="F60" s="1" t="s">
        <v>54</v>
      </c>
      <c r="I60" s="461">
        <v>2</v>
      </c>
      <c r="J60" s="1" t="s">
        <v>55</v>
      </c>
      <c r="K60" s="2"/>
      <c r="L60" s="2"/>
    </row>
    <row r="61" spans="1:17" x14ac:dyDescent="0.3">
      <c r="A61" s="2"/>
      <c r="D61" s="2"/>
      <c r="F61" s="2"/>
    </row>
    <row r="62" spans="1:17" ht="20.25" x14ac:dyDescent="0.3">
      <c r="B62" s="38"/>
      <c r="C62" s="38"/>
      <c r="D62" s="428" t="s">
        <v>401</v>
      </c>
      <c r="E62" s="430"/>
      <c r="F62" s="80" t="s">
        <v>60</v>
      </c>
    </row>
    <row r="63" spans="1:17" x14ac:dyDescent="0.3">
      <c r="B63" s="38"/>
      <c r="C63" s="38"/>
      <c r="D63" s="2"/>
      <c r="F63" s="74" t="s">
        <v>56</v>
      </c>
      <c r="G63" s="75"/>
      <c r="H63" s="75"/>
      <c r="I63" s="75"/>
      <c r="J63" s="75"/>
      <c r="K63" s="75"/>
      <c r="L63" s="76"/>
    </row>
    <row r="64" spans="1:17" x14ac:dyDescent="0.3">
      <c r="B64" s="38"/>
      <c r="C64" s="38"/>
      <c r="D64" s="2"/>
      <c r="F64" s="77" t="s">
        <v>57</v>
      </c>
      <c r="G64" s="78"/>
      <c r="H64" s="49"/>
      <c r="I64" s="49"/>
      <c r="J64" s="49"/>
      <c r="K64" s="49"/>
      <c r="L64" s="50"/>
    </row>
    <row r="65" spans="2:25" ht="39.75" customHeight="1" x14ac:dyDescent="0.3">
      <c r="B65" s="38"/>
      <c r="C65" s="38"/>
      <c r="D65" s="2"/>
      <c r="F65" s="72" t="s">
        <v>59</v>
      </c>
      <c r="G65" s="99" t="s">
        <v>58</v>
      </c>
      <c r="H65" s="99" t="s">
        <v>150</v>
      </c>
    </row>
    <row r="66" spans="2:25" x14ac:dyDescent="0.3">
      <c r="B66" s="38"/>
      <c r="C66" s="38"/>
      <c r="D66" s="2"/>
      <c r="F66" s="67">
        <v>10</v>
      </c>
      <c r="G66" s="79">
        <v>1.07</v>
      </c>
      <c r="H66" s="16">
        <v>1.1499999999999999</v>
      </c>
    </row>
    <row r="67" spans="2:25" x14ac:dyDescent="0.3">
      <c r="B67" s="38"/>
      <c r="C67" s="38"/>
      <c r="D67" s="2"/>
      <c r="F67" s="67">
        <v>15</v>
      </c>
      <c r="G67" s="79">
        <v>1.04</v>
      </c>
      <c r="H67" s="16">
        <v>1.1200000000000001</v>
      </c>
    </row>
    <row r="68" spans="2:25" x14ac:dyDescent="0.3">
      <c r="B68" s="38"/>
      <c r="C68" s="38"/>
      <c r="D68" s="2"/>
      <c r="F68" s="67">
        <v>20</v>
      </c>
      <c r="G68" s="79">
        <v>1</v>
      </c>
      <c r="H68" s="16">
        <v>1.08</v>
      </c>
    </row>
    <row r="69" spans="2:25" x14ac:dyDescent="0.3">
      <c r="B69" s="38"/>
      <c r="C69" s="38"/>
      <c r="D69" s="2"/>
      <c r="F69" s="67">
        <v>25</v>
      </c>
      <c r="G69" s="79">
        <v>0.96</v>
      </c>
      <c r="H69" s="16">
        <v>1.04</v>
      </c>
    </row>
    <row r="70" spans="2:25" x14ac:dyDescent="0.3">
      <c r="B70" s="38"/>
      <c r="C70" s="38"/>
      <c r="D70" s="2"/>
      <c r="F70" s="484">
        <v>30</v>
      </c>
      <c r="G70" s="485">
        <v>0.93</v>
      </c>
      <c r="H70" s="486">
        <v>1</v>
      </c>
    </row>
    <row r="71" spans="2:25" x14ac:dyDescent="0.3">
      <c r="B71" s="38"/>
      <c r="C71" s="38"/>
      <c r="D71" s="2"/>
      <c r="F71" s="67">
        <v>35</v>
      </c>
      <c r="G71" s="79">
        <v>0.89</v>
      </c>
      <c r="H71" s="16">
        <v>0.96</v>
      </c>
    </row>
    <row r="72" spans="2:25" x14ac:dyDescent="0.3">
      <c r="B72" s="38"/>
      <c r="C72" s="38"/>
      <c r="D72" s="2"/>
      <c r="F72" s="67">
        <v>40</v>
      </c>
      <c r="G72" s="79">
        <v>0.85</v>
      </c>
      <c r="H72" s="16">
        <v>0.91</v>
      </c>
    </row>
    <row r="73" spans="2:25" x14ac:dyDescent="0.3">
      <c r="B73" s="38"/>
      <c r="C73" s="38"/>
      <c r="D73" s="2"/>
      <c r="F73" s="67">
        <v>45</v>
      </c>
      <c r="G73" s="79">
        <v>0.8</v>
      </c>
      <c r="H73" s="16">
        <v>0.87</v>
      </c>
    </row>
    <row r="74" spans="2:25" x14ac:dyDescent="0.3">
      <c r="B74" s="38"/>
      <c r="C74" s="38"/>
      <c r="D74" s="2"/>
      <c r="F74" s="2"/>
    </row>
    <row r="75" spans="2:25" ht="20.25" x14ac:dyDescent="0.3">
      <c r="B75" s="38"/>
      <c r="C75" s="38"/>
      <c r="D75" s="428" t="s">
        <v>402</v>
      </c>
      <c r="E75" s="430"/>
      <c r="F75" s="80" t="s">
        <v>61</v>
      </c>
    </row>
    <row r="76" spans="2:25" x14ac:dyDescent="0.3">
      <c r="F76" s="40" t="s">
        <v>73</v>
      </c>
      <c r="G76" s="41"/>
      <c r="H76" s="41"/>
      <c r="I76" s="41"/>
      <c r="J76" s="41"/>
      <c r="K76" s="41"/>
      <c r="L76" s="62"/>
    </row>
    <row r="77" spans="2:25" x14ac:dyDescent="0.3">
      <c r="E77" s="43"/>
      <c r="F77" s="82" t="s">
        <v>74</v>
      </c>
      <c r="G77" s="82"/>
      <c r="H77" s="79">
        <v>1</v>
      </c>
      <c r="I77" s="79">
        <v>1.5</v>
      </c>
      <c r="J77" s="79">
        <v>2</v>
      </c>
      <c r="K77" s="79">
        <v>2.5</v>
      </c>
      <c r="L77" s="79">
        <v>3</v>
      </c>
      <c r="M77" s="44"/>
      <c r="N77" s="45"/>
      <c r="O77" s="46"/>
      <c r="P77" s="46"/>
      <c r="Q77" s="148"/>
      <c r="Y77" s="47"/>
    </row>
    <row r="78" spans="2:25" x14ac:dyDescent="0.3">
      <c r="E78" s="43"/>
      <c r="F78" s="82" t="s">
        <v>75</v>
      </c>
      <c r="G78" s="82"/>
      <c r="H78" s="79">
        <v>1.18</v>
      </c>
      <c r="I78" s="79">
        <v>1.1000000000000001</v>
      </c>
      <c r="J78" s="79">
        <v>1.05</v>
      </c>
      <c r="K78" s="79">
        <v>1</v>
      </c>
      <c r="L78" s="79">
        <v>0.96</v>
      </c>
      <c r="M78" s="44"/>
      <c r="N78" s="45"/>
      <c r="O78" s="46"/>
      <c r="P78" s="46"/>
      <c r="Q78" s="148"/>
      <c r="Y78" s="47"/>
    </row>
    <row r="79" spans="2:25" x14ac:dyDescent="0.3">
      <c r="E79" s="43"/>
      <c r="F79" s="43" t="s">
        <v>76</v>
      </c>
      <c r="G79" s="43"/>
      <c r="H79" s="43"/>
      <c r="I79" s="43"/>
      <c r="J79" s="43"/>
      <c r="K79" s="17"/>
      <c r="L79" s="17"/>
      <c r="M79" s="44"/>
      <c r="N79" s="45"/>
      <c r="O79" s="46"/>
      <c r="P79" s="46"/>
      <c r="Q79" s="148"/>
      <c r="Y79" s="47"/>
    </row>
    <row r="80" spans="2:25" ht="33" x14ac:dyDescent="0.3">
      <c r="E80" s="43"/>
      <c r="F80" s="83" t="s">
        <v>74</v>
      </c>
      <c r="G80" s="83" t="s">
        <v>77</v>
      </c>
      <c r="H80" s="91" t="s">
        <v>78</v>
      </c>
      <c r="J80" s="43"/>
      <c r="K80" s="17"/>
      <c r="L80" s="17"/>
      <c r="M80" s="44"/>
      <c r="N80" s="45"/>
      <c r="O80" s="46"/>
      <c r="P80" s="46"/>
      <c r="Q80" s="148"/>
      <c r="Y80" s="47"/>
    </row>
    <row r="81" spans="4:25" x14ac:dyDescent="0.3">
      <c r="E81" s="43"/>
      <c r="F81" s="81">
        <v>0.7</v>
      </c>
      <c r="G81" s="82" t="s">
        <v>79</v>
      </c>
      <c r="H81" s="82" t="s">
        <v>83</v>
      </c>
      <c r="I81" s="82"/>
      <c r="J81" s="43"/>
      <c r="K81" s="17"/>
      <c r="L81" s="17"/>
      <c r="M81" s="44"/>
      <c r="N81" s="45"/>
      <c r="O81" s="46"/>
      <c r="P81" s="46"/>
      <c r="Q81" s="148"/>
      <c r="Y81" s="47"/>
    </row>
    <row r="82" spans="4:25" x14ac:dyDescent="0.3">
      <c r="E82" s="43"/>
      <c r="F82" s="81">
        <v>1</v>
      </c>
      <c r="G82" s="82" t="s">
        <v>80</v>
      </c>
      <c r="H82" s="82" t="s">
        <v>84</v>
      </c>
      <c r="I82" s="82"/>
      <c r="J82" s="43"/>
      <c r="K82" s="17"/>
      <c r="L82" s="17"/>
      <c r="M82" s="44"/>
      <c r="N82" s="45"/>
      <c r="O82" s="46"/>
      <c r="P82" s="46"/>
      <c r="Q82" s="148"/>
      <c r="Y82" s="47"/>
    </row>
    <row r="83" spans="4:25" x14ac:dyDescent="0.3">
      <c r="E83" s="43"/>
      <c r="F83" s="81">
        <v>2</v>
      </c>
      <c r="G83" s="82" t="s">
        <v>81</v>
      </c>
      <c r="H83" s="82" t="s">
        <v>85</v>
      </c>
      <c r="I83" s="82"/>
      <c r="J83" s="43"/>
      <c r="K83" s="17"/>
      <c r="L83" s="17"/>
      <c r="M83" s="44"/>
      <c r="N83" s="45"/>
      <c r="O83" s="46"/>
      <c r="P83" s="46"/>
      <c r="Q83" s="148"/>
      <c r="Y83" s="47"/>
    </row>
    <row r="84" spans="4:25" x14ac:dyDescent="0.3">
      <c r="E84" s="43"/>
      <c r="F84" s="81">
        <v>3</v>
      </c>
      <c r="G84" s="82" t="s">
        <v>82</v>
      </c>
      <c r="H84" s="82" t="s">
        <v>86</v>
      </c>
      <c r="I84" s="82"/>
      <c r="J84" s="43"/>
      <c r="K84" s="17"/>
      <c r="L84" s="17"/>
      <c r="M84" s="44"/>
      <c r="N84" s="45"/>
      <c r="O84" s="46"/>
      <c r="P84" s="46"/>
      <c r="Q84" s="148"/>
      <c r="Y84" s="47"/>
    </row>
    <row r="85" spans="4:25" x14ac:dyDescent="0.3">
      <c r="E85" s="43"/>
      <c r="F85" s="43"/>
      <c r="G85" s="43"/>
      <c r="H85" s="43"/>
      <c r="I85" s="43"/>
      <c r="J85" s="43"/>
      <c r="K85" s="17"/>
      <c r="L85" s="17"/>
      <c r="M85" s="44"/>
      <c r="N85" s="45"/>
      <c r="O85" s="46"/>
      <c r="P85" s="46"/>
      <c r="Q85" s="148"/>
      <c r="Y85" s="47"/>
    </row>
    <row r="86" spans="4:25" ht="20.25" x14ac:dyDescent="0.3">
      <c r="D86" s="428" t="s">
        <v>400</v>
      </c>
      <c r="E86" s="429"/>
      <c r="F86" s="43" t="s">
        <v>87</v>
      </c>
      <c r="G86" s="43"/>
      <c r="H86" s="43"/>
      <c r="I86" s="43"/>
      <c r="J86" s="43"/>
      <c r="K86" s="17"/>
      <c r="L86" s="17"/>
      <c r="M86" s="44"/>
      <c r="N86" s="45"/>
      <c r="O86" s="46"/>
      <c r="P86" s="46"/>
      <c r="Q86" s="148"/>
      <c r="Y86" s="47"/>
    </row>
    <row r="87" spans="4:25" x14ac:dyDescent="0.3">
      <c r="E87" s="43"/>
      <c r="F87" s="82" t="s">
        <v>88</v>
      </c>
      <c r="G87" s="82"/>
      <c r="H87" s="81">
        <v>0.4</v>
      </c>
      <c r="I87" s="81">
        <v>0.5</v>
      </c>
      <c r="J87" s="81">
        <v>0.6</v>
      </c>
      <c r="K87" s="81">
        <v>0.7</v>
      </c>
      <c r="L87" s="81">
        <v>0.8</v>
      </c>
      <c r="M87" s="79">
        <v>0.9</v>
      </c>
      <c r="N87" s="79">
        <v>1</v>
      </c>
      <c r="O87" s="81">
        <v>1.2</v>
      </c>
      <c r="P87" s="38"/>
      <c r="Q87" s="149"/>
      <c r="Y87" s="47"/>
    </row>
    <row r="88" spans="4:25" x14ac:dyDescent="0.3">
      <c r="E88" s="43"/>
      <c r="F88" s="82" t="s">
        <v>89</v>
      </c>
      <c r="G88" s="82"/>
      <c r="H88" s="81">
        <v>1.03</v>
      </c>
      <c r="I88" s="81">
        <v>1.02</v>
      </c>
      <c r="J88" s="81">
        <v>1.01</v>
      </c>
      <c r="K88" s="81">
        <v>1</v>
      </c>
      <c r="L88" s="81">
        <v>0.99</v>
      </c>
      <c r="M88" s="79">
        <v>0.98</v>
      </c>
      <c r="N88" s="79">
        <v>0.97</v>
      </c>
      <c r="O88" s="81">
        <v>0.95</v>
      </c>
      <c r="P88" s="38"/>
      <c r="Q88" s="149"/>
      <c r="Y88" s="47"/>
    </row>
    <row r="89" spans="4:25" x14ac:dyDescent="0.3">
      <c r="E89" s="43"/>
      <c r="F89" s="43"/>
      <c r="G89" s="43"/>
      <c r="H89" s="43"/>
      <c r="I89" s="43"/>
      <c r="J89" s="43"/>
      <c r="K89" s="17"/>
      <c r="L89" s="17"/>
      <c r="M89" s="44"/>
      <c r="N89" s="45"/>
      <c r="O89" s="46"/>
      <c r="P89" s="46"/>
      <c r="Q89" s="148"/>
      <c r="Y89" s="47"/>
    </row>
    <row r="90" spans="4:25" ht="20.25" x14ac:dyDescent="0.3">
      <c r="D90" s="428" t="s">
        <v>403</v>
      </c>
      <c r="E90" s="429"/>
      <c r="F90" s="80" t="s">
        <v>103</v>
      </c>
      <c r="G90" s="43"/>
      <c r="H90" s="43"/>
      <c r="I90" s="43"/>
      <c r="J90" s="43"/>
      <c r="K90" s="17"/>
      <c r="L90" s="17"/>
      <c r="M90" s="44"/>
      <c r="N90" s="45"/>
      <c r="O90" s="46"/>
      <c r="P90" s="46"/>
      <c r="Q90" s="148"/>
      <c r="Y90" s="47"/>
    </row>
    <row r="91" spans="4:25" x14ac:dyDescent="0.3">
      <c r="E91" s="43"/>
      <c r="F91" s="43" t="s">
        <v>90</v>
      </c>
      <c r="G91" s="43"/>
      <c r="H91" s="43"/>
      <c r="I91" s="43"/>
      <c r="J91" s="43"/>
      <c r="K91" s="17"/>
      <c r="L91" s="17"/>
      <c r="M91" s="44"/>
      <c r="N91" s="45"/>
      <c r="O91" s="46"/>
      <c r="P91" s="46"/>
      <c r="Q91" s="148"/>
      <c r="Y91" s="47"/>
    </row>
    <row r="92" spans="4:25" x14ac:dyDescent="0.3">
      <c r="E92" s="43"/>
      <c r="G92" s="766" t="s">
        <v>92</v>
      </c>
      <c r="H92" s="767"/>
      <c r="I92" s="767"/>
      <c r="J92" s="768"/>
      <c r="K92" s="17"/>
      <c r="L92" s="17"/>
      <c r="M92" s="44"/>
      <c r="N92" s="45"/>
      <c r="O92" s="46"/>
      <c r="P92" s="46"/>
      <c r="Q92" s="148"/>
      <c r="Y92" s="47"/>
    </row>
    <row r="93" spans="4:25" ht="57.75" customHeight="1" x14ac:dyDescent="0.3">
      <c r="E93" s="43"/>
      <c r="F93" s="37" t="s">
        <v>91</v>
      </c>
      <c r="G93" s="83" t="s">
        <v>93</v>
      </c>
      <c r="H93" s="84" t="s">
        <v>100</v>
      </c>
      <c r="I93" s="84" t="s">
        <v>101</v>
      </c>
      <c r="J93" s="84" t="s">
        <v>102</v>
      </c>
      <c r="K93" s="17"/>
      <c r="L93" s="17"/>
      <c r="M93" s="44"/>
      <c r="N93" s="45"/>
      <c r="O93" s="46"/>
      <c r="P93" s="46"/>
      <c r="Q93" s="148"/>
      <c r="Y93" s="47"/>
    </row>
    <row r="94" spans="4:25" x14ac:dyDescent="0.3">
      <c r="E94" s="43"/>
      <c r="F94" s="67">
        <v>2</v>
      </c>
      <c r="G94" s="79">
        <v>0.87</v>
      </c>
      <c r="H94" s="79">
        <v>0.9</v>
      </c>
      <c r="I94" s="79">
        <v>0.94</v>
      </c>
      <c r="J94" s="79">
        <v>0.96</v>
      </c>
      <c r="K94" s="17"/>
      <c r="L94" s="17"/>
      <c r="M94" s="44"/>
      <c r="N94" s="45"/>
      <c r="O94" s="46"/>
      <c r="P94" s="46"/>
      <c r="Q94" s="148"/>
      <c r="Y94" s="47"/>
    </row>
    <row r="95" spans="4:25" x14ac:dyDescent="0.3">
      <c r="E95" s="43"/>
      <c r="F95" s="67">
        <v>3</v>
      </c>
      <c r="G95" s="79">
        <v>0.77</v>
      </c>
      <c r="H95" s="79">
        <v>0.82</v>
      </c>
      <c r="I95" s="79">
        <v>0.87</v>
      </c>
      <c r="J95" s="79">
        <v>0.9</v>
      </c>
      <c r="K95" s="17"/>
      <c r="L95" s="17"/>
      <c r="M95" s="44"/>
      <c r="N95" s="45"/>
      <c r="O95" s="46"/>
      <c r="P95" s="46"/>
      <c r="Q95" s="148"/>
      <c r="Y95" s="47"/>
    </row>
    <row r="96" spans="4:25" x14ac:dyDescent="0.3">
      <c r="E96" s="43"/>
      <c r="F96" s="67">
        <v>4</v>
      </c>
      <c r="G96" s="79">
        <v>0.71</v>
      </c>
      <c r="H96" s="79">
        <v>0.77</v>
      </c>
      <c r="I96" s="79">
        <v>0.84</v>
      </c>
      <c r="J96" s="79">
        <v>0.88</v>
      </c>
      <c r="K96" s="17"/>
      <c r="L96" s="17"/>
      <c r="M96" s="44"/>
      <c r="N96" s="45"/>
      <c r="O96" s="46"/>
      <c r="P96" s="46"/>
      <c r="Q96" s="148"/>
      <c r="Y96" s="47"/>
    </row>
    <row r="97" spans="2:35" x14ac:dyDescent="0.3">
      <c r="E97" s="43"/>
      <c r="F97" s="67">
        <v>5</v>
      </c>
      <c r="G97" s="79">
        <v>0.67</v>
      </c>
      <c r="H97" s="79">
        <v>0.74</v>
      </c>
      <c r="I97" s="79">
        <v>0.81</v>
      </c>
      <c r="J97" s="79">
        <v>0.86</v>
      </c>
      <c r="K97" s="17"/>
      <c r="L97" s="17"/>
      <c r="M97" s="44"/>
      <c r="N97" s="45"/>
      <c r="O97" s="46"/>
      <c r="P97" s="46"/>
      <c r="Q97" s="148"/>
      <c r="Y97" s="47"/>
    </row>
    <row r="98" spans="2:35" x14ac:dyDescent="0.3">
      <c r="E98" s="43"/>
      <c r="F98" s="67">
        <v>6</v>
      </c>
      <c r="G98" s="79">
        <v>0.64</v>
      </c>
      <c r="H98" s="79">
        <v>0.71</v>
      </c>
      <c r="I98" s="79">
        <v>0.79</v>
      </c>
      <c r="J98" s="79">
        <v>0.85</v>
      </c>
      <c r="K98" s="17"/>
      <c r="L98" s="17"/>
      <c r="M98" s="44"/>
      <c r="N98" s="45"/>
      <c r="O98" s="46"/>
      <c r="P98" s="46"/>
      <c r="Q98" s="148"/>
      <c r="Y98" s="47"/>
    </row>
    <row r="99" spans="2:35" x14ac:dyDescent="0.3">
      <c r="E99" s="43"/>
      <c r="F99" s="67">
        <v>7</v>
      </c>
      <c r="G99" s="79">
        <v>0.61</v>
      </c>
      <c r="H99" s="79">
        <v>0.69</v>
      </c>
      <c r="I99" s="79">
        <v>0.78</v>
      </c>
      <c r="J99" s="79">
        <v>0.84</v>
      </c>
      <c r="K99" s="17"/>
      <c r="L99" s="17"/>
      <c r="M99" s="44"/>
      <c r="N99" s="45"/>
      <c r="O99" s="46"/>
      <c r="P99" s="46"/>
      <c r="Q99" s="148"/>
      <c r="Y99" s="47"/>
    </row>
    <row r="100" spans="2:35" x14ac:dyDescent="0.3">
      <c r="E100" s="43"/>
      <c r="F100" s="67">
        <v>8</v>
      </c>
      <c r="G100" s="79">
        <v>0.59</v>
      </c>
      <c r="H100" s="79">
        <v>0.67</v>
      </c>
      <c r="I100" s="79">
        <v>0.77</v>
      </c>
      <c r="J100" s="79">
        <v>0.83</v>
      </c>
      <c r="K100" s="17"/>
      <c r="L100" s="17"/>
      <c r="M100" s="44"/>
      <c r="N100" s="45"/>
      <c r="O100" s="46"/>
      <c r="P100" s="46"/>
      <c r="Q100" s="148"/>
      <c r="Y100" s="47"/>
    </row>
    <row r="101" spans="2:35" x14ac:dyDescent="0.3">
      <c r="E101" s="43"/>
      <c r="F101" s="67">
        <v>9</v>
      </c>
      <c r="G101" s="79">
        <v>0.56999999999999995</v>
      </c>
      <c r="H101" s="79">
        <v>0.66</v>
      </c>
      <c r="I101" s="79">
        <v>0.76</v>
      </c>
      <c r="J101" s="79">
        <v>0.82</v>
      </c>
      <c r="K101" s="17"/>
      <c r="L101" s="17"/>
      <c r="M101" s="44"/>
      <c r="N101" s="45"/>
      <c r="O101" s="46"/>
      <c r="P101" s="46"/>
      <c r="Q101" s="148"/>
      <c r="Y101" s="47"/>
    </row>
    <row r="102" spans="2:35" x14ac:dyDescent="0.3">
      <c r="E102" s="43"/>
      <c r="F102" s="67">
        <v>10</v>
      </c>
      <c r="G102" s="79">
        <v>0.56000000000000005</v>
      </c>
      <c r="H102" s="79">
        <v>0.65</v>
      </c>
      <c r="I102" s="79">
        <v>0.75</v>
      </c>
      <c r="J102" s="31" t="s">
        <v>104</v>
      </c>
      <c r="K102" s="17"/>
      <c r="L102" s="17"/>
      <c r="M102" s="44"/>
      <c r="N102" s="45"/>
      <c r="O102" s="46"/>
      <c r="P102" s="46"/>
      <c r="Q102" s="148"/>
      <c r="Y102" s="47"/>
    </row>
    <row r="103" spans="2:35" x14ac:dyDescent="0.3">
      <c r="E103" s="43"/>
      <c r="F103" s="48"/>
      <c r="G103" s="45"/>
      <c r="H103" s="45"/>
      <c r="I103" s="45"/>
      <c r="J103" s="45"/>
      <c r="K103" s="17"/>
      <c r="L103" s="17"/>
      <c r="M103" s="44"/>
      <c r="N103" s="45"/>
      <c r="O103" s="46"/>
      <c r="P103" s="46"/>
      <c r="Q103" s="148"/>
      <c r="Y103" s="47"/>
    </row>
    <row r="104" spans="2:35" x14ac:dyDescent="0.3">
      <c r="C104" s="108" t="s">
        <v>152</v>
      </c>
      <c r="D104" s="2"/>
      <c r="M104" s="286"/>
      <c r="Q104" s="1"/>
      <c r="Y104" s="47"/>
    </row>
    <row r="105" spans="2:35" ht="49.5" x14ac:dyDescent="0.3">
      <c r="B105" s="428" t="s">
        <v>554</v>
      </c>
      <c r="C105" s="69" t="s">
        <v>139</v>
      </c>
      <c r="D105" s="107" t="s">
        <v>140</v>
      </c>
      <c r="E105" s="761" t="s">
        <v>141</v>
      </c>
      <c r="F105" s="762"/>
      <c r="G105" s="762"/>
      <c r="H105" s="762"/>
      <c r="I105" s="762"/>
      <c r="J105" s="762"/>
      <c r="K105" s="762"/>
      <c r="L105" s="762"/>
      <c r="M105" s="762"/>
      <c r="N105" s="762"/>
      <c r="O105" s="762"/>
      <c r="P105" s="762"/>
      <c r="Q105" s="762"/>
      <c r="R105" s="102" t="s">
        <v>145</v>
      </c>
      <c r="Y105" s="47"/>
    </row>
    <row r="106" spans="2:35" ht="12.75" customHeight="1" x14ac:dyDescent="0.3">
      <c r="C106" s="93"/>
      <c r="D106" s="97"/>
      <c r="E106" s="42">
        <v>1</v>
      </c>
      <c r="F106" s="42">
        <v>2</v>
      </c>
      <c r="G106" s="42">
        <v>3</v>
      </c>
      <c r="H106" s="42">
        <v>4</v>
      </c>
      <c r="I106" s="42">
        <v>5</v>
      </c>
      <c r="J106" s="42">
        <v>6</v>
      </c>
      <c r="K106" s="42">
        <v>7</v>
      </c>
      <c r="L106" s="42">
        <v>8</v>
      </c>
      <c r="M106" s="288"/>
      <c r="N106" s="42">
        <v>9</v>
      </c>
      <c r="O106" s="42">
        <v>12</v>
      </c>
      <c r="P106" s="42">
        <v>16</v>
      </c>
      <c r="Q106" s="105">
        <v>20</v>
      </c>
      <c r="R106" s="103" t="s">
        <v>146</v>
      </c>
      <c r="AH106" s="48"/>
    </row>
    <row r="107" spans="2:35" ht="78" customHeight="1" x14ac:dyDescent="0.3">
      <c r="C107" s="67">
        <v>1</v>
      </c>
      <c r="D107" s="98" t="s">
        <v>151</v>
      </c>
      <c r="E107" s="81">
        <v>1</v>
      </c>
      <c r="F107" s="81">
        <v>0.8</v>
      </c>
      <c r="G107" s="81">
        <v>0.7</v>
      </c>
      <c r="H107" s="81">
        <v>0.65</v>
      </c>
      <c r="I107" s="81">
        <v>0.6</v>
      </c>
      <c r="J107" s="81">
        <v>0.56999999999999995</v>
      </c>
      <c r="K107" s="81">
        <v>0.54</v>
      </c>
      <c r="L107" s="81">
        <v>0.52</v>
      </c>
      <c r="M107" s="289"/>
      <c r="N107" s="81">
        <v>0.5</v>
      </c>
      <c r="O107" s="81">
        <v>0.45</v>
      </c>
      <c r="P107" s="81">
        <v>0.41</v>
      </c>
      <c r="Q107" s="109">
        <v>0.38</v>
      </c>
      <c r="R107" s="100" t="s">
        <v>147</v>
      </c>
      <c r="S107" s="769" t="s">
        <v>134</v>
      </c>
      <c r="T107" s="770"/>
      <c r="U107" s="770"/>
      <c r="V107" s="770"/>
      <c r="W107" s="770"/>
      <c r="X107" s="770"/>
      <c r="Y107" s="770"/>
      <c r="Z107" s="770"/>
      <c r="AA107" s="770"/>
      <c r="AB107" s="770"/>
      <c r="AC107" s="770"/>
      <c r="AD107" s="770"/>
      <c r="AE107" s="770"/>
      <c r="AF107" s="770"/>
      <c r="AG107" s="770"/>
      <c r="AH107" s="770"/>
      <c r="AI107" s="771"/>
    </row>
    <row r="108" spans="2:35" ht="52.5" customHeight="1" x14ac:dyDescent="0.3">
      <c r="E108" s="43"/>
      <c r="F108" s="43"/>
      <c r="G108" s="43"/>
      <c r="H108" s="43"/>
      <c r="I108" s="43"/>
      <c r="J108" s="43"/>
      <c r="K108" s="17"/>
      <c r="L108" s="17"/>
      <c r="M108" s="44"/>
      <c r="N108" s="45"/>
      <c r="O108" s="46"/>
      <c r="P108" s="46"/>
      <c r="Q108" s="148"/>
      <c r="S108" s="772"/>
      <c r="T108" s="773"/>
      <c r="U108" s="773"/>
      <c r="V108" s="773"/>
      <c r="W108" s="773"/>
      <c r="X108" s="773"/>
      <c r="Y108" s="773"/>
      <c r="Z108" s="773"/>
      <c r="AA108" s="773"/>
      <c r="AB108" s="773"/>
      <c r="AC108" s="773"/>
      <c r="AD108" s="773"/>
      <c r="AE108" s="773"/>
      <c r="AF108" s="773"/>
      <c r="AG108" s="773"/>
      <c r="AH108" s="773"/>
      <c r="AI108" s="774"/>
    </row>
    <row r="109" spans="2:35" x14ac:dyDescent="0.3">
      <c r="E109" s="43"/>
      <c r="F109" s="43"/>
      <c r="G109" s="43"/>
      <c r="H109" s="43"/>
      <c r="I109" s="43"/>
      <c r="J109" s="43"/>
      <c r="K109" s="17"/>
      <c r="L109" s="17"/>
      <c r="M109" s="44"/>
      <c r="N109" s="45"/>
      <c r="O109" s="46"/>
      <c r="P109" s="46"/>
      <c r="Q109" s="148"/>
      <c r="S109" s="775"/>
      <c r="T109" s="776"/>
      <c r="U109" s="776"/>
      <c r="V109" s="776"/>
      <c r="W109" s="776"/>
      <c r="X109" s="776"/>
      <c r="Y109" s="776"/>
      <c r="Z109" s="776"/>
      <c r="AA109" s="776"/>
      <c r="AB109" s="776"/>
      <c r="AC109" s="776"/>
      <c r="AD109" s="776"/>
      <c r="AE109" s="776"/>
      <c r="AF109" s="776"/>
      <c r="AG109" s="776"/>
      <c r="AH109" s="776"/>
      <c r="AI109" s="777"/>
    </row>
    <row r="110" spans="2:35" ht="25.5" customHeight="1" thickBot="1" x14ac:dyDescent="0.35">
      <c r="E110" s="43"/>
      <c r="N110" s="45"/>
      <c r="O110" s="46"/>
      <c r="P110" s="46"/>
      <c r="Q110" s="148"/>
      <c r="S110" s="40" t="s">
        <v>94</v>
      </c>
      <c r="T110" s="94"/>
      <c r="U110" s="94"/>
      <c r="V110" s="94"/>
      <c r="W110" s="67">
        <f>B13</f>
        <v>380</v>
      </c>
      <c r="X110" s="781" t="s">
        <v>136</v>
      </c>
      <c r="Y110" s="782"/>
      <c r="Z110" s="782"/>
      <c r="AA110" s="783"/>
      <c r="AB110" s="94"/>
      <c r="AC110" s="781" t="s">
        <v>135</v>
      </c>
      <c r="AD110" s="782"/>
      <c r="AE110" s="783"/>
      <c r="AF110" s="94"/>
      <c r="AG110" s="778" t="s">
        <v>121</v>
      </c>
      <c r="AH110" s="779"/>
      <c r="AI110" s="780"/>
    </row>
    <row r="111" spans="2:35" ht="69" customHeight="1" x14ac:dyDescent="0.5">
      <c r="E111" s="763" t="s">
        <v>545</v>
      </c>
      <c r="F111" s="764"/>
      <c r="G111" s="764"/>
      <c r="H111" s="455"/>
      <c r="I111" s="446"/>
      <c r="J111" s="446"/>
      <c r="K111" s="446"/>
      <c r="L111" s="446"/>
      <c r="M111" s="447"/>
      <c r="N111" s="45"/>
      <c r="O111" s="46"/>
      <c r="P111" s="46"/>
      <c r="Q111" s="148"/>
      <c r="S111" s="67" t="s">
        <v>28</v>
      </c>
      <c r="T111" s="51" t="s">
        <v>47</v>
      </c>
      <c r="U111" s="86" t="s">
        <v>29</v>
      </c>
      <c r="V111" s="51" t="s">
        <v>126</v>
      </c>
      <c r="W111" s="87" t="s">
        <v>30</v>
      </c>
      <c r="X111" s="51" t="s">
        <v>31</v>
      </c>
      <c r="Y111" s="51" t="s">
        <v>32</v>
      </c>
      <c r="Z111" s="87" t="s">
        <v>33</v>
      </c>
      <c r="AA111" s="87" t="s">
        <v>34</v>
      </c>
      <c r="AB111" s="51" t="s">
        <v>35</v>
      </c>
      <c r="AC111" s="51" t="s">
        <v>36</v>
      </c>
      <c r="AD111" s="86" t="s">
        <v>37</v>
      </c>
      <c r="AE111" s="51" t="s">
        <v>38</v>
      </c>
      <c r="AF111" s="51" t="s">
        <v>39</v>
      </c>
      <c r="AG111" s="51" t="s">
        <v>131</v>
      </c>
      <c r="AH111" s="72" t="s">
        <v>132</v>
      </c>
      <c r="AI111" s="37" t="s">
        <v>133</v>
      </c>
    </row>
    <row r="112" spans="2:35" ht="28.9" customHeight="1" x14ac:dyDescent="0.3">
      <c r="E112" s="460"/>
      <c r="F112" s="461"/>
      <c r="G112" s="461"/>
      <c r="H112" s="461"/>
      <c r="I112" s="461"/>
      <c r="J112" s="461"/>
      <c r="K112" s="461"/>
      <c r="L112" s="462"/>
      <c r="M112" s="463"/>
      <c r="S112" s="52" t="s">
        <v>95</v>
      </c>
      <c r="T112" s="53" t="s">
        <v>99</v>
      </c>
      <c r="U112" s="53">
        <v>432</v>
      </c>
      <c r="V112" s="54">
        <f>U112*1000/(SQRT(3)*B$13*B$8)</f>
        <v>729.28455055531674</v>
      </c>
      <c r="W112" s="53">
        <f>K118</f>
        <v>0.61152000000000006</v>
      </c>
      <c r="X112" s="54">
        <f>V112/W112</f>
        <v>1192.5767768107612</v>
      </c>
      <c r="Y112" s="54">
        <f>+VLOOKUP(AA112,$F$15:$Q$44,10)</f>
        <v>1107</v>
      </c>
      <c r="Z112" s="53">
        <v>84</v>
      </c>
      <c r="AA112" s="54" t="str">
        <f>F37</f>
        <v xml:space="preserve">3(3 - 1 x 185) </v>
      </c>
      <c r="AB112" s="55">
        <f>+VLOOKUP(AA112,$F$15:$Q$44,6)</f>
        <v>1.1690761443898794E-4</v>
      </c>
      <c r="AC112" s="53">
        <f>B$13*AD112/100</f>
        <v>1.9</v>
      </c>
      <c r="AD112" s="53">
        <v>0.5</v>
      </c>
      <c r="AE112" s="53">
        <f>+VLOOKUP(AA112,$F$15:$Q$38,6)*Z112*V112/3</f>
        <v>2.387249677473684</v>
      </c>
      <c r="AF112" s="55">
        <f>+VLOOKUP(AA112,$F$15:$Q$42,11)</f>
        <v>0</v>
      </c>
      <c r="AG112" s="56">
        <f>Y112*W112</f>
        <v>676.95264000000009</v>
      </c>
      <c r="AH112" s="85">
        <v>900</v>
      </c>
      <c r="AI112" s="68">
        <f>0.88*AH112</f>
        <v>792</v>
      </c>
    </row>
    <row r="113" spans="1:35" ht="28.9" customHeight="1" x14ac:dyDescent="0.3">
      <c r="E113" s="460"/>
      <c r="F113" s="461"/>
      <c r="G113" s="461"/>
      <c r="H113" s="461"/>
      <c r="I113" s="461"/>
      <c r="J113" s="461"/>
      <c r="K113" s="461"/>
      <c r="L113" s="462"/>
      <c r="M113" s="463"/>
      <c r="S113" s="52" t="s">
        <v>96</v>
      </c>
      <c r="T113" s="53"/>
      <c r="U113" s="53">
        <v>250</v>
      </c>
      <c r="V113" s="54">
        <f>U113*1000/(SQRT(3)*B$13*B$8)</f>
        <v>422.03967046025275</v>
      </c>
      <c r="W113" s="53">
        <f>L128</f>
        <v>0</v>
      </c>
      <c r="X113" s="54" t="e">
        <f>V113/W113</f>
        <v>#DIV/0!</v>
      </c>
      <c r="Y113" s="54">
        <f>+VLOOKUP(AA113,$F$15:$Q$44,10)</f>
        <v>684</v>
      </c>
      <c r="Z113" s="53">
        <v>50</v>
      </c>
      <c r="AA113" s="54" t="str">
        <f>F30</f>
        <v xml:space="preserve">2(3 - 1 x 120) </v>
      </c>
      <c r="AB113" s="55">
        <f>+VLOOKUP(AA113,$F$15:$Q$44,6)</f>
        <v>2.2349711585155461E-4</v>
      </c>
      <c r="AC113" s="53">
        <f>B$13*AD113/100</f>
        <v>1.9</v>
      </c>
      <c r="AD113" s="53">
        <v>0.5</v>
      </c>
      <c r="AE113" s="53">
        <f>+VLOOKUP(AA113,$F$15:$Q$38,6)*Z113*V113/3</f>
        <v>1.5720774853801174</v>
      </c>
      <c r="AF113" s="55">
        <f>+VLOOKUP(AA113,$F$15:$Q$44,11)</f>
        <v>0</v>
      </c>
      <c r="AG113" s="56">
        <f>Y113*W113</f>
        <v>0</v>
      </c>
      <c r="AH113" s="85">
        <v>500</v>
      </c>
      <c r="AI113" s="68">
        <f>0.88*AH113</f>
        <v>440</v>
      </c>
    </row>
    <row r="114" spans="1:35" ht="28.9" customHeight="1" x14ac:dyDescent="0.3">
      <c r="E114" s="448"/>
      <c r="M114" s="449"/>
      <c r="S114" s="52" t="s">
        <v>97</v>
      </c>
      <c r="T114" s="53"/>
      <c r="U114" s="53">
        <v>310</v>
      </c>
      <c r="V114" s="54">
        <f>U114*1000/(SQRT(3)*B$13*B$8)</f>
        <v>523.32919137071337</v>
      </c>
      <c r="W114" s="53" t="e">
        <f>#REF!</f>
        <v>#REF!</v>
      </c>
      <c r="X114" s="54" t="e">
        <f>V114/W114</f>
        <v>#REF!</v>
      </c>
      <c r="Y114" s="54">
        <f>+VLOOKUP(AA114,$F$15:$Q$44,10)</f>
        <v>1107</v>
      </c>
      <c r="Z114" s="53">
        <v>100</v>
      </c>
      <c r="AA114" s="54" t="str">
        <f>F37</f>
        <v xml:space="preserve">3(3 - 1 x 185) </v>
      </c>
      <c r="AB114" s="55">
        <f>+VLOOKUP(AA114,$F$15:$Q$44,6)</f>
        <v>1.1690761443898794E-4</v>
      </c>
      <c r="AC114" s="53">
        <f>B$13*AD114/100</f>
        <v>1.9</v>
      </c>
      <c r="AD114" s="53">
        <v>0.5</v>
      </c>
      <c r="AE114" s="53">
        <f>+VLOOKUP(AA114,$F$15:$Q$38,6)*Z114*V114/3</f>
        <v>2.0393722443144897</v>
      </c>
      <c r="AF114" s="55">
        <f>+VLOOKUP(AA114,$F$15:$Q$44,11)</f>
        <v>0</v>
      </c>
      <c r="AG114" s="56" t="e">
        <f>Y114*W114</f>
        <v>#REF!</v>
      </c>
      <c r="AH114" s="85">
        <v>630</v>
      </c>
      <c r="AI114" s="95">
        <f>0.88*AH114</f>
        <v>554.4</v>
      </c>
    </row>
    <row r="115" spans="1:35" ht="28.9" customHeight="1" x14ac:dyDescent="0.3">
      <c r="A115" s="479"/>
      <c r="B115" s="479" t="s">
        <v>320</v>
      </c>
      <c r="C115" s="479"/>
      <c r="D115" s="479"/>
      <c r="E115" s="467" t="s">
        <v>546</v>
      </c>
      <c r="M115" s="449"/>
      <c r="S115" s="52" t="s">
        <v>98</v>
      </c>
      <c r="T115" s="53"/>
      <c r="U115" s="53">
        <v>125</v>
      </c>
      <c r="V115" s="54">
        <f>U115*1000/(SQRT(3)*B$13*B$8)</f>
        <v>211.01983523012638</v>
      </c>
      <c r="W115" s="53" t="e">
        <f>#REF!</f>
        <v>#REF!</v>
      </c>
      <c r="X115" s="54" t="e">
        <f>V115/W115</f>
        <v>#REF!</v>
      </c>
      <c r="Y115" s="54">
        <f>+VLOOKUP(AA115,$F$15:$Q$44,10)</f>
        <v>684</v>
      </c>
      <c r="Z115" s="53">
        <v>120</v>
      </c>
      <c r="AA115" s="54" t="str">
        <f>F30</f>
        <v xml:space="preserve">2(3 - 1 x 120) </v>
      </c>
      <c r="AB115" s="55">
        <f>+VLOOKUP(AA115,$F$15:$Q$44,6)</f>
        <v>2.2349711585155461E-4</v>
      </c>
      <c r="AC115" s="53">
        <f>B$13*AD115/100</f>
        <v>1.9</v>
      </c>
      <c r="AD115" s="53">
        <v>0.5</v>
      </c>
      <c r="AE115" s="53">
        <f>+VLOOKUP(AA115,$F$15:$Q$38,6)*Z115*V115/3</f>
        <v>1.8864929824561409</v>
      </c>
      <c r="AF115" s="55">
        <f>+VLOOKUP(AA115,$F$15:$Q$44,11)</f>
        <v>0</v>
      </c>
      <c r="AG115" s="56" t="e">
        <f>Y115*W115</f>
        <v>#REF!</v>
      </c>
      <c r="AH115" s="85">
        <v>250</v>
      </c>
      <c r="AI115" s="95">
        <f>0.88*AH115</f>
        <v>220</v>
      </c>
    </row>
    <row r="116" spans="1:35" ht="20.25" x14ac:dyDescent="0.3">
      <c r="E116" s="88" t="s">
        <v>320</v>
      </c>
      <c r="F116" s="453" t="s">
        <v>401</v>
      </c>
      <c r="G116" s="453" t="s">
        <v>402</v>
      </c>
      <c r="H116" s="453" t="s">
        <v>400</v>
      </c>
      <c r="I116" s="453" t="s">
        <v>402</v>
      </c>
      <c r="J116" s="453" t="s">
        <v>403</v>
      </c>
      <c r="K116" s="16"/>
      <c r="L116" s="18"/>
      <c r="M116" s="449"/>
      <c r="O116" s="46"/>
      <c r="P116" s="46"/>
      <c r="Q116" s="148"/>
    </row>
    <row r="117" spans="1:35" ht="17.25" thickBot="1" x14ac:dyDescent="0.35">
      <c r="E117" s="88"/>
      <c r="F117" s="469" t="s">
        <v>60</v>
      </c>
      <c r="G117" s="469" t="s">
        <v>61</v>
      </c>
      <c r="H117" s="82" t="s">
        <v>551</v>
      </c>
      <c r="I117" s="469" t="s">
        <v>138</v>
      </c>
      <c r="J117" s="82" t="s">
        <v>542</v>
      </c>
      <c r="K117" s="39"/>
      <c r="L117" s="18"/>
      <c r="M117" s="449"/>
      <c r="O117" s="46"/>
      <c r="P117" s="46"/>
      <c r="Q117" s="148"/>
      <c r="S117" s="2" t="s">
        <v>40</v>
      </c>
      <c r="AF117" s="2"/>
      <c r="AH117" s="96" t="s">
        <v>122</v>
      </c>
    </row>
    <row r="118" spans="1:35" x14ac:dyDescent="0.3">
      <c r="E118" s="88" t="s">
        <v>107</v>
      </c>
      <c r="F118" s="81">
        <f>G67</f>
        <v>1.04</v>
      </c>
      <c r="G118" s="81">
        <f>J78</f>
        <v>1.05</v>
      </c>
      <c r="H118" s="81">
        <f>+K88</f>
        <v>1</v>
      </c>
      <c r="I118" s="81">
        <f>+L107</f>
        <v>0.52</v>
      </c>
      <c r="J118" s="109">
        <f>G$102</f>
        <v>0.56000000000000005</v>
      </c>
      <c r="K118" s="480">
        <f>F118*G118*J118*H118</f>
        <v>0.61152000000000006</v>
      </c>
      <c r="L118" s="62" t="s">
        <v>544</v>
      </c>
      <c r="M118" s="449"/>
      <c r="O118" s="46"/>
      <c r="P118" s="46"/>
      <c r="Q118" s="148"/>
      <c r="S118" s="2" t="s">
        <v>41</v>
      </c>
      <c r="AB118" s="57"/>
    </row>
    <row r="119" spans="1:35" ht="17.25" thickBot="1" x14ac:dyDescent="0.35">
      <c r="E119" s="88" t="s">
        <v>107</v>
      </c>
      <c r="F119" s="81">
        <f>+F118</f>
        <v>1.04</v>
      </c>
      <c r="G119" s="81">
        <f>+G118</f>
        <v>1.05</v>
      </c>
      <c r="H119" s="81">
        <f>+H118</f>
        <v>1</v>
      </c>
      <c r="I119" s="81">
        <f>+I118</f>
        <v>0.52</v>
      </c>
      <c r="J119" s="109">
        <f>+G94</f>
        <v>0.87</v>
      </c>
      <c r="K119" s="481">
        <f>F119*G119*J119*H119</f>
        <v>0.95004000000000011</v>
      </c>
      <c r="L119" s="104" t="s">
        <v>543</v>
      </c>
      <c r="M119" s="450"/>
      <c r="O119" s="46"/>
      <c r="P119" s="46"/>
      <c r="Q119" s="148"/>
    </row>
    <row r="120" spans="1:35" ht="17.25" thickBot="1" x14ac:dyDescent="0.35">
      <c r="E120" s="448"/>
      <c r="K120" s="454">
        <f>AVERAGE(K118:K119)</f>
        <v>0.78078000000000003</v>
      </c>
      <c r="M120" s="450"/>
      <c r="Q120" s="150"/>
      <c r="S120" s="33" t="s">
        <v>42</v>
      </c>
      <c r="T120" s="33"/>
      <c r="U120" s="2" t="s">
        <v>43</v>
      </c>
    </row>
    <row r="121" spans="1:35" x14ac:dyDescent="0.3">
      <c r="E121" s="448"/>
      <c r="L121" s="44"/>
      <c r="M121" s="450"/>
      <c r="Q121" s="150"/>
      <c r="S121" s="33"/>
      <c r="T121" s="33"/>
      <c r="U121" s="2" t="s">
        <v>44</v>
      </c>
    </row>
    <row r="122" spans="1:35" x14ac:dyDescent="0.3">
      <c r="E122" s="448"/>
      <c r="J122" s="43"/>
      <c r="K122" s="43"/>
      <c r="L122" s="44"/>
      <c r="M122" s="450"/>
      <c r="Q122" s="150"/>
      <c r="S122" s="33"/>
      <c r="T122" s="33"/>
      <c r="U122" s="2"/>
      <c r="V122" s="1" t="s">
        <v>45</v>
      </c>
    </row>
    <row r="123" spans="1:35" x14ac:dyDescent="0.3">
      <c r="E123" s="448"/>
      <c r="M123" s="456"/>
      <c r="Q123" s="150"/>
      <c r="U123" s="2"/>
      <c r="AD123" s="61"/>
    </row>
    <row r="124" spans="1:35" ht="17.25" thickBot="1" x14ac:dyDescent="0.35">
      <c r="A124" s="479"/>
      <c r="B124" s="479" t="s">
        <v>552</v>
      </c>
      <c r="C124" s="479"/>
      <c r="D124" s="479"/>
      <c r="E124" s="461" t="s">
        <v>526</v>
      </c>
      <c r="F124" s="461" t="s">
        <v>527</v>
      </c>
      <c r="G124" s="461" t="s">
        <v>528</v>
      </c>
      <c r="H124" s="461" t="s">
        <v>529</v>
      </c>
      <c r="I124" s="461" t="s">
        <v>530</v>
      </c>
      <c r="J124" s="461" t="s">
        <v>531</v>
      </c>
      <c r="K124" s="464"/>
      <c r="L124" s="464"/>
      <c r="M124" s="465"/>
      <c r="Q124" s="150"/>
      <c r="S124" s="1" t="s">
        <v>121</v>
      </c>
      <c r="U124" s="2"/>
    </row>
    <row r="125" spans="1:35" x14ac:dyDescent="0.3">
      <c r="E125" s="448"/>
      <c r="K125" s="43"/>
      <c r="L125" s="44"/>
      <c r="M125" s="450"/>
      <c r="Q125" s="150"/>
      <c r="S125" s="92" t="s">
        <v>122</v>
      </c>
      <c r="U125" s="2"/>
    </row>
    <row r="126" spans="1:35" x14ac:dyDescent="0.3">
      <c r="E126" s="468" t="s">
        <v>547</v>
      </c>
      <c r="F126" s="16"/>
      <c r="G126" s="16"/>
      <c r="H126" s="16"/>
      <c r="I126" s="16"/>
      <c r="M126" s="456"/>
      <c r="Q126" s="150"/>
      <c r="S126" s="22" t="s">
        <v>123</v>
      </c>
      <c r="T126" s="16" t="s">
        <v>127</v>
      </c>
      <c r="U126" s="35"/>
      <c r="V126" s="16"/>
      <c r="W126" s="16"/>
      <c r="X126" s="16"/>
      <c r="Y126" s="16"/>
      <c r="Z126" s="16"/>
      <c r="AA126" s="16"/>
      <c r="AB126" s="16"/>
    </row>
    <row r="127" spans="1:35" x14ac:dyDescent="0.3">
      <c r="E127" s="88" t="s">
        <v>143</v>
      </c>
      <c r="F127" s="16"/>
      <c r="G127" s="82"/>
      <c r="H127" s="82"/>
      <c r="I127" s="82"/>
      <c r="M127" s="456"/>
      <c r="S127" s="22" t="s">
        <v>124</v>
      </c>
      <c r="T127" s="16" t="s">
        <v>128</v>
      </c>
      <c r="U127" s="16"/>
      <c r="V127" s="16"/>
      <c r="W127" s="16"/>
      <c r="X127" s="16"/>
      <c r="Y127" s="16"/>
      <c r="Z127" s="16"/>
      <c r="AA127" s="16"/>
      <c r="AB127" s="16"/>
    </row>
    <row r="128" spans="1:35" ht="20.25" x14ac:dyDescent="0.3">
      <c r="D128" s="453" t="s">
        <v>401</v>
      </c>
      <c r="E128" s="88" t="s">
        <v>144</v>
      </c>
      <c r="F128" s="16"/>
      <c r="G128" s="82"/>
      <c r="H128" s="82"/>
      <c r="I128" s="81">
        <f>+H69</f>
        <v>1.04</v>
      </c>
      <c r="M128" s="456"/>
      <c r="S128" s="22" t="s">
        <v>125</v>
      </c>
      <c r="T128" s="16" t="s">
        <v>129</v>
      </c>
      <c r="U128" s="16"/>
      <c r="V128" s="16"/>
      <c r="W128" s="16"/>
      <c r="X128" s="16"/>
      <c r="Y128" s="16"/>
      <c r="Z128" s="16"/>
      <c r="AA128" s="16"/>
      <c r="AB128" s="16"/>
    </row>
    <row r="129" spans="2:28" ht="21" thickBot="1" x14ac:dyDescent="0.35">
      <c r="D129" s="453" t="s">
        <v>402</v>
      </c>
      <c r="E129" s="88" t="s">
        <v>148</v>
      </c>
      <c r="F129" s="16"/>
      <c r="G129" s="82"/>
      <c r="H129" s="82"/>
      <c r="I129" s="106">
        <f>+E107</f>
        <v>1</v>
      </c>
      <c r="M129" s="456"/>
      <c r="S129" s="22"/>
      <c r="T129" s="16" t="s">
        <v>130</v>
      </c>
      <c r="U129" s="16"/>
      <c r="V129" s="16"/>
      <c r="W129" s="16"/>
      <c r="X129" s="16"/>
      <c r="Y129" s="16"/>
      <c r="Z129" s="16"/>
      <c r="AA129" s="16"/>
      <c r="AB129" s="16"/>
    </row>
    <row r="130" spans="2:28" ht="17.25" thickBot="1" x14ac:dyDescent="0.35">
      <c r="E130" s="88"/>
      <c r="F130" s="16"/>
      <c r="G130" s="82"/>
      <c r="H130" s="458" t="s">
        <v>149</v>
      </c>
      <c r="I130" s="459">
        <f>I128*I129</f>
        <v>1.04</v>
      </c>
      <c r="M130" s="456"/>
      <c r="S130" s="58"/>
    </row>
    <row r="131" spans="2:28" x14ac:dyDescent="0.3">
      <c r="E131" s="448"/>
      <c r="J131" s="466">
        <f>I130*K120</f>
        <v>0.81201120000000004</v>
      </c>
      <c r="K131" s="38">
        <f>AVERAGE(I130,K120)</f>
        <v>0.91039000000000003</v>
      </c>
      <c r="M131" s="456"/>
      <c r="S131" s="58"/>
    </row>
    <row r="132" spans="2:28" ht="17.25" thickBot="1" x14ac:dyDescent="0.35">
      <c r="E132" s="451"/>
      <c r="F132" s="452"/>
      <c r="G132" s="452"/>
      <c r="H132" s="452"/>
      <c r="I132" s="452"/>
      <c r="J132" s="452"/>
      <c r="K132" s="452"/>
      <c r="L132" s="452"/>
      <c r="M132" s="457"/>
      <c r="S132" s="58"/>
    </row>
    <row r="134" spans="2:28" ht="69" customHeight="1" x14ac:dyDescent="0.3">
      <c r="B134" s="760" t="s">
        <v>151</v>
      </c>
      <c r="C134" s="760"/>
    </row>
    <row r="135" spans="2:28" x14ac:dyDescent="0.3">
      <c r="B135" s="760"/>
      <c r="C135" s="760"/>
    </row>
    <row r="136" spans="2:28" x14ac:dyDescent="0.3">
      <c r="B136" s="760"/>
      <c r="C136" s="760"/>
    </row>
    <row r="137" spans="2:28" x14ac:dyDescent="0.3">
      <c r="B137" s="760"/>
      <c r="C137" s="760"/>
    </row>
    <row r="138" spans="2:28" x14ac:dyDescent="0.3">
      <c r="B138" s="16"/>
      <c r="C138" s="16" t="s">
        <v>152</v>
      </c>
    </row>
    <row r="139" spans="2:28" x14ac:dyDescent="0.3">
      <c r="B139" s="16"/>
      <c r="C139" s="16"/>
    </row>
    <row r="140" spans="2:28" x14ac:dyDescent="0.3">
      <c r="B140" s="16">
        <v>1</v>
      </c>
      <c r="C140" s="16">
        <v>1</v>
      </c>
    </row>
    <row r="141" spans="2:28" x14ac:dyDescent="0.3">
      <c r="B141" s="16">
        <v>2</v>
      </c>
      <c r="C141" s="16">
        <v>0.8</v>
      </c>
    </row>
    <row r="142" spans="2:28" x14ac:dyDescent="0.3">
      <c r="B142" s="16">
        <v>3</v>
      </c>
      <c r="C142" s="16">
        <v>0.7</v>
      </c>
    </row>
    <row r="143" spans="2:28" x14ac:dyDescent="0.3">
      <c r="B143" s="16">
        <v>4</v>
      </c>
      <c r="C143" s="16">
        <v>0.65</v>
      </c>
    </row>
    <row r="144" spans="2:28" x14ac:dyDescent="0.3">
      <c r="B144" s="16">
        <v>5</v>
      </c>
      <c r="C144" s="16">
        <v>0.6</v>
      </c>
    </row>
    <row r="145" spans="2:3" x14ac:dyDescent="0.3">
      <c r="B145" s="16">
        <v>6</v>
      </c>
      <c r="C145" s="16">
        <v>0.56999999999999995</v>
      </c>
    </row>
    <row r="146" spans="2:3" x14ac:dyDescent="0.3">
      <c r="B146" s="16">
        <v>7</v>
      </c>
      <c r="C146" s="16">
        <v>0.54</v>
      </c>
    </row>
    <row r="147" spans="2:3" x14ac:dyDescent="0.3">
      <c r="B147" s="16">
        <v>8</v>
      </c>
      <c r="C147" s="16">
        <v>0.52</v>
      </c>
    </row>
    <row r="148" spans="2:3" x14ac:dyDescent="0.3">
      <c r="B148" s="16">
        <v>9</v>
      </c>
      <c r="C148" s="16">
        <v>0.5</v>
      </c>
    </row>
    <row r="149" spans="2:3" x14ac:dyDescent="0.3">
      <c r="B149" s="16">
        <v>10</v>
      </c>
      <c r="C149" s="16">
        <v>0.48</v>
      </c>
    </row>
    <row r="150" spans="2:3" x14ac:dyDescent="0.3">
      <c r="B150" s="16">
        <v>11</v>
      </c>
      <c r="C150" s="16">
        <v>0.46</v>
      </c>
    </row>
    <row r="151" spans="2:3" x14ac:dyDescent="0.3">
      <c r="B151" s="16">
        <v>12</v>
      </c>
      <c r="C151" s="16">
        <v>0.45</v>
      </c>
    </row>
    <row r="152" spans="2:3" x14ac:dyDescent="0.3">
      <c r="B152" s="16">
        <v>13</v>
      </c>
      <c r="C152" s="16">
        <v>0.44</v>
      </c>
    </row>
    <row r="153" spans="2:3" x14ac:dyDescent="0.3">
      <c r="B153" s="16">
        <v>14</v>
      </c>
      <c r="C153" s="16">
        <v>0.43</v>
      </c>
    </row>
    <row r="154" spans="2:3" x14ac:dyDescent="0.3">
      <c r="B154" s="16">
        <v>15</v>
      </c>
      <c r="C154" s="16">
        <v>0.42</v>
      </c>
    </row>
    <row r="155" spans="2:3" x14ac:dyDescent="0.3">
      <c r="B155" s="16">
        <v>16</v>
      </c>
      <c r="C155" s="16">
        <v>0.41</v>
      </c>
    </row>
    <row r="156" spans="2:3" x14ac:dyDescent="0.3">
      <c r="B156" s="16">
        <v>17</v>
      </c>
      <c r="C156" s="16">
        <v>0.4</v>
      </c>
    </row>
    <row r="157" spans="2:3" x14ac:dyDescent="0.3">
      <c r="B157" s="16">
        <v>18</v>
      </c>
      <c r="C157" s="16">
        <v>0.4</v>
      </c>
    </row>
    <row r="158" spans="2:3" x14ac:dyDescent="0.3">
      <c r="B158" s="16">
        <v>19</v>
      </c>
      <c r="C158" s="16">
        <v>0.39</v>
      </c>
    </row>
    <row r="159" spans="2:3" x14ac:dyDescent="0.3">
      <c r="B159" s="16">
        <v>20</v>
      </c>
      <c r="C159" s="16">
        <v>0.38</v>
      </c>
    </row>
  </sheetData>
  <mergeCells count="9">
    <mergeCell ref="S107:AI109"/>
    <mergeCell ref="AG110:AI110"/>
    <mergeCell ref="AC110:AE110"/>
    <mergeCell ref="X110:AA110"/>
    <mergeCell ref="B134:C137"/>
    <mergeCell ref="E105:Q105"/>
    <mergeCell ref="E111:G111"/>
    <mergeCell ref="I12:J12"/>
    <mergeCell ref="G92:J92"/>
  </mergeCells>
  <phoneticPr fontId="36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12</vt:i4>
      </vt:variant>
    </vt:vector>
  </HeadingPairs>
  <TitlesOfParts>
    <vt:vector size="17" baseType="lpstr">
      <vt:lpstr>SELECCION DE EQUIPO E</vt:lpstr>
      <vt:lpstr>R-MD-TOTAL </vt:lpstr>
      <vt:lpstr>TGN</vt:lpstr>
      <vt:lpstr>TDN</vt:lpstr>
      <vt:lpstr>FACT. DE CORR</vt:lpstr>
      <vt:lpstr>'R-MD-TOTAL '!Área_de_impresión</vt:lpstr>
      <vt:lpstr>'SELECCION DE EQUIPO E'!Área_de_impresión</vt:lpstr>
      <vt:lpstr>TDN!Área_de_impresión</vt:lpstr>
      <vt:lpstr>TGN!Área_de_impresión</vt:lpstr>
      <vt:lpstr>TGN!Caja_Moldeada</vt:lpstr>
      <vt:lpstr>COND</vt:lpstr>
      <vt:lpstr>CONDUCTORR</vt:lpstr>
      <vt:lpstr>EN_DUCTOS</vt:lpstr>
      <vt:lpstr>Intalacion_cables</vt:lpstr>
      <vt:lpstr>TDN!llave</vt:lpstr>
      <vt:lpstr>PUESTA</vt:lpstr>
      <vt:lpstr>TIERRAA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Dionicio</dc:creator>
  <cp:lastModifiedBy>HP</cp:lastModifiedBy>
  <cp:lastPrinted>2025-09-30T22:39:34Z</cp:lastPrinted>
  <dcterms:created xsi:type="dcterms:W3CDTF">2010-05-26T15:44:14Z</dcterms:created>
  <dcterms:modified xsi:type="dcterms:W3CDTF">2025-11-12T09:56:14Z</dcterms:modified>
</cp:coreProperties>
</file>